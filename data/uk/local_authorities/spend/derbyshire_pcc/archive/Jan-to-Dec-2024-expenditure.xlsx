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rbyshirepolice-my.sharepoint.com/personal/tim_parkin_derbyshire_police_uk/Documents/Desktop/dump folder/"/>
    </mc:Choice>
  </mc:AlternateContent>
  <xr:revisionPtr revIDLastSave="0" documentId="8_{EA2179C7-F7E2-42A1-9B30-EBAF615105FC}" xr6:coauthVersionLast="47" xr6:coauthVersionMax="47" xr10:uidLastSave="{00000000-0000-0000-0000-000000000000}"/>
  <bookViews>
    <workbookView xWindow="-120" yWindow="-120" windowWidth="29040" windowHeight="15840" activeTab="11" xr2:uid="{D3BA2693-F889-4699-B878-563F43A0B910}"/>
  </bookViews>
  <sheets>
    <sheet name="Jan" sheetId="1" r:id="rId1"/>
    <sheet name="Feb" sheetId="3" r:id="rId2"/>
    <sheet name="Mar" sheetId="2" r:id="rId3"/>
    <sheet name="April" sheetId="4" r:id="rId4"/>
    <sheet name="May" sheetId="5" r:id="rId5"/>
    <sheet name="June" sheetId="6" r:id="rId6"/>
    <sheet name="Jul" sheetId="7" r:id="rId7"/>
    <sheet name="Aug" sheetId="8" r:id="rId8"/>
    <sheet name="Sept" sheetId="9" r:id="rId9"/>
    <sheet name="Oct" sheetId="10" r:id="rId10"/>
    <sheet name="Nov" sheetId="11" r:id="rId11"/>
    <sheet name="Dec" sheetId="12" r:id="rId12"/>
  </sheets>
  <definedNames>
    <definedName name="_xlnm._FilterDatabase" localSheetId="3" hidden="1">April!$A$1:$M$522</definedName>
    <definedName name="_xlnm._FilterDatabase" localSheetId="7" hidden="1">Aug!$A$1:$N$511</definedName>
    <definedName name="_xlnm._FilterDatabase" localSheetId="11" hidden="1">Dec!$A$1:$M$472</definedName>
    <definedName name="_xlnm._FilterDatabase" localSheetId="1" hidden="1">Feb!$A$1:$L$508</definedName>
    <definedName name="_xlnm._FilterDatabase" localSheetId="0" hidden="1">Jan!$A$1:$M$528</definedName>
    <definedName name="_xlnm._FilterDatabase" localSheetId="6" hidden="1">Jul!$A$1:$M$514</definedName>
    <definedName name="_xlnm._FilterDatabase" localSheetId="5" hidden="1">June!$A$1:$M$544</definedName>
    <definedName name="_xlnm._FilterDatabase" localSheetId="2" hidden="1">Mar!$A$1:$M$566</definedName>
    <definedName name="_xlnm._FilterDatabase" localSheetId="4" hidden="1">May!$A$1:$M$566</definedName>
    <definedName name="_xlnm._FilterDatabase" localSheetId="10" hidden="1">Nov!$A$1:$M$470</definedName>
    <definedName name="_xlnm._FilterDatabase" localSheetId="9" hidden="1">Oct!$A$1:$N$506</definedName>
    <definedName name="_xlnm._FilterDatabase" localSheetId="8" hidden="1">Sept!$A$1:$N$511</definedName>
    <definedName name="_xlnm.Print_Area" localSheetId="3">April!$A$1:$K$9</definedName>
    <definedName name="_xlnm.Print_Area" localSheetId="11">Dec!$A$1:$K$10</definedName>
    <definedName name="_xlnm.Print_Area" localSheetId="6">Jul!$A$1:$K$10</definedName>
    <definedName name="_xlnm.Print_Area" localSheetId="10">Nov!$A$1:$K$8</definedName>
    <definedName name="_xlnm.Print_Titles" localSheetId="3">April!$1:$1</definedName>
    <definedName name="_xlnm.Print_Titles" localSheetId="11">Dec!$1:$1</definedName>
    <definedName name="_xlnm.Print_Titles" localSheetId="6">Jul!$1:$1</definedName>
    <definedName name="_xlnm.Print_Titles" localSheetId="10">Nov!$1:$1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2" l="1"/>
  <c r="I2" i="12"/>
  <c r="H3" i="12"/>
  <c r="I3" i="12"/>
  <c r="H4" i="12"/>
  <c r="I4" i="12" s="1"/>
  <c r="H5" i="12"/>
  <c r="I5" i="12"/>
  <c r="H6" i="12"/>
  <c r="I6" i="12"/>
  <c r="H7" i="12"/>
  <c r="I7" i="12"/>
  <c r="H8" i="12"/>
  <c r="I8" i="12" s="1"/>
  <c r="H9" i="12"/>
  <c r="I9" i="12"/>
  <c r="H10" i="12"/>
  <c r="I10" i="12" s="1"/>
  <c r="H11" i="12"/>
  <c r="I11" i="12"/>
  <c r="H12" i="12"/>
  <c r="I12" i="12" s="1"/>
  <c r="H13" i="12"/>
  <c r="I13" i="12"/>
  <c r="H14" i="12"/>
  <c r="I14" i="12"/>
  <c r="H15" i="12"/>
  <c r="I15" i="12"/>
  <c r="H16" i="12"/>
  <c r="I16" i="12" s="1"/>
  <c r="H17" i="12"/>
  <c r="I17" i="12"/>
  <c r="H18" i="12"/>
  <c r="I18" i="12"/>
  <c r="H19" i="12"/>
  <c r="I19" i="12"/>
  <c r="H20" i="12"/>
  <c r="I20" i="12" s="1"/>
  <c r="H21" i="12"/>
  <c r="I21" i="12"/>
  <c r="H22" i="12"/>
  <c r="I22" i="12"/>
  <c r="H23" i="12"/>
  <c r="I23" i="12"/>
  <c r="H24" i="12"/>
  <c r="I24" i="12" s="1"/>
  <c r="H25" i="12"/>
  <c r="I25" i="12"/>
  <c r="H26" i="12"/>
  <c r="I26" i="12" s="1"/>
  <c r="H27" i="12"/>
  <c r="I27" i="12"/>
  <c r="H28" i="12"/>
  <c r="I28" i="12" s="1"/>
  <c r="H29" i="12"/>
  <c r="I29" i="12"/>
  <c r="H30" i="12"/>
  <c r="I30" i="12" s="1"/>
  <c r="H31" i="12"/>
  <c r="I31" i="12"/>
  <c r="H32" i="12"/>
  <c r="I32" i="12" s="1"/>
  <c r="H33" i="12"/>
  <c r="I33" i="12"/>
  <c r="H34" i="12"/>
  <c r="I34" i="12"/>
  <c r="H35" i="12"/>
  <c r="I35" i="12"/>
  <c r="H36" i="12"/>
  <c r="I36" i="12" s="1"/>
  <c r="H37" i="12"/>
  <c r="I37" i="12"/>
  <c r="H38" i="12"/>
  <c r="I38" i="12"/>
  <c r="H39" i="12"/>
  <c r="I39" i="12"/>
  <c r="H40" i="12"/>
  <c r="I40" i="12" s="1"/>
  <c r="H41" i="12"/>
  <c r="I41" i="12"/>
  <c r="H42" i="12"/>
  <c r="I42" i="12" s="1"/>
  <c r="H43" i="12"/>
  <c r="I43" i="12"/>
  <c r="H44" i="12"/>
  <c r="I44" i="12" s="1"/>
  <c r="H45" i="12"/>
  <c r="I45" i="12"/>
  <c r="H46" i="12"/>
  <c r="I46" i="12"/>
  <c r="H47" i="12"/>
  <c r="I47" i="12"/>
  <c r="H48" i="12"/>
  <c r="I48" i="12" s="1"/>
  <c r="H49" i="12"/>
  <c r="I49" i="12"/>
  <c r="H50" i="12"/>
  <c r="I50" i="12"/>
  <c r="H51" i="12"/>
  <c r="I51" i="12"/>
  <c r="H52" i="12"/>
  <c r="I52" i="12" s="1"/>
  <c r="H53" i="12"/>
  <c r="I53" i="12"/>
  <c r="H54" i="12"/>
  <c r="I54" i="12"/>
  <c r="H55" i="12"/>
  <c r="I55" i="12"/>
  <c r="H56" i="12"/>
  <c r="I56" i="12" s="1"/>
  <c r="H57" i="12"/>
  <c r="I57" i="12"/>
  <c r="H58" i="12"/>
  <c r="I58" i="12" s="1"/>
  <c r="H59" i="12"/>
  <c r="I59" i="12"/>
  <c r="H60" i="12"/>
  <c r="I60" i="12" s="1"/>
  <c r="H61" i="12"/>
  <c r="I61" i="12"/>
  <c r="H62" i="12"/>
  <c r="I62" i="12" s="1"/>
  <c r="H63" i="12"/>
  <c r="I63" i="12"/>
  <c r="H64" i="12"/>
  <c r="I64" i="12" s="1"/>
  <c r="H65" i="12"/>
  <c r="I65" i="12"/>
  <c r="H66" i="12"/>
  <c r="I66" i="12"/>
  <c r="H67" i="12"/>
  <c r="I67" i="12"/>
  <c r="H68" i="12"/>
  <c r="I68" i="12" s="1"/>
  <c r="H69" i="12"/>
  <c r="I69" i="12"/>
  <c r="H70" i="12"/>
  <c r="I70" i="12"/>
  <c r="H71" i="12"/>
  <c r="I71" i="12"/>
  <c r="H72" i="12"/>
  <c r="I72" i="12" s="1"/>
  <c r="H73" i="12"/>
  <c r="I73" i="12"/>
  <c r="H74" i="12"/>
  <c r="I74" i="12" s="1"/>
  <c r="H75" i="12"/>
  <c r="I75" i="12"/>
  <c r="H76" i="12"/>
  <c r="I76" i="12" s="1"/>
  <c r="H77" i="12"/>
  <c r="I77" i="12"/>
  <c r="H78" i="12"/>
  <c r="I78" i="12"/>
  <c r="H79" i="12"/>
  <c r="I79" i="12"/>
  <c r="H80" i="12"/>
  <c r="I80" i="12" s="1"/>
  <c r="H81" i="12"/>
  <c r="I81" i="12"/>
  <c r="H82" i="12"/>
  <c r="I82" i="12"/>
  <c r="H83" i="12"/>
  <c r="I83" i="12"/>
  <c r="H84" i="12"/>
  <c r="I84" i="12" s="1"/>
  <c r="H85" i="12"/>
  <c r="I85" i="12"/>
  <c r="H86" i="12"/>
  <c r="I86" i="12"/>
  <c r="H87" i="12"/>
  <c r="I87" i="12"/>
  <c r="H88" i="12"/>
  <c r="I88" i="12" s="1"/>
  <c r="H89" i="12"/>
  <c r="I89" i="12"/>
  <c r="H90" i="12"/>
  <c r="I90" i="12" s="1"/>
  <c r="H91" i="12"/>
  <c r="I91" i="12"/>
  <c r="H92" i="12"/>
  <c r="I92" i="12" s="1"/>
  <c r="H93" i="12"/>
  <c r="I93" i="12"/>
  <c r="H94" i="12"/>
  <c r="I94" i="12" s="1"/>
  <c r="H95" i="12"/>
  <c r="I95" i="12"/>
  <c r="H96" i="12"/>
  <c r="I96" i="12" s="1"/>
  <c r="H97" i="12"/>
  <c r="I97" i="12"/>
  <c r="H98" i="12"/>
  <c r="I98" i="12"/>
  <c r="H99" i="12"/>
  <c r="I99" i="12" s="1"/>
  <c r="H100" i="12"/>
  <c r="I100" i="12" s="1"/>
  <c r="H101" i="12"/>
  <c r="I101" i="12"/>
  <c r="H102" i="12"/>
  <c r="I102" i="12"/>
  <c r="H103" i="12"/>
  <c r="I103" i="12" s="1"/>
  <c r="H104" i="12"/>
  <c r="I104" i="12" s="1"/>
  <c r="H105" i="12"/>
  <c r="I105" i="12"/>
  <c r="H106" i="12"/>
  <c r="I106" i="12" s="1"/>
  <c r="H107" i="12"/>
  <c r="I107" i="12"/>
  <c r="H108" i="12"/>
  <c r="I108" i="12" s="1"/>
  <c r="H109" i="12"/>
  <c r="I109" i="12"/>
  <c r="H110" i="12"/>
  <c r="I110" i="12"/>
  <c r="H111" i="12"/>
  <c r="I111" i="12"/>
  <c r="H112" i="12"/>
  <c r="I112" i="12" s="1"/>
  <c r="H113" i="12"/>
  <c r="I113" i="12" s="1"/>
  <c r="H114" i="12"/>
  <c r="I114" i="12"/>
  <c r="H115" i="12"/>
  <c r="I115" i="12" s="1"/>
  <c r="H116" i="12"/>
  <c r="I116" i="12" s="1"/>
  <c r="H117" i="12"/>
  <c r="I117" i="12" s="1"/>
  <c r="H118" i="12"/>
  <c r="I118" i="12"/>
  <c r="H119" i="12"/>
  <c r="I119" i="12"/>
  <c r="H120" i="12"/>
  <c r="I120" i="12" s="1"/>
  <c r="H121" i="12"/>
  <c r="I121" i="12"/>
  <c r="H122" i="12"/>
  <c r="I122" i="12" s="1"/>
  <c r="H123" i="12"/>
  <c r="I123" i="12"/>
  <c r="H124" i="12"/>
  <c r="I124" i="12" s="1"/>
  <c r="H125" i="12"/>
  <c r="I125" i="12"/>
  <c r="H126" i="12"/>
  <c r="I126" i="12" s="1"/>
  <c r="H127" i="12"/>
  <c r="I127" i="12"/>
  <c r="H128" i="12"/>
  <c r="I128" i="12" s="1"/>
  <c r="H129" i="12"/>
  <c r="I129" i="12" s="1"/>
  <c r="H130" i="12"/>
  <c r="I130" i="12"/>
  <c r="H131" i="12"/>
  <c r="I131" i="12" s="1"/>
  <c r="H132" i="12"/>
  <c r="I132" i="12" s="1"/>
  <c r="H133" i="12"/>
  <c r="I133" i="12"/>
  <c r="H134" i="12"/>
  <c r="I134" i="12"/>
  <c r="H135" i="12"/>
  <c r="I135" i="12" s="1"/>
  <c r="H136" i="12"/>
  <c r="I136" i="12" s="1"/>
  <c r="H137" i="12"/>
  <c r="I137" i="12"/>
  <c r="H138" i="12"/>
  <c r="I138" i="12" s="1"/>
  <c r="H139" i="12"/>
  <c r="I139" i="12"/>
  <c r="H140" i="12"/>
  <c r="I140" i="12" s="1"/>
  <c r="H141" i="12"/>
  <c r="I141" i="12"/>
  <c r="H142" i="12"/>
  <c r="I142" i="12"/>
  <c r="H143" i="12"/>
  <c r="I143" i="12"/>
  <c r="H144" i="12"/>
  <c r="I144" i="12" s="1"/>
  <c r="H145" i="12"/>
  <c r="I145" i="12" s="1"/>
  <c r="H146" i="12"/>
  <c r="I146" i="12"/>
  <c r="H147" i="12"/>
  <c r="I147" i="12" s="1"/>
  <c r="H148" i="12"/>
  <c r="I148" i="12" s="1"/>
  <c r="H149" i="12"/>
  <c r="I149" i="12" s="1"/>
  <c r="H150" i="12"/>
  <c r="I150" i="12"/>
  <c r="H151" i="12"/>
  <c r="I151" i="12"/>
  <c r="H152" i="12"/>
  <c r="I152" i="12" s="1"/>
  <c r="H153" i="12"/>
  <c r="I153" i="12"/>
  <c r="H154" i="12"/>
  <c r="I154" i="12" s="1"/>
  <c r="H155" i="12"/>
  <c r="I155" i="12"/>
  <c r="H156" i="12"/>
  <c r="I156" i="12" s="1"/>
  <c r="H157" i="12"/>
  <c r="I157" i="12"/>
  <c r="H158" i="12"/>
  <c r="I158" i="12" s="1"/>
  <c r="H159" i="12"/>
  <c r="I159" i="12"/>
  <c r="H160" i="12"/>
  <c r="I160" i="12" s="1"/>
  <c r="H161" i="12"/>
  <c r="I161" i="12" s="1"/>
  <c r="H162" i="12"/>
  <c r="I162" i="12"/>
  <c r="H163" i="12"/>
  <c r="I163" i="12" s="1"/>
  <c r="H164" i="12"/>
  <c r="I164" i="12" s="1"/>
  <c r="H165" i="12"/>
  <c r="I165" i="12"/>
  <c r="H166" i="12"/>
  <c r="I166" i="12"/>
  <c r="H167" i="12"/>
  <c r="I167" i="12" s="1"/>
  <c r="H168" i="12"/>
  <c r="I168" i="12" s="1"/>
  <c r="H169" i="12"/>
  <c r="I169" i="12"/>
  <c r="H170" i="12"/>
  <c r="I170" i="12" s="1"/>
  <c r="H171" i="12"/>
  <c r="I171" i="12"/>
  <c r="H172" i="12"/>
  <c r="I172" i="12" s="1"/>
  <c r="H173" i="12"/>
  <c r="I173" i="12"/>
  <c r="H174" i="12"/>
  <c r="I174" i="12"/>
  <c r="H175" i="12"/>
  <c r="I175" i="12"/>
  <c r="H176" i="12"/>
  <c r="I176" i="12" s="1"/>
  <c r="H177" i="12"/>
  <c r="I177" i="12" s="1"/>
  <c r="H178" i="12"/>
  <c r="I178" i="12"/>
  <c r="H179" i="12"/>
  <c r="I179" i="12" s="1"/>
  <c r="H180" i="12"/>
  <c r="I180" i="12" s="1"/>
  <c r="H181" i="12"/>
  <c r="I181" i="12" s="1"/>
  <c r="H182" i="12"/>
  <c r="I182" i="12"/>
  <c r="H183" i="12"/>
  <c r="I183" i="12"/>
  <c r="H184" i="12"/>
  <c r="I184" i="12" s="1"/>
  <c r="H185" i="12"/>
  <c r="I185" i="12"/>
  <c r="H186" i="12"/>
  <c r="I186" i="12" s="1"/>
  <c r="H187" i="12"/>
  <c r="I187" i="12"/>
  <c r="H188" i="12"/>
  <c r="I188" i="12" s="1"/>
  <c r="H189" i="12"/>
  <c r="I189" i="12"/>
  <c r="H190" i="12"/>
  <c r="I190" i="12" s="1"/>
  <c r="H191" i="12"/>
  <c r="I191" i="12"/>
  <c r="H192" i="12"/>
  <c r="I192" i="12" s="1"/>
  <c r="H193" i="12"/>
  <c r="I193" i="12" s="1"/>
  <c r="H194" i="12"/>
  <c r="I194" i="12"/>
  <c r="H195" i="12"/>
  <c r="I195" i="12" s="1"/>
  <c r="H196" i="12"/>
  <c r="I196" i="12" s="1"/>
  <c r="H197" i="12"/>
  <c r="I197" i="12"/>
  <c r="H198" i="12"/>
  <c r="I198" i="12"/>
  <c r="H199" i="12"/>
  <c r="I199" i="12" s="1"/>
  <c r="H200" i="12"/>
  <c r="I200" i="12" s="1"/>
  <c r="H201" i="12"/>
  <c r="I201" i="12"/>
  <c r="H202" i="12"/>
  <c r="I202" i="12" s="1"/>
  <c r="H203" i="12"/>
  <c r="I203" i="12"/>
  <c r="H204" i="12"/>
  <c r="I204" i="12" s="1"/>
  <c r="H205" i="12"/>
  <c r="I205" i="12"/>
  <c r="H206" i="12"/>
  <c r="I206" i="12"/>
  <c r="H207" i="12"/>
  <c r="I207" i="12"/>
  <c r="H208" i="12"/>
  <c r="I208" i="12" s="1"/>
  <c r="H209" i="12"/>
  <c r="I209" i="12" s="1"/>
  <c r="H210" i="12"/>
  <c r="I210" i="12"/>
  <c r="H211" i="12"/>
  <c r="I211" i="12" s="1"/>
  <c r="H212" i="12"/>
  <c r="I212" i="12" s="1"/>
  <c r="H213" i="12"/>
  <c r="I213" i="12" s="1"/>
  <c r="H214" i="12"/>
  <c r="I214" i="12"/>
  <c r="H215" i="12"/>
  <c r="I215" i="12"/>
  <c r="H216" i="12"/>
  <c r="I216" i="12" s="1"/>
  <c r="H217" i="12"/>
  <c r="I217" i="12"/>
  <c r="H218" i="12"/>
  <c r="I218" i="12" s="1"/>
  <c r="H219" i="12"/>
  <c r="I219" i="12"/>
  <c r="H220" i="12"/>
  <c r="I220" i="12" s="1"/>
  <c r="H221" i="12"/>
  <c r="I221" i="12"/>
  <c r="H222" i="12"/>
  <c r="I222" i="12" s="1"/>
  <c r="H223" i="12"/>
  <c r="I223" i="12"/>
  <c r="H224" i="12"/>
  <c r="I224" i="12" s="1"/>
  <c r="H225" i="12"/>
  <c r="I225" i="12" s="1"/>
  <c r="H226" i="12"/>
  <c r="I226" i="12"/>
  <c r="H227" i="12"/>
  <c r="I227" i="12" s="1"/>
  <c r="H228" i="12"/>
  <c r="I228" i="12" s="1"/>
  <c r="H229" i="12"/>
  <c r="I229" i="12"/>
  <c r="H230" i="12"/>
  <c r="I230" i="12"/>
  <c r="H231" i="12"/>
  <c r="I231" i="12" s="1"/>
  <c r="H232" i="12"/>
  <c r="I232" i="12" s="1"/>
  <c r="H233" i="12"/>
  <c r="I233" i="12"/>
  <c r="H234" i="12"/>
  <c r="I234" i="12" s="1"/>
  <c r="H235" i="12"/>
  <c r="I235" i="12"/>
  <c r="H236" i="12"/>
  <c r="I236" i="12" s="1"/>
  <c r="H237" i="12"/>
  <c r="I237" i="12"/>
  <c r="H238" i="12"/>
  <c r="I238" i="12"/>
  <c r="H239" i="12"/>
  <c r="I239" i="12"/>
  <c r="H240" i="12"/>
  <c r="I240" i="12" s="1"/>
  <c r="H241" i="12"/>
  <c r="I241" i="12" s="1"/>
  <c r="H242" i="12"/>
  <c r="I242" i="12"/>
  <c r="H243" i="12"/>
  <c r="I243" i="12" s="1"/>
  <c r="H244" i="12"/>
  <c r="I244" i="12" s="1"/>
  <c r="H245" i="12"/>
  <c r="I245" i="12" s="1"/>
  <c r="H246" i="12"/>
  <c r="I246" i="12"/>
  <c r="H247" i="12"/>
  <c r="I247" i="12"/>
  <c r="H248" i="12"/>
  <c r="I248" i="12" s="1"/>
  <c r="H249" i="12"/>
  <c r="I249" i="12"/>
  <c r="H250" i="12"/>
  <c r="I250" i="12" s="1"/>
  <c r="H251" i="12"/>
  <c r="I251" i="12"/>
  <c r="H252" i="12"/>
  <c r="I252" i="12" s="1"/>
  <c r="H253" i="12"/>
  <c r="I253" i="12"/>
  <c r="H254" i="12"/>
  <c r="I254" i="12" s="1"/>
  <c r="H255" i="12"/>
  <c r="I255" i="12"/>
  <c r="H256" i="12"/>
  <c r="I256" i="12" s="1"/>
  <c r="H257" i="12"/>
  <c r="I257" i="12" s="1"/>
  <c r="H258" i="12"/>
  <c r="I258" i="12"/>
  <c r="H259" i="12"/>
  <c r="I259" i="12" s="1"/>
  <c r="H260" i="12"/>
  <c r="I260" i="12" s="1"/>
  <c r="H261" i="12"/>
  <c r="I261" i="12"/>
  <c r="H262" i="12"/>
  <c r="I262" i="12"/>
  <c r="H263" i="12"/>
  <c r="I263" i="12" s="1"/>
  <c r="H264" i="12"/>
  <c r="I264" i="12" s="1"/>
  <c r="H265" i="12"/>
  <c r="I265" i="12"/>
  <c r="H266" i="12"/>
  <c r="I266" i="12" s="1"/>
  <c r="H267" i="12"/>
  <c r="I267" i="12"/>
  <c r="H268" i="12"/>
  <c r="I268" i="12" s="1"/>
  <c r="H269" i="12"/>
  <c r="I269" i="12"/>
  <c r="H270" i="12"/>
  <c r="I270" i="12"/>
  <c r="H271" i="12"/>
  <c r="I271" i="12"/>
  <c r="H272" i="12"/>
  <c r="I272" i="12" s="1"/>
  <c r="H273" i="12"/>
  <c r="I273" i="12" s="1"/>
  <c r="H274" i="12"/>
  <c r="I274" i="12"/>
  <c r="H275" i="12"/>
  <c r="I275" i="12" s="1"/>
  <c r="H276" i="12"/>
  <c r="I276" i="12" s="1"/>
  <c r="H277" i="12"/>
  <c r="I277" i="12" s="1"/>
  <c r="H278" i="12"/>
  <c r="I278" i="12"/>
  <c r="H279" i="12"/>
  <c r="I279" i="12"/>
  <c r="H280" i="12"/>
  <c r="I280" i="12" s="1"/>
  <c r="H281" i="12"/>
  <c r="I281" i="12"/>
  <c r="H282" i="12"/>
  <c r="I282" i="12" s="1"/>
  <c r="H283" i="12"/>
  <c r="I283" i="12"/>
  <c r="H284" i="12"/>
  <c r="I284" i="12" s="1"/>
  <c r="H285" i="12"/>
  <c r="I285" i="12"/>
  <c r="H286" i="12"/>
  <c r="I286" i="12" s="1"/>
  <c r="H287" i="12"/>
  <c r="I287" i="12"/>
  <c r="H288" i="12"/>
  <c r="I288" i="12" s="1"/>
  <c r="H289" i="12"/>
  <c r="I289" i="12" s="1"/>
  <c r="H290" i="12"/>
  <c r="I290" i="12"/>
  <c r="H291" i="12"/>
  <c r="I291" i="12" s="1"/>
  <c r="H292" i="12"/>
  <c r="I292" i="12" s="1"/>
  <c r="H293" i="12"/>
  <c r="I293" i="12"/>
  <c r="H294" i="12"/>
  <c r="I294" i="12"/>
  <c r="H295" i="12"/>
  <c r="I295" i="12" s="1"/>
  <c r="H296" i="12"/>
  <c r="I296" i="12" s="1"/>
  <c r="H297" i="12"/>
  <c r="I297" i="12"/>
  <c r="H298" i="12"/>
  <c r="I298" i="12" s="1"/>
  <c r="H299" i="12"/>
  <c r="I299" i="12"/>
  <c r="H300" i="12"/>
  <c r="I300" i="12" s="1"/>
  <c r="H301" i="12"/>
  <c r="I301" i="12"/>
  <c r="H302" i="12"/>
  <c r="I302" i="12"/>
  <c r="H303" i="12"/>
  <c r="I303" i="12"/>
  <c r="H304" i="12"/>
  <c r="I304" i="12" s="1"/>
  <c r="H305" i="12"/>
  <c r="I305" i="12" s="1"/>
  <c r="H306" i="12"/>
  <c r="I306" i="12"/>
  <c r="H307" i="12"/>
  <c r="I307" i="12" s="1"/>
  <c r="H308" i="12"/>
  <c r="I308" i="12" s="1"/>
  <c r="H309" i="12"/>
  <c r="I309" i="12" s="1"/>
  <c r="H310" i="12"/>
  <c r="I310" i="12"/>
  <c r="H311" i="12"/>
  <c r="I311" i="12"/>
  <c r="H312" i="12"/>
  <c r="I312" i="12" s="1"/>
  <c r="H313" i="12"/>
  <c r="I313" i="12"/>
  <c r="H314" i="12"/>
  <c r="I314" i="12" s="1"/>
  <c r="H315" i="12"/>
  <c r="I315" i="12"/>
  <c r="H316" i="12"/>
  <c r="I316" i="12" s="1"/>
  <c r="H317" i="12"/>
  <c r="I317" i="12"/>
  <c r="H318" i="12"/>
  <c r="I318" i="12" s="1"/>
  <c r="H319" i="12"/>
  <c r="I319" i="12"/>
  <c r="H320" i="12"/>
  <c r="I320" i="12" s="1"/>
  <c r="H321" i="12"/>
  <c r="I321" i="12" s="1"/>
  <c r="H322" i="12"/>
  <c r="I322" i="12"/>
  <c r="H323" i="12"/>
  <c r="I323" i="12" s="1"/>
  <c r="H324" i="12"/>
  <c r="I324" i="12" s="1"/>
  <c r="H325" i="12"/>
  <c r="I325" i="12"/>
  <c r="H326" i="12"/>
  <c r="I326" i="12"/>
  <c r="H327" i="12"/>
  <c r="I327" i="12" s="1"/>
  <c r="H328" i="12"/>
  <c r="I328" i="12" s="1"/>
  <c r="H329" i="12"/>
  <c r="I329" i="12"/>
  <c r="H330" i="12"/>
  <c r="I330" i="12" s="1"/>
  <c r="H331" i="12"/>
  <c r="I331" i="12"/>
  <c r="H332" i="12"/>
  <c r="I332" i="12" s="1"/>
  <c r="H333" i="12"/>
  <c r="I333" i="12"/>
  <c r="H334" i="12"/>
  <c r="I334" i="12"/>
  <c r="H335" i="12"/>
  <c r="I335" i="12"/>
  <c r="H336" i="12"/>
  <c r="I336" i="12" s="1"/>
  <c r="H337" i="12"/>
  <c r="I337" i="12" s="1"/>
  <c r="H338" i="12"/>
  <c r="I338" i="12"/>
  <c r="H339" i="12"/>
  <c r="I339" i="12" s="1"/>
  <c r="H340" i="12"/>
  <c r="I340" i="12" s="1"/>
  <c r="H341" i="12"/>
  <c r="I341" i="12" s="1"/>
  <c r="H342" i="12"/>
  <c r="I342" i="12"/>
  <c r="H343" i="12"/>
  <c r="I343" i="12"/>
  <c r="H344" i="12"/>
  <c r="I344" i="12"/>
  <c r="H345" i="12"/>
  <c r="I345" i="12" s="1"/>
  <c r="H346" i="12"/>
  <c r="I346" i="12"/>
  <c r="H347" i="12"/>
  <c r="I347" i="12"/>
  <c r="H348" i="12"/>
  <c r="I348" i="12"/>
  <c r="H349" i="12"/>
  <c r="I349" i="12" s="1"/>
  <c r="H350" i="12"/>
  <c r="I350" i="12"/>
  <c r="H351" i="12"/>
  <c r="I351" i="12"/>
  <c r="H352" i="12"/>
  <c r="I352" i="12"/>
  <c r="H353" i="12"/>
  <c r="I353" i="12" s="1"/>
  <c r="H354" i="12"/>
  <c r="I354" i="12"/>
  <c r="H355" i="12"/>
  <c r="I355" i="12"/>
  <c r="H356" i="12"/>
  <c r="I356" i="12"/>
  <c r="H357" i="12"/>
  <c r="I357" i="12" s="1"/>
  <c r="H358" i="12"/>
  <c r="I358" i="12"/>
  <c r="H359" i="12"/>
  <c r="I359" i="12"/>
  <c r="H360" i="12"/>
  <c r="I360" i="12"/>
  <c r="H361" i="12"/>
  <c r="I361" i="12" s="1"/>
  <c r="H362" i="12"/>
  <c r="I362" i="12"/>
  <c r="H363" i="12"/>
  <c r="I363" i="12"/>
  <c r="H364" i="12"/>
  <c r="I364" i="12"/>
  <c r="H365" i="12"/>
  <c r="I365" i="12" s="1"/>
  <c r="H366" i="12"/>
  <c r="I366" i="12"/>
  <c r="H367" i="12"/>
  <c r="I367" i="12"/>
  <c r="H368" i="12"/>
  <c r="I368" i="12"/>
  <c r="H369" i="12"/>
  <c r="I369" i="12" s="1"/>
  <c r="H370" i="12"/>
  <c r="I370" i="12"/>
  <c r="H371" i="12"/>
  <c r="I371" i="12"/>
  <c r="H372" i="12"/>
  <c r="I372" i="12"/>
  <c r="H373" i="12"/>
  <c r="I373" i="12" s="1"/>
  <c r="H374" i="12"/>
  <c r="I374" i="12"/>
  <c r="H375" i="12"/>
  <c r="I375" i="12"/>
  <c r="H376" i="12"/>
  <c r="I376" i="12"/>
  <c r="H377" i="12"/>
  <c r="I377" i="12" s="1"/>
  <c r="H378" i="12"/>
  <c r="I378" i="12"/>
  <c r="H379" i="12"/>
  <c r="I379" i="12"/>
  <c r="H380" i="12"/>
  <c r="I380" i="12"/>
  <c r="H381" i="12"/>
  <c r="I381" i="12" s="1"/>
  <c r="H382" i="12"/>
  <c r="I382" i="12"/>
  <c r="H383" i="12"/>
  <c r="I383" i="12"/>
  <c r="H384" i="12"/>
  <c r="I384" i="12"/>
  <c r="H385" i="12"/>
  <c r="I385" i="12" s="1"/>
  <c r="H386" i="12"/>
  <c r="I386" i="12"/>
  <c r="H387" i="12"/>
  <c r="I387" i="12"/>
  <c r="H388" i="12"/>
  <c r="I388" i="12"/>
  <c r="H389" i="12"/>
  <c r="I389" i="12" s="1"/>
  <c r="H390" i="12"/>
  <c r="I390" i="12"/>
  <c r="H391" i="12"/>
  <c r="I391" i="12"/>
  <c r="H392" i="12"/>
  <c r="I392" i="12"/>
  <c r="H393" i="12"/>
  <c r="I393" i="12" s="1"/>
  <c r="H394" i="12"/>
  <c r="I394" i="12"/>
  <c r="H395" i="12"/>
  <c r="I395" i="12"/>
  <c r="H396" i="12"/>
  <c r="I396" i="12"/>
  <c r="H397" i="12"/>
  <c r="I397" i="12" s="1"/>
  <c r="H398" i="12"/>
  <c r="I398" i="12"/>
  <c r="H399" i="12"/>
  <c r="I399" i="12"/>
  <c r="H400" i="12"/>
  <c r="I400" i="12"/>
  <c r="H401" i="12"/>
  <c r="I401" i="12" s="1"/>
  <c r="H402" i="12"/>
  <c r="I402" i="12"/>
  <c r="H403" i="12"/>
  <c r="I403" i="12"/>
  <c r="H404" i="12"/>
  <c r="I404" i="12"/>
  <c r="H405" i="12"/>
  <c r="I405" i="12" s="1"/>
  <c r="H406" i="12"/>
  <c r="I406" i="12"/>
  <c r="H407" i="12"/>
  <c r="I407" i="12"/>
  <c r="H408" i="12"/>
  <c r="I408" i="12"/>
  <c r="H409" i="12"/>
  <c r="I409" i="12" s="1"/>
  <c r="H410" i="12"/>
  <c r="I410" i="12"/>
  <c r="H411" i="12"/>
  <c r="I411" i="12"/>
  <c r="H412" i="12"/>
  <c r="I412" i="12"/>
  <c r="H413" i="12"/>
  <c r="I413" i="12" s="1"/>
  <c r="H414" i="12"/>
  <c r="I414" i="12"/>
  <c r="H415" i="12"/>
  <c r="I415" i="12"/>
  <c r="H416" i="12"/>
  <c r="I416" i="12"/>
  <c r="H417" i="12"/>
  <c r="I417" i="12" s="1"/>
  <c r="H418" i="12"/>
  <c r="I418" i="12"/>
  <c r="H419" i="12"/>
  <c r="I419" i="12"/>
  <c r="H420" i="12"/>
  <c r="I420" i="12"/>
  <c r="H421" i="12"/>
  <c r="I421" i="12" s="1"/>
  <c r="H422" i="12"/>
  <c r="I422" i="12"/>
  <c r="H423" i="12"/>
  <c r="I423" i="12"/>
  <c r="H424" i="12"/>
  <c r="I424" i="12"/>
  <c r="H425" i="12"/>
  <c r="I425" i="12" s="1"/>
  <c r="H426" i="12"/>
  <c r="I426" i="12"/>
  <c r="H427" i="12"/>
  <c r="I427" i="12"/>
  <c r="H428" i="12"/>
  <c r="I428" i="12"/>
  <c r="H429" i="12"/>
  <c r="I429" i="12" s="1"/>
  <c r="H430" i="12"/>
  <c r="I430" i="12"/>
  <c r="H431" i="12"/>
  <c r="I431" i="12"/>
  <c r="H432" i="12"/>
  <c r="I432" i="12"/>
  <c r="H433" i="12"/>
  <c r="I433" i="12" s="1"/>
  <c r="H434" i="12"/>
  <c r="I434" i="12"/>
  <c r="H435" i="12"/>
  <c r="I435" i="12"/>
  <c r="H436" i="12"/>
  <c r="I436" i="12"/>
  <c r="H437" i="12"/>
  <c r="I437" i="12" s="1"/>
  <c r="H438" i="12"/>
  <c r="I438" i="12"/>
  <c r="H439" i="12"/>
  <c r="I439" i="12"/>
  <c r="H440" i="12"/>
  <c r="I440" i="12"/>
  <c r="H441" i="12"/>
  <c r="I441" i="12" s="1"/>
  <c r="H442" i="12"/>
  <c r="I442" i="12"/>
  <c r="H443" i="12"/>
  <c r="I443" i="12"/>
  <c r="H444" i="12"/>
  <c r="I444" i="12"/>
  <c r="H445" i="12"/>
  <c r="I445" i="12" s="1"/>
  <c r="H446" i="12"/>
  <c r="I446" i="12"/>
  <c r="H447" i="12"/>
  <c r="I447" i="12"/>
  <c r="H448" i="12"/>
  <c r="I448" i="12"/>
  <c r="H449" i="12"/>
  <c r="I449" i="12" s="1"/>
  <c r="H450" i="12"/>
  <c r="I450" i="12"/>
  <c r="H451" i="12"/>
  <c r="I451" i="12"/>
  <c r="H452" i="12"/>
  <c r="I452" i="12"/>
  <c r="H453" i="12"/>
  <c r="I453" i="12" s="1"/>
  <c r="H454" i="12"/>
  <c r="I454" i="12"/>
  <c r="H455" i="12"/>
  <c r="I455" i="12"/>
  <c r="H456" i="12"/>
  <c r="I456" i="12"/>
  <c r="H457" i="12"/>
  <c r="I457" i="12" s="1"/>
  <c r="H458" i="12"/>
  <c r="I458" i="12"/>
  <c r="H459" i="12"/>
  <c r="I459" i="12"/>
  <c r="H460" i="12"/>
  <c r="I460" i="12"/>
  <c r="H461" i="12"/>
  <c r="I461" i="12" s="1"/>
  <c r="H462" i="12"/>
  <c r="I462" i="12"/>
  <c r="H463" i="12"/>
  <c r="I463" i="12"/>
  <c r="H464" i="12"/>
  <c r="I464" i="12"/>
  <c r="H465" i="12"/>
  <c r="I465" i="12" s="1"/>
  <c r="H466" i="12"/>
  <c r="I466" i="12"/>
  <c r="H467" i="12"/>
  <c r="I467" i="12"/>
  <c r="H468" i="12"/>
  <c r="I468" i="12"/>
  <c r="H469" i="12"/>
  <c r="I469" i="12" s="1"/>
  <c r="H470" i="12"/>
  <c r="I470" i="12"/>
  <c r="H471" i="12"/>
  <c r="I471" i="12"/>
  <c r="H472" i="12"/>
  <c r="I472" i="12"/>
  <c r="H2" i="11"/>
  <c r="I2" i="11" s="1"/>
  <c r="H3" i="11"/>
  <c r="I3" i="11" s="1"/>
  <c r="H4" i="11"/>
  <c r="I4" i="11" s="1"/>
  <c r="H5" i="11"/>
  <c r="I5" i="11"/>
  <c r="H6" i="11"/>
  <c r="I6" i="11" s="1"/>
  <c r="H7" i="11"/>
  <c r="I7" i="11" s="1"/>
  <c r="H8" i="11"/>
  <c r="I8" i="11" s="1"/>
  <c r="H9" i="11"/>
  <c r="I9" i="11"/>
  <c r="H10" i="11"/>
  <c r="I10" i="11" s="1"/>
  <c r="H11" i="11"/>
  <c r="I11" i="11" s="1"/>
  <c r="H12" i="11"/>
  <c r="I12" i="11"/>
  <c r="H13" i="11"/>
  <c r="I13" i="11"/>
  <c r="H14" i="11"/>
  <c r="I14" i="11" s="1"/>
  <c r="H15" i="11"/>
  <c r="I15" i="11" s="1"/>
  <c r="H16" i="11"/>
  <c r="I16" i="11"/>
  <c r="H17" i="11"/>
  <c r="I17" i="11"/>
  <c r="H18" i="11"/>
  <c r="I18" i="11"/>
  <c r="H19" i="11"/>
  <c r="I19" i="11" s="1"/>
  <c r="H20" i="11"/>
  <c r="I20" i="11"/>
  <c r="H21" i="11"/>
  <c r="I21" i="11"/>
  <c r="H22" i="11"/>
  <c r="I22" i="11"/>
  <c r="H23" i="11"/>
  <c r="I23" i="11" s="1"/>
  <c r="H24" i="11"/>
  <c r="I24" i="11" s="1"/>
  <c r="H25" i="11"/>
  <c r="I25" i="11"/>
  <c r="H26" i="11"/>
  <c r="I26" i="11" s="1"/>
  <c r="H27" i="11"/>
  <c r="I27" i="11" s="1"/>
  <c r="H28" i="11"/>
  <c r="I28" i="11" s="1"/>
  <c r="H29" i="11"/>
  <c r="I29" i="11"/>
  <c r="H30" i="11"/>
  <c r="I30" i="11" s="1"/>
  <c r="H31" i="11"/>
  <c r="I31" i="11" s="1"/>
  <c r="H32" i="11"/>
  <c r="I32" i="11"/>
  <c r="H33" i="11"/>
  <c r="I33" i="11"/>
  <c r="H34" i="11"/>
  <c r="I34" i="11"/>
  <c r="H35" i="11"/>
  <c r="I35" i="11" s="1"/>
  <c r="H36" i="11"/>
  <c r="I36" i="11"/>
  <c r="H37" i="11"/>
  <c r="I37" i="11"/>
  <c r="H38" i="11"/>
  <c r="I38" i="11"/>
  <c r="H39" i="11"/>
  <c r="I39" i="11" s="1"/>
  <c r="H40" i="11"/>
  <c r="I40" i="11" s="1"/>
  <c r="H41" i="11"/>
  <c r="I41" i="11"/>
  <c r="H42" i="11"/>
  <c r="I42" i="11" s="1"/>
  <c r="H43" i="11"/>
  <c r="I43" i="11" s="1"/>
  <c r="H44" i="11"/>
  <c r="I44" i="11" s="1"/>
  <c r="H45" i="11"/>
  <c r="I45" i="11"/>
  <c r="H46" i="11"/>
  <c r="I46" i="11" s="1"/>
  <c r="H47" i="11"/>
  <c r="I47" i="11" s="1"/>
  <c r="H48" i="11"/>
  <c r="I48" i="11"/>
  <c r="H49" i="11"/>
  <c r="I49" i="11"/>
  <c r="H50" i="11"/>
  <c r="I50" i="11"/>
  <c r="H51" i="11"/>
  <c r="I51" i="11" s="1"/>
  <c r="H52" i="11"/>
  <c r="I52" i="11"/>
  <c r="H53" i="11"/>
  <c r="I53" i="11"/>
  <c r="H54" i="11"/>
  <c r="I54" i="11"/>
  <c r="H55" i="11"/>
  <c r="I55" i="11" s="1"/>
  <c r="H56" i="11"/>
  <c r="I56" i="11" s="1"/>
  <c r="H57" i="11"/>
  <c r="I57" i="11"/>
  <c r="H58" i="11"/>
  <c r="I58" i="11" s="1"/>
  <c r="H59" i="11"/>
  <c r="I59" i="11" s="1"/>
  <c r="H60" i="11"/>
  <c r="I60" i="11" s="1"/>
  <c r="H61" i="11"/>
  <c r="I61" i="11"/>
  <c r="H62" i="11"/>
  <c r="I62" i="11" s="1"/>
  <c r="H63" i="11"/>
  <c r="I63" i="11" s="1"/>
  <c r="H64" i="11"/>
  <c r="I64" i="11"/>
  <c r="H65" i="11"/>
  <c r="I65" i="11"/>
  <c r="H66" i="11"/>
  <c r="I66" i="11"/>
  <c r="H67" i="11"/>
  <c r="I67" i="11" s="1"/>
  <c r="H68" i="11"/>
  <c r="I68" i="11"/>
  <c r="H69" i="11"/>
  <c r="I69" i="11"/>
  <c r="H70" i="11"/>
  <c r="I70" i="11"/>
  <c r="H71" i="11"/>
  <c r="I71" i="11" s="1"/>
  <c r="H72" i="11"/>
  <c r="I72" i="11" s="1"/>
  <c r="H73" i="11"/>
  <c r="I73" i="11"/>
  <c r="H74" i="11"/>
  <c r="I74" i="11" s="1"/>
  <c r="H75" i="11"/>
  <c r="I75" i="11" s="1"/>
  <c r="H76" i="11"/>
  <c r="I76" i="11" s="1"/>
  <c r="H77" i="11"/>
  <c r="I77" i="11"/>
  <c r="H78" i="11"/>
  <c r="I78" i="11" s="1"/>
  <c r="H79" i="11"/>
  <c r="I79" i="11" s="1"/>
  <c r="H80" i="11"/>
  <c r="I80" i="11"/>
  <c r="H81" i="11"/>
  <c r="I81" i="11"/>
  <c r="H82" i="11"/>
  <c r="I82" i="11"/>
  <c r="H83" i="11"/>
  <c r="I83" i="11" s="1"/>
  <c r="H84" i="11"/>
  <c r="I84" i="11"/>
  <c r="H85" i="11"/>
  <c r="I85" i="11"/>
  <c r="H86" i="11"/>
  <c r="I86" i="11"/>
  <c r="H87" i="11"/>
  <c r="I87" i="11" s="1"/>
  <c r="H88" i="11"/>
  <c r="I88" i="11" s="1"/>
  <c r="H89" i="11"/>
  <c r="I89" i="11"/>
  <c r="H90" i="11"/>
  <c r="I90" i="11" s="1"/>
  <c r="H91" i="11"/>
  <c r="I91" i="11" s="1"/>
  <c r="H92" i="11"/>
  <c r="I92" i="11" s="1"/>
  <c r="H93" i="11"/>
  <c r="I93" i="11"/>
  <c r="H94" i="11"/>
  <c r="I94" i="11" s="1"/>
  <c r="H95" i="11"/>
  <c r="I95" i="11" s="1"/>
  <c r="H96" i="11"/>
  <c r="I96" i="11"/>
  <c r="H97" i="11"/>
  <c r="I97" i="11"/>
  <c r="H98" i="11"/>
  <c r="I98" i="11"/>
  <c r="H99" i="11"/>
  <c r="I99" i="11" s="1"/>
  <c r="H100" i="11"/>
  <c r="I100" i="11"/>
  <c r="H101" i="11"/>
  <c r="I101" i="11"/>
  <c r="H102" i="11"/>
  <c r="I102" i="11"/>
  <c r="H103" i="11"/>
  <c r="I103" i="11" s="1"/>
  <c r="H104" i="11"/>
  <c r="I104" i="11" s="1"/>
  <c r="H105" i="11"/>
  <c r="I105" i="11"/>
  <c r="H106" i="11"/>
  <c r="I106" i="11" s="1"/>
  <c r="H107" i="11"/>
  <c r="I107" i="11" s="1"/>
  <c r="H108" i="11"/>
  <c r="I108" i="11" s="1"/>
  <c r="H109" i="11"/>
  <c r="I109" i="11"/>
  <c r="H110" i="11"/>
  <c r="I110" i="11" s="1"/>
  <c r="H111" i="11"/>
  <c r="I111" i="11" s="1"/>
  <c r="H112" i="11"/>
  <c r="I112" i="11"/>
  <c r="H113" i="11"/>
  <c r="I113" i="11"/>
  <c r="H114" i="11"/>
  <c r="I114" i="11"/>
  <c r="H115" i="11"/>
  <c r="I115" i="11" s="1"/>
  <c r="H116" i="11"/>
  <c r="I116" i="11"/>
  <c r="H117" i="11"/>
  <c r="I117" i="11"/>
  <c r="H118" i="11"/>
  <c r="I118" i="11"/>
  <c r="H119" i="11"/>
  <c r="I119" i="11" s="1"/>
  <c r="H120" i="11"/>
  <c r="I120" i="11" s="1"/>
  <c r="H121" i="11"/>
  <c r="I121" i="11"/>
  <c r="H122" i="11"/>
  <c r="I122" i="11" s="1"/>
  <c r="H123" i="11"/>
  <c r="I123" i="11" s="1"/>
  <c r="H124" i="11"/>
  <c r="I124" i="11" s="1"/>
  <c r="H125" i="11"/>
  <c r="I125" i="11"/>
  <c r="H126" i="11"/>
  <c r="I126" i="11" s="1"/>
  <c r="H127" i="11"/>
  <c r="I127" i="11" s="1"/>
  <c r="H128" i="11"/>
  <c r="I128" i="11"/>
  <c r="H129" i="11"/>
  <c r="I129" i="11"/>
  <c r="H130" i="11"/>
  <c r="I130" i="11"/>
  <c r="H131" i="11"/>
  <c r="I131" i="11" s="1"/>
  <c r="H132" i="11"/>
  <c r="I132" i="11"/>
  <c r="H133" i="11"/>
  <c r="I133" i="11"/>
  <c r="H134" i="11"/>
  <c r="I134" i="11"/>
  <c r="H135" i="11"/>
  <c r="I135" i="11" s="1"/>
  <c r="H136" i="11"/>
  <c r="I136" i="11" s="1"/>
  <c r="H137" i="11"/>
  <c r="I137" i="11"/>
  <c r="H138" i="11"/>
  <c r="I138" i="11" s="1"/>
  <c r="H139" i="11"/>
  <c r="I139" i="11" s="1"/>
  <c r="H140" i="11"/>
  <c r="I140" i="11" s="1"/>
  <c r="H141" i="11"/>
  <c r="I141" i="11"/>
  <c r="H142" i="11"/>
  <c r="I142" i="11" s="1"/>
  <c r="H143" i="11"/>
  <c r="I143" i="11" s="1"/>
  <c r="H144" i="11"/>
  <c r="I144" i="11"/>
  <c r="H145" i="11"/>
  <c r="I145" i="11" s="1"/>
  <c r="H146" i="11"/>
  <c r="I146" i="11"/>
  <c r="H147" i="11"/>
  <c r="I147" i="11" s="1"/>
  <c r="H148" i="11"/>
  <c r="I148" i="11"/>
  <c r="H149" i="11"/>
  <c r="I149" i="11" s="1"/>
  <c r="H150" i="11"/>
  <c r="I150" i="11"/>
  <c r="H151" i="11"/>
  <c r="I151" i="11" s="1"/>
  <c r="H152" i="11"/>
  <c r="I152" i="11" s="1"/>
  <c r="H153" i="11"/>
  <c r="I153" i="11"/>
  <c r="H154" i="11"/>
  <c r="I154" i="11" s="1"/>
  <c r="H155" i="11"/>
  <c r="I155" i="11" s="1"/>
  <c r="H156" i="11"/>
  <c r="I156" i="11" s="1"/>
  <c r="H157" i="11"/>
  <c r="I157" i="11"/>
  <c r="H158" i="11"/>
  <c r="I158" i="11" s="1"/>
  <c r="H159" i="11"/>
  <c r="I159" i="11" s="1"/>
  <c r="H160" i="11"/>
  <c r="I160" i="11"/>
  <c r="H161" i="11"/>
  <c r="I161" i="11" s="1"/>
  <c r="H162" i="11"/>
  <c r="I162" i="11"/>
  <c r="H163" i="11"/>
  <c r="I163" i="11" s="1"/>
  <c r="H164" i="11"/>
  <c r="I164" i="11"/>
  <c r="H165" i="11"/>
  <c r="I165" i="11" s="1"/>
  <c r="H166" i="11"/>
  <c r="I166" i="11"/>
  <c r="H167" i="11"/>
  <c r="I167" i="11" s="1"/>
  <c r="H168" i="11"/>
  <c r="I168" i="11" s="1"/>
  <c r="H169" i="11"/>
  <c r="I169" i="11"/>
  <c r="H170" i="11"/>
  <c r="I170" i="11" s="1"/>
  <c r="H171" i="11"/>
  <c r="I171" i="11" s="1"/>
  <c r="H172" i="11"/>
  <c r="I172" i="11" s="1"/>
  <c r="H173" i="11"/>
  <c r="I173" i="11"/>
  <c r="H174" i="11"/>
  <c r="I174" i="11" s="1"/>
  <c r="H175" i="11"/>
  <c r="I175" i="11" s="1"/>
  <c r="H176" i="11"/>
  <c r="I176" i="11"/>
  <c r="H177" i="11"/>
  <c r="I177" i="11" s="1"/>
  <c r="H178" i="11"/>
  <c r="I178" i="11"/>
  <c r="H179" i="11"/>
  <c r="I179" i="11" s="1"/>
  <c r="H180" i="11"/>
  <c r="I180" i="11"/>
  <c r="H181" i="11"/>
  <c r="I181" i="11" s="1"/>
  <c r="H182" i="11"/>
  <c r="I182" i="11"/>
  <c r="H183" i="11"/>
  <c r="I183" i="11" s="1"/>
  <c r="H184" i="11"/>
  <c r="I184" i="11" s="1"/>
  <c r="H185" i="11"/>
  <c r="I185" i="11"/>
  <c r="H186" i="11"/>
  <c r="I186" i="11" s="1"/>
  <c r="H187" i="11"/>
  <c r="I187" i="11" s="1"/>
  <c r="H188" i="11"/>
  <c r="I188" i="11" s="1"/>
  <c r="H189" i="11"/>
  <c r="I189" i="11"/>
  <c r="H190" i="11"/>
  <c r="I190" i="11" s="1"/>
  <c r="H191" i="11"/>
  <c r="I191" i="11" s="1"/>
  <c r="H192" i="11"/>
  <c r="I192" i="11"/>
  <c r="H193" i="11"/>
  <c r="I193" i="11" s="1"/>
  <c r="H194" i="11"/>
  <c r="I194" i="11"/>
  <c r="H195" i="11"/>
  <c r="I195" i="11" s="1"/>
  <c r="H196" i="11"/>
  <c r="I196" i="11"/>
  <c r="H197" i="11"/>
  <c r="I197" i="11" s="1"/>
  <c r="H198" i="11"/>
  <c r="I198" i="11"/>
  <c r="H199" i="11"/>
  <c r="I199" i="11" s="1"/>
  <c r="H200" i="11"/>
  <c r="I200" i="11" s="1"/>
  <c r="H201" i="11"/>
  <c r="I201" i="11"/>
  <c r="H202" i="11"/>
  <c r="I202" i="11" s="1"/>
  <c r="H203" i="11"/>
  <c r="I203" i="11" s="1"/>
  <c r="H204" i="11"/>
  <c r="I204" i="11" s="1"/>
  <c r="H205" i="11"/>
  <c r="I205" i="11"/>
  <c r="H206" i="11"/>
  <c r="I206" i="11" s="1"/>
  <c r="H207" i="11"/>
  <c r="I207" i="11" s="1"/>
  <c r="H208" i="11"/>
  <c r="I208" i="11"/>
  <c r="H209" i="11"/>
  <c r="I209" i="11" s="1"/>
  <c r="H210" i="11"/>
  <c r="I210" i="11"/>
  <c r="H211" i="11"/>
  <c r="I211" i="11" s="1"/>
  <c r="H212" i="11"/>
  <c r="I212" i="11"/>
  <c r="H213" i="11"/>
  <c r="I213" i="11" s="1"/>
  <c r="H214" i="11"/>
  <c r="I214" i="11"/>
  <c r="H215" i="11"/>
  <c r="I215" i="11" s="1"/>
  <c r="H216" i="11"/>
  <c r="I216" i="11" s="1"/>
  <c r="H217" i="11"/>
  <c r="I217" i="11"/>
  <c r="H218" i="11"/>
  <c r="I218" i="11"/>
  <c r="H219" i="11"/>
  <c r="I219" i="11" s="1"/>
  <c r="H220" i="11"/>
  <c r="I220" i="11" s="1"/>
  <c r="H221" i="11"/>
  <c r="I221" i="11"/>
  <c r="H222" i="11"/>
  <c r="I222" i="11" s="1"/>
  <c r="H223" i="11"/>
  <c r="I223" i="11" s="1"/>
  <c r="H224" i="11"/>
  <c r="I224" i="11"/>
  <c r="H225" i="11"/>
  <c r="I225" i="11" s="1"/>
  <c r="H226" i="11"/>
  <c r="I226" i="11"/>
  <c r="H227" i="11"/>
  <c r="I227" i="11" s="1"/>
  <c r="H228" i="11"/>
  <c r="I228" i="11"/>
  <c r="H229" i="11"/>
  <c r="I229" i="11" s="1"/>
  <c r="H230" i="11"/>
  <c r="I230" i="11"/>
  <c r="H231" i="11"/>
  <c r="I231" i="11" s="1"/>
  <c r="H232" i="11"/>
  <c r="I232" i="11"/>
  <c r="H233" i="11"/>
  <c r="I233" i="11"/>
  <c r="H234" i="11"/>
  <c r="I234" i="11" s="1"/>
  <c r="H235" i="11"/>
  <c r="I235" i="11" s="1"/>
  <c r="H236" i="11"/>
  <c r="I236" i="11" s="1"/>
  <c r="H237" i="11"/>
  <c r="I237" i="11"/>
  <c r="H238" i="11"/>
  <c r="I238" i="11" s="1"/>
  <c r="H239" i="11"/>
  <c r="I239" i="11" s="1"/>
  <c r="H240" i="11"/>
  <c r="I240" i="11"/>
  <c r="H241" i="11"/>
  <c r="I241" i="11"/>
  <c r="H242" i="11"/>
  <c r="I242" i="11"/>
  <c r="H243" i="11"/>
  <c r="I243" i="11" s="1"/>
  <c r="H244" i="11"/>
  <c r="I244" i="11"/>
  <c r="H245" i="11"/>
  <c r="I245" i="11" s="1"/>
  <c r="H246" i="11"/>
  <c r="I246" i="11"/>
  <c r="H247" i="11"/>
  <c r="I247" i="11" s="1"/>
  <c r="H248" i="11"/>
  <c r="I248" i="11" s="1"/>
  <c r="H249" i="11"/>
  <c r="I249" i="11"/>
  <c r="H250" i="11"/>
  <c r="I250" i="11"/>
  <c r="H251" i="11"/>
  <c r="I251" i="11" s="1"/>
  <c r="H252" i="11"/>
  <c r="I252" i="11" s="1"/>
  <c r="H253" i="11"/>
  <c r="I253" i="11"/>
  <c r="H254" i="11"/>
  <c r="I254" i="11" s="1"/>
  <c r="H255" i="11"/>
  <c r="I255" i="11" s="1"/>
  <c r="H256" i="11"/>
  <c r="I256" i="11"/>
  <c r="H257" i="11"/>
  <c r="I257" i="11" s="1"/>
  <c r="H258" i="11"/>
  <c r="I258" i="11"/>
  <c r="H259" i="11"/>
  <c r="I259" i="11" s="1"/>
  <c r="H260" i="11"/>
  <c r="I260" i="11"/>
  <c r="H261" i="11"/>
  <c r="I261" i="11" s="1"/>
  <c r="H262" i="11"/>
  <c r="I262" i="11"/>
  <c r="H263" i="11"/>
  <c r="I263" i="11" s="1"/>
  <c r="H264" i="11"/>
  <c r="I264" i="11"/>
  <c r="H265" i="11"/>
  <c r="I265" i="11"/>
  <c r="H266" i="11"/>
  <c r="I266" i="11" s="1"/>
  <c r="H267" i="11"/>
  <c r="I267" i="11" s="1"/>
  <c r="H268" i="11"/>
  <c r="I268" i="11" s="1"/>
  <c r="H269" i="11"/>
  <c r="I269" i="11"/>
  <c r="H270" i="11"/>
  <c r="I270" i="11" s="1"/>
  <c r="H271" i="11"/>
  <c r="I271" i="11" s="1"/>
  <c r="H272" i="11"/>
  <c r="I272" i="11"/>
  <c r="H273" i="11"/>
  <c r="I273" i="11"/>
  <c r="H274" i="11"/>
  <c r="I274" i="11"/>
  <c r="H275" i="11"/>
  <c r="I275" i="11" s="1"/>
  <c r="H276" i="11"/>
  <c r="I276" i="11"/>
  <c r="H277" i="11"/>
  <c r="I277" i="11" s="1"/>
  <c r="H278" i="11"/>
  <c r="I278" i="11"/>
  <c r="H279" i="11"/>
  <c r="I279" i="11" s="1"/>
  <c r="H280" i="11"/>
  <c r="I280" i="11" s="1"/>
  <c r="H281" i="11"/>
  <c r="I281" i="11"/>
  <c r="H282" i="11"/>
  <c r="I282" i="11"/>
  <c r="H283" i="11"/>
  <c r="I283" i="11" s="1"/>
  <c r="H284" i="11"/>
  <c r="I284" i="11" s="1"/>
  <c r="H285" i="11"/>
  <c r="I285" i="11"/>
  <c r="H286" i="11"/>
  <c r="I286" i="11" s="1"/>
  <c r="H287" i="11"/>
  <c r="I287" i="11" s="1"/>
  <c r="H288" i="11"/>
  <c r="I288" i="11"/>
  <c r="H289" i="11"/>
  <c r="I289" i="11" s="1"/>
  <c r="H290" i="11"/>
  <c r="I290" i="11"/>
  <c r="H291" i="11"/>
  <c r="I291" i="11" s="1"/>
  <c r="H292" i="11"/>
  <c r="I292" i="11"/>
  <c r="H293" i="11"/>
  <c r="I293" i="11" s="1"/>
  <c r="H294" i="11"/>
  <c r="I294" i="11"/>
  <c r="H295" i="11"/>
  <c r="I295" i="11" s="1"/>
  <c r="H296" i="11"/>
  <c r="I296" i="11" s="1"/>
  <c r="H297" i="11"/>
  <c r="I297" i="11"/>
  <c r="H298" i="11"/>
  <c r="I298" i="11"/>
  <c r="H299" i="11"/>
  <c r="I299" i="11" s="1"/>
  <c r="H300" i="11"/>
  <c r="I300" i="11" s="1"/>
  <c r="H301" i="11"/>
  <c r="I301" i="11"/>
  <c r="H302" i="11"/>
  <c r="I302" i="11" s="1"/>
  <c r="H303" i="11"/>
  <c r="I303" i="11" s="1"/>
  <c r="H304" i="11"/>
  <c r="I304" i="11"/>
  <c r="H305" i="11"/>
  <c r="I305" i="11" s="1"/>
  <c r="H306" i="11"/>
  <c r="I306" i="11"/>
  <c r="H307" i="11"/>
  <c r="I307" i="11" s="1"/>
  <c r="H308" i="11"/>
  <c r="I308" i="11"/>
  <c r="H309" i="11"/>
  <c r="I309" i="11" s="1"/>
  <c r="H310" i="11"/>
  <c r="I310" i="11"/>
  <c r="H311" i="11"/>
  <c r="I311" i="11" s="1"/>
  <c r="H312" i="11"/>
  <c r="I312" i="11" s="1"/>
  <c r="H313" i="11"/>
  <c r="I313" i="11"/>
  <c r="H314" i="11"/>
  <c r="I314" i="11" s="1"/>
  <c r="H315" i="11"/>
  <c r="I315" i="11" s="1"/>
  <c r="H316" i="11"/>
  <c r="I316" i="11" s="1"/>
  <c r="H317" i="11"/>
  <c r="I317" i="11"/>
  <c r="H318" i="11"/>
  <c r="I318" i="11" s="1"/>
  <c r="H319" i="11"/>
  <c r="I319" i="11" s="1"/>
  <c r="H320" i="11"/>
  <c r="I320" i="11"/>
  <c r="H321" i="11"/>
  <c r="I321" i="11" s="1"/>
  <c r="H322" i="11"/>
  <c r="I322" i="11"/>
  <c r="H323" i="11"/>
  <c r="I323" i="11" s="1"/>
  <c r="H324" i="11"/>
  <c r="I324" i="11"/>
  <c r="H325" i="11"/>
  <c r="I325" i="11" s="1"/>
  <c r="H326" i="11"/>
  <c r="I326" i="11"/>
  <c r="H327" i="11"/>
  <c r="I327" i="11" s="1"/>
  <c r="H328" i="11"/>
  <c r="I328" i="11"/>
  <c r="H329" i="11"/>
  <c r="I329" i="11"/>
  <c r="H330" i="11"/>
  <c r="I330" i="11" s="1"/>
  <c r="H331" i="11"/>
  <c r="I331" i="11" s="1"/>
  <c r="H332" i="11"/>
  <c r="I332" i="11" s="1"/>
  <c r="H333" i="11"/>
  <c r="I333" i="11"/>
  <c r="H334" i="11"/>
  <c r="I334" i="11" s="1"/>
  <c r="H335" i="11"/>
  <c r="I335" i="11" s="1"/>
  <c r="H336" i="11"/>
  <c r="I336" i="11"/>
  <c r="H337" i="11"/>
  <c r="I337" i="11"/>
  <c r="H338" i="11"/>
  <c r="I338" i="11"/>
  <c r="H339" i="11"/>
  <c r="I339" i="11" s="1"/>
  <c r="H340" i="11"/>
  <c r="I340" i="11"/>
  <c r="H341" i="11"/>
  <c r="I341" i="11" s="1"/>
  <c r="H342" i="11"/>
  <c r="I342" i="11"/>
  <c r="H343" i="11"/>
  <c r="I343" i="11" s="1"/>
  <c r="H344" i="11"/>
  <c r="I344" i="11"/>
  <c r="H345" i="11"/>
  <c r="I345" i="11" s="1"/>
  <c r="H346" i="11"/>
  <c r="I346" i="11"/>
  <c r="H347" i="11"/>
  <c r="I347" i="11" s="1"/>
  <c r="H348" i="11"/>
  <c r="I348" i="11"/>
  <c r="H349" i="11"/>
  <c r="I349" i="11" s="1"/>
  <c r="H350" i="11"/>
  <c r="I350" i="11"/>
  <c r="H351" i="11"/>
  <c r="I351" i="11" s="1"/>
  <c r="H352" i="11"/>
  <c r="I352" i="11"/>
  <c r="H353" i="11"/>
  <c r="I353" i="11" s="1"/>
  <c r="H354" i="11"/>
  <c r="I354" i="11"/>
  <c r="H355" i="11"/>
  <c r="I355" i="11" s="1"/>
  <c r="H356" i="11"/>
  <c r="I356" i="11"/>
  <c r="H357" i="11"/>
  <c r="I357" i="11" s="1"/>
  <c r="H358" i="11"/>
  <c r="I358" i="11"/>
  <c r="H359" i="11"/>
  <c r="I359" i="11" s="1"/>
  <c r="H360" i="11"/>
  <c r="I360" i="11"/>
  <c r="H361" i="11"/>
  <c r="I361" i="11" s="1"/>
  <c r="H362" i="11"/>
  <c r="I362" i="11"/>
  <c r="H363" i="11"/>
  <c r="I363" i="11" s="1"/>
  <c r="H364" i="11"/>
  <c r="I364" i="11"/>
  <c r="H365" i="11"/>
  <c r="I365" i="11" s="1"/>
  <c r="H366" i="11"/>
  <c r="I366" i="11"/>
  <c r="H367" i="11"/>
  <c r="I367" i="11" s="1"/>
  <c r="H368" i="11"/>
  <c r="I368" i="11"/>
  <c r="H369" i="11"/>
  <c r="I369" i="11" s="1"/>
  <c r="H370" i="11"/>
  <c r="I370" i="11"/>
  <c r="H371" i="11"/>
  <c r="I371" i="11" s="1"/>
  <c r="H372" i="11"/>
  <c r="I372" i="11"/>
  <c r="H373" i="11"/>
  <c r="I373" i="11" s="1"/>
  <c r="H374" i="11"/>
  <c r="I374" i="11"/>
  <c r="H375" i="11"/>
  <c r="I375" i="11" s="1"/>
  <c r="H376" i="11"/>
  <c r="I376" i="11"/>
  <c r="H377" i="11"/>
  <c r="I377" i="11" s="1"/>
  <c r="H378" i="11"/>
  <c r="I378" i="11"/>
  <c r="H379" i="11"/>
  <c r="I379" i="11" s="1"/>
  <c r="H380" i="11"/>
  <c r="I380" i="11"/>
  <c r="H381" i="11"/>
  <c r="I381" i="11" s="1"/>
  <c r="H382" i="11"/>
  <c r="I382" i="11"/>
  <c r="H383" i="11"/>
  <c r="I383" i="11" s="1"/>
  <c r="H384" i="11"/>
  <c r="I384" i="11"/>
  <c r="H385" i="11"/>
  <c r="I385" i="11" s="1"/>
  <c r="H386" i="11"/>
  <c r="I386" i="11"/>
  <c r="H387" i="11"/>
  <c r="I387" i="11" s="1"/>
  <c r="H388" i="11"/>
  <c r="I388" i="11"/>
  <c r="H389" i="11"/>
  <c r="I389" i="11" s="1"/>
  <c r="H390" i="11"/>
  <c r="I390" i="11"/>
  <c r="H391" i="11"/>
  <c r="I391" i="11" s="1"/>
  <c r="H392" i="11"/>
  <c r="I392" i="11"/>
  <c r="H393" i="11"/>
  <c r="I393" i="11" s="1"/>
  <c r="H394" i="11"/>
  <c r="I394" i="11"/>
  <c r="H395" i="11"/>
  <c r="I395" i="11" s="1"/>
  <c r="H396" i="11"/>
  <c r="I396" i="11"/>
  <c r="H397" i="11"/>
  <c r="I397" i="11" s="1"/>
  <c r="H398" i="11"/>
  <c r="I398" i="11"/>
  <c r="H399" i="11"/>
  <c r="I399" i="11" s="1"/>
  <c r="H400" i="11"/>
  <c r="I400" i="11"/>
  <c r="H401" i="11"/>
  <c r="I401" i="11" s="1"/>
  <c r="H402" i="11"/>
  <c r="I402" i="11"/>
  <c r="H403" i="11"/>
  <c r="I403" i="11" s="1"/>
  <c r="H404" i="11"/>
  <c r="I404" i="11"/>
  <c r="H405" i="11"/>
  <c r="I405" i="11" s="1"/>
  <c r="H406" i="11"/>
  <c r="I406" i="11"/>
  <c r="H407" i="11"/>
  <c r="I407" i="11" s="1"/>
  <c r="H408" i="11"/>
  <c r="I408" i="11"/>
  <c r="H409" i="11"/>
  <c r="I409" i="11" s="1"/>
  <c r="H410" i="11"/>
  <c r="I410" i="11"/>
  <c r="H411" i="11"/>
  <c r="I411" i="11" s="1"/>
  <c r="H412" i="11"/>
  <c r="I412" i="11"/>
  <c r="H413" i="11"/>
  <c r="I413" i="11" s="1"/>
  <c r="H414" i="11"/>
  <c r="I414" i="11"/>
  <c r="H415" i="11"/>
  <c r="I415" i="11" s="1"/>
  <c r="H416" i="11"/>
  <c r="I416" i="11"/>
  <c r="H417" i="11"/>
  <c r="I417" i="11" s="1"/>
  <c r="H418" i="11"/>
  <c r="I418" i="11"/>
  <c r="H419" i="11"/>
  <c r="I419" i="11" s="1"/>
  <c r="H420" i="11"/>
  <c r="I420" i="11"/>
  <c r="H421" i="11"/>
  <c r="I421" i="11" s="1"/>
  <c r="H422" i="11"/>
  <c r="I422" i="11"/>
  <c r="H423" i="11"/>
  <c r="I423" i="11" s="1"/>
  <c r="H424" i="11"/>
  <c r="I424" i="11"/>
  <c r="H425" i="11"/>
  <c r="I425" i="11" s="1"/>
  <c r="H426" i="11"/>
  <c r="I426" i="11"/>
  <c r="H427" i="11"/>
  <c r="I427" i="11" s="1"/>
  <c r="H428" i="11"/>
  <c r="I428" i="11"/>
  <c r="H429" i="11"/>
  <c r="I429" i="11" s="1"/>
  <c r="H430" i="11"/>
  <c r="I430" i="11"/>
  <c r="H431" i="11"/>
  <c r="I431" i="11" s="1"/>
  <c r="H432" i="11"/>
  <c r="I432" i="11"/>
  <c r="H433" i="11"/>
  <c r="I433" i="11" s="1"/>
  <c r="H434" i="11"/>
  <c r="I434" i="11"/>
  <c r="H435" i="11"/>
  <c r="I435" i="11" s="1"/>
  <c r="H436" i="11"/>
  <c r="I436" i="11"/>
  <c r="H437" i="11"/>
  <c r="I437" i="11" s="1"/>
  <c r="H438" i="11"/>
  <c r="I438" i="11"/>
  <c r="H439" i="11"/>
  <c r="I439" i="11" s="1"/>
  <c r="H440" i="11"/>
  <c r="I440" i="11"/>
  <c r="H441" i="11"/>
  <c r="I441" i="11" s="1"/>
  <c r="H442" i="11"/>
  <c r="I442" i="11"/>
  <c r="H443" i="11"/>
  <c r="I443" i="11" s="1"/>
  <c r="H444" i="11"/>
  <c r="I444" i="11"/>
  <c r="H445" i="11"/>
  <c r="I445" i="11" s="1"/>
  <c r="H446" i="11"/>
  <c r="I446" i="11"/>
  <c r="H447" i="11"/>
  <c r="I447" i="11" s="1"/>
  <c r="H448" i="11"/>
  <c r="I448" i="11"/>
  <c r="H449" i="11"/>
  <c r="I449" i="11" s="1"/>
  <c r="H450" i="11"/>
  <c r="I450" i="11"/>
  <c r="H451" i="11"/>
  <c r="I451" i="11" s="1"/>
  <c r="H452" i="11"/>
  <c r="I452" i="11"/>
  <c r="H453" i="11"/>
  <c r="I453" i="11" s="1"/>
  <c r="H454" i="11"/>
  <c r="I454" i="11"/>
  <c r="H455" i="11"/>
  <c r="I455" i="11" s="1"/>
  <c r="H456" i="11"/>
  <c r="I456" i="11"/>
  <c r="H457" i="11"/>
  <c r="I457" i="11" s="1"/>
  <c r="H458" i="11"/>
  <c r="I458" i="11"/>
  <c r="H459" i="11"/>
  <c r="I459" i="11" s="1"/>
  <c r="H460" i="11"/>
  <c r="I460" i="11"/>
  <c r="H461" i="11"/>
  <c r="I461" i="11" s="1"/>
  <c r="H462" i="11"/>
  <c r="I462" i="11"/>
  <c r="H463" i="11"/>
  <c r="I463" i="11" s="1"/>
  <c r="H464" i="11"/>
  <c r="I464" i="11"/>
  <c r="H465" i="11"/>
  <c r="I465" i="11" s="1"/>
  <c r="H466" i="11"/>
  <c r="I466" i="11"/>
  <c r="H467" i="11"/>
  <c r="I467" i="11" s="1"/>
  <c r="H468" i="11"/>
  <c r="I468" i="11"/>
  <c r="H469" i="11"/>
  <c r="I469" i="11" s="1"/>
  <c r="H470" i="11"/>
  <c r="I470" i="11"/>
  <c r="H2" i="9"/>
  <c r="I2" i="9" s="1"/>
  <c r="H3" i="9"/>
  <c r="I3" i="9" s="1"/>
  <c r="H4" i="9"/>
  <c r="I4" i="9" s="1"/>
  <c r="H5" i="9"/>
  <c r="I5" i="9" s="1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/>
  <c r="H14" i="9"/>
  <c r="I14" i="9" s="1"/>
  <c r="H15" i="9"/>
  <c r="I15" i="9" s="1"/>
  <c r="H16" i="9"/>
  <c r="I16" i="9" s="1"/>
  <c r="H17" i="9"/>
  <c r="I17" i="9" s="1"/>
  <c r="H18" i="9"/>
  <c r="I18" i="9" s="1"/>
  <c r="H19" i="9"/>
  <c r="I19" i="9" s="1"/>
  <c r="H20" i="9"/>
  <c r="I20" i="9" s="1"/>
  <c r="H21" i="9"/>
  <c r="I21" i="9" s="1"/>
  <c r="H22" i="9"/>
  <c r="I22" i="9" s="1"/>
  <c r="H23" i="9"/>
  <c r="I23" i="9" s="1"/>
  <c r="H24" i="9"/>
  <c r="I24" i="9" s="1"/>
  <c r="H25" i="9"/>
  <c r="I25" i="9"/>
  <c r="H26" i="9"/>
  <c r="I26" i="9" s="1"/>
  <c r="H27" i="9"/>
  <c r="I27" i="9" s="1"/>
  <c r="H28" i="9"/>
  <c r="I28" i="9" s="1"/>
  <c r="H29" i="9"/>
  <c r="I29" i="9" s="1"/>
  <c r="H30" i="9"/>
  <c r="I30" i="9" s="1"/>
  <c r="H31" i="9"/>
  <c r="I31" i="9" s="1"/>
  <c r="H32" i="9"/>
  <c r="I32" i="9" s="1"/>
  <c r="H33" i="9"/>
  <c r="I33" i="9" s="1"/>
  <c r="H34" i="9"/>
  <c r="I34" i="9" s="1"/>
  <c r="H35" i="9"/>
  <c r="I35" i="9" s="1"/>
  <c r="H36" i="9"/>
  <c r="I36" i="9" s="1"/>
  <c r="H37" i="9"/>
  <c r="I37" i="9" s="1"/>
  <c r="H38" i="9"/>
  <c r="I38" i="9" s="1"/>
  <c r="H39" i="9"/>
  <c r="I39" i="9" s="1"/>
  <c r="H40" i="9"/>
  <c r="I40" i="9" s="1"/>
  <c r="H41" i="9"/>
  <c r="I41" i="9"/>
  <c r="H42" i="9"/>
  <c r="I42" i="9" s="1"/>
  <c r="H43" i="9"/>
  <c r="I43" i="9" s="1"/>
  <c r="H44" i="9"/>
  <c r="I44" i="9" s="1"/>
  <c r="H45" i="9"/>
  <c r="I45" i="9"/>
  <c r="H46" i="9"/>
  <c r="I46" i="9" s="1"/>
  <c r="H47" i="9"/>
  <c r="I47" i="9" s="1"/>
  <c r="H48" i="9"/>
  <c r="I48" i="9" s="1"/>
  <c r="H49" i="9"/>
  <c r="I49" i="9" s="1"/>
  <c r="H50" i="9"/>
  <c r="I50" i="9" s="1"/>
  <c r="H51" i="9"/>
  <c r="I51" i="9" s="1"/>
  <c r="H52" i="9"/>
  <c r="I52" i="9" s="1"/>
  <c r="H53" i="9"/>
  <c r="I53" i="9" s="1"/>
  <c r="H54" i="9"/>
  <c r="I54" i="9" s="1"/>
  <c r="H55" i="9"/>
  <c r="I55" i="9" s="1"/>
  <c r="H56" i="9"/>
  <c r="I56" i="9" s="1"/>
  <c r="H57" i="9"/>
  <c r="I57" i="9"/>
  <c r="H58" i="9"/>
  <c r="I58" i="9" s="1"/>
  <c r="H59" i="9"/>
  <c r="I59" i="9" s="1"/>
  <c r="H60" i="9"/>
  <c r="I60" i="9" s="1"/>
  <c r="H61" i="9"/>
  <c r="I61" i="9"/>
  <c r="H62" i="9"/>
  <c r="I62" i="9" s="1"/>
  <c r="H63" i="9"/>
  <c r="I63" i="9" s="1"/>
  <c r="H64" i="9"/>
  <c r="I64" i="9" s="1"/>
  <c r="H65" i="9"/>
  <c r="I65" i="9" s="1"/>
  <c r="H66" i="9"/>
  <c r="I66" i="9" s="1"/>
  <c r="H67" i="9"/>
  <c r="I67" i="9" s="1"/>
  <c r="H68" i="9"/>
  <c r="I68" i="9" s="1"/>
  <c r="H69" i="9"/>
  <c r="I69" i="9" s="1"/>
  <c r="H70" i="9"/>
  <c r="I70" i="9" s="1"/>
  <c r="H71" i="9"/>
  <c r="I71" i="9" s="1"/>
  <c r="H72" i="9"/>
  <c r="I72" i="9" s="1"/>
  <c r="H73" i="9"/>
  <c r="I73" i="9"/>
  <c r="H74" i="9"/>
  <c r="I74" i="9" s="1"/>
  <c r="H75" i="9"/>
  <c r="I75" i="9" s="1"/>
  <c r="H76" i="9"/>
  <c r="I76" i="9" s="1"/>
  <c r="H77" i="9"/>
  <c r="I77" i="9"/>
  <c r="H78" i="9"/>
  <c r="I78" i="9" s="1"/>
  <c r="H79" i="9"/>
  <c r="I79" i="9" s="1"/>
  <c r="H80" i="9"/>
  <c r="I80" i="9" s="1"/>
  <c r="H81" i="9"/>
  <c r="I81" i="9" s="1"/>
  <c r="H82" i="9"/>
  <c r="I82" i="9" s="1"/>
  <c r="H83" i="9"/>
  <c r="I83" i="9" s="1"/>
  <c r="H84" i="9"/>
  <c r="I84" i="9" s="1"/>
  <c r="H85" i="9"/>
  <c r="I85" i="9" s="1"/>
  <c r="H86" i="9"/>
  <c r="I86" i="9" s="1"/>
  <c r="H87" i="9"/>
  <c r="I87" i="9" s="1"/>
  <c r="H88" i="9"/>
  <c r="I88" i="9" s="1"/>
  <c r="H89" i="9"/>
  <c r="I89" i="9"/>
  <c r="H90" i="9"/>
  <c r="I90" i="9" s="1"/>
  <c r="H91" i="9"/>
  <c r="I91" i="9" s="1"/>
  <c r="H92" i="9"/>
  <c r="I92" i="9" s="1"/>
  <c r="H93" i="9"/>
  <c r="I93" i="9"/>
  <c r="H94" i="9"/>
  <c r="I94" i="9" s="1"/>
  <c r="H95" i="9"/>
  <c r="I95" i="9" s="1"/>
  <c r="H96" i="9"/>
  <c r="I96" i="9" s="1"/>
  <c r="H97" i="9"/>
  <c r="I97" i="9" s="1"/>
  <c r="H98" i="9"/>
  <c r="I98" i="9" s="1"/>
  <c r="H99" i="9"/>
  <c r="I99" i="9" s="1"/>
  <c r="H100" i="9"/>
  <c r="I100" i="9" s="1"/>
  <c r="H101" i="9"/>
  <c r="I101" i="9"/>
  <c r="H102" i="9"/>
  <c r="I102" i="9" s="1"/>
  <c r="H103" i="9"/>
  <c r="I103" i="9" s="1"/>
  <c r="H104" i="9"/>
  <c r="I104" i="9" s="1"/>
  <c r="H105" i="9"/>
  <c r="I105" i="9"/>
  <c r="H106" i="9"/>
  <c r="I106" i="9" s="1"/>
  <c r="H107" i="9"/>
  <c r="I107" i="9" s="1"/>
  <c r="H108" i="9"/>
  <c r="I108" i="9" s="1"/>
  <c r="H109" i="9"/>
  <c r="I109" i="9"/>
  <c r="H110" i="9"/>
  <c r="I110" i="9" s="1"/>
  <c r="H111" i="9"/>
  <c r="I111" i="9" s="1"/>
  <c r="H112" i="9"/>
  <c r="I112" i="9" s="1"/>
  <c r="H113" i="9"/>
  <c r="I113" i="9" s="1"/>
  <c r="H114" i="9"/>
  <c r="I114" i="9" s="1"/>
  <c r="H115" i="9"/>
  <c r="I115" i="9" s="1"/>
  <c r="H116" i="9"/>
  <c r="I116" i="9" s="1"/>
  <c r="H117" i="9"/>
  <c r="I117" i="9" s="1"/>
  <c r="H118" i="9"/>
  <c r="I118" i="9" s="1"/>
  <c r="H119" i="9"/>
  <c r="I119" i="9" s="1"/>
  <c r="H120" i="9"/>
  <c r="I120" i="9" s="1"/>
  <c r="H121" i="9"/>
  <c r="I121" i="9" s="1"/>
  <c r="H122" i="9"/>
  <c r="I122" i="9" s="1"/>
  <c r="H123" i="9"/>
  <c r="I123" i="9" s="1"/>
  <c r="H124" i="9"/>
  <c r="I124" i="9" s="1"/>
  <c r="H125" i="9"/>
  <c r="I125" i="9" s="1"/>
  <c r="H126" i="9"/>
  <c r="I126" i="9" s="1"/>
  <c r="H127" i="9"/>
  <c r="I127" i="9" s="1"/>
  <c r="H128" i="9"/>
  <c r="I128" i="9" s="1"/>
  <c r="H129" i="9"/>
  <c r="I129" i="9" s="1"/>
  <c r="H130" i="9"/>
  <c r="I130" i="9" s="1"/>
  <c r="H131" i="9"/>
  <c r="I131" i="9" s="1"/>
  <c r="H132" i="9"/>
  <c r="I132" i="9" s="1"/>
  <c r="H133" i="9"/>
  <c r="I133" i="9"/>
  <c r="H134" i="9"/>
  <c r="I134" i="9" s="1"/>
  <c r="H135" i="9"/>
  <c r="I135" i="9" s="1"/>
  <c r="H136" i="9"/>
  <c r="I136" i="9" s="1"/>
  <c r="H137" i="9"/>
  <c r="I137" i="9"/>
  <c r="H138" i="9"/>
  <c r="I138" i="9" s="1"/>
  <c r="H139" i="9"/>
  <c r="I139" i="9" s="1"/>
  <c r="H140" i="9"/>
  <c r="I140" i="9" s="1"/>
  <c r="H141" i="9"/>
  <c r="I141" i="9"/>
  <c r="H142" i="9"/>
  <c r="I142" i="9" s="1"/>
  <c r="H143" i="9"/>
  <c r="I143" i="9" s="1"/>
  <c r="H144" i="9"/>
  <c r="I144" i="9" s="1"/>
  <c r="H145" i="9"/>
  <c r="I145" i="9" s="1"/>
  <c r="H146" i="9"/>
  <c r="I146" i="9" s="1"/>
  <c r="H147" i="9"/>
  <c r="I147" i="9" s="1"/>
  <c r="H148" i="9"/>
  <c r="I148" i="9" s="1"/>
  <c r="H149" i="9"/>
  <c r="I149" i="9"/>
  <c r="H150" i="9"/>
  <c r="I150" i="9" s="1"/>
  <c r="H151" i="9"/>
  <c r="I151" i="9" s="1"/>
  <c r="H152" i="9"/>
  <c r="I152" i="9" s="1"/>
  <c r="H153" i="9"/>
  <c r="I153" i="9" s="1"/>
  <c r="H154" i="9"/>
  <c r="I154" i="9" s="1"/>
  <c r="H155" i="9"/>
  <c r="I155" i="9" s="1"/>
  <c r="H156" i="9"/>
  <c r="I156" i="9" s="1"/>
  <c r="H157" i="9"/>
  <c r="I157" i="9" s="1"/>
  <c r="H158" i="9"/>
  <c r="I158" i="9" s="1"/>
  <c r="H159" i="9"/>
  <c r="I159" i="9" s="1"/>
  <c r="H160" i="9"/>
  <c r="I160" i="9" s="1"/>
  <c r="H161" i="9"/>
  <c r="I161" i="9" s="1"/>
  <c r="H162" i="9"/>
  <c r="I162" i="9" s="1"/>
  <c r="H163" i="9"/>
  <c r="I163" i="9" s="1"/>
  <c r="H164" i="9"/>
  <c r="I164" i="9" s="1"/>
  <c r="H165" i="9"/>
  <c r="I165" i="9"/>
  <c r="H166" i="9"/>
  <c r="I166" i="9" s="1"/>
  <c r="H167" i="9"/>
  <c r="I167" i="9" s="1"/>
  <c r="H168" i="9"/>
  <c r="I168" i="9" s="1"/>
  <c r="H169" i="9"/>
  <c r="I169" i="9"/>
  <c r="H170" i="9"/>
  <c r="I170" i="9" s="1"/>
  <c r="H171" i="9"/>
  <c r="I171" i="9" s="1"/>
  <c r="H172" i="9"/>
  <c r="I172" i="9" s="1"/>
  <c r="H173" i="9"/>
  <c r="I173" i="9"/>
  <c r="H174" i="9"/>
  <c r="I174" i="9" s="1"/>
  <c r="H175" i="9"/>
  <c r="I175" i="9" s="1"/>
  <c r="H176" i="9"/>
  <c r="I176" i="9" s="1"/>
  <c r="H177" i="9"/>
  <c r="I177" i="9" s="1"/>
  <c r="H178" i="9"/>
  <c r="I178" i="9" s="1"/>
  <c r="H179" i="9"/>
  <c r="I179" i="9" s="1"/>
  <c r="H180" i="9"/>
  <c r="I180" i="9" s="1"/>
  <c r="H181" i="9"/>
  <c r="I181" i="9" s="1"/>
  <c r="H182" i="9"/>
  <c r="I182" i="9" s="1"/>
  <c r="H183" i="9"/>
  <c r="I183" i="9" s="1"/>
  <c r="H184" i="9"/>
  <c r="I184" i="9" s="1"/>
  <c r="H185" i="9"/>
  <c r="I185" i="9" s="1"/>
  <c r="H186" i="9"/>
  <c r="I186" i="9" s="1"/>
  <c r="H187" i="9"/>
  <c r="I187" i="9" s="1"/>
  <c r="H188" i="9"/>
  <c r="I188" i="9" s="1"/>
  <c r="H189" i="9"/>
  <c r="I189" i="9" s="1"/>
  <c r="H190" i="9"/>
  <c r="I190" i="9" s="1"/>
  <c r="H191" i="9"/>
  <c r="I191" i="9" s="1"/>
  <c r="H192" i="9"/>
  <c r="I192" i="9" s="1"/>
  <c r="H193" i="9"/>
  <c r="I193" i="9" s="1"/>
  <c r="H194" i="9"/>
  <c r="I194" i="9" s="1"/>
  <c r="H195" i="9"/>
  <c r="I195" i="9" s="1"/>
  <c r="H196" i="9"/>
  <c r="I196" i="9" s="1"/>
  <c r="H197" i="9"/>
  <c r="I197" i="9"/>
  <c r="H198" i="9"/>
  <c r="I198" i="9" s="1"/>
  <c r="H199" i="9"/>
  <c r="I199" i="9" s="1"/>
  <c r="H200" i="9"/>
  <c r="I200" i="9" s="1"/>
  <c r="H201" i="9"/>
  <c r="I201" i="9"/>
  <c r="H202" i="9"/>
  <c r="I202" i="9" s="1"/>
  <c r="H203" i="9"/>
  <c r="I203" i="9" s="1"/>
  <c r="H204" i="9"/>
  <c r="I204" i="9" s="1"/>
  <c r="H205" i="9"/>
  <c r="I205" i="9"/>
  <c r="H206" i="9"/>
  <c r="I206" i="9" s="1"/>
  <c r="H207" i="9"/>
  <c r="I207" i="9" s="1"/>
  <c r="H208" i="9"/>
  <c r="I208" i="9" s="1"/>
  <c r="H209" i="9"/>
  <c r="I209" i="9"/>
  <c r="H210" i="9"/>
  <c r="I210" i="9" s="1"/>
  <c r="H211" i="9"/>
  <c r="I211" i="9" s="1"/>
  <c r="H212" i="9"/>
  <c r="I212" i="9" s="1"/>
  <c r="H213" i="9"/>
  <c r="I213" i="9" s="1"/>
  <c r="H214" i="9"/>
  <c r="I214" i="9" s="1"/>
  <c r="H215" i="9"/>
  <c r="I215" i="9" s="1"/>
  <c r="H216" i="9"/>
  <c r="I216" i="9" s="1"/>
  <c r="H217" i="9"/>
  <c r="I217" i="9" s="1"/>
  <c r="H218" i="9"/>
  <c r="I218" i="9" s="1"/>
  <c r="H219" i="9"/>
  <c r="I219" i="9" s="1"/>
  <c r="H220" i="9"/>
  <c r="I220" i="9" s="1"/>
  <c r="H221" i="9"/>
  <c r="I221" i="9" s="1"/>
  <c r="H222" i="9"/>
  <c r="I222" i="9" s="1"/>
  <c r="H223" i="9"/>
  <c r="I223" i="9" s="1"/>
  <c r="H224" i="9"/>
  <c r="I224" i="9" s="1"/>
  <c r="H225" i="9"/>
  <c r="I225" i="9" s="1"/>
  <c r="H226" i="9"/>
  <c r="I226" i="9" s="1"/>
  <c r="H227" i="9"/>
  <c r="I227" i="9" s="1"/>
  <c r="H228" i="9"/>
  <c r="I228" i="9" s="1"/>
  <c r="H229" i="9"/>
  <c r="I229" i="9"/>
  <c r="H230" i="9"/>
  <c r="I230" i="9" s="1"/>
  <c r="H231" i="9"/>
  <c r="I231" i="9" s="1"/>
  <c r="H232" i="9"/>
  <c r="I232" i="9" s="1"/>
  <c r="H233" i="9"/>
  <c r="I233" i="9"/>
  <c r="H234" i="9"/>
  <c r="I234" i="9" s="1"/>
  <c r="H235" i="9"/>
  <c r="I235" i="9" s="1"/>
  <c r="H236" i="9"/>
  <c r="I236" i="9" s="1"/>
  <c r="H237" i="9"/>
  <c r="I237" i="9"/>
  <c r="H238" i="9"/>
  <c r="I238" i="9" s="1"/>
  <c r="H239" i="9"/>
  <c r="I239" i="9" s="1"/>
  <c r="H240" i="9"/>
  <c r="I240" i="9" s="1"/>
  <c r="H241" i="9"/>
  <c r="I241" i="9"/>
  <c r="H242" i="9"/>
  <c r="I242" i="9" s="1"/>
  <c r="H243" i="9"/>
  <c r="I243" i="9" s="1"/>
  <c r="H244" i="9"/>
  <c r="I244" i="9" s="1"/>
  <c r="H245" i="9"/>
  <c r="I245" i="9" s="1"/>
  <c r="H246" i="9"/>
  <c r="I246" i="9" s="1"/>
  <c r="H247" i="9"/>
  <c r="I247" i="9" s="1"/>
  <c r="H248" i="9"/>
  <c r="I248" i="9" s="1"/>
  <c r="H249" i="9"/>
  <c r="I249" i="9" s="1"/>
  <c r="H250" i="9"/>
  <c r="I250" i="9" s="1"/>
  <c r="H251" i="9"/>
  <c r="I251" i="9" s="1"/>
  <c r="H252" i="9"/>
  <c r="I252" i="9" s="1"/>
  <c r="H253" i="9"/>
  <c r="I253" i="9" s="1"/>
  <c r="H254" i="9"/>
  <c r="I254" i="9" s="1"/>
  <c r="H255" i="9"/>
  <c r="I255" i="9" s="1"/>
  <c r="H256" i="9"/>
  <c r="I256" i="9" s="1"/>
  <c r="H257" i="9"/>
  <c r="I257" i="9" s="1"/>
  <c r="H258" i="9"/>
  <c r="I258" i="9" s="1"/>
  <c r="H259" i="9"/>
  <c r="I259" i="9" s="1"/>
  <c r="H260" i="9"/>
  <c r="I260" i="9" s="1"/>
  <c r="H261" i="9"/>
  <c r="I261" i="9"/>
  <c r="H262" i="9"/>
  <c r="I262" i="9" s="1"/>
  <c r="H263" i="9"/>
  <c r="I263" i="9" s="1"/>
  <c r="H264" i="9"/>
  <c r="I264" i="9" s="1"/>
  <c r="H265" i="9"/>
  <c r="I265" i="9"/>
  <c r="H266" i="9"/>
  <c r="I266" i="9" s="1"/>
  <c r="H267" i="9"/>
  <c r="I267" i="9" s="1"/>
  <c r="H268" i="9"/>
  <c r="I268" i="9" s="1"/>
  <c r="H269" i="9"/>
  <c r="I269" i="9"/>
  <c r="H270" i="9"/>
  <c r="I270" i="9" s="1"/>
  <c r="H271" i="9"/>
  <c r="I271" i="9" s="1"/>
  <c r="H272" i="9"/>
  <c r="I272" i="9" s="1"/>
  <c r="H273" i="9"/>
  <c r="I273" i="9"/>
  <c r="H274" i="9"/>
  <c r="I274" i="9" s="1"/>
  <c r="H275" i="9"/>
  <c r="I275" i="9" s="1"/>
  <c r="H276" i="9"/>
  <c r="I276" i="9" s="1"/>
  <c r="H277" i="9"/>
  <c r="I277" i="9" s="1"/>
  <c r="H278" i="9"/>
  <c r="I278" i="9" s="1"/>
  <c r="H279" i="9"/>
  <c r="I279" i="9" s="1"/>
  <c r="H280" i="9"/>
  <c r="I280" i="9" s="1"/>
  <c r="H281" i="9"/>
  <c r="I281" i="9" s="1"/>
  <c r="H282" i="9"/>
  <c r="I282" i="9" s="1"/>
  <c r="H283" i="9"/>
  <c r="I283" i="9" s="1"/>
  <c r="H284" i="9"/>
  <c r="I284" i="9" s="1"/>
  <c r="H285" i="9"/>
  <c r="I285" i="9" s="1"/>
  <c r="H286" i="9"/>
  <c r="I286" i="9" s="1"/>
  <c r="H287" i="9"/>
  <c r="I287" i="9" s="1"/>
  <c r="H288" i="9"/>
  <c r="I288" i="9" s="1"/>
  <c r="H289" i="9"/>
  <c r="I289" i="9" s="1"/>
  <c r="H290" i="9"/>
  <c r="I290" i="9" s="1"/>
  <c r="H291" i="9"/>
  <c r="I291" i="9" s="1"/>
  <c r="H292" i="9"/>
  <c r="I292" i="9" s="1"/>
  <c r="H293" i="9"/>
  <c r="I293" i="9"/>
  <c r="H294" i="9"/>
  <c r="I294" i="9" s="1"/>
  <c r="H295" i="9"/>
  <c r="I295" i="9" s="1"/>
  <c r="H296" i="9"/>
  <c r="I296" i="9" s="1"/>
  <c r="H297" i="9"/>
  <c r="I297" i="9"/>
  <c r="H298" i="9"/>
  <c r="I298" i="9" s="1"/>
  <c r="H299" i="9"/>
  <c r="I299" i="9" s="1"/>
  <c r="H300" i="9"/>
  <c r="I300" i="9" s="1"/>
  <c r="H301" i="9"/>
  <c r="I301" i="9"/>
  <c r="H302" i="9"/>
  <c r="I302" i="9" s="1"/>
  <c r="H303" i="9"/>
  <c r="I303" i="9" s="1"/>
  <c r="H304" i="9"/>
  <c r="I304" i="9" s="1"/>
  <c r="H305" i="9"/>
  <c r="I305" i="9"/>
  <c r="H306" i="9"/>
  <c r="I306" i="9" s="1"/>
  <c r="H307" i="9"/>
  <c r="I307" i="9" s="1"/>
  <c r="H308" i="9"/>
  <c r="I308" i="9" s="1"/>
  <c r="H309" i="9"/>
  <c r="I309" i="9" s="1"/>
  <c r="H310" i="9"/>
  <c r="I310" i="9" s="1"/>
  <c r="H311" i="9"/>
  <c r="I311" i="9" s="1"/>
  <c r="H312" i="9"/>
  <c r="I312" i="9" s="1"/>
  <c r="H313" i="9"/>
  <c r="I313" i="9" s="1"/>
  <c r="H314" i="9"/>
  <c r="I314" i="9" s="1"/>
  <c r="H315" i="9"/>
  <c r="I315" i="9" s="1"/>
  <c r="H316" i="9"/>
  <c r="I316" i="9" s="1"/>
  <c r="H317" i="9"/>
  <c r="I317" i="9" s="1"/>
  <c r="H318" i="9"/>
  <c r="I318" i="9" s="1"/>
  <c r="H319" i="9"/>
  <c r="I319" i="9" s="1"/>
  <c r="H320" i="9"/>
  <c r="I320" i="9" s="1"/>
  <c r="H321" i="9"/>
  <c r="I321" i="9" s="1"/>
  <c r="H322" i="9"/>
  <c r="I322" i="9" s="1"/>
  <c r="H323" i="9"/>
  <c r="I323" i="9" s="1"/>
  <c r="H324" i="9"/>
  <c r="I324" i="9" s="1"/>
  <c r="H325" i="9"/>
  <c r="I325" i="9"/>
  <c r="H326" i="9"/>
  <c r="I326" i="9" s="1"/>
  <c r="H327" i="9"/>
  <c r="I327" i="9" s="1"/>
  <c r="H328" i="9"/>
  <c r="I328" i="9" s="1"/>
  <c r="H329" i="9"/>
  <c r="I329" i="9"/>
  <c r="H330" i="9"/>
  <c r="I330" i="9" s="1"/>
  <c r="H331" i="9"/>
  <c r="I331" i="9" s="1"/>
  <c r="H332" i="9"/>
  <c r="I332" i="9" s="1"/>
  <c r="H333" i="9"/>
  <c r="I333" i="9"/>
  <c r="H334" i="9"/>
  <c r="I334" i="9" s="1"/>
  <c r="H335" i="9"/>
  <c r="I335" i="9" s="1"/>
  <c r="H336" i="9"/>
  <c r="I336" i="9" s="1"/>
  <c r="H337" i="9"/>
  <c r="I337" i="9"/>
  <c r="H338" i="9"/>
  <c r="I338" i="9" s="1"/>
  <c r="H339" i="9"/>
  <c r="I339" i="9" s="1"/>
  <c r="H340" i="9"/>
  <c r="I340" i="9" s="1"/>
  <c r="H341" i="9"/>
  <c r="I341" i="9" s="1"/>
  <c r="H342" i="9"/>
  <c r="I342" i="9" s="1"/>
  <c r="H343" i="9"/>
  <c r="I343" i="9"/>
  <c r="H344" i="9"/>
  <c r="I344" i="9"/>
  <c r="H345" i="9"/>
  <c r="I345" i="9" s="1"/>
  <c r="H346" i="9"/>
  <c r="I346" i="9" s="1"/>
  <c r="H347" i="9"/>
  <c r="I347" i="9"/>
  <c r="H348" i="9"/>
  <c r="I348" i="9"/>
  <c r="H349" i="9"/>
  <c r="I349" i="9" s="1"/>
  <c r="H350" i="9"/>
  <c r="I350" i="9" s="1"/>
  <c r="H351" i="9"/>
  <c r="I351" i="9"/>
  <c r="H352" i="9"/>
  <c r="I352" i="9"/>
  <c r="H353" i="9"/>
  <c r="I353" i="9" s="1"/>
  <c r="H354" i="9"/>
  <c r="I354" i="9" s="1"/>
  <c r="H355" i="9"/>
  <c r="I355" i="9"/>
  <c r="H356" i="9"/>
  <c r="I356" i="9"/>
  <c r="H357" i="9"/>
  <c r="I357" i="9" s="1"/>
  <c r="H358" i="9"/>
  <c r="I358" i="9" s="1"/>
  <c r="H359" i="9"/>
  <c r="I359" i="9"/>
  <c r="H360" i="9"/>
  <c r="I360" i="9"/>
  <c r="H361" i="9"/>
  <c r="I361" i="9" s="1"/>
  <c r="H362" i="9"/>
  <c r="I362" i="9" s="1"/>
  <c r="H363" i="9"/>
  <c r="I363" i="9"/>
  <c r="H364" i="9"/>
  <c r="I364" i="9"/>
  <c r="H365" i="9"/>
  <c r="I365" i="9" s="1"/>
  <c r="H366" i="9"/>
  <c r="I366" i="9" s="1"/>
  <c r="H367" i="9"/>
  <c r="I367" i="9"/>
  <c r="H368" i="9"/>
  <c r="I368" i="9"/>
  <c r="H369" i="9"/>
  <c r="I369" i="9" s="1"/>
  <c r="H370" i="9"/>
  <c r="I370" i="9" s="1"/>
  <c r="H371" i="9"/>
  <c r="I371" i="9"/>
  <c r="H372" i="9"/>
  <c r="I372" i="9"/>
  <c r="H373" i="9"/>
  <c r="I373" i="9" s="1"/>
  <c r="H374" i="9"/>
  <c r="I374" i="9" s="1"/>
  <c r="H375" i="9"/>
  <c r="I375" i="9"/>
  <c r="H376" i="9"/>
  <c r="I376" i="9"/>
  <c r="H377" i="9"/>
  <c r="I377" i="9" s="1"/>
  <c r="H378" i="9"/>
  <c r="I378" i="9" s="1"/>
  <c r="H379" i="9"/>
  <c r="I379" i="9"/>
  <c r="H380" i="9"/>
  <c r="I380" i="9"/>
  <c r="H381" i="9"/>
  <c r="I381" i="9" s="1"/>
  <c r="H382" i="9"/>
  <c r="I382" i="9" s="1"/>
  <c r="H383" i="9"/>
  <c r="I383" i="9"/>
  <c r="H384" i="9"/>
  <c r="I384" i="9"/>
  <c r="H385" i="9"/>
  <c r="I385" i="9" s="1"/>
  <c r="H386" i="9"/>
  <c r="I386" i="9" s="1"/>
  <c r="H387" i="9"/>
  <c r="I387" i="9"/>
  <c r="H388" i="9"/>
  <c r="I388" i="9"/>
  <c r="H389" i="9"/>
  <c r="I389" i="9" s="1"/>
  <c r="H390" i="9"/>
  <c r="I390" i="9" s="1"/>
  <c r="H391" i="9"/>
  <c r="I391" i="9"/>
  <c r="H392" i="9"/>
  <c r="I392" i="9"/>
  <c r="H393" i="9"/>
  <c r="I393" i="9" s="1"/>
  <c r="H394" i="9"/>
  <c r="I394" i="9" s="1"/>
  <c r="H395" i="9"/>
  <c r="I395" i="9"/>
  <c r="H396" i="9"/>
  <c r="I396" i="9"/>
  <c r="H397" i="9"/>
  <c r="I397" i="9" s="1"/>
  <c r="H398" i="9"/>
  <c r="I398" i="9" s="1"/>
  <c r="H399" i="9"/>
  <c r="I399" i="9"/>
  <c r="H400" i="9"/>
  <c r="I400" i="9"/>
  <c r="H401" i="9"/>
  <c r="I401" i="9" s="1"/>
  <c r="H402" i="9"/>
  <c r="I402" i="9" s="1"/>
  <c r="H403" i="9"/>
  <c r="I403" i="9"/>
  <c r="H404" i="9"/>
  <c r="I404" i="9"/>
  <c r="H405" i="9"/>
  <c r="I405" i="9" s="1"/>
  <c r="H406" i="9"/>
  <c r="I406" i="9" s="1"/>
  <c r="H407" i="9"/>
  <c r="I407" i="9"/>
  <c r="H408" i="9"/>
  <c r="I408" i="9"/>
  <c r="H409" i="9"/>
  <c r="I409" i="9" s="1"/>
  <c r="H410" i="9"/>
  <c r="I410" i="9" s="1"/>
  <c r="H411" i="9"/>
  <c r="I411" i="9"/>
  <c r="H412" i="9"/>
  <c r="I412" i="9"/>
  <c r="H413" i="9"/>
  <c r="I413" i="9" s="1"/>
  <c r="H414" i="9"/>
  <c r="I414" i="9" s="1"/>
  <c r="H415" i="9"/>
  <c r="I415" i="9"/>
  <c r="H416" i="9"/>
  <c r="I416" i="9"/>
  <c r="H417" i="9"/>
  <c r="I417" i="9" s="1"/>
  <c r="H418" i="9"/>
  <c r="I418" i="9" s="1"/>
  <c r="H419" i="9"/>
  <c r="I419" i="9"/>
  <c r="H420" i="9"/>
  <c r="I420" i="9"/>
  <c r="H421" i="9"/>
  <c r="I421" i="9" s="1"/>
  <c r="H422" i="9"/>
  <c r="I422" i="9" s="1"/>
  <c r="H423" i="9"/>
  <c r="I423" i="9"/>
  <c r="H424" i="9"/>
  <c r="I424" i="9"/>
  <c r="H425" i="9"/>
  <c r="I425" i="9" s="1"/>
  <c r="H426" i="9"/>
  <c r="I426" i="9" s="1"/>
  <c r="H427" i="9"/>
  <c r="I427" i="9"/>
  <c r="H428" i="9"/>
  <c r="I428" i="9"/>
  <c r="H429" i="9"/>
  <c r="I429" i="9" s="1"/>
  <c r="H430" i="9"/>
  <c r="I430" i="9" s="1"/>
  <c r="H431" i="9"/>
  <c r="I431" i="9"/>
  <c r="H432" i="9"/>
  <c r="I432" i="9"/>
  <c r="H433" i="9"/>
  <c r="I433" i="9" s="1"/>
  <c r="H434" i="9"/>
  <c r="I434" i="9" s="1"/>
  <c r="H435" i="9"/>
  <c r="I435" i="9"/>
  <c r="H436" i="9"/>
  <c r="I436" i="9"/>
  <c r="H437" i="9"/>
  <c r="I437" i="9" s="1"/>
  <c r="H438" i="9"/>
  <c r="I438" i="9" s="1"/>
  <c r="H439" i="9"/>
  <c r="I439" i="9"/>
  <c r="H440" i="9"/>
  <c r="I440" i="9"/>
  <c r="H441" i="9"/>
  <c r="I441" i="9" s="1"/>
  <c r="H442" i="9"/>
  <c r="I442" i="9" s="1"/>
  <c r="H443" i="9"/>
  <c r="I443" i="9"/>
  <c r="H444" i="9"/>
  <c r="I444" i="9"/>
  <c r="H445" i="9"/>
  <c r="I445" i="9" s="1"/>
  <c r="H446" i="9"/>
  <c r="I446" i="9" s="1"/>
  <c r="H447" i="9"/>
  <c r="I447" i="9"/>
  <c r="H448" i="9"/>
  <c r="I448" i="9"/>
  <c r="H449" i="9"/>
  <c r="I449" i="9" s="1"/>
  <c r="H450" i="9"/>
  <c r="I450" i="9" s="1"/>
  <c r="H451" i="9"/>
  <c r="I451" i="9"/>
  <c r="H452" i="9"/>
  <c r="I452" i="9"/>
  <c r="H453" i="9"/>
  <c r="I453" i="9" s="1"/>
  <c r="H454" i="9"/>
  <c r="I454" i="9" s="1"/>
  <c r="H455" i="9"/>
  <c r="I455" i="9"/>
  <c r="H456" i="9"/>
  <c r="I456" i="9"/>
  <c r="H457" i="9"/>
  <c r="I457" i="9" s="1"/>
  <c r="H458" i="9"/>
  <c r="I458" i="9" s="1"/>
  <c r="H459" i="9"/>
  <c r="I459" i="9"/>
  <c r="H460" i="9"/>
  <c r="I460" i="9"/>
  <c r="H461" i="9"/>
  <c r="I461" i="9" s="1"/>
  <c r="H462" i="9"/>
  <c r="I462" i="9" s="1"/>
  <c r="H463" i="9"/>
  <c r="I463" i="9"/>
  <c r="H464" i="9"/>
  <c r="I464" i="9"/>
  <c r="H465" i="9"/>
  <c r="I465" i="9" s="1"/>
  <c r="H466" i="9"/>
  <c r="I466" i="9" s="1"/>
  <c r="H467" i="9"/>
  <c r="I467" i="9"/>
  <c r="H468" i="9"/>
  <c r="I468" i="9"/>
  <c r="H469" i="9"/>
  <c r="I469" i="9" s="1"/>
  <c r="H470" i="9"/>
  <c r="I470" i="9" s="1"/>
  <c r="H471" i="9"/>
  <c r="I471" i="9"/>
  <c r="H472" i="9"/>
  <c r="I472" i="9"/>
  <c r="H473" i="9"/>
  <c r="I473" i="9" s="1"/>
  <c r="H474" i="9"/>
  <c r="I474" i="9" s="1"/>
  <c r="H475" i="9"/>
  <c r="I475" i="9"/>
  <c r="H476" i="9"/>
  <c r="I476" i="9"/>
  <c r="H477" i="9"/>
  <c r="I477" i="9" s="1"/>
  <c r="H478" i="9"/>
  <c r="I478" i="9" s="1"/>
  <c r="H479" i="9"/>
  <c r="I479" i="9"/>
  <c r="H480" i="9"/>
  <c r="I480" i="9"/>
  <c r="H481" i="9"/>
  <c r="I481" i="9" s="1"/>
  <c r="H482" i="9"/>
  <c r="I482" i="9" s="1"/>
  <c r="H483" i="9"/>
  <c r="I483" i="9"/>
  <c r="H484" i="9"/>
  <c r="I484" i="9"/>
  <c r="H485" i="9"/>
  <c r="I485" i="9" s="1"/>
  <c r="H486" i="9"/>
  <c r="I486" i="9" s="1"/>
  <c r="H487" i="9"/>
  <c r="I487" i="9"/>
  <c r="H488" i="9"/>
  <c r="I488" i="9"/>
  <c r="H489" i="9"/>
  <c r="I489" i="9" s="1"/>
  <c r="H490" i="9"/>
  <c r="I490" i="9" s="1"/>
  <c r="H491" i="9"/>
  <c r="I491" i="9"/>
  <c r="H492" i="9"/>
  <c r="I492" i="9"/>
  <c r="H493" i="9"/>
  <c r="I493" i="9" s="1"/>
  <c r="H494" i="9"/>
  <c r="I494" i="9" s="1"/>
  <c r="H495" i="9"/>
  <c r="I495" i="9"/>
  <c r="H496" i="9"/>
  <c r="I496" i="9"/>
  <c r="H497" i="9"/>
  <c r="I497" i="9" s="1"/>
  <c r="H498" i="9"/>
  <c r="I498" i="9" s="1"/>
  <c r="H499" i="9"/>
  <c r="I499" i="9"/>
  <c r="H500" i="9"/>
  <c r="I500" i="9"/>
  <c r="H501" i="9"/>
  <c r="I501" i="9" s="1"/>
  <c r="H502" i="9"/>
  <c r="I502" i="9" s="1"/>
  <c r="H503" i="9"/>
  <c r="I503" i="9"/>
  <c r="H504" i="9"/>
  <c r="I504" i="9"/>
  <c r="H505" i="9"/>
  <c r="I505" i="9" s="1"/>
  <c r="H506" i="9"/>
  <c r="I506" i="9" s="1"/>
  <c r="H507" i="9"/>
  <c r="I507" i="9"/>
  <c r="H508" i="9"/>
  <c r="I508" i="9"/>
  <c r="H509" i="9"/>
  <c r="I509" i="9" s="1"/>
  <c r="H510" i="9"/>
  <c r="I510" i="9" s="1"/>
  <c r="H511" i="9"/>
  <c r="I511" i="9"/>
  <c r="H2" i="8"/>
  <c r="I2" i="8" s="1"/>
  <c r="H3" i="8"/>
  <c r="I3" i="8" s="1"/>
  <c r="H4" i="8"/>
  <c r="I4" i="8" s="1"/>
  <c r="H5" i="8"/>
  <c r="I5" i="8" s="1"/>
  <c r="H6" i="8"/>
  <c r="I6" i="8"/>
  <c r="H7" i="8"/>
  <c r="I7" i="8" s="1"/>
  <c r="H8" i="8"/>
  <c r="I8" i="8"/>
  <c r="H9" i="8"/>
  <c r="I9" i="8"/>
  <c r="H10" i="8"/>
  <c r="I10" i="8" s="1"/>
  <c r="H11" i="8"/>
  <c r="I11" i="8" s="1"/>
  <c r="H12" i="8"/>
  <c r="I12" i="8" s="1"/>
  <c r="H13" i="8"/>
  <c r="I13" i="8"/>
  <c r="H14" i="8"/>
  <c r="I14" i="8" s="1"/>
  <c r="H15" i="8"/>
  <c r="I15" i="8" s="1"/>
  <c r="H16" i="8"/>
  <c r="I16" i="8" s="1"/>
  <c r="H17" i="8"/>
  <c r="I17" i="8"/>
  <c r="H18" i="8"/>
  <c r="I18" i="8"/>
  <c r="H19" i="8"/>
  <c r="I19" i="8" s="1"/>
  <c r="H20" i="8"/>
  <c r="I20" i="8"/>
  <c r="H21" i="8"/>
  <c r="I21" i="8" s="1"/>
  <c r="H22" i="8"/>
  <c r="I22" i="8"/>
  <c r="H23" i="8"/>
  <c r="I23" i="8" s="1"/>
  <c r="H24" i="8"/>
  <c r="I24" i="8"/>
  <c r="H25" i="8"/>
  <c r="I25" i="8" s="1"/>
  <c r="H26" i="8"/>
  <c r="I26" i="8"/>
  <c r="H27" i="8"/>
  <c r="I27" i="8" s="1"/>
  <c r="H28" i="8"/>
  <c r="I28" i="8" s="1"/>
  <c r="H29" i="8"/>
  <c r="I29" i="8"/>
  <c r="H30" i="8"/>
  <c r="I30" i="8" s="1"/>
  <c r="H31" i="8"/>
  <c r="I31" i="8" s="1"/>
  <c r="H32" i="8"/>
  <c r="I32" i="8"/>
  <c r="H33" i="8"/>
  <c r="I33" i="8"/>
  <c r="H34" i="8"/>
  <c r="I34" i="8" s="1"/>
  <c r="H35" i="8"/>
  <c r="I35" i="8" s="1"/>
  <c r="H36" i="8"/>
  <c r="I36" i="8"/>
  <c r="H37" i="8"/>
  <c r="I37" i="8" s="1"/>
  <c r="H38" i="8"/>
  <c r="I38" i="8"/>
  <c r="H39" i="8"/>
  <c r="I39" i="8" s="1"/>
  <c r="H40" i="8"/>
  <c r="I40" i="8"/>
  <c r="H41" i="8"/>
  <c r="I41" i="8"/>
  <c r="H42" i="8"/>
  <c r="I42" i="8"/>
  <c r="H43" i="8"/>
  <c r="I43" i="8" s="1"/>
  <c r="H44" i="8"/>
  <c r="I44" i="8" s="1"/>
  <c r="H45" i="8"/>
  <c r="I45" i="8"/>
  <c r="H46" i="8"/>
  <c r="I46" i="8" s="1"/>
  <c r="H47" i="8"/>
  <c r="I47" i="8" s="1"/>
  <c r="H48" i="8"/>
  <c r="I48" i="8" s="1"/>
  <c r="H49" i="8"/>
  <c r="I49" i="8"/>
  <c r="H50" i="8"/>
  <c r="I50" i="8"/>
  <c r="H51" i="8"/>
  <c r="I51" i="8" s="1"/>
  <c r="H52" i="8"/>
  <c r="I52" i="8"/>
  <c r="H53" i="8"/>
  <c r="I53" i="8" s="1"/>
  <c r="H54" i="8"/>
  <c r="I54" i="8"/>
  <c r="H55" i="8"/>
  <c r="I55" i="8" s="1"/>
  <c r="H56" i="8"/>
  <c r="I56" i="8"/>
  <c r="H57" i="8"/>
  <c r="I57" i="8" s="1"/>
  <c r="H58" i="8"/>
  <c r="I58" i="8"/>
  <c r="H59" i="8"/>
  <c r="I59" i="8" s="1"/>
  <c r="H60" i="8"/>
  <c r="I60" i="8" s="1"/>
  <c r="H61" i="8"/>
  <c r="I61" i="8"/>
  <c r="H62" i="8"/>
  <c r="I62" i="8" s="1"/>
  <c r="H63" i="8"/>
  <c r="I63" i="8" s="1"/>
  <c r="H64" i="8"/>
  <c r="I64" i="8"/>
  <c r="H65" i="8"/>
  <c r="I65" i="8"/>
  <c r="H66" i="8"/>
  <c r="I66" i="8" s="1"/>
  <c r="H67" i="8"/>
  <c r="I67" i="8" s="1"/>
  <c r="H68" i="8"/>
  <c r="I68" i="8"/>
  <c r="H69" i="8"/>
  <c r="I69" i="8" s="1"/>
  <c r="H70" i="8"/>
  <c r="I70" i="8"/>
  <c r="H71" i="8"/>
  <c r="I71" i="8" s="1"/>
  <c r="H72" i="8"/>
  <c r="I72" i="8"/>
  <c r="H73" i="8"/>
  <c r="I73" i="8"/>
  <c r="H74" i="8"/>
  <c r="I74" i="8"/>
  <c r="H75" i="8"/>
  <c r="I75" i="8" s="1"/>
  <c r="H76" i="8"/>
  <c r="I76" i="8" s="1"/>
  <c r="H77" i="8"/>
  <c r="I77" i="8"/>
  <c r="H78" i="8"/>
  <c r="I78" i="8" s="1"/>
  <c r="H79" i="8"/>
  <c r="I79" i="8" s="1"/>
  <c r="H80" i="8"/>
  <c r="I80" i="8" s="1"/>
  <c r="H81" i="8"/>
  <c r="I81" i="8"/>
  <c r="H82" i="8"/>
  <c r="I82" i="8"/>
  <c r="H83" i="8"/>
  <c r="I83" i="8" s="1"/>
  <c r="H84" i="8"/>
  <c r="I84" i="8"/>
  <c r="H85" i="8"/>
  <c r="I85" i="8" s="1"/>
  <c r="H86" i="8"/>
  <c r="I86" i="8"/>
  <c r="H87" i="8"/>
  <c r="I87" i="8" s="1"/>
  <c r="H88" i="8"/>
  <c r="I88" i="8"/>
  <c r="H89" i="8"/>
  <c r="I89" i="8" s="1"/>
  <c r="H90" i="8"/>
  <c r="I90" i="8"/>
  <c r="H91" i="8"/>
  <c r="I91" i="8" s="1"/>
  <c r="H92" i="8"/>
  <c r="I92" i="8" s="1"/>
  <c r="H93" i="8"/>
  <c r="I93" i="8"/>
  <c r="H94" i="8"/>
  <c r="I94" i="8" s="1"/>
  <c r="H95" i="8"/>
  <c r="I95" i="8" s="1"/>
  <c r="H96" i="8"/>
  <c r="I96" i="8"/>
  <c r="H97" i="8"/>
  <c r="I97" i="8"/>
  <c r="H98" i="8"/>
  <c r="I98" i="8" s="1"/>
  <c r="H99" i="8"/>
  <c r="I99" i="8" s="1"/>
  <c r="H100" i="8"/>
  <c r="I100" i="8"/>
  <c r="H101" i="8"/>
  <c r="I101" i="8" s="1"/>
  <c r="H102" i="8"/>
  <c r="I102" i="8"/>
  <c r="H103" i="8"/>
  <c r="I103" i="8" s="1"/>
  <c r="H104" i="8"/>
  <c r="I104" i="8"/>
  <c r="H105" i="8"/>
  <c r="I105" i="8"/>
  <c r="H106" i="8"/>
  <c r="I106" i="8"/>
  <c r="H107" i="8"/>
  <c r="I107" i="8" s="1"/>
  <c r="H108" i="8"/>
  <c r="I108" i="8" s="1"/>
  <c r="H109" i="8"/>
  <c r="I109" i="8"/>
  <c r="H110" i="8"/>
  <c r="I110" i="8" s="1"/>
  <c r="H111" i="8"/>
  <c r="I111" i="8" s="1"/>
  <c r="H112" i="8"/>
  <c r="I112" i="8" s="1"/>
  <c r="H113" i="8"/>
  <c r="I113" i="8"/>
  <c r="H114" i="8"/>
  <c r="I114" i="8"/>
  <c r="H115" i="8"/>
  <c r="I115" i="8" s="1"/>
  <c r="H116" i="8"/>
  <c r="I116" i="8"/>
  <c r="H117" i="8"/>
  <c r="I117" i="8" s="1"/>
  <c r="H118" i="8"/>
  <c r="I118" i="8"/>
  <c r="H119" i="8"/>
  <c r="I119" i="8" s="1"/>
  <c r="H120" i="8"/>
  <c r="I120" i="8"/>
  <c r="H121" i="8"/>
  <c r="I121" i="8" s="1"/>
  <c r="H122" i="8"/>
  <c r="I122" i="8"/>
  <c r="H123" i="8"/>
  <c r="I123" i="8" s="1"/>
  <c r="H124" i="8"/>
  <c r="I124" i="8" s="1"/>
  <c r="H125" i="8"/>
  <c r="I125" i="8"/>
  <c r="H126" i="8"/>
  <c r="I126" i="8" s="1"/>
  <c r="H127" i="8"/>
  <c r="I127" i="8" s="1"/>
  <c r="H128" i="8"/>
  <c r="I128" i="8"/>
  <c r="H129" i="8"/>
  <c r="I129" i="8"/>
  <c r="H130" i="8"/>
  <c r="I130" i="8" s="1"/>
  <c r="H131" i="8"/>
  <c r="I131" i="8" s="1"/>
  <c r="H132" i="8"/>
  <c r="I132" i="8"/>
  <c r="H133" i="8"/>
  <c r="I133" i="8" s="1"/>
  <c r="H134" i="8"/>
  <c r="I134" i="8"/>
  <c r="H135" i="8"/>
  <c r="I135" i="8" s="1"/>
  <c r="H136" i="8"/>
  <c r="I136" i="8"/>
  <c r="H137" i="8"/>
  <c r="I137" i="8"/>
  <c r="H138" i="8"/>
  <c r="I138" i="8"/>
  <c r="H139" i="8"/>
  <c r="I139" i="8" s="1"/>
  <c r="H140" i="8"/>
  <c r="I140" i="8" s="1"/>
  <c r="H141" i="8"/>
  <c r="I141" i="8"/>
  <c r="H142" i="8"/>
  <c r="I142" i="8" s="1"/>
  <c r="H143" i="8"/>
  <c r="I143" i="8" s="1"/>
  <c r="H144" i="8"/>
  <c r="I144" i="8" s="1"/>
  <c r="H145" i="8"/>
  <c r="I145" i="8"/>
  <c r="H146" i="8"/>
  <c r="I146" i="8"/>
  <c r="H147" i="8"/>
  <c r="I147" i="8" s="1"/>
  <c r="H148" i="8"/>
  <c r="I148" i="8"/>
  <c r="H149" i="8"/>
  <c r="I149" i="8" s="1"/>
  <c r="H150" i="8"/>
  <c r="I150" i="8"/>
  <c r="H151" i="8"/>
  <c r="I151" i="8" s="1"/>
  <c r="H152" i="8"/>
  <c r="I152" i="8"/>
  <c r="H153" i="8"/>
  <c r="I153" i="8" s="1"/>
  <c r="H154" i="8"/>
  <c r="I154" i="8"/>
  <c r="H155" i="8"/>
  <c r="I155" i="8" s="1"/>
  <c r="H156" i="8"/>
  <c r="I156" i="8" s="1"/>
  <c r="H157" i="8"/>
  <c r="I157" i="8"/>
  <c r="H158" i="8"/>
  <c r="I158" i="8" s="1"/>
  <c r="H159" i="8"/>
  <c r="I159" i="8" s="1"/>
  <c r="H160" i="8"/>
  <c r="I160" i="8"/>
  <c r="H161" i="8"/>
  <c r="I161" i="8"/>
  <c r="H162" i="8"/>
  <c r="I162" i="8" s="1"/>
  <c r="H163" i="8"/>
  <c r="I163" i="8" s="1"/>
  <c r="H164" i="8"/>
  <c r="I164" i="8"/>
  <c r="H165" i="8"/>
  <c r="I165" i="8" s="1"/>
  <c r="H166" i="8"/>
  <c r="I166" i="8"/>
  <c r="H167" i="8"/>
  <c r="I167" i="8" s="1"/>
  <c r="H168" i="8"/>
  <c r="I168" i="8"/>
  <c r="H169" i="8"/>
  <c r="I169" i="8"/>
  <c r="H170" i="8"/>
  <c r="I170" i="8"/>
  <c r="H171" i="8"/>
  <c r="I171" i="8" s="1"/>
  <c r="H172" i="8"/>
  <c r="I172" i="8"/>
  <c r="H173" i="8"/>
  <c r="I173" i="8"/>
  <c r="H174" i="8"/>
  <c r="I174" i="8" s="1"/>
  <c r="H175" i="8"/>
  <c r="I175" i="8" s="1"/>
  <c r="H176" i="8"/>
  <c r="I176" i="8" s="1"/>
  <c r="H177" i="8"/>
  <c r="I177" i="8"/>
  <c r="H178" i="8"/>
  <c r="I178" i="8"/>
  <c r="H179" i="8"/>
  <c r="I179" i="8" s="1"/>
  <c r="H180" i="8"/>
  <c r="I180" i="8"/>
  <c r="H181" i="8"/>
  <c r="I181" i="8"/>
  <c r="H182" i="8"/>
  <c r="I182" i="8"/>
  <c r="H183" i="8"/>
  <c r="I183" i="8" s="1"/>
  <c r="H184" i="8"/>
  <c r="I184" i="8"/>
  <c r="H185" i="8"/>
  <c r="I185" i="8" s="1"/>
  <c r="H186" i="8"/>
  <c r="I186" i="8"/>
  <c r="H187" i="8"/>
  <c r="I187" i="8" s="1"/>
  <c r="H188" i="8"/>
  <c r="I188" i="8" s="1"/>
  <c r="H189" i="8"/>
  <c r="I189" i="8"/>
  <c r="H190" i="8"/>
  <c r="I190" i="8"/>
  <c r="H191" i="8"/>
  <c r="I191" i="8" s="1"/>
  <c r="H192" i="8"/>
  <c r="I192" i="8"/>
  <c r="H193" i="8"/>
  <c r="I193" i="8"/>
  <c r="H194" i="8"/>
  <c r="I194" i="8" s="1"/>
  <c r="H195" i="8"/>
  <c r="I195" i="8" s="1"/>
  <c r="H196" i="8"/>
  <c r="I196" i="8"/>
  <c r="H197" i="8"/>
  <c r="I197" i="8" s="1"/>
  <c r="H198" i="8"/>
  <c r="I198" i="8"/>
  <c r="H199" i="8"/>
  <c r="I199" i="8" s="1"/>
  <c r="H200" i="8"/>
  <c r="I200" i="8"/>
  <c r="H201" i="8"/>
  <c r="I201" i="8"/>
  <c r="H202" i="8"/>
  <c r="I202" i="8"/>
  <c r="H203" i="8"/>
  <c r="I203" i="8" s="1"/>
  <c r="H204" i="8"/>
  <c r="I204" i="8"/>
  <c r="H205" i="8"/>
  <c r="I205" i="8"/>
  <c r="H206" i="8"/>
  <c r="I206" i="8" s="1"/>
  <c r="H207" i="8"/>
  <c r="I207" i="8" s="1"/>
  <c r="H208" i="8"/>
  <c r="I208" i="8" s="1"/>
  <c r="H209" i="8"/>
  <c r="I209" i="8"/>
  <c r="H210" i="8"/>
  <c r="I210" i="8"/>
  <c r="H211" i="8"/>
  <c r="I211" i="8" s="1"/>
  <c r="H212" i="8"/>
  <c r="I212" i="8"/>
  <c r="H213" i="8"/>
  <c r="I213" i="8"/>
  <c r="H214" i="8"/>
  <c r="I214" i="8"/>
  <c r="H215" i="8"/>
  <c r="I215" i="8" s="1"/>
  <c r="H216" i="8"/>
  <c r="I216" i="8"/>
  <c r="H217" i="8"/>
  <c r="I217" i="8" s="1"/>
  <c r="H218" i="8"/>
  <c r="I218" i="8"/>
  <c r="H219" i="8"/>
  <c r="I219" i="8" s="1"/>
  <c r="H220" i="8"/>
  <c r="I220" i="8" s="1"/>
  <c r="H221" i="8"/>
  <c r="I221" i="8"/>
  <c r="H222" i="8"/>
  <c r="I222" i="8"/>
  <c r="H223" i="8"/>
  <c r="I223" i="8" s="1"/>
  <c r="H224" i="8"/>
  <c r="I224" i="8"/>
  <c r="H225" i="8"/>
  <c r="I225" i="8"/>
  <c r="H226" i="8"/>
  <c r="I226" i="8" s="1"/>
  <c r="H227" i="8"/>
  <c r="I227" i="8" s="1"/>
  <c r="H228" i="8"/>
  <c r="I228" i="8"/>
  <c r="H229" i="8"/>
  <c r="I229" i="8" s="1"/>
  <c r="H230" i="8"/>
  <c r="I230" i="8"/>
  <c r="H231" i="8"/>
  <c r="I231" i="8" s="1"/>
  <c r="H232" i="8"/>
  <c r="I232" i="8"/>
  <c r="H233" i="8"/>
  <c r="I233" i="8"/>
  <c r="H234" i="8"/>
  <c r="I234" i="8"/>
  <c r="H235" i="8"/>
  <c r="I235" i="8" s="1"/>
  <c r="H236" i="8"/>
  <c r="I236" i="8"/>
  <c r="H237" i="8"/>
  <c r="I237" i="8"/>
  <c r="H238" i="8"/>
  <c r="I238" i="8" s="1"/>
  <c r="H239" i="8"/>
  <c r="I239" i="8" s="1"/>
  <c r="H240" i="8"/>
  <c r="I240" i="8" s="1"/>
  <c r="H241" i="8"/>
  <c r="I241" i="8"/>
  <c r="H242" i="8"/>
  <c r="I242" i="8"/>
  <c r="H243" i="8"/>
  <c r="I243" i="8" s="1"/>
  <c r="H244" i="8"/>
  <c r="I244" i="8"/>
  <c r="H245" i="8"/>
  <c r="I245" i="8"/>
  <c r="H246" i="8"/>
  <c r="I246" i="8"/>
  <c r="H247" i="8"/>
  <c r="I247" i="8" s="1"/>
  <c r="H248" i="8"/>
  <c r="I248" i="8"/>
  <c r="H249" i="8"/>
  <c r="I249" i="8" s="1"/>
  <c r="H250" i="8"/>
  <c r="I250" i="8"/>
  <c r="H251" i="8"/>
  <c r="I251" i="8" s="1"/>
  <c r="H252" i="8"/>
  <c r="I252" i="8" s="1"/>
  <c r="H253" i="8"/>
  <c r="I253" i="8"/>
  <c r="H254" i="8"/>
  <c r="I254" i="8"/>
  <c r="H255" i="8"/>
  <c r="I255" i="8" s="1"/>
  <c r="H256" i="8"/>
  <c r="I256" i="8"/>
  <c r="H257" i="8"/>
  <c r="I257" i="8"/>
  <c r="H258" i="8"/>
  <c r="I258" i="8" s="1"/>
  <c r="H259" i="8"/>
  <c r="I259" i="8" s="1"/>
  <c r="H260" i="8"/>
  <c r="I260" i="8"/>
  <c r="H261" i="8"/>
  <c r="I261" i="8" s="1"/>
  <c r="H262" i="8"/>
  <c r="I262" i="8"/>
  <c r="H263" i="8"/>
  <c r="I263" i="8" s="1"/>
  <c r="H264" i="8"/>
  <c r="I264" i="8"/>
  <c r="H265" i="8"/>
  <c r="I265" i="8"/>
  <c r="H266" i="8"/>
  <c r="I266" i="8"/>
  <c r="H267" i="8"/>
  <c r="I267" i="8" s="1"/>
  <c r="H268" i="8"/>
  <c r="I268" i="8"/>
  <c r="H269" i="8"/>
  <c r="I269" i="8"/>
  <c r="H270" i="8"/>
  <c r="I270" i="8" s="1"/>
  <c r="H271" i="8"/>
  <c r="I271" i="8" s="1"/>
  <c r="H272" i="8"/>
  <c r="I272" i="8" s="1"/>
  <c r="H273" i="8"/>
  <c r="I273" i="8"/>
  <c r="H274" i="8"/>
  <c r="I274" i="8"/>
  <c r="H275" i="8"/>
  <c r="I275" i="8" s="1"/>
  <c r="H276" i="8"/>
  <c r="I276" i="8"/>
  <c r="H277" i="8"/>
  <c r="I277" i="8"/>
  <c r="H278" i="8"/>
  <c r="I278" i="8"/>
  <c r="H279" i="8"/>
  <c r="I279" i="8" s="1"/>
  <c r="H280" i="8"/>
  <c r="I280" i="8"/>
  <c r="H281" i="8"/>
  <c r="I281" i="8" s="1"/>
  <c r="H282" i="8"/>
  <c r="I282" i="8"/>
  <c r="H283" i="8"/>
  <c r="I283" i="8" s="1"/>
  <c r="H284" i="8"/>
  <c r="I284" i="8" s="1"/>
  <c r="H285" i="8"/>
  <c r="I285" i="8"/>
  <c r="H286" i="8"/>
  <c r="I286" i="8"/>
  <c r="H287" i="8"/>
  <c r="I287" i="8" s="1"/>
  <c r="H288" i="8"/>
  <c r="I288" i="8"/>
  <c r="H289" i="8"/>
  <c r="I289" i="8"/>
  <c r="H290" i="8"/>
  <c r="I290" i="8" s="1"/>
  <c r="H291" i="8"/>
  <c r="I291" i="8" s="1"/>
  <c r="H292" i="8"/>
  <c r="I292" i="8"/>
  <c r="H293" i="8"/>
  <c r="I293" i="8" s="1"/>
  <c r="H294" i="8"/>
  <c r="I294" i="8"/>
  <c r="H295" i="8"/>
  <c r="I295" i="8" s="1"/>
  <c r="H296" i="8"/>
  <c r="I296" i="8"/>
  <c r="H297" i="8"/>
  <c r="I297" i="8"/>
  <c r="H298" i="8"/>
  <c r="I298" i="8"/>
  <c r="H299" i="8"/>
  <c r="I299" i="8" s="1"/>
  <c r="H300" i="8"/>
  <c r="I300" i="8"/>
  <c r="H301" i="8"/>
  <c r="I301" i="8"/>
  <c r="H302" i="8"/>
  <c r="I302" i="8" s="1"/>
  <c r="H303" i="8"/>
  <c r="I303" i="8" s="1"/>
  <c r="H304" i="8"/>
  <c r="I304" i="8" s="1"/>
  <c r="H305" i="8"/>
  <c r="I305" i="8"/>
  <c r="H306" i="8"/>
  <c r="I306" i="8"/>
  <c r="H307" i="8"/>
  <c r="I307" i="8" s="1"/>
  <c r="H308" i="8"/>
  <c r="I308" i="8"/>
  <c r="H309" i="8"/>
  <c r="I309" i="8"/>
  <c r="H310" i="8"/>
  <c r="I310" i="8"/>
  <c r="H311" i="8"/>
  <c r="I311" i="8" s="1"/>
  <c r="H312" i="8"/>
  <c r="I312" i="8"/>
  <c r="H313" i="8"/>
  <c r="I313" i="8" s="1"/>
  <c r="H314" i="8"/>
  <c r="I314" i="8"/>
  <c r="H315" i="8"/>
  <c r="I315" i="8" s="1"/>
  <c r="H316" i="8"/>
  <c r="I316" i="8" s="1"/>
  <c r="H317" i="8"/>
  <c r="I317" i="8"/>
  <c r="H318" i="8"/>
  <c r="I318" i="8"/>
  <c r="H319" i="8"/>
  <c r="I319" i="8" s="1"/>
  <c r="H320" i="8"/>
  <c r="I320" i="8"/>
  <c r="H321" i="8"/>
  <c r="I321" i="8"/>
  <c r="H322" i="8"/>
  <c r="I322" i="8" s="1"/>
  <c r="H323" i="8"/>
  <c r="I323" i="8" s="1"/>
  <c r="H324" i="8"/>
  <c r="I324" i="8"/>
  <c r="H325" i="8"/>
  <c r="I325" i="8" s="1"/>
  <c r="H326" i="8"/>
  <c r="I326" i="8"/>
  <c r="H327" i="8"/>
  <c r="I327" i="8" s="1"/>
  <c r="H328" i="8"/>
  <c r="I328" i="8"/>
  <c r="H329" i="8"/>
  <c r="I329" i="8"/>
  <c r="H330" i="8"/>
  <c r="I330" i="8"/>
  <c r="H331" i="8"/>
  <c r="I331" i="8" s="1"/>
  <c r="H332" i="8"/>
  <c r="I332" i="8"/>
  <c r="H333" i="8"/>
  <c r="I333" i="8"/>
  <c r="H334" i="8"/>
  <c r="I334" i="8" s="1"/>
  <c r="H335" i="8"/>
  <c r="I335" i="8" s="1"/>
  <c r="H336" i="8"/>
  <c r="I336" i="8" s="1"/>
  <c r="H337" i="8"/>
  <c r="I337" i="8"/>
  <c r="H338" i="8"/>
  <c r="I338" i="8"/>
  <c r="H339" i="8"/>
  <c r="I339" i="8" s="1"/>
  <c r="H340" i="8"/>
  <c r="I340" i="8"/>
  <c r="H341" i="8"/>
  <c r="I341" i="8"/>
  <c r="H342" i="8"/>
  <c r="I342" i="8"/>
  <c r="H343" i="8"/>
  <c r="I343" i="8" s="1"/>
  <c r="H344" i="8"/>
  <c r="I344" i="8"/>
  <c r="H345" i="8"/>
  <c r="I345" i="8"/>
  <c r="H346" i="8"/>
  <c r="I346" i="8"/>
  <c r="H347" i="8"/>
  <c r="I347" i="8" s="1"/>
  <c r="H348" i="8"/>
  <c r="I348" i="8"/>
  <c r="H349" i="8"/>
  <c r="I349" i="8"/>
  <c r="H350" i="8"/>
  <c r="I350" i="8"/>
  <c r="H351" i="8"/>
  <c r="I351" i="8" s="1"/>
  <c r="H352" i="8"/>
  <c r="I352" i="8"/>
  <c r="H353" i="8"/>
  <c r="I353" i="8"/>
  <c r="H354" i="8"/>
  <c r="I354" i="8"/>
  <c r="H355" i="8"/>
  <c r="I355" i="8" s="1"/>
  <c r="H356" i="8"/>
  <c r="I356" i="8"/>
  <c r="H357" i="8"/>
  <c r="I357" i="8"/>
  <c r="H358" i="8"/>
  <c r="I358" i="8"/>
  <c r="H359" i="8"/>
  <c r="I359" i="8" s="1"/>
  <c r="H360" i="8"/>
  <c r="I360" i="8"/>
  <c r="H361" i="8"/>
  <c r="I361" i="8"/>
  <c r="H362" i="8"/>
  <c r="I362" i="8"/>
  <c r="H363" i="8"/>
  <c r="I363" i="8" s="1"/>
  <c r="H364" i="8"/>
  <c r="I364" i="8"/>
  <c r="H365" i="8"/>
  <c r="I365" i="8"/>
  <c r="H366" i="8"/>
  <c r="I366" i="8"/>
  <c r="H367" i="8"/>
  <c r="I367" i="8" s="1"/>
  <c r="H368" i="8"/>
  <c r="I368" i="8"/>
  <c r="H369" i="8"/>
  <c r="I369" i="8"/>
  <c r="H370" i="8"/>
  <c r="I370" i="8"/>
  <c r="H371" i="8"/>
  <c r="I371" i="8" s="1"/>
  <c r="H372" i="8"/>
  <c r="I372" i="8"/>
  <c r="H373" i="8"/>
  <c r="I373" i="8"/>
  <c r="H374" i="8"/>
  <c r="I374" i="8"/>
  <c r="H375" i="8"/>
  <c r="I375" i="8" s="1"/>
  <c r="H376" i="8"/>
  <c r="I376" i="8"/>
  <c r="H377" i="8"/>
  <c r="I377" i="8"/>
  <c r="H378" i="8"/>
  <c r="I378" i="8"/>
  <c r="H379" i="8"/>
  <c r="I379" i="8" s="1"/>
  <c r="H380" i="8"/>
  <c r="I380" i="8"/>
  <c r="H381" i="8"/>
  <c r="I381" i="8"/>
  <c r="H382" i="8"/>
  <c r="I382" i="8"/>
  <c r="H383" i="8"/>
  <c r="I383" i="8" s="1"/>
  <c r="H384" i="8"/>
  <c r="I384" i="8"/>
  <c r="H385" i="8"/>
  <c r="I385" i="8"/>
  <c r="H386" i="8"/>
  <c r="I386" i="8"/>
  <c r="H387" i="8"/>
  <c r="I387" i="8" s="1"/>
  <c r="H388" i="8"/>
  <c r="I388" i="8"/>
  <c r="H389" i="8"/>
  <c r="I389" i="8"/>
  <c r="H390" i="8"/>
  <c r="I390" i="8"/>
  <c r="H391" i="8"/>
  <c r="I391" i="8" s="1"/>
  <c r="H392" i="8"/>
  <c r="I392" i="8"/>
  <c r="H393" i="8"/>
  <c r="I393" i="8"/>
  <c r="H394" i="8"/>
  <c r="I394" i="8"/>
  <c r="H395" i="8"/>
  <c r="I395" i="8" s="1"/>
  <c r="H396" i="8"/>
  <c r="I396" i="8"/>
  <c r="H397" i="8"/>
  <c r="I397" i="8"/>
  <c r="H398" i="8"/>
  <c r="I398" i="8"/>
  <c r="H399" i="8"/>
  <c r="I399" i="8" s="1"/>
  <c r="H400" i="8"/>
  <c r="I400" i="8"/>
  <c r="H401" i="8"/>
  <c r="I401" i="8"/>
  <c r="H402" i="8"/>
  <c r="I402" i="8"/>
  <c r="H403" i="8"/>
  <c r="I403" i="8" s="1"/>
  <c r="H404" i="8"/>
  <c r="I404" i="8"/>
  <c r="H405" i="8"/>
  <c r="I405" i="8"/>
  <c r="H406" i="8"/>
  <c r="I406" i="8"/>
  <c r="H407" i="8"/>
  <c r="I407" i="8" s="1"/>
  <c r="H408" i="8"/>
  <c r="I408" i="8"/>
  <c r="H409" i="8"/>
  <c r="I409" i="8"/>
  <c r="H410" i="8"/>
  <c r="I410" i="8"/>
  <c r="H411" i="8"/>
  <c r="I411" i="8" s="1"/>
  <c r="H412" i="8"/>
  <c r="I412" i="8"/>
  <c r="H413" i="8"/>
  <c r="I413" i="8"/>
  <c r="H414" i="8"/>
  <c r="I414" i="8"/>
  <c r="H415" i="8"/>
  <c r="I415" i="8" s="1"/>
  <c r="H416" i="8"/>
  <c r="I416" i="8"/>
  <c r="H417" i="8"/>
  <c r="I417" i="8"/>
  <c r="H418" i="8"/>
  <c r="I418" i="8"/>
  <c r="H419" i="8"/>
  <c r="I419" i="8" s="1"/>
  <c r="H420" i="8"/>
  <c r="I420" i="8"/>
  <c r="H421" i="8"/>
  <c r="I421" i="8"/>
  <c r="H422" i="8"/>
  <c r="I422" i="8"/>
  <c r="H423" i="8"/>
  <c r="I423" i="8" s="1"/>
  <c r="H424" i="8"/>
  <c r="I424" i="8"/>
  <c r="H425" i="8"/>
  <c r="I425" i="8"/>
  <c r="H426" i="8"/>
  <c r="I426" i="8"/>
  <c r="H427" i="8"/>
  <c r="I427" i="8" s="1"/>
  <c r="H428" i="8"/>
  <c r="I428" i="8"/>
  <c r="H429" i="8"/>
  <c r="I429" i="8"/>
  <c r="H430" i="8"/>
  <c r="I430" i="8"/>
  <c r="H431" i="8"/>
  <c r="I431" i="8" s="1"/>
  <c r="H432" i="8"/>
  <c r="I432" i="8"/>
  <c r="H433" i="8"/>
  <c r="I433" i="8"/>
  <c r="H434" i="8"/>
  <c r="I434" i="8"/>
  <c r="H435" i="8"/>
  <c r="I435" i="8" s="1"/>
  <c r="H436" i="8"/>
  <c r="I436" i="8"/>
  <c r="H437" i="8"/>
  <c r="I437" i="8"/>
  <c r="H438" i="8"/>
  <c r="I438" i="8"/>
  <c r="H439" i="8"/>
  <c r="I439" i="8" s="1"/>
  <c r="H440" i="8"/>
  <c r="I440" i="8"/>
  <c r="H441" i="8"/>
  <c r="I441" i="8"/>
  <c r="H442" i="8"/>
  <c r="I442" i="8"/>
  <c r="H443" i="8"/>
  <c r="I443" i="8" s="1"/>
  <c r="H444" i="8"/>
  <c r="I444" i="8"/>
  <c r="H445" i="8"/>
  <c r="I445" i="8"/>
  <c r="H446" i="8"/>
  <c r="I446" i="8"/>
  <c r="H447" i="8"/>
  <c r="I447" i="8" s="1"/>
  <c r="H448" i="8"/>
  <c r="I448" i="8"/>
  <c r="H449" i="8"/>
  <c r="I449" i="8"/>
  <c r="H450" i="8"/>
  <c r="I450" i="8"/>
  <c r="H451" i="8"/>
  <c r="I451" i="8" s="1"/>
  <c r="H452" i="8"/>
  <c r="I452" i="8"/>
  <c r="H453" i="8"/>
  <c r="I453" i="8"/>
  <c r="H454" i="8"/>
  <c r="I454" i="8"/>
  <c r="H455" i="8"/>
  <c r="I455" i="8" s="1"/>
  <c r="H456" i="8"/>
  <c r="I456" i="8"/>
  <c r="H457" i="8"/>
  <c r="I457" i="8"/>
  <c r="H458" i="8"/>
  <c r="I458" i="8"/>
  <c r="H459" i="8"/>
  <c r="I459" i="8" s="1"/>
  <c r="H460" i="8"/>
  <c r="I460" i="8"/>
  <c r="H461" i="8"/>
  <c r="I461" i="8"/>
  <c r="H462" i="8"/>
  <c r="I462" i="8"/>
  <c r="H463" i="8"/>
  <c r="I463" i="8" s="1"/>
  <c r="H464" i="8"/>
  <c r="I464" i="8"/>
  <c r="H465" i="8"/>
  <c r="I465" i="8"/>
  <c r="H466" i="8"/>
  <c r="I466" i="8"/>
  <c r="H467" i="8"/>
  <c r="I467" i="8" s="1"/>
  <c r="H468" i="8"/>
  <c r="I468" i="8"/>
  <c r="H469" i="8"/>
  <c r="I469" i="8"/>
  <c r="H470" i="8"/>
  <c r="I470" i="8"/>
  <c r="H471" i="8"/>
  <c r="I471" i="8" s="1"/>
  <c r="H472" i="8"/>
  <c r="I472" i="8"/>
  <c r="H473" i="8"/>
  <c r="I473" i="8"/>
  <c r="H474" i="8"/>
  <c r="I474" i="8"/>
  <c r="H475" i="8"/>
  <c r="I475" i="8" s="1"/>
  <c r="H476" i="8"/>
  <c r="I476" i="8"/>
  <c r="H477" i="8"/>
  <c r="I477" i="8"/>
  <c r="H478" i="8"/>
  <c r="I478" i="8"/>
  <c r="H479" i="8"/>
  <c r="I479" i="8" s="1"/>
  <c r="H480" i="8"/>
  <c r="I480" i="8"/>
  <c r="H481" i="8"/>
  <c r="I481" i="8"/>
  <c r="H482" i="8"/>
  <c r="I482" i="8"/>
  <c r="H483" i="8"/>
  <c r="I483" i="8" s="1"/>
  <c r="H484" i="8"/>
  <c r="I484" i="8"/>
  <c r="H485" i="8"/>
  <c r="I485" i="8"/>
  <c r="H486" i="8"/>
  <c r="I486" i="8"/>
  <c r="H487" i="8"/>
  <c r="I487" i="8" s="1"/>
  <c r="H488" i="8"/>
  <c r="I488" i="8"/>
  <c r="H489" i="8"/>
  <c r="I489" i="8"/>
  <c r="H490" i="8"/>
  <c r="I490" i="8"/>
  <c r="H491" i="8"/>
  <c r="I491" i="8" s="1"/>
  <c r="H492" i="8"/>
  <c r="I492" i="8"/>
  <c r="H493" i="8"/>
  <c r="I493" i="8"/>
  <c r="H494" i="8"/>
  <c r="I494" i="8"/>
  <c r="H495" i="8"/>
  <c r="I495" i="8" s="1"/>
  <c r="H496" i="8"/>
  <c r="I496" i="8"/>
  <c r="H497" i="8"/>
  <c r="I497" i="8"/>
  <c r="H498" i="8"/>
  <c r="I498" i="8"/>
  <c r="H499" i="8"/>
  <c r="I499" i="8" s="1"/>
  <c r="H500" i="8"/>
  <c r="I500" i="8"/>
  <c r="H501" i="8"/>
  <c r="I501" i="8"/>
  <c r="H502" i="8"/>
  <c r="I502" i="8"/>
  <c r="H503" i="8"/>
  <c r="I503" i="8" s="1"/>
  <c r="H504" i="8"/>
  <c r="I504" i="8"/>
  <c r="H505" i="8"/>
  <c r="I505" i="8"/>
  <c r="H506" i="8"/>
  <c r="I506" i="8"/>
  <c r="H507" i="8"/>
  <c r="I507" i="8" s="1"/>
  <c r="H508" i="8"/>
  <c r="I508" i="8"/>
  <c r="H509" i="8"/>
  <c r="I509" i="8"/>
  <c r="H510" i="8"/>
  <c r="I510" i="8"/>
  <c r="H511" i="8"/>
  <c r="I511" i="8" s="1"/>
  <c r="H2" i="7"/>
  <c r="I2" i="7" s="1"/>
  <c r="H3" i="7"/>
  <c r="I3" i="7" s="1"/>
  <c r="H4" i="7"/>
  <c r="I4" i="7" s="1"/>
  <c r="H5" i="7"/>
  <c r="I5" i="7"/>
  <c r="H6" i="7"/>
  <c r="I6" i="7" s="1"/>
  <c r="H7" i="7"/>
  <c r="I7" i="7" s="1"/>
  <c r="H8" i="7"/>
  <c r="I8" i="7" s="1"/>
  <c r="H9" i="7"/>
  <c r="I9" i="7"/>
  <c r="H10" i="7"/>
  <c r="I10" i="7" s="1"/>
  <c r="H11" i="7"/>
  <c r="I11" i="7" s="1"/>
  <c r="H12" i="7"/>
  <c r="I12" i="7" s="1"/>
  <c r="H13" i="7"/>
  <c r="I13" i="7"/>
  <c r="H14" i="7"/>
  <c r="I14" i="7" s="1"/>
  <c r="H15" i="7"/>
  <c r="I15" i="7" s="1"/>
  <c r="H16" i="7"/>
  <c r="I16" i="7" s="1"/>
  <c r="H17" i="7"/>
  <c r="I17" i="7"/>
  <c r="H18" i="7"/>
  <c r="I18" i="7" s="1"/>
  <c r="H19" i="7"/>
  <c r="I19" i="7" s="1"/>
  <c r="H20" i="7"/>
  <c r="I20" i="7" s="1"/>
  <c r="H21" i="7"/>
  <c r="I21" i="7"/>
  <c r="H22" i="7"/>
  <c r="I22" i="7" s="1"/>
  <c r="H23" i="7"/>
  <c r="I23" i="7" s="1"/>
  <c r="H24" i="7"/>
  <c r="I24" i="7" s="1"/>
  <c r="H25" i="7"/>
  <c r="I25" i="7"/>
  <c r="H26" i="7"/>
  <c r="I26" i="7" s="1"/>
  <c r="H27" i="7"/>
  <c r="I27" i="7" s="1"/>
  <c r="H28" i="7"/>
  <c r="I28" i="7" s="1"/>
  <c r="H29" i="7"/>
  <c r="I29" i="7"/>
  <c r="H30" i="7"/>
  <c r="I30" i="7" s="1"/>
  <c r="H31" i="7"/>
  <c r="I31" i="7" s="1"/>
  <c r="H32" i="7"/>
  <c r="I32" i="7" s="1"/>
  <c r="H33" i="7"/>
  <c r="I33" i="7"/>
  <c r="H34" i="7"/>
  <c r="I34" i="7" s="1"/>
  <c r="H35" i="7"/>
  <c r="I35" i="7" s="1"/>
  <c r="H36" i="7"/>
  <c r="I36" i="7" s="1"/>
  <c r="H37" i="7"/>
  <c r="I37" i="7"/>
  <c r="H38" i="7"/>
  <c r="I38" i="7" s="1"/>
  <c r="H39" i="7"/>
  <c r="I39" i="7" s="1"/>
  <c r="H40" i="7"/>
  <c r="I40" i="7" s="1"/>
  <c r="H41" i="7"/>
  <c r="I41" i="7"/>
  <c r="H42" i="7"/>
  <c r="I42" i="7" s="1"/>
  <c r="H43" i="7"/>
  <c r="I43" i="7" s="1"/>
  <c r="H44" i="7"/>
  <c r="I44" i="7" s="1"/>
  <c r="H45" i="7"/>
  <c r="I45" i="7"/>
  <c r="H46" i="7"/>
  <c r="I46" i="7" s="1"/>
  <c r="H47" i="7"/>
  <c r="I47" i="7" s="1"/>
  <c r="H48" i="7"/>
  <c r="I48" i="7" s="1"/>
  <c r="H49" i="7"/>
  <c r="I49" i="7"/>
  <c r="H50" i="7"/>
  <c r="I50" i="7" s="1"/>
  <c r="H51" i="7"/>
  <c r="I51" i="7" s="1"/>
  <c r="H52" i="7"/>
  <c r="I52" i="7" s="1"/>
  <c r="H53" i="7"/>
  <c r="I53" i="7"/>
  <c r="H54" i="7"/>
  <c r="I54" i="7" s="1"/>
  <c r="H55" i="7"/>
  <c r="I55" i="7" s="1"/>
  <c r="H56" i="7"/>
  <c r="I56" i="7" s="1"/>
  <c r="H57" i="7"/>
  <c r="I57" i="7"/>
  <c r="H58" i="7"/>
  <c r="I58" i="7" s="1"/>
  <c r="H59" i="7"/>
  <c r="I59" i="7" s="1"/>
  <c r="H60" i="7"/>
  <c r="I60" i="7" s="1"/>
  <c r="H61" i="7"/>
  <c r="I61" i="7"/>
  <c r="H62" i="7"/>
  <c r="I62" i="7" s="1"/>
  <c r="H63" i="7"/>
  <c r="I63" i="7" s="1"/>
  <c r="H64" i="7"/>
  <c r="I64" i="7" s="1"/>
  <c r="H65" i="7"/>
  <c r="I65" i="7"/>
  <c r="H66" i="7"/>
  <c r="I66" i="7" s="1"/>
  <c r="H67" i="7"/>
  <c r="I67" i="7" s="1"/>
  <c r="H68" i="7"/>
  <c r="I68" i="7" s="1"/>
  <c r="H69" i="7"/>
  <c r="I69" i="7"/>
  <c r="H70" i="7"/>
  <c r="I70" i="7" s="1"/>
  <c r="H71" i="7"/>
  <c r="I71" i="7" s="1"/>
  <c r="H72" i="7"/>
  <c r="I72" i="7" s="1"/>
  <c r="H73" i="7"/>
  <c r="I73" i="7"/>
  <c r="H74" i="7"/>
  <c r="I74" i="7" s="1"/>
  <c r="H75" i="7"/>
  <c r="I75" i="7" s="1"/>
  <c r="H76" i="7"/>
  <c r="I76" i="7" s="1"/>
  <c r="H77" i="7"/>
  <c r="I77" i="7"/>
  <c r="H78" i="7"/>
  <c r="I78" i="7" s="1"/>
  <c r="H79" i="7"/>
  <c r="I79" i="7" s="1"/>
  <c r="H80" i="7"/>
  <c r="I80" i="7" s="1"/>
  <c r="H81" i="7"/>
  <c r="I81" i="7"/>
  <c r="H82" i="7"/>
  <c r="I82" i="7" s="1"/>
  <c r="H83" i="7"/>
  <c r="I83" i="7" s="1"/>
  <c r="H84" i="7"/>
  <c r="I84" i="7" s="1"/>
  <c r="H85" i="7"/>
  <c r="I85" i="7"/>
  <c r="H86" i="7"/>
  <c r="I86" i="7" s="1"/>
  <c r="H87" i="7"/>
  <c r="I87" i="7" s="1"/>
  <c r="H88" i="7"/>
  <c r="I88" i="7" s="1"/>
  <c r="H89" i="7"/>
  <c r="I89" i="7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I100" i="7" s="1"/>
  <c r="H101" i="7"/>
  <c r="I101" i="7" s="1"/>
  <c r="H102" i="7"/>
  <c r="I102" i="7" s="1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/>
  <c r="H110" i="7"/>
  <c r="I110" i="7" s="1"/>
  <c r="H111" i="7"/>
  <c r="I111" i="7" s="1"/>
  <c r="H112" i="7"/>
  <c r="I112" i="7" s="1"/>
  <c r="H113" i="7"/>
  <c r="I113" i="7"/>
  <c r="H114" i="7"/>
  <c r="I114" i="7" s="1"/>
  <c r="H115" i="7"/>
  <c r="I115" i="7" s="1"/>
  <c r="H116" i="7"/>
  <c r="I116" i="7" s="1"/>
  <c r="H117" i="7"/>
  <c r="I117" i="7"/>
  <c r="H118" i="7"/>
  <c r="I118" i="7" s="1"/>
  <c r="H119" i="7"/>
  <c r="I119" i="7" s="1"/>
  <c r="H120" i="7"/>
  <c r="I120" i="7" s="1"/>
  <c r="H121" i="7"/>
  <c r="I121" i="7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 s="1"/>
  <c r="H138" i="7"/>
  <c r="I138" i="7" s="1"/>
  <c r="H139" i="7"/>
  <c r="I139" i="7" s="1"/>
  <c r="H140" i="7"/>
  <c r="I140" i="7" s="1"/>
  <c r="H141" i="7"/>
  <c r="I141" i="7"/>
  <c r="H142" i="7"/>
  <c r="I142" i="7" s="1"/>
  <c r="H143" i="7"/>
  <c r="I143" i="7" s="1"/>
  <c r="H144" i="7"/>
  <c r="I144" i="7" s="1"/>
  <c r="H145" i="7"/>
  <c r="I145" i="7"/>
  <c r="H146" i="7"/>
  <c r="I146" i="7" s="1"/>
  <c r="H147" i="7"/>
  <c r="I147" i="7" s="1"/>
  <c r="H148" i="7"/>
  <c r="I148" i="7" s="1"/>
  <c r="H149" i="7"/>
  <c r="I149" i="7"/>
  <c r="H150" i="7"/>
  <c r="I150" i="7" s="1"/>
  <c r="H151" i="7"/>
  <c r="I151" i="7" s="1"/>
  <c r="H152" i="7"/>
  <c r="I152" i="7" s="1"/>
  <c r="H153" i="7"/>
  <c r="I153" i="7"/>
  <c r="H154" i="7"/>
  <c r="I154" i="7" s="1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 s="1"/>
  <c r="H161" i="7"/>
  <c r="I161" i="7" s="1"/>
  <c r="H162" i="7"/>
  <c r="I162" i="7" s="1"/>
  <c r="H163" i="7"/>
  <c r="I163" i="7" s="1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/>
  <c r="H174" i="7"/>
  <c r="I174" i="7" s="1"/>
  <c r="H175" i="7"/>
  <c r="I175" i="7" s="1"/>
  <c r="H176" i="7"/>
  <c r="I176" i="7" s="1"/>
  <c r="H177" i="7"/>
  <c r="I177" i="7"/>
  <c r="H178" i="7"/>
  <c r="I178" i="7" s="1"/>
  <c r="H179" i="7"/>
  <c r="I179" i="7" s="1"/>
  <c r="H180" i="7"/>
  <c r="I180" i="7" s="1"/>
  <c r="H181" i="7"/>
  <c r="I181" i="7"/>
  <c r="H182" i="7"/>
  <c r="I182" i="7" s="1"/>
  <c r="H183" i="7"/>
  <c r="I183" i="7" s="1"/>
  <c r="H184" i="7"/>
  <c r="I184" i="7" s="1"/>
  <c r="H185" i="7"/>
  <c r="I185" i="7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I193" i="7" s="1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/>
  <c r="H206" i="7"/>
  <c r="I206" i="7" s="1"/>
  <c r="H207" i="7"/>
  <c r="I207" i="7" s="1"/>
  <c r="H208" i="7"/>
  <c r="I208" i="7" s="1"/>
  <c r="H209" i="7"/>
  <c r="I209" i="7"/>
  <c r="H210" i="7"/>
  <c r="I210" i="7" s="1"/>
  <c r="H211" i="7"/>
  <c r="I211" i="7" s="1"/>
  <c r="H212" i="7"/>
  <c r="I212" i="7" s="1"/>
  <c r="H213" i="7"/>
  <c r="I213" i="7"/>
  <c r="H214" i="7"/>
  <c r="I214" i="7" s="1"/>
  <c r="H215" i="7"/>
  <c r="I215" i="7" s="1"/>
  <c r="H216" i="7"/>
  <c r="I216" i="7" s="1"/>
  <c r="H217" i="7"/>
  <c r="I217" i="7"/>
  <c r="H218" i="7"/>
  <c r="I218" i="7" s="1"/>
  <c r="H219" i="7"/>
  <c r="I219" i="7" s="1"/>
  <c r="H220" i="7"/>
  <c r="I220" i="7" s="1"/>
  <c r="H221" i="7"/>
  <c r="I221" i="7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  <c r="I237" i="7"/>
  <c r="H238" i="7"/>
  <c r="I238" i="7" s="1"/>
  <c r="H239" i="7"/>
  <c r="I239" i="7" s="1"/>
  <c r="H240" i="7"/>
  <c r="I240" i="7" s="1"/>
  <c r="H241" i="7"/>
  <c r="I241" i="7"/>
  <c r="H242" i="7"/>
  <c r="I242" i="7" s="1"/>
  <c r="H243" i="7"/>
  <c r="I243" i="7" s="1"/>
  <c r="H244" i="7"/>
  <c r="I244" i="7" s="1"/>
  <c r="H245" i="7"/>
  <c r="I245" i="7"/>
  <c r="H246" i="7"/>
  <c r="I246" i="7" s="1"/>
  <c r="H247" i="7"/>
  <c r="I247" i="7" s="1"/>
  <c r="H248" i="7"/>
  <c r="I248" i="7" s="1"/>
  <c r="H249" i="7"/>
  <c r="I249" i="7"/>
  <c r="H250" i="7"/>
  <c r="I250" i="7" s="1"/>
  <c r="H251" i="7"/>
  <c r="I251" i="7" s="1"/>
  <c r="H252" i="7"/>
  <c r="I252" i="7" s="1"/>
  <c r="H253" i="7"/>
  <c r="I253" i="7"/>
  <c r="H254" i="7"/>
  <c r="I254" i="7" s="1"/>
  <c r="H255" i="7"/>
  <c r="I255" i="7" s="1"/>
  <c r="H256" i="7"/>
  <c r="I256" i="7" s="1"/>
  <c r="H257" i="7"/>
  <c r="I257" i="7" s="1"/>
  <c r="H258" i="7"/>
  <c r="I258" i="7" s="1"/>
  <c r="H259" i="7"/>
  <c r="I259" i="7" s="1"/>
  <c r="H260" i="7"/>
  <c r="I260" i="7" s="1"/>
  <c r="H261" i="7"/>
  <c r="I261" i="7" s="1"/>
  <c r="H262" i="7"/>
  <c r="I262" i="7" s="1"/>
  <c r="H263" i="7"/>
  <c r="I263" i="7" s="1"/>
  <c r="H264" i="7"/>
  <c r="I264" i="7" s="1"/>
  <c r="H265" i="7"/>
  <c r="I265" i="7" s="1"/>
  <c r="H266" i="7"/>
  <c r="I266" i="7" s="1"/>
  <c r="H267" i="7"/>
  <c r="I267" i="7" s="1"/>
  <c r="H268" i="7"/>
  <c r="I268" i="7" s="1"/>
  <c r="H269" i="7"/>
  <c r="I269" i="7"/>
  <c r="H270" i="7"/>
  <c r="I270" i="7" s="1"/>
  <c r="H271" i="7"/>
  <c r="I271" i="7" s="1"/>
  <c r="H272" i="7"/>
  <c r="I272" i="7" s="1"/>
  <c r="H273" i="7"/>
  <c r="I273" i="7"/>
  <c r="H274" i="7"/>
  <c r="I274" i="7" s="1"/>
  <c r="H275" i="7"/>
  <c r="I275" i="7" s="1"/>
  <c r="H276" i="7"/>
  <c r="I276" i="7" s="1"/>
  <c r="H277" i="7"/>
  <c r="I277" i="7"/>
  <c r="H278" i="7"/>
  <c r="I278" i="7" s="1"/>
  <c r="H279" i="7"/>
  <c r="I279" i="7" s="1"/>
  <c r="H280" i="7"/>
  <c r="I280" i="7" s="1"/>
  <c r="H281" i="7"/>
  <c r="I281" i="7"/>
  <c r="H282" i="7"/>
  <c r="I282" i="7" s="1"/>
  <c r="H283" i="7"/>
  <c r="I283" i="7" s="1"/>
  <c r="H284" i="7"/>
  <c r="I284" i="7" s="1"/>
  <c r="H285" i="7"/>
  <c r="I285" i="7"/>
  <c r="H286" i="7"/>
  <c r="I286" i="7" s="1"/>
  <c r="H287" i="7"/>
  <c r="I287" i="7" s="1"/>
  <c r="H288" i="7"/>
  <c r="I288" i="7" s="1"/>
  <c r="H289" i="7"/>
  <c r="I289" i="7" s="1"/>
  <c r="H290" i="7"/>
  <c r="I290" i="7" s="1"/>
  <c r="H291" i="7"/>
  <c r="I291" i="7" s="1"/>
  <c r="H292" i="7"/>
  <c r="I292" i="7" s="1"/>
  <c r="H293" i="7"/>
  <c r="I293" i="7" s="1"/>
  <c r="H294" i="7"/>
  <c r="I294" i="7" s="1"/>
  <c r="H295" i="7"/>
  <c r="I295" i="7" s="1"/>
  <c r="H296" i="7"/>
  <c r="I296" i="7" s="1"/>
  <c r="H297" i="7"/>
  <c r="I297" i="7" s="1"/>
  <c r="H298" i="7"/>
  <c r="I298" i="7" s="1"/>
  <c r="H299" i="7"/>
  <c r="I299" i="7" s="1"/>
  <c r="H300" i="7"/>
  <c r="I300" i="7" s="1"/>
  <c r="H301" i="7"/>
  <c r="I301" i="7"/>
  <c r="H302" i="7"/>
  <c r="I302" i="7" s="1"/>
  <c r="H303" i="7"/>
  <c r="I303" i="7" s="1"/>
  <c r="H304" i="7"/>
  <c r="I304" i="7" s="1"/>
  <c r="H305" i="7"/>
  <c r="I305" i="7"/>
  <c r="H306" i="7"/>
  <c r="I306" i="7" s="1"/>
  <c r="H307" i="7"/>
  <c r="I307" i="7" s="1"/>
  <c r="H308" i="7"/>
  <c r="I308" i="7" s="1"/>
  <c r="H309" i="7"/>
  <c r="I309" i="7"/>
  <c r="H310" i="7"/>
  <c r="I310" i="7" s="1"/>
  <c r="H311" i="7"/>
  <c r="I311" i="7" s="1"/>
  <c r="H312" i="7"/>
  <c r="I312" i="7" s="1"/>
  <c r="H313" i="7"/>
  <c r="I313" i="7"/>
  <c r="H314" i="7"/>
  <c r="I314" i="7" s="1"/>
  <c r="H315" i="7"/>
  <c r="I315" i="7" s="1"/>
  <c r="H316" i="7"/>
  <c r="I316" i="7" s="1"/>
  <c r="H317" i="7"/>
  <c r="I317" i="7"/>
  <c r="H318" i="7"/>
  <c r="I318" i="7" s="1"/>
  <c r="H319" i="7"/>
  <c r="I319" i="7" s="1"/>
  <c r="H320" i="7"/>
  <c r="I320" i="7" s="1"/>
  <c r="H321" i="7"/>
  <c r="I321" i="7" s="1"/>
  <c r="H322" i="7"/>
  <c r="I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 s="1"/>
  <c r="H329" i="7"/>
  <c r="I329" i="7" s="1"/>
  <c r="H330" i="7"/>
  <c r="I330" i="7" s="1"/>
  <c r="H331" i="7"/>
  <c r="I331" i="7" s="1"/>
  <c r="H332" i="7"/>
  <c r="I332" i="7" s="1"/>
  <c r="H333" i="7"/>
  <c r="I333" i="7"/>
  <c r="H334" i="7"/>
  <c r="I334" i="7" s="1"/>
  <c r="H335" i="7"/>
  <c r="I335" i="7" s="1"/>
  <c r="H336" i="7"/>
  <c r="I336" i="7" s="1"/>
  <c r="H337" i="7"/>
  <c r="I337" i="7"/>
  <c r="H338" i="7"/>
  <c r="I338" i="7" s="1"/>
  <c r="H339" i="7"/>
  <c r="I339" i="7" s="1"/>
  <c r="H340" i="7"/>
  <c r="I340" i="7" s="1"/>
  <c r="H341" i="7"/>
  <c r="I341" i="7"/>
  <c r="H342" i="7"/>
  <c r="I342" i="7"/>
  <c r="H343" i="7"/>
  <c r="I343" i="7" s="1"/>
  <c r="H344" i="7"/>
  <c r="I344" i="7"/>
  <c r="H345" i="7"/>
  <c r="I345" i="7"/>
  <c r="H346" i="7"/>
  <c r="I346" i="7"/>
  <c r="H347" i="7"/>
  <c r="I347" i="7" s="1"/>
  <c r="H348" i="7"/>
  <c r="I348" i="7"/>
  <c r="H349" i="7"/>
  <c r="I349" i="7"/>
  <c r="H350" i="7"/>
  <c r="I350" i="7"/>
  <c r="H351" i="7"/>
  <c r="I351" i="7" s="1"/>
  <c r="H352" i="7"/>
  <c r="I352" i="7"/>
  <c r="H353" i="7"/>
  <c r="I353" i="7"/>
  <c r="H354" i="7"/>
  <c r="I354" i="7"/>
  <c r="H355" i="7"/>
  <c r="I355" i="7" s="1"/>
  <c r="H356" i="7"/>
  <c r="I356" i="7"/>
  <c r="H357" i="7"/>
  <c r="I357" i="7"/>
  <c r="H358" i="7"/>
  <c r="I358" i="7"/>
  <c r="H359" i="7"/>
  <c r="I359" i="7" s="1"/>
  <c r="H360" i="7"/>
  <c r="I360" i="7"/>
  <c r="H361" i="7"/>
  <c r="I361" i="7"/>
  <c r="H362" i="7"/>
  <c r="I362" i="7"/>
  <c r="H363" i="7"/>
  <c r="I363" i="7" s="1"/>
  <c r="H364" i="7"/>
  <c r="I364" i="7"/>
  <c r="H365" i="7"/>
  <c r="I365" i="7"/>
  <c r="H366" i="7"/>
  <c r="I366" i="7"/>
  <c r="H367" i="7"/>
  <c r="I367" i="7" s="1"/>
  <c r="H368" i="7"/>
  <c r="I368" i="7"/>
  <c r="H369" i="7"/>
  <c r="I369" i="7"/>
  <c r="H370" i="7"/>
  <c r="I370" i="7"/>
  <c r="H371" i="7"/>
  <c r="I371" i="7" s="1"/>
  <c r="H372" i="7"/>
  <c r="I372" i="7"/>
  <c r="H373" i="7"/>
  <c r="I373" i="7"/>
  <c r="H374" i="7"/>
  <c r="I374" i="7"/>
  <c r="H375" i="7"/>
  <c r="I375" i="7" s="1"/>
  <c r="H376" i="7"/>
  <c r="I376" i="7"/>
  <c r="H377" i="7"/>
  <c r="I377" i="7"/>
  <c r="H378" i="7"/>
  <c r="I378" i="7"/>
  <c r="H379" i="7"/>
  <c r="I379" i="7" s="1"/>
  <c r="H380" i="7"/>
  <c r="I380" i="7"/>
  <c r="H381" i="7"/>
  <c r="I381" i="7"/>
  <c r="H382" i="7"/>
  <c r="I382" i="7"/>
  <c r="H383" i="7"/>
  <c r="I383" i="7" s="1"/>
  <c r="H384" i="7"/>
  <c r="I384" i="7"/>
  <c r="H385" i="7"/>
  <c r="I385" i="7"/>
  <c r="H386" i="7"/>
  <c r="I386" i="7"/>
  <c r="H387" i="7"/>
  <c r="I387" i="7" s="1"/>
  <c r="H388" i="7"/>
  <c r="I388" i="7"/>
  <c r="H389" i="7"/>
  <c r="I389" i="7"/>
  <c r="H390" i="7"/>
  <c r="I390" i="7"/>
  <c r="H391" i="7"/>
  <c r="I391" i="7" s="1"/>
  <c r="H392" i="7"/>
  <c r="I392" i="7"/>
  <c r="H393" i="7"/>
  <c r="I393" i="7"/>
  <c r="H394" i="7"/>
  <c r="I394" i="7"/>
  <c r="H395" i="7"/>
  <c r="I395" i="7" s="1"/>
  <c r="H396" i="7"/>
  <c r="I396" i="7"/>
  <c r="H397" i="7"/>
  <c r="I397" i="7"/>
  <c r="H398" i="7"/>
  <c r="I398" i="7"/>
  <c r="H399" i="7"/>
  <c r="I399" i="7" s="1"/>
  <c r="H400" i="7"/>
  <c r="I400" i="7"/>
  <c r="H401" i="7"/>
  <c r="I401" i="7"/>
  <c r="H402" i="7"/>
  <c r="I402" i="7"/>
  <c r="H403" i="7"/>
  <c r="I403" i="7" s="1"/>
  <c r="H404" i="7"/>
  <c r="I404" i="7"/>
  <c r="H405" i="7"/>
  <c r="I405" i="7"/>
  <c r="H406" i="7"/>
  <c r="I406" i="7"/>
  <c r="H407" i="7"/>
  <c r="I407" i="7" s="1"/>
  <c r="H408" i="7"/>
  <c r="I408" i="7"/>
  <c r="H409" i="7"/>
  <c r="I409" i="7"/>
  <c r="H410" i="7"/>
  <c r="I410" i="7"/>
  <c r="H411" i="7"/>
  <c r="I411" i="7" s="1"/>
  <c r="H412" i="7"/>
  <c r="I412" i="7"/>
  <c r="H413" i="7"/>
  <c r="I413" i="7"/>
  <c r="H414" i="7"/>
  <c r="I414" i="7"/>
  <c r="H415" i="7"/>
  <c r="I415" i="7" s="1"/>
  <c r="H416" i="7"/>
  <c r="I416" i="7"/>
  <c r="H417" i="7"/>
  <c r="I417" i="7"/>
  <c r="H418" i="7"/>
  <c r="I418" i="7"/>
  <c r="H419" i="7"/>
  <c r="I419" i="7" s="1"/>
  <c r="H420" i="7"/>
  <c r="I420" i="7"/>
  <c r="H421" i="7"/>
  <c r="I421" i="7"/>
  <c r="H422" i="7"/>
  <c r="I422" i="7"/>
  <c r="H423" i="7"/>
  <c r="I423" i="7" s="1"/>
  <c r="H424" i="7"/>
  <c r="I424" i="7"/>
  <c r="H425" i="7"/>
  <c r="I425" i="7"/>
  <c r="H426" i="7"/>
  <c r="I426" i="7"/>
  <c r="H427" i="7"/>
  <c r="I427" i="7" s="1"/>
  <c r="H428" i="7"/>
  <c r="I428" i="7"/>
  <c r="H429" i="7"/>
  <c r="I429" i="7"/>
  <c r="H430" i="7"/>
  <c r="I430" i="7"/>
  <c r="H431" i="7"/>
  <c r="I431" i="7" s="1"/>
  <c r="H432" i="7"/>
  <c r="I432" i="7"/>
  <c r="H433" i="7"/>
  <c r="I433" i="7"/>
  <c r="H434" i="7"/>
  <c r="I434" i="7"/>
  <c r="H435" i="7"/>
  <c r="I435" i="7" s="1"/>
  <c r="H436" i="7"/>
  <c r="I436" i="7"/>
  <c r="H437" i="7"/>
  <c r="I437" i="7"/>
  <c r="H438" i="7"/>
  <c r="I438" i="7"/>
  <c r="H439" i="7"/>
  <c r="I439" i="7" s="1"/>
  <c r="H440" i="7"/>
  <c r="I440" i="7"/>
  <c r="H441" i="7"/>
  <c r="I441" i="7"/>
  <c r="H442" i="7"/>
  <c r="I442" i="7"/>
  <c r="H443" i="7"/>
  <c r="I443" i="7" s="1"/>
  <c r="H444" i="7"/>
  <c r="I444" i="7"/>
  <c r="H445" i="7"/>
  <c r="I445" i="7"/>
  <c r="H446" i="7"/>
  <c r="I446" i="7"/>
  <c r="H447" i="7"/>
  <c r="I447" i="7" s="1"/>
  <c r="H448" i="7"/>
  <c r="I448" i="7"/>
  <c r="H449" i="7"/>
  <c r="I449" i="7"/>
  <c r="H450" i="7"/>
  <c r="I450" i="7"/>
  <c r="H451" i="7"/>
  <c r="I451" i="7" s="1"/>
  <c r="H452" i="7"/>
  <c r="I452" i="7"/>
  <c r="H453" i="7"/>
  <c r="I453" i="7"/>
  <c r="H454" i="7"/>
  <c r="I454" i="7"/>
  <c r="H455" i="7"/>
  <c r="I455" i="7" s="1"/>
  <c r="H456" i="7"/>
  <c r="I456" i="7"/>
  <c r="H457" i="7"/>
  <c r="I457" i="7"/>
  <c r="H458" i="7"/>
  <c r="I458" i="7"/>
  <c r="H459" i="7"/>
  <c r="I459" i="7" s="1"/>
  <c r="H460" i="7"/>
  <c r="I460" i="7"/>
  <c r="H461" i="7"/>
  <c r="I461" i="7"/>
  <c r="H462" i="7"/>
  <c r="I462" i="7"/>
  <c r="H463" i="7"/>
  <c r="I463" i="7" s="1"/>
  <c r="H464" i="7"/>
  <c r="I464" i="7"/>
  <c r="H465" i="7"/>
  <c r="I465" i="7"/>
  <c r="H466" i="7"/>
  <c r="I466" i="7"/>
  <c r="H467" i="7"/>
  <c r="I467" i="7" s="1"/>
  <c r="H468" i="7"/>
  <c r="I468" i="7"/>
  <c r="H469" i="7"/>
  <c r="I469" i="7"/>
  <c r="H470" i="7"/>
  <c r="I470" i="7"/>
  <c r="H471" i="7"/>
  <c r="I471" i="7" s="1"/>
  <c r="H472" i="7"/>
  <c r="I472" i="7"/>
  <c r="H473" i="7"/>
  <c r="I473" i="7"/>
  <c r="H474" i="7"/>
  <c r="I474" i="7"/>
  <c r="H475" i="7"/>
  <c r="I475" i="7" s="1"/>
  <c r="H476" i="7"/>
  <c r="I476" i="7"/>
  <c r="H477" i="7"/>
  <c r="I477" i="7"/>
  <c r="H478" i="7"/>
  <c r="I478" i="7"/>
  <c r="H479" i="7"/>
  <c r="I479" i="7" s="1"/>
  <c r="H480" i="7"/>
  <c r="I480" i="7"/>
  <c r="H481" i="7"/>
  <c r="I481" i="7"/>
  <c r="H482" i="7"/>
  <c r="I482" i="7"/>
  <c r="H483" i="7"/>
  <c r="I483" i="7" s="1"/>
  <c r="H484" i="7"/>
  <c r="I484" i="7"/>
  <c r="H485" i="7"/>
  <c r="I485" i="7"/>
  <c r="H486" i="7"/>
  <c r="I486" i="7"/>
  <c r="H487" i="7"/>
  <c r="I487" i="7" s="1"/>
  <c r="H488" i="7"/>
  <c r="I488" i="7"/>
  <c r="H489" i="7"/>
  <c r="I489" i="7"/>
  <c r="H490" i="7"/>
  <c r="I490" i="7"/>
  <c r="H491" i="7"/>
  <c r="I491" i="7" s="1"/>
  <c r="H492" i="7"/>
  <c r="I492" i="7"/>
  <c r="H493" i="7"/>
  <c r="I493" i="7"/>
  <c r="H494" i="7"/>
  <c r="I494" i="7"/>
  <c r="H495" i="7"/>
  <c r="I495" i="7" s="1"/>
  <c r="H496" i="7"/>
  <c r="I496" i="7"/>
  <c r="H497" i="7"/>
  <c r="I497" i="7"/>
  <c r="H498" i="7"/>
  <c r="I498" i="7"/>
  <c r="H499" i="7"/>
  <c r="I499" i="7" s="1"/>
  <c r="H500" i="7"/>
  <c r="I500" i="7"/>
  <c r="H501" i="7"/>
  <c r="I501" i="7"/>
  <c r="H502" i="7"/>
  <c r="I502" i="7"/>
  <c r="H503" i="7"/>
  <c r="I503" i="7" s="1"/>
  <c r="H504" i="7"/>
  <c r="I504" i="7"/>
  <c r="H505" i="7"/>
  <c r="I505" i="7"/>
  <c r="H506" i="7"/>
  <c r="I506" i="7"/>
  <c r="H507" i="7"/>
  <c r="I507" i="7" s="1"/>
  <c r="H508" i="7"/>
  <c r="I508" i="7"/>
  <c r="H509" i="7"/>
  <c r="I509" i="7"/>
  <c r="H510" i="7"/>
  <c r="I510" i="7"/>
  <c r="H511" i="7"/>
  <c r="I511" i="7" s="1"/>
  <c r="H512" i="7"/>
  <c r="I512" i="7"/>
  <c r="H513" i="7"/>
  <c r="I513" i="7"/>
  <c r="H514" i="7"/>
  <c r="I514" i="7"/>
  <c r="H499" i="6" l="1"/>
  <c r="I499" i="6" s="1"/>
  <c r="H500" i="6"/>
  <c r="I500" i="6" s="1"/>
  <c r="H501" i="6"/>
  <c r="I501" i="6" s="1"/>
  <c r="H502" i="6"/>
  <c r="I502" i="6"/>
  <c r="H503" i="6"/>
  <c r="I503" i="6" s="1"/>
  <c r="H504" i="6"/>
  <c r="I504" i="6" s="1"/>
  <c r="H505" i="6"/>
  <c r="I505" i="6" s="1"/>
  <c r="H506" i="6"/>
  <c r="I506" i="6"/>
  <c r="H507" i="6"/>
  <c r="I507" i="6" s="1"/>
  <c r="H508" i="6"/>
  <c r="I508" i="6" s="1"/>
  <c r="H509" i="6"/>
  <c r="I509" i="6" s="1"/>
  <c r="H510" i="6"/>
  <c r="I510" i="6"/>
  <c r="H511" i="6"/>
  <c r="I511" i="6" s="1"/>
  <c r="H512" i="6"/>
  <c r="I512" i="6" s="1"/>
  <c r="H513" i="6"/>
  <c r="I513" i="6" s="1"/>
  <c r="H514" i="6"/>
  <c r="I514" i="6"/>
  <c r="H515" i="6"/>
  <c r="I515" i="6" s="1"/>
  <c r="H516" i="6"/>
  <c r="I516" i="6" s="1"/>
  <c r="H517" i="6"/>
  <c r="I517" i="6" s="1"/>
  <c r="H518" i="6"/>
  <c r="I518" i="6"/>
  <c r="H519" i="6"/>
  <c r="I519" i="6" s="1"/>
  <c r="H520" i="6"/>
  <c r="I520" i="6" s="1"/>
  <c r="H521" i="6"/>
  <c r="I521" i="6" s="1"/>
  <c r="H522" i="6"/>
  <c r="I522" i="6"/>
  <c r="H523" i="6"/>
  <c r="I523" i="6" s="1"/>
  <c r="H524" i="6"/>
  <c r="I524" i="6" s="1"/>
  <c r="H525" i="6"/>
  <c r="I525" i="6" s="1"/>
  <c r="H526" i="6"/>
  <c r="I526" i="6"/>
  <c r="H527" i="6"/>
  <c r="I527" i="6" s="1"/>
  <c r="H528" i="6"/>
  <c r="I528" i="6" s="1"/>
  <c r="H529" i="6"/>
  <c r="I529" i="6" s="1"/>
  <c r="H530" i="6"/>
  <c r="I530" i="6"/>
  <c r="H531" i="6"/>
  <c r="I531" i="6" s="1"/>
  <c r="H532" i="6"/>
  <c r="I532" i="6" s="1"/>
  <c r="H533" i="6"/>
  <c r="I533" i="6" s="1"/>
  <c r="H534" i="6"/>
  <c r="I534" i="6"/>
  <c r="H535" i="6"/>
  <c r="I535" i="6" s="1"/>
  <c r="H536" i="6"/>
  <c r="I536" i="6" s="1"/>
  <c r="H537" i="6"/>
  <c r="I537" i="6" s="1"/>
  <c r="H538" i="6"/>
  <c r="I538" i="6"/>
  <c r="H539" i="6"/>
  <c r="I539" i="6" s="1"/>
  <c r="H540" i="6"/>
  <c r="I540" i="6" s="1"/>
  <c r="H541" i="6"/>
  <c r="I541" i="6" s="1"/>
  <c r="H542" i="6"/>
  <c r="I542" i="6"/>
  <c r="H543" i="6"/>
  <c r="I543" i="6" s="1"/>
  <c r="H544" i="6"/>
  <c r="I544" i="6" s="1"/>
  <c r="H2" i="5"/>
  <c r="I2" i="5" s="1"/>
  <c r="H3" i="5"/>
  <c r="I3" i="5" s="1"/>
  <c r="H4" i="5"/>
  <c r="I4" i="5" s="1"/>
  <c r="H5" i="5"/>
  <c r="I5" i="5"/>
  <c r="H6" i="5"/>
  <c r="I6" i="5" s="1"/>
  <c r="H7" i="5"/>
  <c r="I7" i="5" s="1"/>
  <c r="H8" i="5"/>
  <c r="I8" i="5" s="1"/>
  <c r="H9" i="5"/>
  <c r="I9" i="5"/>
  <c r="H10" i="5"/>
  <c r="I10" i="5" s="1"/>
  <c r="H11" i="5"/>
  <c r="I11" i="5" s="1"/>
  <c r="H12" i="5"/>
  <c r="I12" i="5" s="1"/>
  <c r="H13" i="5"/>
  <c r="I13" i="5"/>
  <c r="H14" i="5"/>
  <c r="I14" i="5" s="1"/>
  <c r="H15" i="5"/>
  <c r="I15" i="5" s="1"/>
  <c r="H16" i="5"/>
  <c r="I16" i="5" s="1"/>
  <c r="H17" i="5"/>
  <c r="I17" i="5"/>
  <c r="H18" i="5"/>
  <c r="I18" i="5" s="1"/>
  <c r="H19" i="5"/>
  <c r="I19" i="5" s="1"/>
  <c r="H20" i="5"/>
  <c r="I20" i="5" s="1"/>
  <c r="H21" i="5"/>
  <c r="I21" i="5"/>
  <c r="H22" i="5"/>
  <c r="I22" i="5" s="1"/>
  <c r="H23" i="5"/>
  <c r="I23" i="5" s="1"/>
  <c r="H24" i="5"/>
  <c r="I24" i="5" s="1"/>
  <c r="H25" i="5"/>
  <c r="I25" i="5"/>
  <c r="H26" i="5"/>
  <c r="I26" i="5" s="1"/>
  <c r="H27" i="5"/>
  <c r="I27" i="5" s="1"/>
  <c r="H28" i="5"/>
  <c r="I28" i="5" s="1"/>
  <c r="H29" i="5"/>
  <c r="I29" i="5"/>
  <c r="H30" i="5"/>
  <c r="I30" i="5" s="1"/>
  <c r="H31" i="5"/>
  <c r="I31" i="5" s="1"/>
  <c r="H32" i="5"/>
  <c r="I32" i="5" s="1"/>
  <c r="H33" i="5"/>
  <c r="I33" i="5"/>
  <c r="H34" i="5"/>
  <c r="I34" i="5" s="1"/>
  <c r="H35" i="5"/>
  <c r="I35" i="5" s="1"/>
  <c r="H36" i="5"/>
  <c r="I36" i="5" s="1"/>
  <c r="H37" i="5"/>
  <c r="I37" i="5"/>
  <c r="H38" i="5"/>
  <c r="I38" i="5" s="1"/>
  <c r="H39" i="5"/>
  <c r="I39" i="5" s="1"/>
  <c r="H40" i="5"/>
  <c r="I40" i="5" s="1"/>
  <c r="H41" i="5"/>
  <c r="I41" i="5"/>
  <c r="H42" i="5"/>
  <c r="I42" i="5" s="1"/>
  <c r="H43" i="5"/>
  <c r="I43" i="5" s="1"/>
  <c r="H44" i="5"/>
  <c r="I44" i="5" s="1"/>
  <c r="H45" i="5"/>
  <c r="I45" i="5"/>
  <c r="H46" i="5"/>
  <c r="I46" i="5" s="1"/>
  <c r="H47" i="5"/>
  <c r="I47" i="5" s="1"/>
  <c r="H48" i="5"/>
  <c r="I48" i="5" s="1"/>
  <c r="H49" i="5"/>
  <c r="I49" i="5"/>
  <c r="H50" i="5"/>
  <c r="I50" i="5" s="1"/>
  <c r="H51" i="5"/>
  <c r="I51" i="5" s="1"/>
  <c r="H52" i="5"/>
  <c r="I52" i="5" s="1"/>
  <c r="H53" i="5"/>
  <c r="I53" i="5"/>
  <c r="H54" i="5"/>
  <c r="I54" i="5" s="1"/>
  <c r="H55" i="5"/>
  <c r="I55" i="5" s="1"/>
  <c r="H56" i="5"/>
  <c r="I56" i="5" s="1"/>
  <c r="H57" i="5"/>
  <c r="I57" i="5"/>
  <c r="H58" i="5"/>
  <c r="I58" i="5" s="1"/>
  <c r="H59" i="5"/>
  <c r="I59" i="5" s="1"/>
  <c r="H60" i="5"/>
  <c r="I60" i="5" s="1"/>
  <c r="H61" i="5"/>
  <c r="I61" i="5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/>
  <c r="H70" i="5"/>
  <c r="I70" i="5" s="1"/>
  <c r="H71" i="5"/>
  <c r="I71" i="5" s="1"/>
  <c r="H72" i="5"/>
  <c r="I72" i="5" s="1"/>
  <c r="H73" i="5"/>
  <c r="I73" i="5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/>
  <c r="H86" i="5"/>
  <c r="I86" i="5" s="1"/>
  <c r="H87" i="5"/>
  <c r="I87" i="5" s="1"/>
  <c r="H88" i="5"/>
  <c r="I88" i="5" s="1"/>
  <c r="H89" i="5"/>
  <c r="I89" i="5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/>
  <c r="H102" i="5"/>
  <c r="I102" i="5" s="1"/>
  <c r="H103" i="5"/>
  <c r="I103" i="5" s="1"/>
  <c r="H104" i="5"/>
  <c r="I104" i="5" s="1"/>
  <c r="H105" i="5"/>
  <c r="I105" i="5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/>
  <c r="H134" i="5"/>
  <c r="I134" i="5" s="1"/>
  <c r="H135" i="5"/>
  <c r="I135" i="5" s="1"/>
  <c r="H136" i="5"/>
  <c r="I136" i="5" s="1"/>
  <c r="H137" i="5"/>
  <c r="I137" i="5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/>
  <c r="H150" i="5"/>
  <c r="I150" i="5" s="1"/>
  <c r="H151" i="5"/>
  <c r="I151" i="5" s="1"/>
  <c r="H152" i="5"/>
  <c r="I152" i="5" s="1"/>
  <c r="H153" i="5"/>
  <c r="I153" i="5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/>
  <c r="H166" i="5"/>
  <c r="I166" i="5" s="1"/>
  <c r="H167" i="5"/>
  <c r="I167" i="5" s="1"/>
  <c r="H168" i="5"/>
  <c r="I168" i="5" s="1"/>
  <c r="H169" i="5"/>
  <c r="I169" i="5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/>
  <c r="H186" i="5"/>
  <c r="I186" i="5" s="1"/>
  <c r="H187" i="5"/>
  <c r="I187" i="5" s="1"/>
  <c r="H188" i="5"/>
  <c r="I188" i="5" s="1"/>
  <c r="H189" i="5"/>
  <c r="I189" i="5" s="1"/>
  <c r="H190" i="5"/>
  <c r="I190" i="5" s="1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/>
  <c r="H198" i="5"/>
  <c r="I198" i="5" s="1"/>
  <c r="H199" i="5"/>
  <c r="I199" i="5" s="1"/>
  <c r="H200" i="5"/>
  <c r="I200" i="5" s="1"/>
  <c r="H201" i="5"/>
  <c r="I201" i="5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/>
  <c r="H230" i="5"/>
  <c r="I230" i="5" s="1"/>
  <c r="H231" i="5"/>
  <c r="I231" i="5" s="1"/>
  <c r="H232" i="5"/>
  <c r="I232" i="5" s="1"/>
  <c r="H233" i="5"/>
  <c r="I233" i="5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 s="1"/>
  <c r="H259" i="5"/>
  <c r="I259" i="5" s="1"/>
  <c r="H260" i="5"/>
  <c r="I260" i="5" s="1"/>
  <c r="H261" i="5"/>
  <c r="I261" i="5"/>
  <c r="H262" i="5"/>
  <c r="I262" i="5" s="1"/>
  <c r="H263" i="5"/>
  <c r="I263" i="5" s="1"/>
  <c r="H264" i="5"/>
  <c r="I264" i="5" s="1"/>
  <c r="H265" i="5"/>
  <c r="I265" i="5"/>
  <c r="H266" i="5"/>
  <c r="I266" i="5" s="1"/>
  <c r="H267" i="5"/>
  <c r="I267" i="5" s="1"/>
  <c r="H268" i="5"/>
  <c r="I268" i="5" s="1"/>
  <c r="H269" i="5"/>
  <c r="I269" i="5" s="1"/>
  <c r="H270" i="5"/>
  <c r="I270" i="5" s="1"/>
  <c r="H271" i="5"/>
  <c r="I271" i="5" s="1"/>
  <c r="H272" i="5"/>
  <c r="I272" i="5" s="1"/>
  <c r="H273" i="5"/>
  <c r="I273" i="5"/>
  <c r="H274" i="5"/>
  <c r="I274" i="5" s="1"/>
  <c r="H275" i="5"/>
  <c r="I275" i="5" s="1"/>
  <c r="H276" i="5"/>
  <c r="I276" i="5" s="1"/>
  <c r="H277" i="5"/>
  <c r="I277" i="5" s="1"/>
  <c r="H278" i="5"/>
  <c r="I278" i="5" s="1"/>
  <c r="H279" i="5"/>
  <c r="I279" i="5" s="1"/>
  <c r="H280" i="5"/>
  <c r="I280" i="5" s="1"/>
  <c r="H281" i="5"/>
  <c r="I281" i="5"/>
  <c r="H282" i="5"/>
  <c r="I282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92" i="5"/>
  <c r="I292" i="5" s="1"/>
  <c r="H293" i="5"/>
  <c r="I293" i="5"/>
  <c r="H294" i="5"/>
  <c r="I294" i="5" s="1"/>
  <c r="H295" i="5"/>
  <c r="I295" i="5" s="1"/>
  <c r="H296" i="5"/>
  <c r="I296" i="5" s="1"/>
  <c r="H297" i="5"/>
  <c r="I297" i="5"/>
  <c r="H298" i="5"/>
  <c r="I298" i="5" s="1"/>
  <c r="H299" i="5"/>
  <c r="I299" i="5" s="1"/>
  <c r="H300" i="5"/>
  <c r="I300" i="5" s="1"/>
  <c r="H301" i="5"/>
  <c r="I301" i="5" s="1"/>
  <c r="H302" i="5"/>
  <c r="I302" i="5" s="1"/>
  <c r="H303" i="5"/>
  <c r="I303" i="5" s="1"/>
  <c r="H304" i="5"/>
  <c r="I304" i="5" s="1"/>
  <c r="H305" i="5"/>
  <c r="I305" i="5"/>
  <c r="H306" i="5"/>
  <c r="I306" i="5" s="1"/>
  <c r="H307" i="5"/>
  <c r="I307" i="5" s="1"/>
  <c r="H308" i="5"/>
  <c r="I308" i="5" s="1"/>
  <c r="H309" i="5"/>
  <c r="I309" i="5" s="1"/>
  <c r="H310" i="5"/>
  <c r="I310" i="5" s="1"/>
  <c r="H311" i="5"/>
  <c r="I311" i="5" s="1"/>
  <c r="H312" i="5"/>
  <c r="I312" i="5" s="1"/>
  <c r="H313" i="5"/>
  <c r="I313" i="5"/>
  <c r="H314" i="5"/>
  <c r="I314" i="5" s="1"/>
  <c r="H315" i="5"/>
  <c r="I315" i="5" s="1"/>
  <c r="H316" i="5"/>
  <c r="I316" i="5" s="1"/>
  <c r="H317" i="5"/>
  <c r="I317" i="5" s="1"/>
  <c r="H318" i="5"/>
  <c r="I318" i="5" s="1"/>
  <c r="H319" i="5"/>
  <c r="I319" i="5" s="1"/>
  <c r="H320" i="5"/>
  <c r="I320" i="5" s="1"/>
  <c r="H321" i="5"/>
  <c r="I321" i="5" s="1"/>
  <c r="H322" i="5"/>
  <c r="I322" i="5" s="1"/>
  <c r="H323" i="5"/>
  <c r="I323" i="5" s="1"/>
  <c r="H324" i="5"/>
  <c r="I324" i="5" s="1"/>
  <c r="H325" i="5"/>
  <c r="I325" i="5"/>
  <c r="H326" i="5"/>
  <c r="I326" i="5" s="1"/>
  <c r="H327" i="5"/>
  <c r="I327" i="5" s="1"/>
  <c r="H328" i="5"/>
  <c r="I328" i="5" s="1"/>
  <c r="H329" i="5"/>
  <c r="I329" i="5"/>
  <c r="H330" i="5"/>
  <c r="I330" i="5" s="1"/>
  <c r="H331" i="5"/>
  <c r="I331" i="5" s="1"/>
  <c r="H332" i="5"/>
  <c r="I332" i="5" s="1"/>
  <c r="H333" i="5"/>
  <c r="I333" i="5" s="1"/>
  <c r="H334" i="5"/>
  <c r="I334" i="5" s="1"/>
  <c r="H335" i="5"/>
  <c r="I335" i="5" s="1"/>
  <c r="H336" i="5"/>
  <c r="I336" i="5" s="1"/>
  <c r="H337" i="5"/>
  <c r="I337" i="5"/>
  <c r="H338" i="5"/>
  <c r="I338" i="5" s="1"/>
  <c r="H339" i="5"/>
  <c r="I339" i="5" s="1"/>
  <c r="H340" i="5"/>
  <c r="I340" i="5" s="1"/>
  <c r="H341" i="5"/>
  <c r="I341" i="5" s="1"/>
  <c r="H342" i="5"/>
  <c r="I342" i="5" s="1"/>
  <c r="H343" i="5"/>
  <c r="I343" i="5"/>
  <c r="H344" i="5"/>
  <c r="I344" i="5" s="1"/>
  <c r="H345" i="5"/>
  <c r="I345" i="5" s="1"/>
  <c r="H346" i="5"/>
  <c r="I346" i="5" s="1"/>
  <c r="H347" i="5"/>
  <c r="I347" i="5"/>
  <c r="H348" i="5"/>
  <c r="I348" i="5" s="1"/>
  <c r="H349" i="5"/>
  <c r="I349" i="5" s="1"/>
  <c r="H350" i="5"/>
  <c r="I350" i="5" s="1"/>
  <c r="H351" i="5"/>
  <c r="I351" i="5"/>
  <c r="H352" i="5"/>
  <c r="I352" i="5" s="1"/>
  <c r="H353" i="5"/>
  <c r="I353" i="5" s="1"/>
  <c r="H354" i="5"/>
  <c r="I354" i="5" s="1"/>
  <c r="H355" i="5"/>
  <c r="I355" i="5"/>
  <c r="H356" i="5"/>
  <c r="I356" i="5" s="1"/>
  <c r="H357" i="5"/>
  <c r="I357" i="5" s="1"/>
  <c r="H358" i="5"/>
  <c r="I358" i="5" s="1"/>
  <c r="H359" i="5"/>
  <c r="I359" i="5"/>
  <c r="H360" i="5"/>
  <c r="I360" i="5" s="1"/>
  <c r="H361" i="5"/>
  <c r="I361" i="5" s="1"/>
  <c r="H362" i="5"/>
  <c r="I362" i="5" s="1"/>
  <c r="H363" i="5"/>
  <c r="I363" i="5"/>
  <c r="H364" i="5"/>
  <c r="I364" i="5" s="1"/>
  <c r="H365" i="5"/>
  <c r="I365" i="5" s="1"/>
  <c r="H366" i="5"/>
  <c r="I366" i="5" s="1"/>
  <c r="H367" i="5"/>
  <c r="I367" i="5"/>
  <c r="H368" i="5"/>
  <c r="I368" i="5" s="1"/>
  <c r="H369" i="5"/>
  <c r="I369" i="5" s="1"/>
  <c r="H370" i="5"/>
  <c r="I370" i="5" s="1"/>
  <c r="H371" i="5"/>
  <c r="I371" i="5"/>
  <c r="H372" i="5"/>
  <c r="I372" i="5" s="1"/>
  <c r="H373" i="5"/>
  <c r="I373" i="5" s="1"/>
  <c r="H374" i="5"/>
  <c r="I374" i="5" s="1"/>
  <c r="H375" i="5"/>
  <c r="I375" i="5"/>
  <c r="H376" i="5"/>
  <c r="I376" i="5" s="1"/>
  <c r="H377" i="5"/>
  <c r="I377" i="5" s="1"/>
  <c r="H378" i="5"/>
  <c r="I378" i="5" s="1"/>
  <c r="H379" i="5"/>
  <c r="I379" i="5"/>
  <c r="H380" i="5"/>
  <c r="I380" i="5" s="1"/>
  <c r="H381" i="5"/>
  <c r="I381" i="5" s="1"/>
  <c r="H382" i="5"/>
  <c r="I382" i="5" s="1"/>
  <c r="H383" i="5"/>
  <c r="I383" i="5"/>
  <c r="H384" i="5"/>
  <c r="I384" i="5" s="1"/>
  <c r="H385" i="5"/>
  <c r="I385" i="5" s="1"/>
  <c r="H386" i="5"/>
  <c r="I386" i="5" s="1"/>
  <c r="H387" i="5"/>
  <c r="I387" i="5"/>
  <c r="H388" i="5"/>
  <c r="I388" i="5" s="1"/>
  <c r="H389" i="5"/>
  <c r="I389" i="5" s="1"/>
  <c r="H390" i="5"/>
  <c r="I390" i="5" s="1"/>
  <c r="H391" i="5"/>
  <c r="I391" i="5"/>
  <c r="H392" i="5"/>
  <c r="I392" i="5" s="1"/>
  <c r="H393" i="5"/>
  <c r="I393" i="5" s="1"/>
  <c r="H394" i="5"/>
  <c r="I394" i="5" s="1"/>
  <c r="H395" i="5"/>
  <c r="I395" i="5"/>
  <c r="H396" i="5"/>
  <c r="I396" i="5" s="1"/>
  <c r="H397" i="5"/>
  <c r="I397" i="5" s="1"/>
  <c r="H398" i="5"/>
  <c r="I398" i="5" s="1"/>
  <c r="H399" i="5"/>
  <c r="I399" i="5"/>
  <c r="H400" i="5"/>
  <c r="I400" i="5" s="1"/>
  <c r="H401" i="5"/>
  <c r="I401" i="5" s="1"/>
  <c r="H402" i="5"/>
  <c r="I402" i="5" s="1"/>
  <c r="H403" i="5"/>
  <c r="I403" i="5"/>
  <c r="H404" i="5"/>
  <c r="I404" i="5" s="1"/>
  <c r="H405" i="5"/>
  <c r="I405" i="5" s="1"/>
  <c r="H406" i="5"/>
  <c r="I406" i="5" s="1"/>
  <c r="H407" i="5"/>
  <c r="I407" i="5"/>
  <c r="H408" i="5"/>
  <c r="I408" i="5" s="1"/>
  <c r="H409" i="5"/>
  <c r="I409" i="5" s="1"/>
  <c r="H410" i="5"/>
  <c r="I410" i="5" s="1"/>
  <c r="H411" i="5"/>
  <c r="I411" i="5"/>
  <c r="H412" i="5"/>
  <c r="I412" i="5" s="1"/>
  <c r="H413" i="5"/>
  <c r="I413" i="5" s="1"/>
  <c r="H414" i="5"/>
  <c r="I414" i="5" s="1"/>
  <c r="H415" i="5"/>
  <c r="I415" i="5"/>
  <c r="H416" i="5"/>
  <c r="I416" i="5" s="1"/>
  <c r="H417" i="5"/>
  <c r="I417" i="5" s="1"/>
  <c r="H418" i="5"/>
  <c r="I418" i="5" s="1"/>
  <c r="H419" i="5"/>
  <c r="I419" i="5"/>
  <c r="H420" i="5"/>
  <c r="I420" i="5" s="1"/>
  <c r="H421" i="5"/>
  <c r="I421" i="5" s="1"/>
  <c r="H422" i="5"/>
  <c r="I422" i="5" s="1"/>
  <c r="H423" i="5"/>
  <c r="I423" i="5"/>
  <c r="H424" i="5"/>
  <c r="I424" i="5" s="1"/>
  <c r="H425" i="5"/>
  <c r="I425" i="5" s="1"/>
  <c r="H426" i="5"/>
  <c r="I426" i="5" s="1"/>
  <c r="H427" i="5"/>
  <c r="I427" i="5"/>
  <c r="H428" i="5"/>
  <c r="I428" i="5" s="1"/>
  <c r="H429" i="5"/>
  <c r="I429" i="5" s="1"/>
  <c r="H430" i="5"/>
  <c r="I430" i="5" s="1"/>
  <c r="H431" i="5"/>
  <c r="I431" i="5"/>
  <c r="H432" i="5"/>
  <c r="I432" i="5" s="1"/>
  <c r="H433" i="5"/>
  <c r="I433" i="5" s="1"/>
  <c r="H434" i="5"/>
  <c r="I434" i="5" s="1"/>
  <c r="H435" i="5"/>
  <c r="I435" i="5"/>
  <c r="H436" i="5"/>
  <c r="I436" i="5" s="1"/>
  <c r="H437" i="5"/>
  <c r="I437" i="5" s="1"/>
  <c r="H438" i="5"/>
  <c r="I438" i="5" s="1"/>
  <c r="H439" i="5"/>
  <c r="I439" i="5"/>
  <c r="H440" i="5"/>
  <c r="I440" i="5" s="1"/>
  <c r="H441" i="5"/>
  <c r="I441" i="5" s="1"/>
  <c r="H442" i="5"/>
  <c r="I442" i="5" s="1"/>
  <c r="H443" i="5"/>
  <c r="I443" i="5"/>
  <c r="H444" i="5"/>
  <c r="I444" i="5" s="1"/>
  <c r="H445" i="5"/>
  <c r="I445" i="5" s="1"/>
  <c r="H446" i="5"/>
  <c r="I446" i="5" s="1"/>
  <c r="H447" i="5"/>
  <c r="I447" i="5"/>
  <c r="H448" i="5"/>
  <c r="I448" i="5" s="1"/>
  <c r="H449" i="5"/>
  <c r="I449" i="5" s="1"/>
  <c r="H450" i="5"/>
  <c r="I450" i="5" s="1"/>
  <c r="H451" i="5"/>
  <c r="I451" i="5"/>
  <c r="H452" i="5"/>
  <c r="I452" i="5" s="1"/>
  <c r="H453" i="5"/>
  <c r="I453" i="5" s="1"/>
  <c r="H454" i="5"/>
  <c r="I454" i="5" s="1"/>
  <c r="H455" i="5"/>
  <c r="I455" i="5"/>
  <c r="H456" i="5"/>
  <c r="I456" i="5" s="1"/>
  <c r="H457" i="5"/>
  <c r="I457" i="5" s="1"/>
  <c r="H458" i="5"/>
  <c r="I458" i="5" s="1"/>
  <c r="H459" i="5"/>
  <c r="I459" i="5"/>
  <c r="H460" i="5"/>
  <c r="I460" i="5" s="1"/>
  <c r="H461" i="5"/>
  <c r="I461" i="5" s="1"/>
  <c r="H462" i="5"/>
  <c r="I462" i="5" s="1"/>
  <c r="H463" i="5"/>
  <c r="I463" i="5"/>
  <c r="H464" i="5"/>
  <c r="I464" i="5" s="1"/>
  <c r="H465" i="5"/>
  <c r="I465" i="5" s="1"/>
  <c r="H466" i="5"/>
  <c r="I466" i="5" s="1"/>
  <c r="H467" i="5"/>
  <c r="I467" i="5"/>
  <c r="H468" i="5"/>
  <c r="I468" i="5" s="1"/>
  <c r="H469" i="5"/>
  <c r="I469" i="5" s="1"/>
  <c r="H470" i="5"/>
  <c r="I470" i="5" s="1"/>
  <c r="H471" i="5"/>
  <c r="I471" i="5"/>
  <c r="H472" i="5"/>
  <c r="I472" i="5" s="1"/>
  <c r="H473" i="5"/>
  <c r="I473" i="5" s="1"/>
  <c r="H474" i="5"/>
  <c r="I474" i="5" s="1"/>
  <c r="H475" i="5"/>
  <c r="I475" i="5"/>
  <c r="H476" i="5"/>
  <c r="I476" i="5" s="1"/>
  <c r="H477" i="5"/>
  <c r="I477" i="5" s="1"/>
  <c r="H478" i="5"/>
  <c r="I478" i="5" s="1"/>
  <c r="H479" i="5"/>
  <c r="I479" i="5"/>
  <c r="H480" i="5"/>
  <c r="I480" i="5" s="1"/>
  <c r="H481" i="5"/>
  <c r="I481" i="5" s="1"/>
  <c r="H482" i="5"/>
  <c r="I482" i="5" s="1"/>
  <c r="H483" i="5"/>
  <c r="I483" i="5"/>
  <c r="H484" i="5"/>
  <c r="I484" i="5" s="1"/>
  <c r="H485" i="5"/>
  <c r="I485" i="5" s="1"/>
  <c r="H486" i="5"/>
  <c r="I486" i="5" s="1"/>
  <c r="H487" i="5"/>
  <c r="I487" i="5"/>
  <c r="H488" i="5"/>
  <c r="I488" i="5" s="1"/>
  <c r="H489" i="5"/>
  <c r="I489" i="5" s="1"/>
  <c r="H490" i="5"/>
  <c r="I490" i="5" s="1"/>
  <c r="H491" i="5"/>
  <c r="I491" i="5"/>
  <c r="H492" i="5"/>
  <c r="I492" i="5" s="1"/>
  <c r="H493" i="5"/>
  <c r="I493" i="5" s="1"/>
  <c r="H494" i="5"/>
  <c r="I494" i="5" s="1"/>
  <c r="H495" i="5"/>
  <c r="I495" i="5"/>
  <c r="H496" i="5"/>
  <c r="I496" i="5" s="1"/>
  <c r="H497" i="5"/>
  <c r="I497" i="5" s="1"/>
  <c r="H498" i="5"/>
  <c r="I498" i="5" s="1"/>
  <c r="H499" i="5"/>
  <c r="I499" i="5"/>
  <c r="H500" i="5"/>
  <c r="I500" i="5" s="1"/>
  <c r="H501" i="5"/>
  <c r="I501" i="5" s="1"/>
  <c r="H502" i="5"/>
  <c r="I502" i="5" s="1"/>
  <c r="H503" i="5"/>
  <c r="I503" i="5"/>
  <c r="H504" i="5"/>
  <c r="I504" i="5" s="1"/>
  <c r="H505" i="5"/>
  <c r="I505" i="5" s="1"/>
  <c r="H506" i="5"/>
  <c r="I506" i="5" s="1"/>
  <c r="H507" i="5"/>
  <c r="I507" i="5"/>
  <c r="H508" i="5"/>
  <c r="I508" i="5" s="1"/>
  <c r="H509" i="5"/>
  <c r="I509" i="5" s="1"/>
  <c r="H510" i="5"/>
  <c r="I510" i="5" s="1"/>
  <c r="H511" i="5"/>
  <c r="I511" i="5"/>
  <c r="H512" i="5"/>
  <c r="I512" i="5" s="1"/>
  <c r="H513" i="5"/>
  <c r="I513" i="5" s="1"/>
  <c r="H514" i="5"/>
  <c r="I514" i="5" s="1"/>
  <c r="H515" i="5"/>
  <c r="I515" i="5"/>
  <c r="H516" i="5"/>
  <c r="I516" i="5" s="1"/>
  <c r="H517" i="5"/>
  <c r="I517" i="5" s="1"/>
  <c r="H518" i="5"/>
  <c r="I518" i="5" s="1"/>
  <c r="H519" i="5"/>
  <c r="I519" i="5"/>
  <c r="H520" i="5"/>
  <c r="I520" i="5" s="1"/>
  <c r="H521" i="5"/>
  <c r="I521" i="5" s="1"/>
  <c r="H522" i="5"/>
  <c r="I522" i="5" s="1"/>
  <c r="H523" i="5"/>
  <c r="I523" i="5"/>
  <c r="H524" i="5"/>
  <c r="I524" i="5" s="1"/>
  <c r="H525" i="5"/>
  <c r="I525" i="5" s="1"/>
  <c r="H526" i="5"/>
  <c r="I526" i="5" s="1"/>
  <c r="H527" i="5"/>
  <c r="I527" i="5"/>
  <c r="H528" i="5"/>
  <c r="I528" i="5" s="1"/>
  <c r="H529" i="5"/>
  <c r="I529" i="5" s="1"/>
  <c r="H530" i="5"/>
  <c r="I530" i="5" s="1"/>
  <c r="H531" i="5"/>
  <c r="I531" i="5"/>
  <c r="H532" i="5"/>
  <c r="I532" i="5" s="1"/>
  <c r="H533" i="5"/>
  <c r="I533" i="5" s="1"/>
  <c r="H534" i="5"/>
  <c r="I534" i="5" s="1"/>
  <c r="H535" i="5"/>
  <c r="I535" i="5"/>
  <c r="H536" i="5"/>
  <c r="I536" i="5" s="1"/>
  <c r="H537" i="5"/>
  <c r="I537" i="5" s="1"/>
  <c r="H538" i="5"/>
  <c r="I538" i="5" s="1"/>
  <c r="H539" i="5"/>
  <c r="I539" i="5"/>
  <c r="H540" i="5"/>
  <c r="I540" i="5" s="1"/>
  <c r="H541" i="5"/>
  <c r="I541" i="5" s="1"/>
  <c r="H542" i="5"/>
  <c r="I542" i="5" s="1"/>
  <c r="H543" i="5"/>
  <c r="I543" i="5"/>
  <c r="H544" i="5"/>
  <c r="I544" i="5" s="1"/>
  <c r="H545" i="5"/>
  <c r="I545" i="5" s="1"/>
  <c r="H546" i="5"/>
  <c r="I546" i="5" s="1"/>
  <c r="H547" i="5"/>
  <c r="I547" i="5"/>
  <c r="H548" i="5"/>
  <c r="I548" i="5" s="1"/>
  <c r="H549" i="5"/>
  <c r="I549" i="5" s="1"/>
  <c r="H550" i="5"/>
  <c r="I550" i="5" s="1"/>
  <c r="H551" i="5"/>
  <c r="I551" i="5"/>
  <c r="H552" i="5"/>
  <c r="I552" i="5" s="1"/>
  <c r="H553" i="5"/>
  <c r="I553" i="5" s="1"/>
  <c r="H554" i="5"/>
  <c r="I554" i="5" s="1"/>
  <c r="H555" i="5"/>
  <c r="I555" i="5"/>
  <c r="H556" i="5"/>
  <c r="I556" i="5" s="1"/>
  <c r="H557" i="5"/>
  <c r="I557" i="5" s="1"/>
  <c r="H558" i="5"/>
  <c r="I558" i="5" s="1"/>
  <c r="H559" i="5"/>
  <c r="I559" i="5"/>
  <c r="H560" i="5"/>
  <c r="I560" i="5" s="1"/>
  <c r="H561" i="5"/>
  <c r="I561" i="5" s="1"/>
  <c r="H562" i="5"/>
  <c r="I562" i="5" s="1"/>
  <c r="H563" i="5"/>
  <c r="I563" i="5"/>
  <c r="H564" i="5"/>
  <c r="I564" i="5" s="1"/>
  <c r="H565" i="5"/>
  <c r="I565" i="5" s="1"/>
  <c r="H566" i="5"/>
  <c r="I566" i="5" s="1"/>
  <c r="H2" i="4"/>
  <c r="I2" i="4" s="1"/>
  <c r="H3" i="4"/>
  <c r="I3" i="4" s="1"/>
  <c r="H4" i="4"/>
  <c r="I4" i="4" s="1"/>
  <c r="H5" i="4"/>
  <c r="I5" i="4" s="1"/>
  <c r="H6" i="4"/>
  <c r="I6" i="4" s="1"/>
  <c r="H7" i="4"/>
  <c r="I7" i="4" s="1"/>
  <c r="H8" i="4"/>
  <c r="I8" i="4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/>
  <c r="H16" i="4"/>
  <c r="I16" i="4" s="1"/>
  <c r="H17" i="4"/>
  <c r="I17" i="4" s="1"/>
  <c r="H18" i="4"/>
  <c r="I18" i="4" s="1"/>
  <c r="H19" i="4"/>
  <c r="I19" i="4"/>
  <c r="H20" i="4"/>
  <c r="I20" i="4" s="1"/>
  <c r="H21" i="4"/>
  <c r="I21" i="4" s="1"/>
  <c r="H22" i="4"/>
  <c r="I22" i="4" s="1"/>
  <c r="H23" i="4"/>
  <c r="I23" i="4" s="1"/>
  <c r="H24" i="4"/>
  <c r="I24" i="4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/>
  <c r="H36" i="4"/>
  <c r="I36" i="4" s="1"/>
  <c r="H37" i="4"/>
  <c r="I37" i="4" s="1"/>
  <c r="H38" i="4"/>
  <c r="I38" i="4" s="1"/>
  <c r="H39" i="4"/>
  <c r="I39" i="4" s="1"/>
  <c r="H40" i="4"/>
  <c r="I40" i="4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/>
  <c r="H52" i="4"/>
  <c r="I52" i="4" s="1"/>
  <c r="H53" i="4"/>
  <c r="I53" i="4" s="1"/>
  <c r="H54" i="4"/>
  <c r="I54" i="4" s="1"/>
  <c r="H55" i="4"/>
  <c r="I55" i="4" s="1"/>
  <c r="H56" i="4"/>
  <c r="I56" i="4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/>
  <c r="H68" i="4"/>
  <c r="I68" i="4" s="1"/>
  <c r="H69" i="4"/>
  <c r="I69" i="4" s="1"/>
  <c r="H70" i="4"/>
  <c r="I70" i="4" s="1"/>
  <c r="H71" i="4"/>
  <c r="I71" i="4" s="1"/>
  <c r="H72" i="4"/>
  <c r="I72" i="4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/>
  <c r="H84" i="4"/>
  <c r="I84" i="4" s="1"/>
  <c r="H85" i="4"/>
  <c r="I85" i="4" s="1"/>
  <c r="H86" i="4"/>
  <c r="I86" i="4" s="1"/>
  <c r="H87" i="4"/>
  <c r="I87" i="4" s="1"/>
  <c r="H88" i="4"/>
  <c r="I88" i="4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/>
  <c r="H100" i="4"/>
  <c r="I100" i="4" s="1"/>
  <c r="H101" i="4"/>
  <c r="I101" i="4" s="1"/>
  <c r="H102" i="4"/>
  <c r="I102" i="4" s="1"/>
  <c r="H103" i="4"/>
  <c r="I103" i="4" s="1"/>
  <c r="H104" i="4"/>
  <c r="I104" i="4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/>
  <c r="H116" i="4"/>
  <c r="I116" i="4" s="1"/>
  <c r="H117" i="4"/>
  <c r="I117" i="4" s="1"/>
  <c r="H118" i="4"/>
  <c r="I118" i="4" s="1"/>
  <c r="H119" i="4"/>
  <c r="I119" i="4" s="1"/>
  <c r="H120" i="4"/>
  <c r="I120" i="4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/>
  <c r="H132" i="4"/>
  <c r="I132" i="4" s="1"/>
  <c r="H133" i="4"/>
  <c r="I133" i="4" s="1"/>
  <c r="H134" i="4"/>
  <c r="I134" i="4" s="1"/>
  <c r="H135" i="4"/>
  <c r="I135" i="4" s="1"/>
  <c r="H136" i="4"/>
  <c r="I136" i="4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/>
  <c r="H148" i="4"/>
  <c r="I148" i="4" s="1"/>
  <c r="H149" i="4"/>
  <c r="I149" i="4" s="1"/>
  <c r="H150" i="4"/>
  <c r="I150" i="4" s="1"/>
  <c r="H151" i="4"/>
  <c r="I151" i="4" s="1"/>
  <c r="H152" i="4"/>
  <c r="I152" i="4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/>
  <c r="H164" i="4"/>
  <c r="I164" i="4" s="1"/>
  <c r="H165" i="4"/>
  <c r="I165" i="4" s="1"/>
  <c r="H166" i="4"/>
  <c r="I166" i="4" s="1"/>
  <c r="H167" i="4"/>
  <c r="I167" i="4" s="1"/>
  <c r="H168" i="4"/>
  <c r="I168" i="4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/>
  <c r="H180" i="4"/>
  <c r="I180" i="4" s="1"/>
  <c r="H181" i="4"/>
  <c r="I181" i="4" s="1"/>
  <c r="H182" i="4"/>
  <c r="I182" i="4" s="1"/>
  <c r="H183" i="4"/>
  <c r="I183" i="4" s="1"/>
  <c r="H184" i="4"/>
  <c r="I184" i="4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/>
  <c r="H196" i="4"/>
  <c r="I196" i="4" s="1"/>
  <c r="H197" i="4"/>
  <c r="I197" i="4" s="1"/>
  <c r="H198" i="4"/>
  <c r="I198" i="4" s="1"/>
  <c r="H199" i="4"/>
  <c r="I199" i="4" s="1"/>
  <c r="H200" i="4"/>
  <c r="I200" i="4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/>
  <c r="H212" i="4"/>
  <c r="I212" i="4" s="1"/>
  <c r="H213" i="4"/>
  <c r="I213" i="4" s="1"/>
  <c r="H214" i="4"/>
  <c r="I214" i="4" s="1"/>
  <c r="H215" i="4"/>
  <c r="I215" i="4" s="1"/>
  <c r="H216" i="4"/>
  <c r="I216" i="4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/>
  <c r="H228" i="4"/>
  <c r="I228" i="4" s="1"/>
  <c r="H229" i="4"/>
  <c r="I229" i="4" s="1"/>
  <c r="H230" i="4"/>
  <c r="I230" i="4" s="1"/>
  <c r="H231" i="4"/>
  <c r="I231" i="4" s="1"/>
  <c r="H232" i="4"/>
  <c r="I232" i="4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/>
  <c r="H244" i="4"/>
  <c r="I244" i="4" s="1"/>
  <c r="H245" i="4"/>
  <c r="I245" i="4" s="1"/>
  <c r="H246" i="4"/>
  <c r="I246" i="4" s="1"/>
  <c r="H247" i="4"/>
  <c r="I247" i="4" s="1"/>
  <c r="H248" i="4"/>
  <c r="I248" i="4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/>
  <c r="H260" i="4"/>
  <c r="I260" i="4" s="1"/>
  <c r="H261" i="4"/>
  <c r="I261" i="4" s="1"/>
  <c r="H262" i="4"/>
  <c r="I262" i="4" s="1"/>
  <c r="H263" i="4"/>
  <c r="I263" i="4" s="1"/>
  <c r="H264" i="4"/>
  <c r="I264" i="4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/>
  <c r="H276" i="4"/>
  <c r="I276" i="4" s="1"/>
  <c r="H277" i="4"/>
  <c r="I277" i="4" s="1"/>
  <c r="H278" i="4"/>
  <c r="I278" i="4" s="1"/>
  <c r="H279" i="4"/>
  <c r="I279" i="4" s="1"/>
  <c r="H280" i="4"/>
  <c r="I280" i="4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/>
  <c r="H292" i="4"/>
  <c r="I292" i="4" s="1"/>
  <c r="H293" i="4"/>
  <c r="I293" i="4" s="1"/>
  <c r="H294" i="4"/>
  <c r="I294" i="4" s="1"/>
  <c r="H295" i="4"/>
  <c r="I295" i="4" s="1"/>
  <c r="H296" i="4"/>
  <c r="I296" i="4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/>
  <c r="H308" i="4"/>
  <c r="I308" i="4" s="1"/>
  <c r="H309" i="4"/>
  <c r="I309" i="4" s="1"/>
  <c r="H310" i="4"/>
  <c r="I310" i="4" s="1"/>
  <c r="H311" i="4"/>
  <c r="I311" i="4" s="1"/>
  <c r="H312" i="4"/>
  <c r="I312" i="4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/>
  <c r="H324" i="4"/>
  <c r="I324" i="4" s="1"/>
  <c r="H325" i="4"/>
  <c r="I325" i="4" s="1"/>
  <c r="H326" i="4"/>
  <c r="I326" i="4" s="1"/>
  <c r="H327" i="4"/>
  <c r="I327" i="4" s="1"/>
  <c r="H328" i="4"/>
  <c r="I328" i="4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/>
  <c r="H340" i="4"/>
  <c r="I340" i="4" s="1"/>
  <c r="H341" i="4"/>
  <c r="I341" i="4" s="1"/>
  <c r="H342" i="4"/>
  <c r="I342" i="4"/>
  <c r="H343" i="4"/>
  <c r="I343" i="4"/>
  <c r="H344" i="4"/>
  <c r="I344" i="4" s="1"/>
  <c r="H345" i="4"/>
  <c r="I345" i="4"/>
  <c r="H346" i="4"/>
  <c r="I346" i="4"/>
  <c r="H347" i="4"/>
  <c r="I347" i="4"/>
  <c r="H348" i="4"/>
  <c r="I348" i="4" s="1"/>
  <c r="H349" i="4"/>
  <c r="I349" i="4"/>
  <c r="H350" i="4"/>
  <c r="I350" i="4"/>
  <c r="H351" i="4"/>
  <c r="I351" i="4"/>
  <c r="H352" i="4"/>
  <c r="I352" i="4" s="1"/>
  <c r="H353" i="4"/>
  <c r="I353" i="4"/>
  <c r="H354" i="4"/>
  <c r="I354" i="4"/>
  <c r="H355" i="4"/>
  <c r="I355" i="4"/>
  <c r="H356" i="4"/>
  <c r="I356" i="4" s="1"/>
  <c r="H357" i="4"/>
  <c r="I357" i="4"/>
  <c r="H358" i="4"/>
  <c r="I358" i="4"/>
  <c r="H359" i="4"/>
  <c r="I359" i="4"/>
  <c r="H360" i="4"/>
  <c r="I360" i="4" s="1"/>
  <c r="H361" i="4"/>
  <c r="I361" i="4"/>
  <c r="H362" i="4"/>
  <c r="I362" i="4"/>
  <c r="H363" i="4"/>
  <c r="I363" i="4"/>
  <c r="H364" i="4"/>
  <c r="I364" i="4" s="1"/>
  <c r="H365" i="4"/>
  <c r="I365" i="4"/>
  <c r="H366" i="4"/>
  <c r="I366" i="4"/>
  <c r="H367" i="4"/>
  <c r="I367" i="4"/>
  <c r="H368" i="4"/>
  <c r="I368" i="4" s="1"/>
  <c r="H369" i="4"/>
  <c r="I369" i="4"/>
  <c r="H370" i="4"/>
  <c r="I370" i="4"/>
  <c r="H371" i="4"/>
  <c r="I371" i="4"/>
  <c r="H372" i="4"/>
  <c r="I372" i="4" s="1"/>
  <c r="H373" i="4"/>
  <c r="I373" i="4"/>
  <c r="H374" i="4"/>
  <c r="I374" i="4"/>
  <c r="H375" i="4"/>
  <c r="I375" i="4"/>
  <c r="H376" i="4"/>
  <c r="I376" i="4" s="1"/>
  <c r="H377" i="4"/>
  <c r="I377" i="4"/>
  <c r="H378" i="4"/>
  <c r="I378" i="4"/>
  <c r="H379" i="4"/>
  <c r="I379" i="4"/>
  <c r="H380" i="4"/>
  <c r="I380" i="4" s="1"/>
  <c r="H381" i="4"/>
  <c r="I381" i="4"/>
  <c r="H382" i="4"/>
  <c r="I382" i="4"/>
  <c r="H383" i="4"/>
  <c r="I383" i="4"/>
  <c r="H384" i="4"/>
  <c r="I384" i="4" s="1"/>
  <c r="H385" i="4"/>
  <c r="I385" i="4"/>
  <c r="H386" i="4"/>
  <c r="I386" i="4"/>
  <c r="H387" i="4"/>
  <c r="I387" i="4"/>
  <c r="H388" i="4"/>
  <c r="I388" i="4" s="1"/>
  <c r="H389" i="4"/>
  <c r="I389" i="4"/>
  <c r="H390" i="4"/>
  <c r="I390" i="4"/>
  <c r="H391" i="4"/>
  <c r="I391" i="4"/>
  <c r="H392" i="4"/>
  <c r="I392" i="4" s="1"/>
  <c r="H393" i="4"/>
  <c r="I393" i="4"/>
  <c r="H394" i="4"/>
  <c r="I394" i="4"/>
  <c r="H395" i="4"/>
  <c r="I395" i="4"/>
  <c r="H396" i="4"/>
  <c r="I396" i="4" s="1"/>
  <c r="H397" i="4"/>
  <c r="I397" i="4"/>
  <c r="H398" i="4"/>
  <c r="I398" i="4"/>
  <c r="H399" i="4"/>
  <c r="I399" i="4"/>
  <c r="H400" i="4"/>
  <c r="I400" i="4" s="1"/>
  <c r="H401" i="4"/>
  <c r="I401" i="4"/>
  <c r="H402" i="4"/>
  <c r="I402" i="4"/>
  <c r="H403" i="4"/>
  <c r="I403" i="4"/>
  <c r="H404" i="4"/>
  <c r="I404" i="4" s="1"/>
  <c r="H405" i="4"/>
  <c r="I405" i="4"/>
  <c r="H406" i="4"/>
  <c r="I406" i="4"/>
  <c r="H407" i="4"/>
  <c r="I407" i="4"/>
  <c r="H408" i="4"/>
  <c r="I408" i="4" s="1"/>
  <c r="H409" i="4"/>
  <c r="I409" i="4"/>
  <c r="H410" i="4"/>
  <c r="I410" i="4"/>
  <c r="H411" i="4"/>
  <c r="I411" i="4"/>
  <c r="H412" i="4"/>
  <c r="I412" i="4" s="1"/>
  <c r="H413" i="4"/>
  <c r="I413" i="4"/>
  <c r="H414" i="4"/>
  <c r="I414" i="4"/>
  <c r="H415" i="4"/>
  <c r="I415" i="4"/>
  <c r="H416" i="4"/>
  <c r="I416" i="4" s="1"/>
  <c r="H417" i="4"/>
  <c r="I417" i="4"/>
  <c r="H418" i="4"/>
  <c r="I418" i="4"/>
  <c r="H419" i="4"/>
  <c r="I419" i="4"/>
  <c r="H420" i="4"/>
  <c r="I420" i="4" s="1"/>
  <c r="H421" i="4"/>
  <c r="I421" i="4"/>
  <c r="H422" i="4"/>
  <c r="I422" i="4"/>
  <c r="H423" i="4"/>
  <c r="I423" i="4"/>
  <c r="H424" i="4"/>
  <c r="I424" i="4" s="1"/>
  <c r="H425" i="4"/>
  <c r="I425" i="4"/>
  <c r="H426" i="4"/>
  <c r="I426" i="4"/>
  <c r="H427" i="4"/>
  <c r="I427" i="4"/>
  <c r="H428" i="4"/>
  <c r="I428" i="4" s="1"/>
  <c r="H429" i="4"/>
  <c r="I429" i="4"/>
  <c r="H430" i="4"/>
  <c r="I430" i="4"/>
  <c r="H431" i="4"/>
  <c r="I431" i="4"/>
  <c r="H432" i="4"/>
  <c r="I432" i="4" s="1"/>
  <c r="H433" i="4"/>
  <c r="I433" i="4"/>
  <c r="H434" i="4"/>
  <c r="I434" i="4"/>
  <c r="H435" i="4"/>
  <c r="I435" i="4"/>
  <c r="H436" i="4"/>
  <c r="I436" i="4" s="1"/>
  <c r="H437" i="4"/>
  <c r="I437" i="4"/>
  <c r="H438" i="4"/>
  <c r="I438" i="4"/>
  <c r="H439" i="4"/>
  <c r="I439" i="4"/>
  <c r="H440" i="4"/>
  <c r="I440" i="4" s="1"/>
  <c r="H441" i="4"/>
  <c r="I441" i="4"/>
  <c r="H442" i="4"/>
  <c r="I442" i="4"/>
  <c r="H443" i="4"/>
  <c r="I443" i="4"/>
  <c r="H444" i="4"/>
  <c r="I444" i="4" s="1"/>
  <c r="H445" i="4"/>
  <c r="I445" i="4"/>
  <c r="H446" i="4"/>
  <c r="I446" i="4"/>
  <c r="H447" i="4"/>
  <c r="I447" i="4"/>
  <c r="H448" i="4"/>
  <c r="I448" i="4" s="1"/>
  <c r="H449" i="4"/>
  <c r="I449" i="4"/>
  <c r="H450" i="4"/>
  <c r="I450" i="4"/>
  <c r="H451" i="4"/>
  <c r="I451" i="4"/>
  <c r="H452" i="4"/>
  <c r="I452" i="4" s="1"/>
  <c r="H453" i="4"/>
  <c r="I453" i="4"/>
  <c r="H454" i="4"/>
  <c r="I454" i="4"/>
  <c r="H455" i="4"/>
  <c r="I455" i="4"/>
  <c r="H456" i="4"/>
  <c r="I456" i="4" s="1"/>
  <c r="H457" i="4"/>
  <c r="I457" i="4"/>
  <c r="H458" i="4"/>
  <c r="I458" i="4"/>
  <c r="H459" i="4"/>
  <c r="I459" i="4"/>
  <c r="H460" i="4"/>
  <c r="I460" i="4" s="1"/>
  <c r="H461" i="4"/>
  <c r="I461" i="4"/>
  <c r="H462" i="4"/>
  <c r="I462" i="4"/>
  <c r="H463" i="4"/>
  <c r="I463" i="4"/>
  <c r="H464" i="4"/>
  <c r="I464" i="4" s="1"/>
  <c r="H465" i="4"/>
  <c r="I465" i="4"/>
  <c r="H466" i="4"/>
  <c r="I466" i="4"/>
  <c r="H467" i="4"/>
  <c r="I467" i="4"/>
  <c r="H468" i="4"/>
  <c r="I468" i="4" s="1"/>
  <c r="H469" i="4"/>
  <c r="I469" i="4"/>
  <c r="H470" i="4"/>
  <c r="I470" i="4"/>
  <c r="H471" i="4"/>
  <c r="I471" i="4"/>
  <c r="H472" i="4"/>
  <c r="I472" i="4" s="1"/>
  <c r="H473" i="4"/>
  <c r="I473" i="4"/>
  <c r="H474" i="4"/>
  <c r="I474" i="4"/>
  <c r="H475" i="4"/>
  <c r="I475" i="4"/>
  <c r="H476" i="4"/>
  <c r="I476" i="4" s="1"/>
  <c r="H477" i="4"/>
  <c r="I477" i="4"/>
  <c r="H478" i="4"/>
  <c r="I478" i="4"/>
  <c r="H479" i="4"/>
  <c r="I479" i="4"/>
  <c r="H480" i="4"/>
  <c r="I480" i="4" s="1"/>
  <c r="H481" i="4"/>
  <c r="I481" i="4"/>
  <c r="H482" i="4"/>
  <c r="I482" i="4"/>
  <c r="H483" i="4"/>
  <c r="I483" i="4"/>
  <c r="H484" i="4"/>
  <c r="I484" i="4" s="1"/>
  <c r="H485" i="4"/>
  <c r="I485" i="4"/>
  <c r="H486" i="4"/>
  <c r="I486" i="4"/>
  <c r="H487" i="4"/>
  <c r="I487" i="4"/>
  <c r="H488" i="4"/>
  <c r="I488" i="4" s="1"/>
  <c r="H489" i="4"/>
  <c r="I489" i="4"/>
  <c r="H490" i="4"/>
  <c r="I490" i="4"/>
  <c r="H491" i="4"/>
  <c r="I491" i="4"/>
  <c r="H492" i="4"/>
  <c r="I492" i="4" s="1"/>
  <c r="H493" i="4"/>
  <c r="I493" i="4"/>
  <c r="H494" i="4"/>
  <c r="I494" i="4"/>
  <c r="H495" i="4"/>
  <c r="I495" i="4"/>
  <c r="H496" i="4"/>
  <c r="I496" i="4" s="1"/>
  <c r="H497" i="4"/>
  <c r="I497" i="4"/>
  <c r="H498" i="4"/>
  <c r="I498" i="4"/>
  <c r="H499" i="4"/>
  <c r="I499" i="4"/>
  <c r="H500" i="4"/>
  <c r="I500" i="4" s="1"/>
  <c r="H501" i="4"/>
  <c r="I501" i="4"/>
  <c r="H502" i="4"/>
  <c r="I502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G2" i="3"/>
  <c r="H2" i="3" s="1"/>
  <c r="G3" i="3"/>
  <c r="H3" i="3" s="1"/>
  <c r="G4" i="3"/>
  <c r="H4" i="3" s="1"/>
  <c r="G5" i="3"/>
  <c r="H5" i="3"/>
  <c r="G6" i="3"/>
  <c r="H6" i="3" s="1"/>
  <c r="G7" i="3"/>
  <c r="H7" i="3" s="1"/>
  <c r="G8" i="3"/>
  <c r="H8" i="3" s="1"/>
  <c r="G9" i="3"/>
  <c r="H9" i="3"/>
  <c r="G10" i="3"/>
  <c r="H10" i="3" s="1"/>
  <c r="G11" i="3"/>
  <c r="H11" i="3" s="1"/>
  <c r="G12" i="3"/>
  <c r="H12" i="3" s="1"/>
  <c r="G13" i="3"/>
  <c r="H13" i="3"/>
  <c r="G14" i="3"/>
  <c r="H14" i="3" s="1"/>
  <c r="G15" i="3"/>
  <c r="H15" i="3" s="1"/>
  <c r="G16" i="3"/>
  <c r="H16" i="3" s="1"/>
  <c r="G17" i="3"/>
  <c r="H17" i="3"/>
  <c r="G18" i="3"/>
  <c r="H18" i="3" s="1"/>
  <c r="G19" i="3"/>
  <c r="H19" i="3" s="1"/>
  <c r="G20" i="3"/>
  <c r="H20" i="3" s="1"/>
  <c r="G21" i="3"/>
  <c r="H21" i="3"/>
  <c r="G22" i="3"/>
  <c r="H22" i="3" s="1"/>
  <c r="G23" i="3"/>
  <c r="H23" i="3" s="1"/>
  <c r="G24" i="3"/>
  <c r="H24" i="3" s="1"/>
  <c r="G25" i="3"/>
  <c r="H25" i="3"/>
  <c r="G26" i="3"/>
  <c r="H26" i="3" s="1"/>
  <c r="G27" i="3"/>
  <c r="H27" i="3" s="1"/>
  <c r="G28" i="3"/>
  <c r="H28" i="3" s="1"/>
  <c r="G29" i="3"/>
  <c r="H29" i="3"/>
  <c r="G30" i="3"/>
  <c r="H30" i="3" s="1"/>
  <c r="G31" i="3"/>
  <c r="H31" i="3" s="1"/>
  <c r="G32" i="3"/>
  <c r="H32" i="3" s="1"/>
  <c r="G33" i="3"/>
  <c r="H33" i="3"/>
  <c r="G34" i="3"/>
  <c r="H34" i="3" s="1"/>
  <c r="G35" i="3"/>
  <c r="H35" i="3" s="1"/>
  <c r="G36" i="3"/>
  <c r="H36" i="3" s="1"/>
  <c r="G37" i="3"/>
  <c r="H37" i="3"/>
  <c r="G38" i="3"/>
  <c r="H38" i="3" s="1"/>
  <c r="G39" i="3"/>
  <c r="H39" i="3" s="1"/>
  <c r="G40" i="3"/>
  <c r="H40" i="3" s="1"/>
  <c r="G41" i="3"/>
  <c r="H41" i="3"/>
  <c r="G42" i="3"/>
  <c r="H42" i="3" s="1"/>
  <c r="G43" i="3"/>
  <c r="H43" i="3" s="1"/>
  <c r="G44" i="3"/>
  <c r="H44" i="3" s="1"/>
  <c r="G45" i="3"/>
  <c r="H45" i="3"/>
  <c r="G46" i="3"/>
  <c r="H46" i="3" s="1"/>
  <c r="G47" i="3"/>
  <c r="H47" i="3" s="1"/>
  <c r="G48" i="3"/>
  <c r="H48" i="3" s="1"/>
  <c r="G49" i="3"/>
  <c r="H49" i="3"/>
  <c r="G50" i="3"/>
  <c r="H50" i="3" s="1"/>
  <c r="G51" i="3"/>
  <c r="H51" i="3" s="1"/>
  <c r="G52" i="3"/>
  <c r="H52" i="3" s="1"/>
  <c r="G53" i="3"/>
  <c r="H53" i="3"/>
  <c r="G54" i="3"/>
  <c r="H54" i="3" s="1"/>
  <c r="G55" i="3"/>
  <c r="H55" i="3" s="1"/>
  <c r="G56" i="3"/>
  <c r="H56" i="3" s="1"/>
  <c r="G57" i="3"/>
  <c r="H57" i="3"/>
  <c r="G58" i="3"/>
  <c r="H58" i="3" s="1"/>
  <c r="G59" i="3"/>
  <c r="H59" i="3" s="1"/>
  <c r="G60" i="3"/>
  <c r="H60" i="3" s="1"/>
  <c r="G61" i="3"/>
  <c r="H61" i="3"/>
  <c r="G62" i="3"/>
  <c r="H62" i="3" s="1"/>
  <c r="G63" i="3"/>
  <c r="H63" i="3" s="1"/>
  <c r="G64" i="3"/>
  <c r="H64" i="3" s="1"/>
  <c r="G65" i="3"/>
  <c r="H65" i="3"/>
  <c r="G66" i="3"/>
  <c r="H66" i="3" s="1"/>
  <c r="G67" i="3"/>
  <c r="H67" i="3" s="1"/>
  <c r="G68" i="3"/>
  <c r="H68" i="3" s="1"/>
  <c r="G69" i="3"/>
  <c r="H69" i="3"/>
  <c r="G70" i="3"/>
  <c r="H70" i="3" s="1"/>
  <c r="G71" i="3"/>
  <c r="H71" i="3" s="1"/>
  <c r="G72" i="3"/>
  <c r="H72" i="3" s="1"/>
  <c r="G73" i="3"/>
  <c r="H73" i="3"/>
  <c r="G74" i="3"/>
  <c r="H74" i="3" s="1"/>
  <c r="G75" i="3"/>
  <c r="H75" i="3" s="1"/>
  <c r="G76" i="3"/>
  <c r="H76" i="3" s="1"/>
  <c r="G77" i="3"/>
  <c r="H77" i="3"/>
  <c r="G78" i="3"/>
  <c r="H78" i="3" s="1"/>
  <c r="G79" i="3"/>
  <c r="H79" i="3" s="1"/>
  <c r="G80" i="3"/>
  <c r="H80" i="3" s="1"/>
  <c r="G81" i="3"/>
  <c r="H81" i="3"/>
  <c r="G82" i="3"/>
  <c r="H82" i="3" s="1"/>
  <c r="G83" i="3"/>
  <c r="H83" i="3" s="1"/>
  <c r="G84" i="3"/>
  <c r="H84" i="3" s="1"/>
  <c r="G85" i="3"/>
  <c r="H85" i="3"/>
  <c r="G86" i="3"/>
  <c r="H86" i="3" s="1"/>
  <c r="G87" i="3"/>
  <c r="H87" i="3" s="1"/>
  <c r="G88" i="3"/>
  <c r="H88" i="3" s="1"/>
  <c r="G89" i="3"/>
  <c r="H89" i="3"/>
  <c r="G90" i="3"/>
  <c r="H90" i="3" s="1"/>
  <c r="G91" i="3"/>
  <c r="H91" i="3" s="1"/>
  <c r="G92" i="3"/>
  <c r="H92" i="3" s="1"/>
  <c r="G93" i="3"/>
  <c r="H93" i="3"/>
  <c r="G94" i="3"/>
  <c r="H94" i="3" s="1"/>
  <c r="G95" i="3"/>
  <c r="H95" i="3" s="1"/>
  <c r="G96" i="3"/>
  <c r="H96" i="3" s="1"/>
  <c r="G97" i="3"/>
  <c r="H97" i="3"/>
  <c r="G98" i="3"/>
  <c r="H98" i="3" s="1"/>
  <c r="G99" i="3"/>
  <c r="H99" i="3" s="1"/>
  <c r="G100" i="3"/>
  <c r="H100" i="3" s="1"/>
  <c r="G101" i="3"/>
  <c r="H101" i="3"/>
  <c r="G102" i="3"/>
  <c r="H102" i="3" s="1"/>
  <c r="G103" i="3"/>
  <c r="H103" i="3" s="1"/>
  <c r="G104" i="3"/>
  <c r="H104" i="3" s="1"/>
  <c r="G105" i="3"/>
  <c r="H105" i="3"/>
  <c r="G106" i="3"/>
  <c r="H106" i="3" s="1"/>
  <c r="G107" i="3"/>
  <c r="H107" i="3" s="1"/>
  <c r="G108" i="3"/>
  <c r="H108" i="3" s="1"/>
  <c r="G109" i="3"/>
  <c r="H109" i="3"/>
  <c r="G110" i="3"/>
  <c r="H110" i="3" s="1"/>
  <c r="G111" i="3"/>
  <c r="H111" i="3" s="1"/>
  <c r="G112" i="3"/>
  <c r="H112" i="3" s="1"/>
  <c r="G113" i="3"/>
  <c r="H113" i="3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/>
  <c r="G130" i="3"/>
  <c r="H130" i="3" s="1"/>
  <c r="G131" i="3"/>
  <c r="H131" i="3" s="1"/>
  <c r="G132" i="3"/>
  <c r="H132" i="3" s="1"/>
  <c r="G133" i="3"/>
  <c r="H133" i="3"/>
  <c r="G134" i="3"/>
  <c r="H134" i="3" s="1"/>
  <c r="G135" i="3"/>
  <c r="H135" i="3" s="1"/>
  <c r="G136" i="3"/>
  <c r="H136" i="3" s="1"/>
  <c r="G137" i="3"/>
  <c r="H137" i="3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/>
  <c r="G162" i="3"/>
  <c r="H162" i="3" s="1"/>
  <c r="G163" i="3"/>
  <c r="H163" i="3" s="1"/>
  <c r="G164" i="3"/>
  <c r="H164" i="3" s="1"/>
  <c r="G165" i="3"/>
  <c r="H165" i="3"/>
  <c r="G166" i="3"/>
  <c r="H166" i="3" s="1"/>
  <c r="G167" i="3"/>
  <c r="H167" i="3" s="1"/>
  <c r="G168" i="3"/>
  <c r="H168" i="3" s="1"/>
  <c r="G169" i="3"/>
  <c r="H169" i="3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/>
  <c r="G194" i="3"/>
  <c r="H194" i="3" s="1"/>
  <c r="G195" i="3"/>
  <c r="H195" i="3" s="1"/>
  <c r="G196" i="3"/>
  <c r="H196" i="3" s="1"/>
  <c r="G197" i="3"/>
  <c r="H197" i="3"/>
  <c r="G198" i="3"/>
  <c r="H198" i="3" s="1"/>
  <c r="G199" i="3"/>
  <c r="H199" i="3" s="1"/>
  <c r="G200" i="3"/>
  <c r="H200" i="3" s="1"/>
  <c r="G201" i="3"/>
  <c r="H201" i="3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/>
  <c r="G226" i="3"/>
  <c r="H226" i="3" s="1"/>
  <c r="G227" i="3"/>
  <c r="H227" i="3" s="1"/>
  <c r="G228" i="3"/>
  <c r="H228" i="3" s="1"/>
  <c r="G229" i="3"/>
  <c r="H229" i="3"/>
  <c r="G230" i="3"/>
  <c r="H230" i="3" s="1"/>
  <c r="G231" i="3"/>
  <c r="H231" i="3" s="1"/>
  <c r="G232" i="3"/>
  <c r="H232" i="3" s="1"/>
  <c r="G233" i="3"/>
  <c r="H233" i="3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/>
  <c r="G246" i="3"/>
  <c r="H246" i="3" s="1"/>
  <c r="G247" i="3"/>
  <c r="H247" i="3"/>
  <c r="G248" i="3"/>
  <c r="H248" i="3"/>
  <c r="G249" i="3"/>
  <c r="H249" i="3" s="1"/>
  <c r="G250" i="3"/>
  <c r="H250" i="3" s="1"/>
  <c r="G251" i="3"/>
  <c r="H251" i="3" s="1"/>
  <c r="G252" i="3"/>
  <c r="H252" i="3" s="1"/>
  <c r="G253" i="3"/>
  <c r="H253" i="3" s="1"/>
  <c r="G254" i="3"/>
  <c r="H254" i="3" s="1"/>
  <c r="G255" i="3"/>
  <c r="H255" i="3" s="1"/>
  <c r="G256" i="3"/>
  <c r="H256" i="3"/>
  <c r="G257" i="3"/>
  <c r="H257" i="3"/>
  <c r="G258" i="3"/>
  <c r="H258" i="3" s="1"/>
  <c r="G259" i="3"/>
  <c r="H259" i="3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H265" i="3"/>
  <c r="G266" i="3"/>
  <c r="H266" i="3" s="1"/>
  <c r="G267" i="3"/>
  <c r="H267" i="3" s="1"/>
  <c r="G268" i="3"/>
  <c r="H268" i="3"/>
  <c r="G269" i="3"/>
  <c r="H269" i="3" s="1"/>
  <c r="G270" i="3"/>
  <c r="H270" i="3" s="1"/>
  <c r="G271" i="3"/>
  <c r="H271" i="3"/>
  <c r="G272" i="3"/>
  <c r="H272" i="3" s="1"/>
  <c r="G273" i="3"/>
  <c r="H273" i="3" s="1"/>
  <c r="G274" i="3"/>
  <c r="H274" i="3" s="1"/>
  <c r="G275" i="3"/>
  <c r="H275" i="3" s="1"/>
  <c r="G276" i="3"/>
  <c r="H276" i="3" s="1"/>
  <c r="G277" i="3"/>
  <c r="H277" i="3"/>
  <c r="G278" i="3"/>
  <c r="H278" i="3" s="1"/>
  <c r="G279" i="3"/>
  <c r="H279" i="3"/>
  <c r="G280" i="3"/>
  <c r="H280" i="3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/>
  <c r="G289" i="3"/>
  <c r="H289" i="3"/>
  <c r="G290" i="3"/>
  <c r="H290" i="3" s="1"/>
  <c r="G291" i="3"/>
  <c r="H291" i="3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/>
  <c r="G298" i="3"/>
  <c r="H298" i="3" s="1"/>
  <c r="G299" i="3"/>
  <c r="H299" i="3" s="1"/>
  <c r="G300" i="3"/>
  <c r="H300" i="3"/>
  <c r="G301" i="3"/>
  <c r="H301" i="3" s="1"/>
  <c r="G302" i="3"/>
  <c r="H302" i="3" s="1"/>
  <c r="G303" i="3"/>
  <c r="H303" i="3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/>
  <c r="G310" i="3"/>
  <c r="H310" i="3" s="1"/>
  <c r="G311" i="3"/>
  <c r="H311" i="3"/>
  <c r="G312" i="3"/>
  <c r="H312" i="3"/>
  <c r="G313" i="3"/>
  <c r="H313" i="3" s="1"/>
  <c r="G314" i="3"/>
  <c r="H314" i="3" s="1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/>
  <c r="G321" i="3"/>
  <c r="H321" i="3"/>
  <c r="G322" i="3"/>
  <c r="H322" i="3" s="1"/>
  <c r="G323" i="3"/>
  <c r="H323" i="3"/>
  <c r="G324" i="3"/>
  <c r="H324" i="3" s="1"/>
  <c r="G325" i="3"/>
  <c r="H325" i="3" s="1"/>
  <c r="G326" i="3"/>
  <c r="H326" i="3" s="1"/>
  <c r="G327" i="3"/>
  <c r="H327" i="3" s="1"/>
  <c r="G328" i="3"/>
  <c r="H328" i="3" s="1"/>
  <c r="G329" i="3"/>
  <c r="H329" i="3"/>
  <c r="G330" i="3"/>
  <c r="H330" i="3" s="1"/>
  <c r="G331" i="3"/>
  <c r="H331" i="3" s="1"/>
  <c r="G332" i="3"/>
  <c r="H332" i="3"/>
  <c r="G333" i="3"/>
  <c r="H333" i="3" s="1"/>
  <c r="G334" i="3"/>
  <c r="H334" i="3" s="1"/>
  <c r="G335" i="3"/>
  <c r="H335" i="3"/>
  <c r="G336" i="3"/>
  <c r="H336" i="3" s="1"/>
  <c r="G337" i="3"/>
  <c r="H337" i="3" s="1"/>
  <c r="G338" i="3"/>
  <c r="H338" i="3" s="1"/>
  <c r="G339" i="3"/>
  <c r="H339" i="3" s="1"/>
  <c r="G340" i="3"/>
  <c r="H340" i="3" s="1"/>
  <c r="G341" i="3"/>
  <c r="H341" i="3"/>
  <c r="G342" i="3"/>
  <c r="H342" i="3" s="1"/>
  <c r="G343" i="3"/>
  <c r="H343" i="3" s="1"/>
  <c r="G344" i="3"/>
  <c r="H344" i="3" s="1"/>
  <c r="G345" i="3"/>
  <c r="H345" i="3"/>
  <c r="G346" i="3"/>
  <c r="H346" i="3" s="1"/>
  <c r="G347" i="3"/>
  <c r="H347" i="3" s="1"/>
  <c r="G348" i="3"/>
  <c r="H348" i="3" s="1"/>
  <c r="G349" i="3"/>
  <c r="H349" i="3"/>
  <c r="G350" i="3"/>
  <c r="H350" i="3" s="1"/>
  <c r="G351" i="3"/>
  <c r="H351" i="3" s="1"/>
  <c r="G352" i="3"/>
  <c r="H352" i="3" s="1"/>
  <c r="G353" i="3"/>
  <c r="H353" i="3"/>
  <c r="G354" i="3"/>
  <c r="H354" i="3" s="1"/>
  <c r="G355" i="3"/>
  <c r="H355" i="3" s="1"/>
  <c r="G356" i="3"/>
  <c r="H356" i="3" s="1"/>
  <c r="G357" i="3"/>
  <c r="H357" i="3"/>
  <c r="G358" i="3"/>
  <c r="H358" i="3" s="1"/>
  <c r="G359" i="3"/>
  <c r="H359" i="3" s="1"/>
  <c r="G360" i="3"/>
  <c r="H360" i="3" s="1"/>
  <c r="G361" i="3"/>
  <c r="H361" i="3"/>
  <c r="G362" i="3"/>
  <c r="H362" i="3" s="1"/>
  <c r="G363" i="3"/>
  <c r="H363" i="3" s="1"/>
  <c r="G364" i="3"/>
  <c r="H364" i="3" s="1"/>
  <c r="G365" i="3"/>
  <c r="H365" i="3"/>
  <c r="G366" i="3"/>
  <c r="H366" i="3" s="1"/>
  <c r="G367" i="3"/>
  <c r="H367" i="3" s="1"/>
  <c r="G368" i="3"/>
  <c r="H368" i="3" s="1"/>
  <c r="G369" i="3"/>
  <c r="H369" i="3"/>
  <c r="G370" i="3"/>
  <c r="H370" i="3" s="1"/>
  <c r="G371" i="3"/>
  <c r="H371" i="3" s="1"/>
  <c r="G372" i="3"/>
  <c r="H372" i="3" s="1"/>
  <c r="G373" i="3"/>
  <c r="H373" i="3"/>
  <c r="G374" i="3"/>
  <c r="H374" i="3" s="1"/>
  <c r="G375" i="3"/>
  <c r="H375" i="3" s="1"/>
  <c r="G376" i="3"/>
  <c r="H376" i="3" s="1"/>
  <c r="G377" i="3"/>
  <c r="H377" i="3"/>
  <c r="G378" i="3"/>
  <c r="H378" i="3" s="1"/>
  <c r="G379" i="3"/>
  <c r="H379" i="3" s="1"/>
  <c r="G380" i="3"/>
  <c r="H380" i="3" s="1"/>
  <c r="G381" i="3"/>
  <c r="H381" i="3"/>
  <c r="G382" i="3"/>
  <c r="H382" i="3" s="1"/>
  <c r="G383" i="3"/>
  <c r="H383" i="3" s="1"/>
  <c r="G384" i="3"/>
  <c r="H384" i="3" s="1"/>
  <c r="G385" i="3"/>
  <c r="H385" i="3"/>
  <c r="G386" i="3"/>
  <c r="H386" i="3" s="1"/>
  <c r="G387" i="3"/>
  <c r="H387" i="3" s="1"/>
  <c r="G388" i="3"/>
  <c r="H388" i="3" s="1"/>
  <c r="G389" i="3"/>
  <c r="H389" i="3"/>
  <c r="G390" i="3"/>
  <c r="H390" i="3" s="1"/>
  <c r="G391" i="3"/>
  <c r="H391" i="3" s="1"/>
  <c r="G392" i="3"/>
  <c r="H392" i="3" s="1"/>
  <c r="G393" i="3"/>
  <c r="H393" i="3"/>
  <c r="G394" i="3"/>
  <c r="H394" i="3" s="1"/>
  <c r="G395" i="3"/>
  <c r="H395" i="3" s="1"/>
  <c r="G396" i="3"/>
  <c r="H396" i="3" s="1"/>
  <c r="G397" i="3"/>
  <c r="H397" i="3"/>
  <c r="G398" i="3"/>
  <c r="H398" i="3" s="1"/>
  <c r="G399" i="3"/>
  <c r="H399" i="3" s="1"/>
  <c r="G400" i="3"/>
  <c r="H400" i="3" s="1"/>
  <c r="G401" i="3"/>
  <c r="H401" i="3"/>
  <c r="G402" i="3"/>
  <c r="H402" i="3" s="1"/>
  <c r="G403" i="3"/>
  <c r="H403" i="3" s="1"/>
  <c r="G404" i="3"/>
  <c r="H404" i="3" s="1"/>
  <c r="G405" i="3"/>
  <c r="H405" i="3"/>
  <c r="G406" i="3"/>
  <c r="H406" i="3" s="1"/>
  <c r="G407" i="3"/>
  <c r="H407" i="3" s="1"/>
  <c r="G408" i="3"/>
  <c r="H408" i="3" s="1"/>
  <c r="G409" i="3"/>
  <c r="H409" i="3"/>
  <c r="G410" i="3"/>
  <c r="H410" i="3" s="1"/>
  <c r="G411" i="3"/>
  <c r="H411" i="3" s="1"/>
  <c r="G412" i="3"/>
  <c r="H412" i="3" s="1"/>
  <c r="G413" i="3"/>
  <c r="H413" i="3"/>
  <c r="G414" i="3"/>
  <c r="H414" i="3" s="1"/>
  <c r="G415" i="3"/>
  <c r="H415" i="3" s="1"/>
  <c r="G416" i="3"/>
  <c r="H416" i="3" s="1"/>
  <c r="G417" i="3"/>
  <c r="H417" i="3"/>
  <c r="G418" i="3"/>
  <c r="H418" i="3" s="1"/>
  <c r="G419" i="3"/>
  <c r="H419" i="3" s="1"/>
  <c r="G420" i="3"/>
  <c r="H420" i="3" s="1"/>
  <c r="G421" i="3"/>
  <c r="H421" i="3"/>
  <c r="G422" i="3"/>
  <c r="H422" i="3" s="1"/>
  <c r="G423" i="3"/>
  <c r="H423" i="3" s="1"/>
  <c r="G424" i="3"/>
  <c r="H424" i="3" s="1"/>
  <c r="G425" i="3"/>
  <c r="H425" i="3"/>
  <c r="G426" i="3"/>
  <c r="H426" i="3" s="1"/>
  <c r="G427" i="3"/>
  <c r="H427" i="3" s="1"/>
  <c r="G428" i="3"/>
  <c r="H428" i="3" s="1"/>
  <c r="G429" i="3"/>
  <c r="H429" i="3"/>
  <c r="G430" i="3"/>
  <c r="H430" i="3" s="1"/>
  <c r="G431" i="3"/>
  <c r="H431" i="3" s="1"/>
  <c r="G432" i="3"/>
  <c r="H432" i="3" s="1"/>
  <c r="G433" i="3"/>
  <c r="H433" i="3"/>
  <c r="G434" i="3"/>
  <c r="H434" i="3" s="1"/>
  <c r="G435" i="3"/>
  <c r="H435" i="3" s="1"/>
  <c r="G436" i="3"/>
  <c r="H436" i="3" s="1"/>
  <c r="G437" i="3"/>
  <c r="H437" i="3"/>
  <c r="G438" i="3"/>
  <c r="H438" i="3" s="1"/>
  <c r="G439" i="3"/>
  <c r="H439" i="3" s="1"/>
  <c r="G440" i="3"/>
  <c r="H440" i="3" s="1"/>
  <c r="G441" i="3"/>
  <c r="H441" i="3"/>
  <c r="G442" i="3"/>
  <c r="H442" i="3" s="1"/>
  <c r="G443" i="3"/>
  <c r="H443" i="3" s="1"/>
  <c r="G444" i="3"/>
  <c r="H444" i="3" s="1"/>
  <c r="G445" i="3"/>
  <c r="H445" i="3"/>
  <c r="G446" i="3"/>
  <c r="H446" i="3" s="1"/>
  <c r="G447" i="3"/>
  <c r="H447" i="3" s="1"/>
  <c r="G448" i="3"/>
  <c r="H448" i="3" s="1"/>
  <c r="G449" i="3"/>
  <c r="H449" i="3"/>
  <c r="G450" i="3"/>
  <c r="H450" i="3" s="1"/>
  <c r="G451" i="3"/>
  <c r="H451" i="3" s="1"/>
  <c r="G452" i="3"/>
  <c r="H452" i="3" s="1"/>
  <c r="G453" i="3"/>
  <c r="H453" i="3"/>
  <c r="G454" i="3"/>
  <c r="H454" i="3" s="1"/>
  <c r="G455" i="3"/>
  <c r="H455" i="3" s="1"/>
  <c r="G456" i="3"/>
  <c r="H456" i="3" s="1"/>
  <c r="G457" i="3"/>
  <c r="H457" i="3"/>
  <c r="G458" i="3"/>
  <c r="H458" i="3" s="1"/>
  <c r="G459" i="3"/>
  <c r="H459" i="3" s="1"/>
  <c r="G460" i="3"/>
  <c r="H460" i="3" s="1"/>
  <c r="G461" i="3"/>
  <c r="H461" i="3"/>
  <c r="G462" i="3"/>
  <c r="H462" i="3" s="1"/>
  <c r="G463" i="3"/>
  <c r="H463" i="3" s="1"/>
  <c r="G464" i="3"/>
  <c r="H464" i="3" s="1"/>
  <c r="G465" i="3"/>
  <c r="H465" i="3"/>
  <c r="G466" i="3"/>
  <c r="H466" i="3" s="1"/>
  <c r="G467" i="3"/>
  <c r="H467" i="3" s="1"/>
  <c r="G468" i="3"/>
  <c r="H468" i="3" s="1"/>
  <c r="G469" i="3"/>
  <c r="H469" i="3"/>
  <c r="G470" i="3"/>
  <c r="H470" i="3" s="1"/>
  <c r="G471" i="3"/>
  <c r="H471" i="3" s="1"/>
  <c r="G472" i="3"/>
  <c r="H472" i="3" s="1"/>
  <c r="G473" i="3"/>
  <c r="H473" i="3"/>
  <c r="G474" i="3"/>
  <c r="H474" i="3" s="1"/>
  <c r="G475" i="3"/>
  <c r="H475" i="3" s="1"/>
  <c r="G476" i="3"/>
  <c r="H476" i="3" s="1"/>
  <c r="G477" i="3"/>
  <c r="H477" i="3"/>
  <c r="G478" i="3"/>
  <c r="H478" i="3" s="1"/>
  <c r="G479" i="3"/>
  <c r="H479" i="3" s="1"/>
  <c r="G480" i="3"/>
  <c r="H480" i="3" s="1"/>
  <c r="G481" i="3"/>
  <c r="H481" i="3"/>
  <c r="G482" i="3"/>
  <c r="H482" i="3" s="1"/>
  <c r="G483" i="3"/>
  <c r="H483" i="3" s="1"/>
  <c r="G484" i="3"/>
  <c r="H484" i="3" s="1"/>
  <c r="G485" i="3"/>
  <c r="H485" i="3"/>
  <c r="G486" i="3"/>
  <c r="H486" i="3" s="1"/>
  <c r="G487" i="3"/>
  <c r="H487" i="3" s="1"/>
  <c r="G488" i="3"/>
  <c r="H488" i="3" s="1"/>
  <c r="G489" i="3"/>
  <c r="H489" i="3"/>
  <c r="G490" i="3"/>
  <c r="H490" i="3" s="1"/>
  <c r="G491" i="3"/>
  <c r="H491" i="3" s="1"/>
  <c r="G492" i="3"/>
  <c r="H492" i="3" s="1"/>
  <c r="G493" i="3"/>
  <c r="H493" i="3"/>
  <c r="G494" i="3"/>
  <c r="H494" i="3" s="1"/>
  <c r="G495" i="3"/>
  <c r="H495" i="3" s="1"/>
  <c r="G496" i="3"/>
  <c r="H496" i="3" s="1"/>
  <c r="G497" i="3"/>
  <c r="H497" i="3"/>
  <c r="G498" i="3"/>
  <c r="H498" i="3" s="1"/>
  <c r="G499" i="3"/>
  <c r="H499" i="3" s="1"/>
  <c r="G500" i="3"/>
  <c r="H500" i="3" s="1"/>
  <c r="G501" i="3"/>
  <c r="H501" i="3"/>
  <c r="G502" i="3"/>
  <c r="H502" i="3" s="1"/>
  <c r="G503" i="3"/>
  <c r="H503" i="3" s="1"/>
  <c r="G504" i="3"/>
  <c r="H504" i="3" s="1"/>
  <c r="G505" i="3"/>
  <c r="H505" i="3"/>
  <c r="G506" i="3"/>
  <c r="H506" i="3" s="1"/>
  <c r="G507" i="3"/>
  <c r="H507" i="3" s="1"/>
  <c r="G508" i="3"/>
  <c r="H508" i="3" s="1"/>
  <c r="G2" i="2"/>
  <c r="H2" i="2" s="1"/>
  <c r="G3" i="2"/>
  <c r="H3" i="2" s="1"/>
  <c r="G4" i="2"/>
  <c r="H4" i="2" s="1"/>
  <c r="G5" i="2"/>
  <c r="H5" i="2"/>
  <c r="G6" i="2"/>
  <c r="H6" i="2" s="1"/>
  <c r="G7" i="2"/>
  <c r="H7" i="2" s="1"/>
  <c r="G8" i="2"/>
  <c r="H8" i="2" s="1"/>
  <c r="G9" i="2"/>
  <c r="H9" i="2"/>
  <c r="G10" i="2"/>
  <c r="H10" i="2" s="1"/>
  <c r="G11" i="2"/>
  <c r="H11" i="2" s="1"/>
  <c r="G12" i="2"/>
  <c r="H12" i="2" s="1"/>
  <c r="G13" i="2"/>
  <c r="H13" i="2"/>
  <c r="G14" i="2"/>
  <c r="H14" i="2" s="1"/>
  <c r="G15" i="2"/>
  <c r="H15" i="2" s="1"/>
  <c r="G16" i="2"/>
  <c r="H16" i="2" s="1"/>
  <c r="G17" i="2"/>
  <c r="H17" i="2"/>
  <c r="G18" i="2"/>
  <c r="H18" i="2" s="1"/>
  <c r="G19" i="2"/>
  <c r="H19" i="2" s="1"/>
  <c r="G20" i="2"/>
  <c r="H20" i="2" s="1"/>
  <c r="G21" i="2"/>
  <c r="H21" i="2"/>
  <c r="G22" i="2"/>
  <c r="H22" i="2" s="1"/>
  <c r="G23" i="2"/>
  <c r="H23" i="2" s="1"/>
  <c r="G24" i="2"/>
  <c r="H24" i="2" s="1"/>
  <c r="G25" i="2"/>
  <c r="H25" i="2"/>
  <c r="G26" i="2"/>
  <c r="H26" i="2" s="1"/>
  <c r="G27" i="2"/>
  <c r="H27" i="2" s="1"/>
  <c r="G28" i="2"/>
  <c r="H28" i="2" s="1"/>
  <c r="G29" i="2"/>
  <c r="H29" i="2"/>
  <c r="G30" i="2"/>
  <c r="H30" i="2" s="1"/>
  <c r="G31" i="2"/>
  <c r="H31" i="2" s="1"/>
  <c r="G32" i="2"/>
  <c r="H32" i="2" s="1"/>
  <c r="G33" i="2"/>
  <c r="H33" i="2"/>
  <c r="G34" i="2"/>
  <c r="H34" i="2" s="1"/>
  <c r="G35" i="2"/>
  <c r="H35" i="2" s="1"/>
  <c r="G36" i="2"/>
  <c r="H36" i="2" s="1"/>
  <c r="G37" i="2"/>
  <c r="H37" i="2"/>
  <c r="G38" i="2"/>
  <c r="H38" i="2" s="1"/>
  <c r="G39" i="2"/>
  <c r="H39" i="2" s="1"/>
  <c r="G40" i="2"/>
  <c r="H40" i="2" s="1"/>
  <c r="G41" i="2"/>
  <c r="H41" i="2"/>
  <c r="G42" i="2"/>
  <c r="H42" i="2" s="1"/>
  <c r="G43" i="2"/>
  <c r="H43" i="2" s="1"/>
  <c r="G44" i="2"/>
  <c r="H44" i="2" s="1"/>
  <c r="G45" i="2"/>
  <c r="H45" i="2"/>
  <c r="G46" i="2"/>
  <c r="H46" i="2" s="1"/>
  <c r="G47" i="2"/>
  <c r="H47" i="2" s="1"/>
  <c r="G48" i="2"/>
  <c r="H48" i="2" s="1"/>
  <c r="G49" i="2"/>
  <c r="H49" i="2"/>
  <c r="G50" i="2"/>
  <c r="H50" i="2" s="1"/>
  <c r="G51" i="2"/>
  <c r="H51" i="2" s="1"/>
  <c r="G52" i="2"/>
  <c r="H52" i="2" s="1"/>
  <c r="G53" i="2"/>
  <c r="H53" i="2"/>
  <c r="G54" i="2"/>
  <c r="H54" i="2" s="1"/>
  <c r="G55" i="2"/>
  <c r="H55" i="2" s="1"/>
  <c r="G56" i="2"/>
  <c r="H56" i="2" s="1"/>
  <c r="G57" i="2"/>
  <c r="H57" i="2"/>
  <c r="G58" i="2"/>
  <c r="H58" i="2" s="1"/>
  <c r="G59" i="2"/>
  <c r="H59" i="2" s="1"/>
  <c r="G60" i="2"/>
  <c r="H60" i="2" s="1"/>
  <c r="G61" i="2"/>
  <c r="H61" i="2"/>
  <c r="G62" i="2"/>
  <c r="H62" i="2" s="1"/>
  <c r="G63" i="2"/>
  <c r="H63" i="2" s="1"/>
  <c r="G64" i="2"/>
  <c r="H64" i="2" s="1"/>
  <c r="G65" i="2"/>
  <c r="H65" i="2"/>
  <c r="G66" i="2"/>
  <c r="H66" i="2" s="1"/>
  <c r="G67" i="2"/>
  <c r="H67" i="2" s="1"/>
  <c r="G68" i="2"/>
  <c r="H68" i="2" s="1"/>
  <c r="G69" i="2"/>
  <c r="H69" i="2"/>
  <c r="G70" i="2"/>
  <c r="H70" i="2" s="1"/>
  <c r="G71" i="2"/>
  <c r="H71" i="2" s="1"/>
  <c r="G72" i="2"/>
  <c r="H72" i="2" s="1"/>
  <c r="G73" i="2"/>
  <c r="H73" i="2"/>
  <c r="G74" i="2"/>
  <c r="H74" i="2" s="1"/>
  <c r="G75" i="2"/>
  <c r="H75" i="2" s="1"/>
  <c r="G76" i="2"/>
  <c r="H76" i="2" s="1"/>
  <c r="G77" i="2"/>
  <c r="H77" i="2"/>
  <c r="G78" i="2"/>
  <c r="H78" i="2" s="1"/>
  <c r="G79" i="2"/>
  <c r="H79" i="2" s="1"/>
  <c r="G80" i="2"/>
  <c r="H80" i="2" s="1"/>
  <c r="G81" i="2"/>
  <c r="H81" i="2"/>
  <c r="G82" i="2"/>
  <c r="H82" i="2" s="1"/>
  <c r="G83" i="2"/>
  <c r="H83" i="2" s="1"/>
  <c r="G84" i="2"/>
  <c r="H84" i="2" s="1"/>
  <c r="G85" i="2"/>
  <c r="H85" i="2"/>
  <c r="G86" i="2"/>
  <c r="H86" i="2" s="1"/>
  <c r="G87" i="2"/>
  <c r="H87" i="2" s="1"/>
  <c r="G88" i="2"/>
  <c r="H88" i="2" s="1"/>
  <c r="G89" i="2"/>
  <c r="H89" i="2"/>
  <c r="G90" i="2"/>
  <c r="H90" i="2" s="1"/>
  <c r="G91" i="2"/>
  <c r="H91" i="2" s="1"/>
  <c r="G92" i="2"/>
  <c r="H92" i="2" s="1"/>
  <c r="G93" i="2"/>
  <c r="H93" i="2"/>
  <c r="G94" i="2"/>
  <c r="H94" i="2" s="1"/>
  <c r="G95" i="2"/>
  <c r="H95" i="2" s="1"/>
  <c r="G96" i="2"/>
  <c r="H96" i="2" s="1"/>
  <c r="G97" i="2"/>
  <c r="H97" i="2"/>
  <c r="G98" i="2"/>
  <c r="H98" i="2" s="1"/>
  <c r="G99" i="2"/>
  <c r="H99" i="2" s="1"/>
  <c r="G100" i="2"/>
  <c r="H100" i="2" s="1"/>
  <c r="G101" i="2"/>
  <c r="H101" i="2"/>
  <c r="G102" i="2"/>
  <c r="H102" i="2" s="1"/>
  <c r="G103" i="2"/>
  <c r="H103" i="2" s="1"/>
  <c r="G104" i="2"/>
  <c r="H104" i="2" s="1"/>
  <c r="G105" i="2"/>
  <c r="H105" i="2"/>
  <c r="G106" i="2"/>
  <c r="H106" i="2" s="1"/>
  <c r="G107" i="2"/>
  <c r="H107" i="2" s="1"/>
  <c r="G108" i="2"/>
  <c r="H108" i="2" s="1"/>
  <c r="G109" i="2"/>
  <c r="H109" i="2"/>
  <c r="G110" i="2"/>
  <c r="H110" i="2" s="1"/>
  <c r="G111" i="2"/>
  <c r="H111" i="2" s="1"/>
  <c r="G112" i="2"/>
  <c r="H112" i="2" s="1"/>
  <c r="G113" i="2"/>
  <c r="H113" i="2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/>
  <c r="G138" i="2"/>
  <c r="H138" i="2" s="1"/>
  <c r="G139" i="2"/>
  <c r="H139" i="2" s="1"/>
  <c r="G140" i="2"/>
  <c r="H140" i="2" s="1"/>
  <c r="G141" i="2"/>
  <c r="H141" i="2"/>
  <c r="G142" i="2"/>
  <c r="H142" i="2" s="1"/>
  <c r="G143" i="2"/>
  <c r="H143" i="2" s="1"/>
  <c r="G144" i="2"/>
  <c r="H144" i="2" s="1"/>
  <c r="G145" i="2"/>
  <c r="H145" i="2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/>
  <c r="G170" i="2"/>
  <c r="H170" i="2" s="1"/>
  <c r="G171" i="2"/>
  <c r="H171" i="2" s="1"/>
  <c r="G172" i="2"/>
  <c r="H172" i="2" s="1"/>
  <c r="G173" i="2"/>
  <c r="H173" i="2"/>
  <c r="G174" i="2"/>
  <c r="H174" i="2" s="1"/>
  <c r="G175" i="2"/>
  <c r="H175" i="2" s="1"/>
  <c r="G176" i="2"/>
  <c r="H176" i="2" s="1"/>
  <c r="G177" i="2"/>
  <c r="H177" i="2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/>
  <c r="G202" i="2"/>
  <c r="H202" i="2" s="1"/>
  <c r="G203" i="2"/>
  <c r="H203" i="2" s="1"/>
  <c r="G204" i="2"/>
  <c r="H204" i="2" s="1"/>
  <c r="G205" i="2"/>
  <c r="H205" i="2"/>
  <c r="G206" i="2"/>
  <c r="H206" i="2" s="1"/>
  <c r="G207" i="2"/>
  <c r="H207" i="2" s="1"/>
  <c r="G208" i="2"/>
  <c r="H208" i="2" s="1"/>
  <c r="G209" i="2"/>
  <c r="H209" i="2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/>
  <c r="G234" i="2"/>
  <c r="H234" i="2" s="1"/>
  <c r="G235" i="2"/>
  <c r="H235" i="2" s="1"/>
  <c r="G236" i="2"/>
  <c r="H236" i="2" s="1"/>
  <c r="G237" i="2"/>
  <c r="H237" i="2"/>
  <c r="G238" i="2"/>
  <c r="H238" i="2" s="1"/>
  <c r="G239" i="2"/>
  <c r="H239" i="2" s="1"/>
  <c r="G240" i="2"/>
  <c r="H240" i="2" s="1"/>
  <c r="G241" i="2"/>
  <c r="H241" i="2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/>
  <c r="G266" i="2"/>
  <c r="H266" i="2" s="1"/>
  <c r="G267" i="2"/>
  <c r="H267" i="2" s="1"/>
  <c r="G268" i="2"/>
  <c r="H268" i="2" s="1"/>
  <c r="G269" i="2"/>
  <c r="H269" i="2"/>
  <c r="G270" i="2"/>
  <c r="H270" i="2" s="1"/>
  <c r="G271" i="2"/>
  <c r="H271" i="2" s="1"/>
  <c r="G272" i="2"/>
  <c r="H272" i="2" s="1"/>
  <c r="G273" i="2"/>
  <c r="H273" i="2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/>
  <c r="G298" i="2"/>
  <c r="H298" i="2" s="1"/>
  <c r="G299" i="2"/>
  <c r="H299" i="2" s="1"/>
  <c r="G300" i="2"/>
  <c r="H300" i="2" s="1"/>
  <c r="G301" i="2"/>
  <c r="H301" i="2"/>
  <c r="G302" i="2"/>
  <c r="H302" i="2" s="1"/>
  <c r="G303" i="2"/>
  <c r="H303" i="2" s="1"/>
  <c r="G304" i="2"/>
  <c r="H304" i="2" s="1"/>
  <c r="G305" i="2"/>
  <c r="H305" i="2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/>
  <c r="G330" i="2"/>
  <c r="H330" i="2" s="1"/>
  <c r="G331" i="2"/>
  <c r="H331" i="2" s="1"/>
  <c r="G332" i="2"/>
  <c r="H332" i="2" s="1"/>
  <c r="G333" i="2"/>
  <c r="H333" i="2"/>
  <c r="G334" i="2"/>
  <c r="H334" i="2" s="1"/>
  <c r="G335" i="2"/>
  <c r="H335" i="2" s="1"/>
  <c r="G336" i="2"/>
  <c r="H336" i="2" s="1"/>
  <c r="G337" i="2"/>
  <c r="H337" i="2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/>
  <c r="G345" i="2"/>
  <c r="H345" i="2" s="1"/>
  <c r="G346" i="2"/>
  <c r="H346" i="2" s="1"/>
  <c r="G347" i="2"/>
  <c r="H347" i="2" s="1"/>
  <c r="G348" i="2"/>
  <c r="H348" i="2"/>
  <c r="G349" i="2"/>
  <c r="H349" i="2" s="1"/>
  <c r="G350" i="2"/>
  <c r="H350" i="2" s="1"/>
  <c r="G351" i="2"/>
  <c r="H351" i="2" s="1"/>
  <c r="G352" i="2"/>
  <c r="H352" i="2"/>
  <c r="G353" i="2"/>
  <c r="H353" i="2" s="1"/>
  <c r="G354" i="2"/>
  <c r="H354" i="2" s="1"/>
  <c r="G355" i="2"/>
  <c r="H355" i="2" s="1"/>
  <c r="G356" i="2"/>
  <c r="H356" i="2"/>
  <c r="G357" i="2"/>
  <c r="H357" i="2" s="1"/>
  <c r="G358" i="2"/>
  <c r="H358" i="2" s="1"/>
  <c r="G359" i="2"/>
  <c r="H359" i="2" s="1"/>
  <c r="G360" i="2"/>
  <c r="H360" i="2"/>
  <c r="G361" i="2"/>
  <c r="H361" i="2" s="1"/>
  <c r="G362" i="2"/>
  <c r="H362" i="2" s="1"/>
  <c r="G363" i="2"/>
  <c r="H363" i="2" s="1"/>
  <c r="G364" i="2"/>
  <c r="H364" i="2"/>
  <c r="G365" i="2"/>
  <c r="H365" i="2" s="1"/>
  <c r="G366" i="2"/>
  <c r="H366" i="2" s="1"/>
  <c r="G367" i="2"/>
  <c r="H367" i="2" s="1"/>
  <c r="G368" i="2"/>
  <c r="H368" i="2"/>
  <c r="G369" i="2"/>
  <c r="H369" i="2" s="1"/>
  <c r="G370" i="2"/>
  <c r="H370" i="2" s="1"/>
  <c r="G371" i="2"/>
  <c r="H371" i="2" s="1"/>
  <c r="G372" i="2"/>
  <c r="H372" i="2"/>
  <c r="G373" i="2"/>
  <c r="H373" i="2" s="1"/>
  <c r="G374" i="2"/>
  <c r="H374" i="2" s="1"/>
  <c r="G375" i="2"/>
  <c r="H375" i="2" s="1"/>
  <c r="G376" i="2"/>
  <c r="H376" i="2"/>
  <c r="G377" i="2"/>
  <c r="H377" i="2" s="1"/>
  <c r="G378" i="2"/>
  <c r="H378" i="2" s="1"/>
  <c r="G379" i="2"/>
  <c r="H379" i="2" s="1"/>
  <c r="G380" i="2"/>
  <c r="H380" i="2"/>
  <c r="G381" i="2"/>
  <c r="H381" i="2" s="1"/>
  <c r="G382" i="2"/>
  <c r="H382" i="2" s="1"/>
  <c r="G383" i="2"/>
  <c r="H383" i="2" s="1"/>
  <c r="G384" i="2"/>
  <c r="H384" i="2"/>
  <c r="G385" i="2"/>
  <c r="H385" i="2" s="1"/>
  <c r="G386" i="2"/>
  <c r="H386" i="2" s="1"/>
  <c r="G387" i="2"/>
  <c r="H387" i="2" s="1"/>
  <c r="G388" i="2"/>
  <c r="H388" i="2"/>
  <c r="G389" i="2"/>
  <c r="H389" i="2" s="1"/>
  <c r="G390" i="2"/>
  <c r="H390" i="2" s="1"/>
  <c r="G391" i="2"/>
  <c r="H391" i="2" s="1"/>
  <c r="G392" i="2"/>
  <c r="H392" i="2"/>
  <c r="G393" i="2"/>
  <c r="H393" i="2" s="1"/>
  <c r="G394" i="2"/>
  <c r="H394" i="2" s="1"/>
  <c r="G395" i="2"/>
  <c r="H395" i="2" s="1"/>
  <c r="G396" i="2"/>
  <c r="H396" i="2"/>
  <c r="G397" i="2"/>
  <c r="H397" i="2" s="1"/>
  <c r="G398" i="2"/>
  <c r="H398" i="2" s="1"/>
  <c r="G399" i="2"/>
  <c r="H399" i="2" s="1"/>
  <c r="G400" i="2"/>
  <c r="H400" i="2"/>
  <c r="G401" i="2"/>
  <c r="H401" i="2" s="1"/>
  <c r="G402" i="2"/>
  <c r="H402" i="2" s="1"/>
  <c r="G403" i="2"/>
  <c r="H403" i="2" s="1"/>
  <c r="G404" i="2"/>
  <c r="H404" i="2"/>
  <c r="G405" i="2"/>
  <c r="H405" i="2" s="1"/>
  <c r="G406" i="2"/>
  <c r="H406" i="2" s="1"/>
  <c r="G407" i="2"/>
  <c r="H407" i="2" s="1"/>
  <c r="G408" i="2"/>
  <c r="H408" i="2"/>
  <c r="G409" i="2"/>
  <c r="H409" i="2" s="1"/>
  <c r="G410" i="2"/>
  <c r="H410" i="2" s="1"/>
  <c r="G411" i="2"/>
  <c r="H411" i="2" s="1"/>
  <c r="G412" i="2"/>
  <c r="H412" i="2"/>
  <c r="G413" i="2"/>
  <c r="H413" i="2" s="1"/>
  <c r="G414" i="2"/>
  <c r="H414" i="2" s="1"/>
  <c r="G415" i="2"/>
  <c r="H415" i="2" s="1"/>
  <c r="G416" i="2"/>
  <c r="H416" i="2"/>
  <c r="G417" i="2"/>
  <c r="H417" i="2" s="1"/>
  <c r="G418" i="2"/>
  <c r="H418" i="2" s="1"/>
  <c r="G419" i="2"/>
  <c r="H419" i="2" s="1"/>
  <c r="G420" i="2"/>
  <c r="H420" i="2"/>
  <c r="G421" i="2"/>
  <c r="H421" i="2" s="1"/>
  <c r="G422" i="2"/>
  <c r="H422" i="2" s="1"/>
  <c r="G423" i="2"/>
  <c r="H423" i="2" s="1"/>
  <c r="G424" i="2"/>
  <c r="H424" i="2"/>
  <c r="G425" i="2"/>
  <c r="H425" i="2" s="1"/>
  <c r="G426" i="2"/>
  <c r="H426" i="2" s="1"/>
  <c r="G427" i="2"/>
  <c r="H427" i="2" s="1"/>
  <c r="G428" i="2"/>
  <c r="H428" i="2"/>
  <c r="G429" i="2"/>
  <c r="H429" i="2" s="1"/>
  <c r="G430" i="2"/>
  <c r="H430" i="2" s="1"/>
  <c r="G431" i="2"/>
  <c r="H431" i="2" s="1"/>
  <c r="G432" i="2"/>
  <c r="H432" i="2"/>
  <c r="G433" i="2"/>
  <c r="H433" i="2" s="1"/>
  <c r="G434" i="2"/>
  <c r="H434" i="2" s="1"/>
  <c r="G435" i="2"/>
  <c r="H435" i="2" s="1"/>
  <c r="G436" i="2"/>
  <c r="H436" i="2"/>
  <c r="G437" i="2"/>
  <c r="H437" i="2" s="1"/>
  <c r="G438" i="2"/>
  <c r="H438" i="2" s="1"/>
  <c r="G439" i="2"/>
  <c r="H439" i="2" s="1"/>
  <c r="G440" i="2"/>
  <c r="H440" i="2"/>
  <c r="G441" i="2"/>
  <c r="H441" i="2" s="1"/>
  <c r="G442" i="2"/>
  <c r="H442" i="2" s="1"/>
  <c r="G443" i="2"/>
  <c r="H443" i="2" s="1"/>
  <c r="G444" i="2"/>
  <c r="H444" i="2"/>
  <c r="G445" i="2"/>
  <c r="H445" i="2" s="1"/>
  <c r="G446" i="2"/>
  <c r="H446" i="2" s="1"/>
  <c r="G447" i="2"/>
  <c r="H447" i="2" s="1"/>
  <c r="G448" i="2"/>
  <c r="H448" i="2"/>
  <c r="G449" i="2"/>
  <c r="H449" i="2" s="1"/>
  <c r="G450" i="2"/>
  <c r="H450" i="2" s="1"/>
  <c r="G451" i="2"/>
  <c r="H451" i="2" s="1"/>
  <c r="G452" i="2"/>
  <c r="H452" i="2"/>
  <c r="G453" i="2"/>
  <c r="H453" i="2" s="1"/>
  <c r="G454" i="2"/>
  <c r="H454" i="2" s="1"/>
  <c r="G455" i="2"/>
  <c r="H455" i="2" s="1"/>
  <c r="G456" i="2"/>
  <c r="H456" i="2"/>
  <c r="G457" i="2"/>
  <c r="H457" i="2" s="1"/>
  <c r="G458" i="2"/>
  <c r="H458" i="2" s="1"/>
  <c r="G459" i="2"/>
  <c r="H459" i="2" s="1"/>
  <c r="G460" i="2"/>
  <c r="H460" i="2"/>
  <c r="G461" i="2"/>
  <c r="H461" i="2" s="1"/>
  <c r="G462" i="2"/>
  <c r="H462" i="2" s="1"/>
  <c r="G463" i="2"/>
  <c r="H463" i="2" s="1"/>
  <c r="G464" i="2"/>
  <c r="H464" i="2"/>
  <c r="G465" i="2"/>
  <c r="H465" i="2" s="1"/>
  <c r="G466" i="2"/>
  <c r="H466" i="2" s="1"/>
  <c r="G467" i="2"/>
  <c r="H467" i="2" s="1"/>
  <c r="G468" i="2"/>
  <c r="H468" i="2"/>
  <c r="G469" i="2"/>
  <c r="H469" i="2" s="1"/>
  <c r="G470" i="2"/>
  <c r="H470" i="2" s="1"/>
  <c r="G471" i="2"/>
  <c r="H471" i="2" s="1"/>
  <c r="G472" i="2"/>
  <c r="H472" i="2"/>
  <c r="G473" i="2"/>
  <c r="H473" i="2" s="1"/>
  <c r="G474" i="2"/>
  <c r="H474" i="2" s="1"/>
  <c r="G475" i="2"/>
  <c r="H475" i="2" s="1"/>
  <c r="G476" i="2"/>
  <c r="H476" i="2"/>
  <c r="G477" i="2"/>
  <c r="H477" i="2" s="1"/>
  <c r="G478" i="2"/>
  <c r="H478" i="2" s="1"/>
  <c r="G479" i="2"/>
  <c r="H479" i="2" s="1"/>
  <c r="G480" i="2"/>
  <c r="H480" i="2"/>
  <c r="G481" i="2"/>
  <c r="H481" i="2" s="1"/>
  <c r="G482" i="2"/>
  <c r="H482" i="2" s="1"/>
  <c r="G483" i="2"/>
  <c r="H483" i="2" s="1"/>
  <c r="G484" i="2"/>
  <c r="H484" i="2"/>
  <c r="G485" i="2"/>
  <c r="H485" i="2" s="1"/>
  <c r="G486" i="2"/>
  <c r="H486" i="2" s="1"/>
  <c r="G487" i="2"/>
  <c r="H487" i="2" s="1"/>
  <c r="G488" i="2"/>
  <c r="H488" i="2"/>
  <c r="G489" i="2"/>
  <c r="H489" i="2" s="1"/>
  <c r="G490" i="2"/>
  <c r="H490" i="2" s="1"/>
  <c r="G491" i="2"/>
  <c r="H491" i="2" s="1"/>
  <c r="G492" i="2"/>
  <c r="H492" i="2"/>
  <c r="G493" i="2"/>
  <c r="H493" i="2" s="1"/>
  <c r="G494" i="2"/>
  <c r="H494" i="2" s="1"/>
  <c r="G495" i="2"/>
  <c r="H495" i="2" s="1"/>
  <c r="G496" i="2"/>
  <c r="H496" i="2"/>
  <c r="G497" i="2"/>
  <c r="H497" i="2" s="1"/>
  <c r="G498" i="2"/>
  <c r="H498" i="2" s="1"/>
  <c r="G499" i="2"/>
  <c r="H499" i="2" s="1"/>
  <c r="G500" i="2"/>
  <c r="H500" i="2"/>
  <c r="G501" i="2"/>
  <c r="H501" i="2" s="1"/>
  <c r="G502" i="2"/>
  <c r="H502" i="2" s="1"/>
  <c r="G503" i="2"/>
  <c r="H503" i="2" s="1"/>
  <c r="G504" i="2"/>
  <c r="H504" i="2"/>
  <c r="G505" i="2"/>
  <c r="H505" i="2" s="1"/>
  <c r="G506" i="2"/>
  <c r="H506" i="2" s="1"/>
  <c r="G507" i="2"/>
  <c r="H507" i="2" s="1"/>
  <c r="G508" i="2"/>
  <c r="H508" i="2"/>
  <c r="G509" i="2"/>
  <c r="H509" i="2" s="1"/>
  <c r="G510" i="2"/>
  <c r="H510" i="2" s="1"/>
  <c r="G511" i="2"/>
  <c r="H511" i="2" s="1"/>
  <c r="G512" i="2"/>
  <c r="H512" i="2"/>
  <c r="G513" i="2"/>
  <c r="H513" i="2" s="1"/>
  <c r="G514" i="2"/>
  <c r="H514" i="2" s="1"/>
  <c r="G515" i="2"/>
  <c r="H515" i="2" s="1"/>
  <c r="G516" i="2"/>
  <c r="H516" i="2"/>
  <c r="G517" i="2"/>
  <c r="H517" i="2" s="1"/>
  <c r="G518" i="2"/>
  <c r="H518" i="2" s="1"/>
  <c r="G519" i="2"/>
  <c r="H519" i="2" s="1"/>
  <c r="G520" i="2"/>
  <c r="H520" i="2"/>
  <c r="G521" i="2"/>
  <c r="H521" i="2" s="1"/>
  <c r="G522" i="2"/>
  <c r="H522" i="2" s="1"/>
  <c r="G523" i="2"/>
  <c r="H523" i="2" s="1"/>
  <c r="G524" i="2"/>
  <c r="H524" i="2"/>
  <c r="G525" i="2"/>
  <c r="H525" i="2" s="1"/>
  <c r="G526" i="2"/>
  <c r="H526" i="2" s="1"/>
  <c r="G527" i="2"/>
  <c r="H527" i="2" s="1"/>
  <c r="G528" i="2"/>
  <c r="H528" i="2"/>
  <c r="G529" i="2"/>
  <c r="H529" i="2" s="1"/>
  <c r="G530" i="2"/>
  <c r="H530" i="2" s="1"/>
  <c r="G531" i="2"/>
  <c r="H531" i="2" s="1"/>
  <c r="G532" i="2"/>
  <c r="H532" i="2"/>
  <c r="G533" i="2"/>
  <c r="H533" i="2" s="1"/>
  <c r="G534" i="2"/>
  <c r="H534" i="2" s="1"/>
  <c r="G535" i="2"/>
  <c r="H535" i="2" s="1"/>
  <c r="G536" i="2"/>
  <c r="H536" i="2"/>
  <c r="G537" i="2"/>
  <c r="H537" i="2" s="1"/>
  <c r="G538" i="2"/>
  <c r="H538" i="2" s="1"/>
  <c r="G539" i="2"/>
  <c r="H539" i="2" s="1"/>
  <c r="G540" i="2"/>
  <c r="H540" i="2"/>
  <c r="G541" i="2"/>
  <c r="H541" i="2" s="1"/>
  <c r="G542" i="2"/>
  <c r="H542" i="2" s="1"/>
  <c r="G543" i="2"/>
  <c r="H543" i="2" s="1"/>
  <c r="G544" i="2"/>
  <c r="H544" i="2"/>
  <c r="G545" i="2"/>
  <c r="H545" i="2" s="1"/>
  <c r="G546" i="2"/>
  <c r="H546" i="2" s="1"/>
  <c r="G547" i="2"/>
  <c r="H547" i="2" s="1"/>
  <c r="G548" i="2"/>
  <c r="H548" i="2"/>
  <c r="G549" i="2"/>
  <c r="H549" i="2" s="1"/>
  <c r="G550" i="2"/>
  <c r="H550" i="2" s="1"/>
  <c r="G551" i="2"/>
  <c r="H551" i="2" s="1"/>
  <c r="G552" i="2"/>
  <c r="H552" i="2"/>
  <c r="G553" i="2"/>
  <c r="H553" i="2" s="1"/>
  <c r="G554" i="2"/>
  <c r="H554" i="2" s="1"/>
  <c r="G555" i="2"/>
  <c r="H555" i="2" s="1"/>
  <c r="G556" i="2"/>
  <c r="H556" i="2"/>
  <c r="G557" i="2"/>
  <c r="H557" i="2" s="1"/>
  <c r="G558" i="2"/>
  <c r="H558" i="2" s="1"/>
  <c r="G559" i="2"/>
  <c r="H559" i="2" s="1"/>
  <c r="G560" i="2"/>
  <c r="H560" i="2"/>
  <c r="G561" i="2"/>
  <c r="H561" i="2" s="1"/>
  <c r="G562" i="2"/>
  <c r="H562" i="2" s="1"/>
  <c r="G563" i="2"/>
  <c r="H563" i="2" s="1"/>
  <c r="G564" i="2"/>
  <c r="H564" i="2"/>
  <c r="G565" i="2"/>
  <c r="H565" i="2" s="1"/>
  <c r="G566" i="2"/>
  <c r="H566" i="2" s="1"/>
  <c r="G81" i="1"/>
  <c r="H81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<sst xmlns="http://schemas.openxmlformats.org/spreadsheetml/2006/main" count="25462" uniqueCount="1017">
  <si>
    <t>Body Name</t>
  </si>
  <si>
    <t>Service Area Categorisation</t>
  </si>
  <si>
    <t>Supplier Name</t>
  </si>
  <si>
    <t>Date</t>
  </si>
  <si>
    <t>Amount</t>
  </si>
  <si>
    <t>Expenses Type</t>
  </si>
  <si>
    <t>Category</t>
  </si>
  <si>
    <t>Narrative</t>
  </si>
  <si>
    <t xml:space="preserve">Police and Crime Commissioner for Derbyshire </t>
  </si>
  <si>
    <t>Police Services</t>
  </si>
  <si>
    <t>Orchid Cellmark Ltd</t>
  </si>
  <si>
    <t>Forensic Services</t>
  </si>
  <si>
    <t>A</t>
  </si>
  <si>
    <t>The Commissioner &amp; Chief Constable are satisfied the spend represents VFM in accordance with the requirements of Category A</t>
  </si>
  <si>
    <t>SSS Public Safety Limited</t>
  </si>
  <si>
    <t>Software Maintenance</t>
  </si>
  <si>
    <t>B</t>
  </si>
  <si>
    <t>The Commissioner &amp; Chief Constable are satisfied the spend represents VFM in accordance with the requirements of Category B</t>
  </si>
  <si>
    <t>Derby SPV Ltd</t>
  </si>
  <si>
    <t>Unitary Fee - PFI</t>
  </si>
  <si>
    <t>C</t>
  </si>
  <si>
    <t>The Commissioner &amp; Chief Constable are satisfied the spend represents VFM in accordance with the requirements of Category C</t>
  </si>
  <si>
    <t>Professional Fees</t>
  </si>
  <si>
    <t>EDF Energy 1 Limited</t>
  </si>
  <si>
    <t>Electricity</t>
  </si>
  <si>
    <t>CelleBrite Uk Ltd</t>
  </si>
  <si>
    <t>Derbyshire County Council</t>
  </si>
  <si>
    <t>PCC Grants and/or Commissioned Services</t>
  </si>
  <si>
    <t>North East Derbyshire District Council</t>
  </si>
  <si>
    <t>Land Purchase</t>
  </si>
  <si>
    <t>Allstar Business Solutions Ltd</t>
  </si>
  <si>
    <t>Police Vehicle Fuel</t>
  </si>
  <si>
    <t>Travel Misc (Car parking,Taxis etc)</t>
  </si>
  <si>
    <t>Nottinghamshire Office of the Police &amp; Crime Commissioner</t>
  </si>
  <si>
    <t>Cleaning Contract</t>
  </si>
  <si>
    <t>Fixture And Fittings</t>
  </si>
  <si>
    <t>Gas</t>
  </si>
  <si>
    <t>Rates</t>
  </si>
  <si>
    <t>Repair &amp; Maintenance - Buildings.</t>
  </si>
  <si>
    <t>Repairs &amp; Maintenance - Mechanical</t>
  </si>
  <si>
    <t>Trade Waste Collection</t>
  </si>
  <si>
    <t>Water Charges</t>
  </si>
  <si>
    <t>Cleaning Consumables</t>
  </si>
  <si>
    <t>Grounds - Maintenance</t>
  </si>
  <si>
    <t>Richford Motor Services Limited</t>
  </si>
  <si>
    <t>Recovery of Vehicles</t>
  </si>
  <si>
    <t>Mitie Care and Custody Limited</t>
  </si>
  <si>
    <t>Medical Care of Prisoners</t>
  </si>
  <si>
    <t>The OPCC for Leicestershire</t>
  </si>
  <si>
    <t>Financial Contracts</t>
  </si>
  <si>
    <t>Total Gas &amp; Power Limited</t>
  </si>
  <si>
    <t>Black Rainbow Consulting Limited</t>
  </si>
  <si>
    <t>Burrows Recovery Limited</t>
  </si>
  <si>
    <t>Vehicle Maintenance</t>
  </si>
  <si>
    <t>Partnerships</t>
  </si>
  <si>
    <t>Change Grow Live Services Limited</t>
  </si>
  <si>
    <t>Unit 4 Business Software Ltd</t>
  </si>
  <si>
    <t>Police and Crime Commissioner for Essex</t>
  </si>
  <si>
    <t>Borrowed Officers</t>
  </si>
  <si>
    <t>Gunnercooke LLP</t>
  </si>
  <si>
    <t>Property Purchase</t>
  </si>
  <si>
    <t>Peugeot Motor Co Plc</t>
  </si>
  <si>
    <t>Purchase of Vehicles</t>
  </si>
  <si>
    <t>VEL / Veh Registration Fee</t>
  </si>
  <si>
    <t>Catch 22 Charity Ltd</t>
  </si>
  <si>
    <t>Home Office Accounting Officer</t>
  </si>
  <si>
    <t>Fees - Provision of Telecommunications Data</t>
  </si>
  <si>
    <t>E Safety Training Ltd</t>
  </si>
  <si>
    <t>Thompson Tree Services (UK) Ltd</t>
  </si>
  <si>
    <t>West Mercia Police &amp; Crime Commissioner</t>
  </si>
  <si>
    <t>Kent Police and Crime Commissioner</t>
  </si>
  <si>
    <t>Specialist Computer Centres plc</t>
  </si>
  <si>
    <t>Derby City Mission</t>
  </si>
  <si>
    <t>Oleeo</t>
  </si>
  <si>
    <t>Insight Direct (UK) Limited</t>
  </si>
  <si>
    <t>Hardware Purchase</t>
  </si>
  <si>
    <t>Insurance X/S</t>
  </si>
  <si>
    <t>Police &amp; Crime Commissioner for Greater Manchester</t>
  </si>
  <si>
    <t>Motus Group t/a Pentagon Derby</t>
  </si>
  <si>
    <t>Barclaycard</t>
  </si>
  <si>
    <t>Misc Expenditure</t>
  </si>
  <si>
    <t>Vehicle Recovery - Scrapped</t>
  </si>
  <si>
    <t>Vehicle Recovery - Auctioned</t>
  </si>
  <si>
    <t>Virgin Media Business</t>
  </si>
  <si>
    <t>Circuits</t>
  </si>
  <si>
    <t>Honeycomb Charitable Services T/A GLOW</t>
  </si>
  <si>
    <t>Goodyear Dunlop Tyres Ltd</t>
  </si>
  <si>
    <t>Tyres</t>
  </si>
  <si>
    <t>Unreported Vehicle Damage (recharge)</t>
  </si>
  <si>
    <t>Consultants Fees</t>
  </si>
  <si>
    <t>Europa Electrical Limited</t>
  </si>
  <si>
    <t>Repairs &amp; Maintenance - Electrical</t>
  </si>
  <si>
    <t>Alemba Limited</t>
  </si>
  <si>
    <t>Michael Lupton Associates Ltd</t>
  </si>
  <si>
    <t>Uniforms</t>
  </si>
  <si>
    <t>Ministry Of Justice</t>
  </si>
  <si>
    <t>FSP Consulting Services Limited</t>
  </si>
  <si>
    <t>Linkedin Ireland Unlimited Company</t>
  </si>
  <si>
    <t>Recruitment &amp; Selection</t>
  </si>
  <si>
    <t>Mehler Vario System GmbH</t>
  </si>
  <si>
    <t>Pidcock and Beastall Ltd</t>
  </si>
  <si>
    <t>Stuart Mitchell Pension Fund</t>
  </si>
  <si>
    <t>Rents General</t>
  </si>
  <si>
    <t>Eagle Security Systems Ltd</t>
  </si>
  <si>
    <t>Civica UK Limited</t>
  </si>
  <si>
    <t>Police Digital Service</t>
  </si>
  <si>
    <t>Training - External Courses / Seminars</t>
  </si>
  <si>
    <t>Cintra Limited</t>
  </si>
  <si>
    <t>Interpreters</t>
  </si>
  <si>
    <t>Supporting Victims of Sexual Violence Ltd</t>
  </si>
  <si>
    <t>PS Administration Limited T/A XPS Administration</t>
  </si>
  <si>
    <t>Oxford Wave Research Ltd</t>
  </si>
  <si>
    <t>Central Maintenance Contracts</t>
  </si>
  <si>
    <t>Telefonica O2 UK Limited</t>
  </si>
  <si>
    <t>Mobile Services</t>
  </si>
  <si>
    <t>Konica Minolta Business Solutions</t>
  </si>
  <si>
    <t>Photocopiers</t>
  </si>
  <si>
    <t>Softcat Ltd</t>
  </si>
  <si>
    <t>Medical Statements</t>
  </si>
  <si>
    <t>Child Action Northwest</t>
  </si>
  <si>
    <t>Appropriate Adult Service</t>
  </si>
  <si>
    <t>SoftwareONE UK Ltd</t>
  </si>
  <si>
    <t>Productivity Services</t>
  </si>
  <si>
    <t>Firearms</t>
  </si>
  <si>
    <t>Overton Electrical Services Limited</t>
  </si>
  <si>
    <t>Avatu Ltd</t>
  </si>
  <si>
    <t>Castle Water Limited</t>
  </si>
  <si>
    <t>Clarity Travel Limited</t>
  </si>
  <si>
    <t>Abbott Toxicology Ltd</t>
  </si>
  <si>
    <t>Other Services</t>
  </si>
  <si>
    <t>Cooper Plant Transport Limited</t>
  </si>
  <si>
    <t>Equipment - General</t>
  </si>
  <si>
    <t>Treble 5 Treble 1 Limited</t>
  </si>
  <si>
    <t>Subscriptions General</t>
  </si>
  <si>
    <t>EME Power Systems Ltd</t>
  </si>
  <si>
    <t>Veolia Environmental Services (UK)</t>
  </si>
  <si>
    <t>SocialSignLn Ltd</t>
  </si>
  <si>
    <t>LA International Computer Consultants Ltd</t>
  </si>
  <si>
    <t>Agency Staff</t>
  </si>
  <si>
    <t>Heating &amp; Process Engineering Services Ltd</t>
  </si>
  <si>
    <t>Mitie Cleaning and Environmental Services Ltd</t>
  </si>
  <si>
    <t>East Lancashire Chamber of Commerce &amp; Industry</t>
  </si>
  <si>
    <t>AMP Clean Energy</t>
  </si>
  <si>
    <t>Bio Mass Boiler</t>
  </si>
  <si>
    <t>Rapid Secure Limited</t>
  </si>
  <si>
    <t>Boarding-Up Premises</t>
  </si>
  <si>
    <t>FI Real Estate Management Ltd</t>
  </si>
  <si>
    <t>Hydro-X Air Ltd</t>
  </si>
  <si>
    <t>Hardware - Purchase</t>
  </si>
  <si>
    <t>Adecco UK Ltd</t>
  </si>
  <si>
    <t>ACS Business Supplies Ltd</t>
  </si>
  <si>
    <t>Printing and Stationery - General</t>
  </si>
  <si>
    <t>Derbyshire Fire and Rescue Service</t>
  </si>
  <si>
    <t>Hallamshire Heating &amp; Air Conditioning Co Ltd</t>
  </si>
  <si>
    <t>Colonsay Paediatrics Limited</t>
  </si>
  <si>
    <t>Materials - Consumable</t>
  </si>
  <si>
    <t>Vehicle Cleaning</t>
  </si>
  <si>
    <t>Mitie Landscapes Ltd</t>
  </si>
  <si>
    <t>Hardware Maintenance</t>
  </si>
  <si>
    <t>Experian Limited</t>
  </si>
  <si>
    <t>PFI - Lifecycle</t>
  </si>
  <si>
    <t>UK Telematics Ltd</t>
  </si>
  <si>
    <t>Attenborough Doors Ltd</t>
  </si>
  <si>
    <t>D S West Motors</t>
  </si>
  <si>
    <t>Payments to Main Contractor</t>
  </si>
  <si>
    <t>Belper Town Council</t>
  </si>
  <si>
    <t>NHS England</t>
  </si>
  <si>
    <t>Dronfield Hall Barn</t>
  </si>
  <si>
    <t>Quadient Finance UK Limited</t>
  </si>
  <si>
    <t>Postages</t>
  </si>
  <si>
    <t>Chesterfield Borough Council</t>
  </si>
  <si>
    <t>LimeCulture Community Interest Company</t>
  </si>
  <si>
    <t>SAS Water Ltd</t>
  </si>
  <si>
    <t>Star Traq (UK) Limited</t>
  </si>
  <si>
    <t>Hackajob Limited</t>
  </si>
  <si>
    <t>Salloway Property Consultants Limited</t>
  </si>
  <si>
    <t>Martek Drones Ltd T/A Coptrz</t>
  </si>
  <si>
    <t>Equipment General</t>
  </si>
  <si>
    <t>Zip Heaters (UK) Ltd</t>
  </si>
  <si>
    <t>Mazars LLP</t>
  </si>
  <si>
    <t>The Dove Holes Community Association</t>
  </si>
  <si>
    <t>College of Policing</t>
  </si>
  <si>
    <t>Training - External Accomodation Expenses</t>
  </si>
  <si>
    <t>Government Security Group Cabinet Office</t>
  </si>
  <si>
    <t>JML Software Soluitions Limited</t>
  </si>
  <si>
    <t>Tasers</t>
  </si>
  <si>
    <t>Police and Crime Commissioner for South Yorkshire</t>
  </si>
  <si>
    <t>Medivet Alfreton</t>
  </si>
  <si>
    <t>Dog Section - Vets</t>
  </si>
  <si>
    <t>Solon Security Ltd</t>
  </si>
  <si>
    <t>Whitwell Parish  Council</t>
  </si>
  <si>
    <t>Dale Abbey Parish Council</t>
  </si>
  <si>
    <t>Derby College</t>
  </si>
  <si>
    <t>University of Leicester</t>
  </si>
  <si>
    <t>Pathologists Services</t>
  </si>
  <si>
    <t>DYSE Ltd</t>
  </si>
  <si>
    <t>Royal Mail Group Ltd</t>
  </si>
  <si>
    <t>Foster &amp; Freeman Limited</t>
  </si>
  <si>
    <t>Injenuity Ltd</t>
  </si>
  <si>
    <t>Axess International Ltd</t>
  </si>
  <si>
    <t>Langley Mill Contract Flooring Ltd</t>
  </si>
  <si>
    <t>Altberg Limited</t>
  </si>
  <si>
    <t>Charles Fellows Supplies Ltd</t>
  </si>
  <si>
    <t>Maintenance Of Prisoners</t>
  </si>
  <si>
    <t>Borer Data Systems Ltd</t>
  </si>
  <si>
    <t>Infine Wellbeing CIC</t>
  </si>
  <si>
    <t>Darley Dale Town Council</t>
  </si>
  <si>
    <t>HTK Limited</t>
  </si>
  <si>
    <t>Gamma Telecom Ltd</t>
  </si>
  <si>
    <t>Voice Services</t>
  </si>
  <si>
    <t>Baby People Ltd</t>
  </si>
  <si>
    <t>Total Hire and Sales Ltd</t>
  </si>
  <si>
    <t>The Grand Pavilion Ltd</t>
  </si>
  <si>
    <t>Recognition Express</t>
  </si>
  <si>
    <t>E P Building Services Ltd t/a E P Consulting</t>
  </si>
  <si>
    <t>Bolsover District Council</t>
  </si>
  <si>
    <t>Garran Lockers Ltd</t>
  </si>
  <si>
    <t>Vodafone Limited</t>
  </si>
  <si>
    <t>Infrastructure Maintenance</t>
  </si>
  <si>
    <t>Imperial Laundry Ltd</t>
  </si>
  <si>
    <t>Laundry</t>
  </si>
  <si>
    <t>QA Limited</t>
  </si>
  <si>
    <t>Make Consulting Limited</t>
  </si>
  <si>
    <t>Health Assured Limited</t>
  </si>
  <si>
    <t>PFOA Training Services Limited</t>
  </si>
  <si>
    <t>The Dyslexia Association</t>
  </si>
  <si>
    <t>University of Sunderland</t>
  </si>
  <si>
    <t>Bywater Training Limited</t>
  </si>
  <si>
    <t>asDARTS Inh. Andreas Huber</t>
  </si>
  <si>
    <t>Software Rental &amp; Licences</t>
  </si>
  <si>
    <t>Veolia Environmantal Services</t>
  </si>
  <si>
    <t>Arribatec UK Ltd</t>
  </si>
  <si>
    <t>Derby Unitex Ltd</t>
  </si>
  <si>
    <t>Warehouse Express Ltd (WEX Photographic)</t>
  </si>
  <si>
    <t>Arrow County Supplies</t>
  </si>
  <si>
    <t>Ductbusters Ltd</t>
  </si>
  <si>
    <t>ECC Electronic Engineering</t>
  </si>
  <si>
    <t>Specialist Cleaning</t>
  </si>
  <si>
    <t>Bond Solon Training Limited</t>
  </si>
  <si>
    <t>Copshopukltd</t>
  </si>
  <si>
    <t>Enterprise Rent A Car UK Limited</t>
  </si>
  <si>
    <t>Hire of Vehicles</t>
  </si>
  <si>
    <t>SBI TacPro Limited</t>
  </si>
  <si>
    <t>Change Begins Today CBT Limited</t>
  </si>
  <si>
    <t>Wild Park Leisure Limited</t>
  </si>
  <si>
    <t>Geoff Berry Associates</t>
  </si>
  <si>
    <t>SST Sovereign Specialist Training</t>
  </si>
  <si>
    <t>Satsuma Medical Limited</t>
  </si>
  <si>
    <t>People Source Consulting</t>
  </si>
  <si>
    <t>Achieva Group Limited</t>
  </si>
  <si>
    <t>Ardonagh Advisory Insurance Brokers Ltd t/a Thompson and Richardson</t>
  </si>
  <si>
    <t>Insurances</t>
  </si>
  <si>
    <t>Sepura Ltd</t>
  </si>
  <si>
    <t>Drs Direct Limited</t>
  </si>
  <si>
    <t>KRCS Group plc</t>
  </si>
  <si>
    <t>Printing Materials</t>
  </si>
  <si>
    <t>Scenesafe</t>
  </si>
  <si>
    <t>Derby Private Health Royal Derby Hospital</t>
  </si>
  <si>
    <t>National Police Estates Group</t>
  </si>
  <si>
    <t>General Design Fees</t>
  </si>
  <si>
    <t>Bidfood</t>
  </si>
  <si>
    <t>Prisoners Meals</t>
  </si>
  <si>
    <t>National Monitoring</t>
  </si>
  <si>
    <t>Temporary Alarms</t>
  </si>
  <si>
    <t>Fast Engineering Ltd</t>
  </si>
  <si>
    <t>Mayor's Office for Policing and Crime</t>
  </si>
  <si>
    <t>BT Payment Services Ltd</t>
  </si>
  <si>
    <t>The Police and Crime Commissioner for West Midlands</t>
  </si>
  <si>
    <t>Ultimat Defence Limited</t>
  </si>
  <si>
    <t>CPC</t>
  </si>
  <si>
    <t>LexisNexis Butterworths</t>
  </si>
  <si>
    <t>Crich Parish Council</t>
  </si>
  <si>
    <t>National Crime Agency</t>
  </si>
  <si>
    <t>Lindsay Phillips Property Care</t>
  </si>
  <si>
    <t>John E Wright</t>
  </si>
  <si>
    <t>MUSICFOOTBALLFATHERHOOD</t>
  </si>
  <si>
    <t>Ward Recycling</t>
  </si>
  <si>
    <t>Mike O'Dwyer Ltd</t>
  </si>
  <si>
    <t>Furniture</t>
  </si>
  <si>
    <t>Amazon Business</t>
  </si>
  <si>
    <t>Westbury Industrial Supplies Ltd</t>
  </si>
  <si>
    <t>GCI Network Solutions Limited</t>
  </si>
  <si>
    <t>Colena Ltd T/A Heliguy</t>
  </si>
  <si>
    <t>WasteCare Limited</t>
  </si>
  <si>
    <t>PC World Chesterfield</t>
  </si>
  <si>
    <t>Keela International Ltd</t>
  </si>
  <si>
    <t>RPS Business Healthcare</t>
  </si>
  <si>
    <t>Balfour Beatty Living Places</t>
  </si>
  <si>
    <t>Ability Smart Limited</t>
  </si>
  <si>
    <t>Whitestar Limited</t>
  </si>
  <si>
    <t>Access Contracting Limited T/A Access Testing</t>
  </si>
  <si>
    <t>NerG Ltd</t>
  </si>
  <si>
    <t>BT Global Services</t>
  </si>
  <si>
    <t>The Police Federation of England &amp; Wales</t>
  </si>
  <si>
    <t>Arco Limited</t>
  </si>
  <si>
    <t>Rentokil Initial UK Ltd T/A Rentokil Pest Control UK</t>
  </si>
  <si>
    <t>Pest Control</t>
  </si>
  <si>
    <t>Safeguard Medical Technologies Ltd</t>
  </si>
  <si>
    <t>Medical Supplies - First Aid</t>
  </si>
  <si>
    <t>Groundtech Consulting Limited</t>
  </si>
  <si>
    <t>Firebrand Training Limited</t>
  </si>
  <si>
    <t>Amplivox Limited</t>
  </si>
  <si>
    <t>Smartdesksystems Ltd T/A TG Support</t>
  </si>
  <si>
    <t>Clymac Ltd</t>
  </si>
  <si>
    <t>D-Tec International</t>
  </si>
  <si>
    <t>Harrow Green Ltd</t>
  </si>
  <si>
    <t>Office Removals</t>
  </si>
  <si>
    <t>Legal and Insurance Services Ltd</t>
  </si>
  <si>
    <t>BAM PPP</t>
  </si>
  <si>
    <t>Lanes Group PLC T/A Lanes for Drains</t>
  </si>
  <si>
    <t>Schindler Ltd</t>
  </si>
  <si>
    <t>Keystone Badges &amp; Cuffs</t>
  </si>
  <si>
    <t>Antalis Limited</t>
  </si>
  <si>
    <t>Tactical Hazmat Ltd</t>
  </si>
  <si>
    <t>Crown Pet Foods</t>
  </si>
  <si>
    <t>Dog Section - Food</t>
  </si>
  <si>
    <t>Car-Port UK</t>
  </si>
  <si>
    <t>Derbyshire Community Health Services NHS Trust</t>
  </si>
  <si>
    <t>European Instruments Limited</t>
  </si>
  <si>
    <t>Equipment - Maintenance</t>
  </si>
  <si>
    <t>Cambridgeshire Police &amp; Crime Commissioner</t>
  </si>
  <si>
    <t>Escode</t>
  </si>
  <si>
    <t>The East Midlands Cyber Resilience Centre</t>
  </si>
  <si>
    <t>UPS Ltd</t>
  </si>
  <si>
    <t>St Giles Trust</t>
  </si>
  <si>
    <t>External Trainers</t>
  </si>
  <si>
    <t>TBS Polycarbonates Ltd</t>
  </si>
  <si>
    <t>Police, Fire &amp; Crime Commissioner For Cumbria</t>
  </si>
  <si>
    <t>Buddi Limited</t>
  </si>
  <si>
    <t>Posh Nosh</t>
  </si>
  <si>
    <t>Refreshments</t>
  </si>
  <si>
    <t>Datatag ID Ltd</t>
  </si>
  <si>
    <t>Thermo Fisher Scientific</t>
  </si>
  <si>
    <t>Integrated Building Management Systems Ltd</t>
  </si>
  <si>
    <t>Yorkshire Diesel Power Ltd</t>
  </si>
  <si>
    <t>Workin Togs Ltd</t>
  </si>
  <si>
    <t>Crash Safety Solutions dba Driver Research Institute</t>
  </si>
  <si>
    <t>LGC LTD</t>
  </si>
  <si>
    <t>Cema Business Solutions Limited</t>
  </si>
  <si>
    <t>Safequip Ltd</t>
  </si>
  <si>
    <t>First Forensic Solutions Ltd</t>
  </si>
  <si>
    <t>Garmentec Group Limited T/A Kit Design and Style Uniforms</t>
  </si>
  <si>
    <t>Morris Vermaport Ltd</t>
  </si>
  <si>
    <t>Park Lodge International Ltd</t>
  </si>
  <si>
    <t>University Hospitals of Derby and Burton NHS Foundation Trust</t>
  </si>
  <si>
    <t>Software Purchase</t>
  </si>
  <si>
    <t>Unipar Services</t>
  </si>
  <si>
    <t>Support Logistics Europe Ltd T/A UK Tactical</t>
  </si>
  <si>
    <t>Peak Oil Products (Northern) Ltd</t>
  </si>
  <si>
    <t>C Walton Ltd T/A Manheim Vehicle Services</t>
  </si>
  <si>
    <t>Colliers International</t>
  </si>
  <si>
    <t>City Signs Print &amp; Design Ltd</t>
  </si>
  <si>
    <t>West Yorkshire Police</t>
  </si>
  <si>
    <t>Police and Crime Commisioner for Bedfordshire</t>
  </si>
  <si>
    <t>Baslow and Bubnell Parish Council</t>
  </si>
  <si>
    <t>Clifton Canvas Developments Limited</t>
  </si>
  <si>
    <t>Workplace Chaplaincy in Derbyshire</t>
  </si>
  <si>
    <t>Life In Pixels Capturing Your Adventure</t>
  </si>
  <si>
    <t>Football/Other Meals  Outside Contract</t>
  </si>
  <si>
    <t>Crumbs 2 Go Ltd</t>
  </si>
  <si>
    <t>Merit Publications Ltd</t>
  </si>
  <si>
    <t>Racing Lines Derby Ltd</t>
  </si>
  <si>
    <t>Primary Care Commissioning Community Interest Company (PCC CIC)</t>
  </si>
  <si>
    <t>Conference Expenses</t>
  </si>
  <si>
    <t>Just Joe Catering</t>
  </si>
  <si>
    <t>University of Liverpool</t>
  </si>
  <si>
    <t>Fisher Scientific UK</t>
  </si>
  <si>
    <t>FPCR Environment &amp; Design Ltd</t>
  </si>
  <si>
    <t>County Fencing</t>
  </si>
  <si>
    <t>Brookair Danfab Limited</t>
  </si>
  <si>
    <t>Diamond Print Ltd</t>
  </si>
  <si>
    <t>Tropixx Restaurant Ltd</t>
  </si>
  <si>
    <t>Eurofins Forensic Services Limited</t>
  </si>
  <si>
    <t>Engagement &amp; Communications</t>
  </si>
  <si>
    <t>Better Times Limited</t>
  </si>
  <si>
    <t>Winlock Security</t>
  </si>
  <si>
    <t>Buildings - Fire Precaution Work</t>
  </si>
  <si>
    <t>JLA Fire &amp; Security Ltd</t>
  </si>
  <si>
    <t>Morley Hayes Leisure Limited</t>
  </si>
  <si>
    <t>Horse &amp; Jockey</t>
  </si>
  <si>
    <t>Derwent and Hope Valley Group of Advanced Motorists</t>
  </si>
  <si>
    <t>Impact Catering</t>
  </si>
  <si>
    <t>Dog Section - Misc</t>
  </si>
  <si>
    <t>Big Dug</t>
  </si>
  <si>
    <t>Specialist Washing Co</t>
  </si>
  <si>
    <t>ADT Fire &amp; Security Plc</t>
  </si>
  <si>
    <t>DKB Trainiing Associates Ltd</t>
  </si>
  <si>
    <t>Shaun Wass</t>
  </si>
  <si>
    <t>Remote Storage Facility</t>
  </si>
  <si>
    <t>Geoff Smith Associates Limited</t>
  </si>
  <si>
    <t>Vehicle Equipment</t>
  </si>
  <si>
    <t>Dandy Booksellers Ltd</t>
  </si>
  <si>
    <t>Health &amp; Safety Equipment</t>
  </si>
  <si>
    <t>Posturite UK Ltd</t>
  </si>
  <si>
    <t>Derby Advanced Motorists</t>
  </si>
  <si>
    <t>Sonic Communications International Ltd</t>
  </si>
  <si>
    <t>Concerto Support Services Ltd</t>
  </si>
  <si>
    <t>Viking Direct Ltd</t>
  </si>
  <si>
    <t>ICVA</t>
  </si>
  <si>
    <t>IntaForensics Ltd</t>
  </si>
  <si>
    <t>Aero Healthcare Ltd</t>
  </si>
  <si>
    <t>123BigBags B.V.</t>
  </si>
  <si>
    <t>The Construction Skills People Ltd</t>
  </si>
  <si>
    <t>Alan Baldwin Services Limited</t>
  </si>
  <si>
    <t>Air Products</t>
  </si>
  <si>
    <t>Samuel Banner &amp; Co Ltd</t>
  </si>
  <si>
    <t>Crown Gas and Power Ltd</t>
  </si>
  <si>
    <t>Police Crime Prevention Initiatives Ltd</t>
  </si>
  <si>
    <t>Eureka Physiocare Ltd</t>
  </si>
  <si>
    <t>iNVICTUS Solutions Ltd</t>
  </si>
  <si>
    <t>Viking Arms Ltd</t>
  </si>
  <si>
    <t>Steve Beaumont t/a Autosmart</t>
  </si>
  <si>
    <t>Stor-a-File Ltd</t>
  </si>
  <si>
    <t>Anexsys Limited</t>
  </si>
  <si>
    <t>The Investigator Conferences and Publishing Ltd</t>
  </si>
  <si>
    <t>Tour Construction Ltd</t>
  </si>
  <si>
    <t>Derbyshire Police Fed Joint Branch Board</t>
  </si>
  <si>
    <t>O.R.E. Ltd</t>
  </si>
  <si>
    <t>Merck Life Science UK Limited</t>
  </si>
  <si>
    <t>United Kingdom Accreditation Service</t>
  </si>
  <si>
    <t>Northamptonshire Police</t>
  </si>
  <si>
    <t>Robert Lane T/A Mr R R Lane</t>
  </si>
  <si>
    <t>Apex Security Engineering Limited</t>
  </si>
  <si>
    <t>Pro Tect Safety Signs</t>
  </si>
  <si>
    <t>Nationwide Franking Sense Limited</t>
  </si>
  <si>
    <t>Office of the Police and Crime Commissioner Staffordshire</t>
  </si>
  <si>
    <t>The Fitness Group Education Limited</t>
  </si>
  <si>
    <t>Training Services 2000 Ltd T/A Learning Unlimited Derby</t>
  </si>
  <si>
    <t>ADF Solutions Inc</t>
  </si>
  <si>
    <t>Non Recruitment Advertising</t>
  </si>
  <si>
    <t>Radiant Media Ltd t/a Alight Media</t>
  </si>
  <si>
    <t>Modus (Scotland) Limited</t>
  </si>
  <si>
    <t>HealthWork</t>
  </si>
  <si>
    <t>Intramark Limited</t>
  </si>
  <si>
    <t>Alvern Media Ltd</t>
  </si>
  <si>
    <t>Derby County in The Community</t>
  </si>
  <si>
    <t>Otis Ltd</t>
  </si>
  <si>
    <t>Youth Matters New Mills CIC</t>
  </si>
  <si>
    <t>Asian Association of Chesterfield and North Derbyshire</t>
  </si>
  <si>
    <t>Everyone Active Admin Services Ltd</t>
  </si>
  <si>
    <t>CTO Academy Limited</t>
  </si>
  <si>
    <t>Allwag Promotions Ltd</t>
  </si>
  <si>
    <t>Peter Jones (ILG) Ltd</t>
  </si>
  <si>
    <t>Pilsley Parish Council</t>
  </si>
  <si>
    <t>Ripley Town Council</t>
  </si>
  <si>
    <t>Unstone Parish Council</t>
  </si>
  <si>
    <t>Thomas Jacks Limited</t>
  </si>
  <si>
    <t>Totaljobs Group Limited</t>
  </si>
  <si>
    <t>Remedi-Restorative Services</t>
  </si>
  <si>
    <t>Neuropath Ltd</t>
  </si>
  <si>
    <t>Lexica Health and Life Sciences Consultancy Limited</t>
  </si>
  <si>
    <t>Just Print (UK) Ltd trading as JP-UK</t>
  </si>
  <si>
    <t>Bank Charges</t>
  </si>
  <si>
    <t>Barclays Bank</t>
  </si>
  <si>
    <t>Stobuild Limited</t>
  </si>
  <si>
    <t>Police And Crime Commissioner For Lincolnshire</t>
  </si>
  <si>
    <t>NSEP CIC t/a Empowering-Communities</t>
  </si>
  <si>
    <t>Radio Equipment- Site Rental</t>
  </si>
  <si>
    <t>Cellnex Driving Telecom Connectivity</t>
  </si>
  <si>
    <t>St. John Ambulance</t>
  </si>
  <si>
    <t>The Police and Crime Commissioner for South Yorkshire</t>
  </si>
  <si>
    <t>Arthur J Gallagher</t>
  </si>
  <si>
    <t>W E Marson &amp; Co Ltd</t>
  </si>
  <si>
    <t>Nottinghamshire Fire Safety Ltd</t>
  </si>
  <si>
    <t>Scientific Laboratory Supplies</t>
  </si>
  <si>
    <t>Bright Interactive Limited</t>
  </si>
  <si>
    <t>NPS Property Consultants Limited</t>
  </si>
  <si>
    <t>Safe &amp; Sound Derby</t>
  </si>
  <si>
    <t>Erewash Borough Council</t>
  </si>
  <si>
    <t>Tailored Image</t>
  </si>
  <si>
    <t>City of London Police</t>
  </si>
  <si>
    <t>Arthur J Gallagher Insurance Brokers Ltd</t>
  </si>
  <si>
    <t>RFEA Limited</t>
  </si>
  <si>
    <t>Weldon Communications Ltd</t>
  </si>
  <si>
    <t>East Midlands Cyber Resilience Centre</t>
  </si>
  <si>
    <t>Crimestoppers Trust</t>
  </si>
  <si>
    <t>The Multi-Faith Centre</t>
  </si>
  <si>
    <t>Leaders Unlocked Ltd</t>
  </si>
  <si>
    <t>Ignite Consulting Ltd</t>
  </si>
  <si>
    <t>Cleartone Telecoms Plc</t>
  </si>
  <si>
    <t>Ovation Systems Limited</t>
  </si>
  <si>
    <t>CACI Limited</t>
  </si>
  <si>
    <t>Police and Crime Commissioner for Avon and Somerset</t>
  </si>
  <si>
    <t>Enterprise Control Systems Ltd</t>
  </si>
  <si>
    <t>Pathways of Chesterfield</t>
  </si>
  <si>
    <t>Stop Hate UK</t>
  </si>
  <si>
    <t>Power Control Ltd (PCL)</t>
  </si>
  <si>
    <t>Phoenix Software</t>
  </si>
  <si>
    <t>Airwave Solutions Ltd</t>
  </si>
  <si>
    <t>Police and Crime Commissioner for Thames Valley</t>
  </si>
  <si>
    <t>South Derbyshire District Council</t>
  </si>
  <si>
    <t>Internet Investigation Solutions Ltd</t>
  </si>
  <si>
    <t>Stirland Paterson (Printers) Limited</t>
  </si>
  <si>
    <t>The Elm Foundation</t>
  </si>
  <si>
    <t>National Police Air Service Charge</t>
  </si>
  <si>
    <t>Dalkeith SPV Ltd</t>
  </si>
  <si>
    <t>DPFP LLP</t>
  </si>
  <si>
    <t>Derby City Council</t>
  </si>
  <si>
    <t>Beechwood Equipment Ltd</t>
  </si>
  <si>
    <t>East Midlands Chamber</t>
  </si>
  <si>
    <t>Dine Contract Catering</t>
  </si>
  <si>
    <t>Pidcock Motorcycles Ltd</t>
  </si>
  <si>
    <t>W G Pollard Ltd</t>
  </si>
  <si>
    <t>The Sporting Joint Ltd</t>
  </si>
  <si>
    <t>Niche Technology UK Limited</t>
  </si>
  <si>
    <t>Ebuyer UK Limited</t>
  </si>
  <si>
    <t>Partsulike Limited</t>
  </si>
  <si>
    <t>Riley &amp; Co (Mansfield) Ltd</t>
  </si>
  <si>
    <t>77 Rockets Limited</t>
  </si>
  <si>
    <t>Famille Debelle Medical Services Limited</t>
  </si>
  <si>
    <t>Price Western Leather Co Ltd</t>
  </si>
  <si>
    <t>Safelab Systems Ltd</t>
  </si>
  <si>
    <t>Value Products Ltd T/A Just Gloves</t>
  </si>
  <si>
    <t>Diamond Driver Training Limited</t>
  </si>
  <si>
    <t>Pitney Bowes Ltd</t>
  </si>
  <si>
    <t>Derby Conference Centre</t>
  </si>
  <si>
    <t>Dupli Limited</t>
  </si>
  <si>
    <t>Lasermet Limited</t>
  </si>
  <si>
    <t>BRITTAC LTD</t>
  </si>
  <si>
    <t>Vertu Motors Plc</t>
  </si>
  <si>
    <t>PDP Conferences</t>
  </si>
  <si>
    <t>DVSA</t>
  </si>
  <si>
    <t>Buxton Pubwatch</t>
  </si>
  <si>
    <t>Association of Policing and Crime Chief Executives</t>
  </si>
  <si>
    <t>NHS Re-Imbursement</t>
  </si>
  <si>
    <t>Specsavers Corporate Eyecare</t>
  </si>
  <si>
    <t>Phase Design and Print</t>
  </si>
  <si>
    <t>Nottingham Pest Control Ltd</t>
  </si>
  <si>
    <t>R&amp; G Ford</t>
  </si>
  <si>
    <t>IT Consultant Fees/Project Manager</t>
  </si>
  <si>
    <t>TET Ltd</t>
  </si>
  <si>
    <t>Chiltern Global Ltd.</t>
  </si>
  <si>
    <t>People Asset Management Ltd</t>
  </si>
  <si>
    <t>Fleet ID Limited</t>
  </si>
  <si>
    <t>Fumecare Limited</t>
  </si>
  <si>
    <t>Flow Mech Products Ltd</t>
  </si>
  <si>
    <t>Cubic Transportation Systems (ITMS) Limited</t>
  </si>
  <si>
    <t>Corporate Direct (Europe) Ltd T/A Corptel</t>
  </si>
  <si>
    <t>Mease Pavilion</t>
  </si>
  <si>
    <t>Nottingham Trent University</t>
  </si>
  <si>
    <t>Police and Crime Commissioner for Merseyside</t>
  </si>
  <si>
    <t>Derbyshire Neighbourhood Watch Trust Association</t>
  </si>
  <si>
    <t>Eckington Parish Council</t>
  </si>
  <si>
    <t>Scottish Police Authority</t>
  </si>
  <si>
    <t>JAAMA</t>
  </si>
  <si>
    <t>Engineering Services Design Limited</t>
  </si>
  <si>
    <t>Age UK Derby &amp; Derbyshire</t>
  </si>
  <si>
    <t>Fusion Scape Limited</t>
  </si>
  <si>
    <t>Parkside High CIC (Business Account)</t>
  </si>
  <si>
    <t>Royal Humane Society</t>
  </si>
  <si>
    <t>Care of Police Survivors</t>
  </si>
  <si>
    <t>The Thomas Theyer Foundation</t>
  </si>
  <si>
    <t>AiTS</t>
  </si>
  <si>
    <t>LAVAT Consulting Ltd</t>
  </si>
  <si>
    <t>Scarsdale Veterinary Group</t>
  </si>
  <si>
    <t>Challenge Coins UK Ltd</t>
  </si>
  <si>
    <t>Zoriginal Ltd</t>
  </si>
  <si>
    <t>Force IT Solutions Limited</t>
  </si>
  <si>
    <t>Cooneen Protection Ltd</t>
  </si>
  <si>
    <t>Honey Hope Farm Community Interest Company</t>
  </si>
  <si>
    <t>Discountcomms</t>
  </si>
  <si>
    <t>Fonefunshop</t>
  </si>
  <si>
    <t>Sawley Parish Council</t>
  </si>
  <si>
    <t>Advanced Tactical Resources Limited</t>
  </si>
  <si>
    <t>MFD Communication Infrastructure Limited</t>
  </si>
  <si>
    <t>Lambert Smith Hampton Group Limited</t>
  </si>
  <si>
    <t>Chemsol Limited</t>
  </si>
  <si>
    <t>Zellis UK Limited</t>
  </si>
  <si>
    <t>Aspen International Ltd</t>
  </si>
  <si>
    <t>Point South Limited</t>
  </si>
  <si>
    <t>Denby Parish Council</t>
  </si>
  <si>
    <t>Police Service of Northern Ireland</t>
  </si>
  <si>
    <t>Corstorphine &amp; Wright Ltd</t>
  </si>
  <si>
    <t>Halfords Business Services</t>
  </si>
  <si>
    <t>Commissioning / De Commissioning</t>
  </si>
  <si>
    <t>Ramar Limited</t>
  </si>
  <si>
    <t>Bluelight Commercial Limited</t>
  </si>
  <si>
    <t>Redeeming Our Communities</t>
  </si>
  <si>
    <t>Thomson Reuters (Professional) UK Ltd</t>
  </si>
  <si>
    <t>Emergency Service Network (ESN)</t>
  </si>
  <si>
    <t>Motorola Solutions UK Ltd</t>
  </si>
  <si>
    <t>Tremorfa Limited</t>
  </si>
  <si>
    <t>The University of Law Ltd</t>
  </si>
  <si>
    <t>Rural Action Derbyshire</t>
  </si>
  <si>
    <t>Northampton Police</t>
  </si>
  <si>
    <t>Toyota (Gb) Plc</t>
  </si>
  <si>
    <t>Ford Motor Co Ltd</t>
  </si>
  <si>
    <t>ERNST &amp; YOUNG LLP</t>
  </si>
  <si>
    <t>Volvo Car Uk Ltd</t>
  </si>
  <si>
    <t>Volkswagen Group Uk Ltd</t>
  </si>
  <si>
    <t>Other Contractors</t>
  </si>
  <si>
    <t>Refuge</t>
  </si>
  <si>
    <t>Saab UK Ltd</t>
  </si>
  <si>
    <t>CPOSA</t>
  </si>
  <si>
    <t>Think Different Events Ltd</t>
  </si>
  <si>
    <t>Galvanwise Limited</t>
  </si>
  <si>
    <t>Penny Hydraulics Limited</t>
  </si>
  <si>
    <t>Spanset Ltd</t>
  </si>
  <si>
    <t>Notts &amp; Derbys Golf and Leisure Ltd T/A South Chesterfield Golf Club</t>
  </si>
  <si>
    <t>Ratcliff &amp; Roper Printers Ltd</t>
  </si>
  <si>
    <t>Knowledge Exchange Group Ltd T/A Westminster Insight</t>
  </si>
  <si>
    <t>Mytum &amp; Selby Hull Ltd</t>
  </si>
  <si>
    <t>Custom Group Limited</t>
  </si>
  <si>
    <t>Shred Station Ltd</t>
  </si>
  <si>
    <t>The Award Scheme Limited</t>
  </si>
  <si>
    <t>The Duke of Edinburgh's Award</t>
  </si>
  <si>
    <t>British Safety Industry Federation Ltd</t>
  </si>
  <si>
    <t>Juma Communications Ltd</t>
  </si>
  <si>
    <t>Experis</t>
  </si>
  <si>
    <t>Lyon Equipment Ltd</t>
  </si>
  <si>
    <t>AGX Holdings Ltd</t>
  </si>
  <si>
    <t>Adgiftsdiscounts Ltd</t>
  </si>
  <si>
    <t>Bikers Clearance World Limited</t>
  </si>
  <si>
    <t>NTT United Kingdom Limited</t>
  </si>
  <si>
    <t>Greenhatch Group Ltd</t>
  </si>
  <si>
    <t>The Chambers of Christopher Kennedy KC</t>
  </si>
  <si>
    <t>Micro Systemation Ltd</t>
  </si>
  <si>
    <t>Defence Composites Ltd</t>
  </si>
  <si>
    <t>Bags for Strife</t>
  </si>
  <si>
    <t>Kaplan Financial</t>
  </si>
  <si>
    <t>CORITY SOFTWARE INC</t>
  </si>
  <si>
    <t>Darley Moor Motor Cycle Road Racing Club Ltd</t>
  </si>
  <si>
    <t>Crich Youth Club</t>
  </si>
  <si>
    <t>Association of Police and Crime Commissioners</t>
  </si>
  <si>
    <t>South Yorkshire MCA - Police</t>
  </si>
  <si>
    <t>Fire Service College</t>
  </si>
  <si>
    <t>Drug Expert Witness &amp; Valuation Ass</t>
  </si>
  <si>
    <t>Batcheller Monkhouse</t>
  </si>
  <si>
    <t>Shottle &amp; Postern Parish Council</t>
  </si>
  <si>
    <t>Western Underwood Parish Council</t>
  </si>
  <si>
    <t>EU Supply Limited</t>
  </si>
  <si>
    <t>Shared Services Connected Limited</t>
  </si>
  <si>
    <t>Chesterfield Street Pastors</t>
  </si>
  <si>
    <t>PHS Compliance Ltd</t>
  </si>
  <si>
    <t>PRgloo Ltd</t>
  </si>
  <si>
    <t>Boots Hearingcare</t>
  </si>
  <si>
    <t>Gallagher Bassett</t>
  </si>
  <si>
    <t>European Asbestos Services Limited</t>
  </si>
  <si>
    <t>Cloudbreak Analysis Limited</t>
  </si>
  <si>
    <t>Amber Valley Borough Council</t>
  </si>
  <si>
    <t>NECSWS Public Safety</t>
  </si>
  <si>
    <t>Police &amp; Crime Commisioner for Humberside</t>
  </si>
  <si>
    <t>Purosearch Limited</t>
  </si>
  <si>
    <t xml:space="preserve">Cyber Resiliance Centre </t>
  </si>
  <si>
    <t>South Derbyshire District Council-General Account</t>
  </si>
  <si>
    <t>Agilent Technologies LDA UK</t>
  </si>
  <si>
    <t>Reform Restore Respect T/A Reform Restore Respect Consultancy</t>
  </si>
  <si>
    <t>Clad Safety Limited T/A Heroquip</t>
  </si>
  <si>
    <t>Grant Thornton UK LLP</t>
  </si>
  <si>
    <t>Derbyshire Dales District Council</t>
  </si>
  <si>
    <t>Tyco Intergrated Fire &amp; Security</t>
  </si>
  <si>
    <t>Npower Commercial Gas Ltd</t>
  </si>
  <si>
    <t>O'Reilly Media Inc</t>
  </si>
  <si>
    <t>Victim Support</t>
  </si>
  <si>
    <t>Lorien Resourcing Limited</t>
  </si>
  <si>
    <t>CIPFA Business Limited</t>
  </si>
  <si>
    <t>Sercle Ltd</t>
  </si>
  <si>
    <t xml:space="preserve">Barclay Card </t>
  </si>
  <si>
    <t>Selectamark Security Systems PLC</t>
  </si>
  <si>
    <t>ESRI (UK) Limited</t>
  </si>
  <si>
    <t>Magnet Forensics Inc</t>
  </si>
  <si>
    <t>Derby City Council, Neighbourhood Directorate</t>
  </si>
  <si>
    <t>Odyssey Interactive Ltd t/a Interact</t>
  </si>
  <si>
    <t>Derbyshire Healthcare NHS Foundation Trust</t>
  </si>
  <si>
    <t>EM Forensics - Recharge</t>
  </si>
  <si>
    <t>National Police IT Services</t>
  </si>
  <si>
    <t xml:space="preserve">Derbyy SPV  Ltd </t>
  </si>
  <si>
    <t xml:space="preserve">Date </t>
  </si>
  <si>
    <t>TransNo</t>
  </si>
  <si>
    <t>Name</t>
  </si>
  <si>
    <t>Think Publishing Ltd</t>
  </si>
  <si>
    <t>Qualsafe Ltd</t>
  </si>
  <si>
    <t>Co-Star Components</t>
  </si>
  <si>
    <t>Stock - Centrally Charged</t>
  </si>
  <si>
    <t>Specialist Equipment</t>
  </si>
  <si>
    <t>Sportsbikeshop Ltd</t>
  </si>
  <si>
    <t>Farrer &amp; CoLLP</t>
  </si>
  <si>
    <t>CFH Docmail Ltd</t>
  </si>
  <si>
    <t>Satellite Solutions Worldwide PLC T/A BigBlu</t>
  </si>
  <si>
    <t>Sanber Ltd</t>
  </si>
  <si>
    <t>Screwfix Direct Ltd</t>
  </si>
  <si>
    <t>Everything Branded Limited</t>
  </si>
  <si>
    <t>Maix Vending Limited</t>
  </si>
  <si>
    <t>THEWRISTBANDCOMPANY.CO.UK Limited</t>
  </si>
  <si>
    <t>Puretone Ltd</t>
  </si>
  <si>
    <t>TEAM (Energy Auditing Agency Ltd)</t>
  </si>
  <si>
    <t>Official Functions</t>
  </si>
  <si>
    <t>Derbyshire CCC Limited</t>
  </si>
  <si>
    <t>Go Outdoors Retail Limited</t>
  </si>
  <si>
    <t>Raleigh UK Ltd</t>
  </si>
  <si>
    <t>Printed 4 You</t>
  </si>
  <si>
    <t>OH Sourcing Ltd</t>
  </si>
  <si>
    <t>Toyota Material Handling UK Limited</t>
  </si>
  <si>
    <t>Police Authority Treasurers Society</t>
  </si>
  <si>
    <t>CDR group</t>
  </si>
  <si>
    <t>Openreach</t>
  </si>
  <si>
    <t>In-tend Ltd</t>
  </si>
  <si>
    <t>Crawford &amp; Company</t>
  </si>
  <si>
    <t>Tran Am Ltd</t>
  </si>
  <si>
    <t>STH Management Ltd</t>
  </si>
  <si>
    <t>Environtec Limited</t>
  </si>
  <si>
    <t>ScenePro Limited</t>
  </si>
  <si>
    <t>CxG K9 Services</t>
  </si>
  <si>
    <t>Flying Colours Flagmakers</t>
  </si>
  <si>
    <t>Simpson Associates Information Services Ltd</t>
  </si>
  <si>
    <t>Shutts Farm Machinery Ltd</t>
  </si>
  <si>
    <t>AJ Engineering Services Ltd</t>
  </si>
  <si>
    <t>Police Superintendents Association Ltd</t>
  </si>
  <si>
    <t>Truvelo (UK) Limited</t>
  </si>
  <si>
    <t>Barclay Card</t>
  </si>
  <si>
    <t>Nutwell Logistics Limited</t>
  </si>
  <si>
    <t>MILITEC Ltd</t>
  </si>
  <si>
    <t>Child Protection Contribution (DCC)</t>
  </si>
  <si>
    <t>Police and Crime Commissioner for Northumbria</t>
  </si>
  <si>
    <t xml:space="preserve">Derby SPV Ltd </t>
  </si>
  <si>
    <t>The Police and Crime Commissioner for South Wales</t>
  </si>
  <si>
    <t>Transaction Number</t>
  </si>
  <si>
    <t>AB Sports Therapy Clinic</t>
  </si>
  <si>
    <t>Firmin &amp; Sons Plc</t>
  </si>
  <si>
    <t>Police Pass-Blue Light Publishing</t>
  </si>
  <si>
    <t>Antec Limited</t>
  </si>
  <si>
    <t>Oddenhill Ltd</t>
  </si>
  <si>
    <t>Creativefive Ltd</t>
  </si>
  <si>
    <t>Acuity Forensics</t>
  </si>
  <si>
    <t>CCTV DIRECT (UK) LTD</t>
  </si>
  <si>
    <t>The Institute of Licensing</t>
  </si>
  <si>
    <t>MWS Limited</t>
  </si>
  <si>
    <t>Police Federation of England and Wales</t>
  </si>
  <si>
    <t>Repton Village Hall Company</t>
  </si>
  <si>
    <t>Hire of Rooms</t>
  </si>
  <si>
    <t>South Normanton Community Interest Company</t>
  </si>
  <si>
    <t>5 Essex Court</t>
  </si>
  <si>
    <t>Copper Bay Creative Ltd t/a Copper Bay Digital</t>
  </si>
  <si>
    <t>Derbyshire Advanced Motor Cyclists</t>
  </si>
  <si>
    <t>Cranfield University</t>
  </si>
  <si>
    <t>Associate Development Solutions Ltd t/a ThinkingThrough…Academy</t>
  </si>
  <si>
    <t>Derby County Football Club</t>
  </si>
  <si>
    <t>HELLOPRINT B.V.</t>
  </si>
  <si>
    <t>Chesterfield Group of Advanced Monitorists</t>
  </si>
  <si>
    <t>Ballyclare Limited</t>
  </si>
  <si>
    <t>Orion Medical Supplies Ltd</t>
  </si>
  <si>
    <t>AMAZON WEB SERVICES EMEA SARL</t>
  </si>
  <si>
    <t>Police &amp; Crime Commissioner Lancashire</t>
  </si>
  <si>
    <t>Paypoint plc</t>
  </si>
  <si>
    <t>Total Integrated Solutions Ltd</t>
  </si>
  <si>
    <t>Business Image</t>
  </si>
  <si>
    <t>Normanton Screenprint</t>
  </si>
  <si>
    <t>Zengenti Ltd</t>
  </si>
  <si>
    <t>Endura Ltd</t>
  </si>
  <si>
    <t>Orona Limited</t>
  </si>
  <si>
    <t>Woodway Engineering Ltd</t>
  </si>
  <si>
    <t>Me, My Mind &amp; I CIC</t>
  </si>
  <si>
    <t>The Outreach Organisation</t>
  </si>
  <si>
    <t>QRO Solutions Limited</t>
  </si>
  <si>
    <t>Lesar UK LTD</t>
  </si>
  <si>
    <t>Mallina Group</t>
  </si>
  <si>
    <t>Acume Forensics Ltd</t>
  </si>
  <si>
    <t>Colourbyte Europe Ltd</t>
  </si>
  <si>
    <t>CV-Library Ltd</t>
  </si>
  <si>
    <t>Portable Space Ltd</t>
  </si>
  <si>
    <t>ForceMapping Ltd</t>
  </si>
  <si>
    <t>Overseal Parish Council</t>
  </si>
  <si>
    <t>Charlesworth Parish Council</t>
  </si>
  <si>
    <t>Children First Derby</t>
  </si>
  <si>
    <t>Old Bolsover Town Council</t>
  </si>
  <si>
    <t>River Network</t>
  </si>
  <si>
    <t>Ironville &amp; Codnor Park Community Association</t>
  </si>
  <si>
    <t>All In One Marketing Ltd</t>
  </si>
  <si>
    <t>Stanton by Dale Parish Council</t>
  </si>
  <si>
    <t>SCR Ticketing Company Limited T/A TravelMaster</t>
  </si>
  <si>
    <t>Holbrook Parish Council</t>
  </si>
  <si>
    <t>Chesterfield Football Club</t>
  </si>
  <si>
    <t>CIPD Enterprises Ltd</t>
  </si>
  <si>
    <t>Proact IT UK Ltd</t>
  </si>
  <si>
    <t>Gas Technical Services Uk Ltd</t>
  </si>
  <si>
    <t>Copyright Licences</t>
  </si>
  <si>
    <t>The Copyright Licensing Agency Ltd</t>
  </si>
  <si>
    <t>GMK Limited</t>
  </si>
  <si>
    <t>Koettermann Limited</t>
  </si>
  <si>
    <t>Kilburn Parish Council</t>
  </si>
  <si>
    <t>Advocacy After Fatal Domestic Abuse Ltd</t>
  </si>
  <si>
    <t>Quantum 2 Limited</t>
  </si>
  <si>
    <t>Wingerworth Parish Council</t>
  </si>
  <si>
    <t>WebEx Communications Uk Ltd</t>
  </si>
  <si>
    <t>TrustID Limited</t>
  </si>
  <si>
    <t>Breadsall Parish Council</t>
  </si>
  <si>
    <t>Resound Ltd</t>
  </si>
  <si>
    <t>Sporting Communities Community Interest Company</t>
  </si>
  <si>
    <t>CDW Limited UK</t>
  </si>
  <si>
    <t>Sail</t>
  </si>
  <si>
    <t>Derby Womens Centre</t>
  </si>
  <si>
    <t>Womens Work (Derbyshire) Ltd</t>
  </si>
  <si>
    <t>Premises Insurance - General</t>
  </si>
  <si>
    <t>Heanor Parish Salcare</t>
  </si>
  <si>
    <t>Parental Education Growth Support</t>
  </si>
  <si>
    <t>Visav Limited</t>
  </si>
  <si>
    <t>Red Snapper Media Ltd</t>
  </si>
  <si>
    <t>Crossroads Derbyshire</t>
  </si>
  <si>
    <t>ID Unit - Viper</t>
  </si>
  <si>
    <t>Jupiter Construction Ltd</t>
  </si>
  <si>
    <t>High Peak Borough Council</t>
  </si>
  <si>
    <t>Mayor's Office For Policing</t>
  </si>
  <si>
    <t>J&amp;S Accessories Ltd</t>
  </si>
  <si>
    <t>Carbide Tooling Group Ltd</t>
  </si>
  <si>
    <t>Portable Appliance Safety Services Ltd</t>
  </si>
  <si>
    <t>Lillybelles Ltd</t>
  </si>
  <si>
    <t>Lion Laboratories Limited</t>
  </si>
  <si>
    <t>CJS Event Solutions Ltd</t>
  </si>
  <si>
    <t>Great Ormond Street Hospital for Children</t>
  </si>
  <si>
    <t>The Arkwright Centre</t>
  </si>
  <si>
    <t>Sancus Operations Ltd</t>
  </si>
  <si>
    <t>Primetake Ltd</t>
  </si>
  <si>
    <t>AVC Wise Limited T/A My Money Matters</t>
  </si>
  <si>
    <t>SJN Catering Ltd T/A Mrs B’s Catering Services</t>
  </si>
  <si>
    <t>Lydgate Rifle and Pistol Club</t>
  </si>
  <si>
    <t>J N E Security Limited</t>
  </si>
  <si>
    <t>Evac &amp; Chair International Limited</t>
  </si>
  <si>
    <t>Smartwork.com LTD</t>
  </si>
  <si>
    <t>HM Land registry</t>
  </si>
  <si>
    <t>Benneman Ltd</t>
  </si>
  <si>
    <t>Checkprint Ltd</t>
  </si>
  <si>
    <t>MFA Building Control Ltd</t>
  </si>
  <si>
    <t>ClearView Communications Ltd</t>
  </si>
  <si>
    <t>KV &amp; GL Slack Ltd</t>
  </si>
  <si>
    <t>PAK Catering Ltd</t>
  </si>
  <si>
    <t>Leidos Innovations Uk Limited</t>
  </si>
  <si>
    <t>Central High Rise Limited</t>
  </si>
  <si>
    <t>Oxford Professional Education Group</t>
  </si>
  <si>
    <t>Redhall Network Solutions Ltd</t>
  </si>
  <si>
    <t>Derbyshire County Council Pension Fund</t>
  </si>
  <si>
    <t>SOCOTEC UK Limited</t>
  </si>
  <si>
    <t>Develop Training Limited</t>
  </si>
  <si>
    <t>MSH Training &amp; Consultancy Ltd</t>
  </si>
  <si>
    <t>The Police &amp; Crime Commissioner for Cheshire</t>
  </si>
  <si>
    <t>Dethick Lea &amp; Holloway Parish Council</t>
  </si>
  <si>
    <t>Streamline Forensic Reporting Ltd</t>
  </si>
  <si>
    <t>Executive Telecommunications Ltd T/A Incom Telecoms</t>
  </si>
  <si>
    <t>i-media Advertising Ltd</t>
  </si>
  <si>
    <t>Calamat Ltd</t>
  </si>
  <si>
    <t>NDI Technologies Ltd</t>
  </si>
  <si>
    <t>Government Actuary's Department</t>
  </si>
  <si>
    <t>My Merchandise Ltd T/A We Brand It</t>
  </si>
  <si>
    <t>Axon Public Safety UK Limited *Ensure wording on PO*</t>
  </si>
  <si>
    <t>HMRC Shipley SDLT</t>
  </si>
  <si>
    <t>GunnerCooke LLP</t>
  </si>
  <si>
    <t>Matchtech Group (UK) Limited</t>
  </si>
  <si>
    <t>Kinto UK Ltd</t>
  </si>
  <si>
    <t>Selecta UK Ltd</t>
  </si>
  <si>
    <t>AIMS Moor Food Ltd</t>
  </si>
  <si>
    <t>Subsistence Expenses</t>
  </si>
  <si>
    <t>Sykes Global Services Limited</t>
  </si>
  <si>
    <t>Ricardo’s Wood Fired Pizza</t>
  </si>
  <si>
    <t>SP Services (UK) Limited</t>
  </si>
  <si>
    <t>H Squared  Ltd</t>
  </si>
  <si>
    <t>Wyboston Lakes Limited</t>
  </si>
  <si>
    <t>TriM Training</t>
  </si>
  <si>
    <t>Mobile Visual Information Systems Ltd</t>
  </si>
  <si>
    <t>Edgar Brothers</t>
  </si>
  <si>
    <t>Royal Institution of Chartered Surveyors</t>
  </si>
  <si>
    <t>Envico Ltd</t>
  </si>
  <si>
    <t>The Knowledge Academy Ltd</t>
  </si>
  <si>
    <t>National CRC Group</t>
  </si>
  <si>
    <t>Buchanan Computing Ltd</t>
  </si>
  <si>
    <t>James Totty Partnership</t>
  </si>
  <si>
    <t>Cartwright Vehicle Conversions Limited</t>
  </si>
  <si>
    <t>BELPER TACKLE AND GUN</t>
  </si>
  <si>
    <t>Munro News Ltd</t>
  </si>
  <si>
    <t>Calow Parish Council</t>
  </si>
  <si>
    <t>LARS Communications Ltd</t>
  </si>
  <si>
    <t>No Limits Development Ltd</t>
  </si>
  <si>
    <t>Radiosite Ltd</t>
  </si>
  <si>
    <t>HMCTS-East Midlands Regional Confiscation Unit</t>
  </si>
  <si>
    <t>Cyber Management Alliance Ltd</t>
  </si>
  <si>
    <t>CSS Training and Consultancy Limited</t>
  </si>
  <si>
    <t>Westica Communications Limited</t>
  </si>
  <si>
    <t>Hunter Apparel Solutions Ltd</t>
  </si>
  <si>
    <t>Accenture (UK) Limited</t>
  </si>
  <si>
    <t>Safelives</t>
  </si>
  <si>
    <t>Contact Left Ltd</t>
  </si>
  <si>
    <t>Banner Group Limited</t>
  </si>
  <si>
    <t>Health &amp; Safety Laboratory</t>
  </si>
  <si>
    <t>Moditech Rescue Solutions B.V.</t>
  </si>
  <si>
    <t>XChange Training UK Limited</t>
  </si>
  <si>
    <t>PCC for Hampshire</t>
  </si>
  <si>
    <t>Clarity Forensics Services Ltd</t>
  </si>
  <si>
    <t>Lockfinder Ltd</t>
  </si>
  <si>
    <t>4Secure Ltd</t>
  </si>
  <si>
    <t>G2 Survey Ltd</t>
  </si>
  <si>
    <t>Clucas Training Wing Ltd</t>
  </si>
  <si>
    <t>Child Rescue Coalition UK</t>
  </si>
  <si>
    <t>Indeed Ireland Operations Ltd</t>
  </si>
  <si>
    <t>Omega Red Group Limited</t>
  </si>
  <si>
    <t>360 Virtual Services Ltd</t>
  </si>
  <si>
    <t>British Transport Police</t>
  </si>
  <si>
    <t>BKS (Made to Measure) Ltd</t>
  </si>
  <si>
    <t>Cardiff County Council T/A Cardiff International White Water</t>
  </si>
  <si>
    <t>Chesterfield FC Community Trust</t>
  </si>
  <si>
    <t>Willmott Dixon Construction Ltd</t>
  </si>
  <si>
    <t>Speciality Oxygen Service</t>
  </si>
  <si>
    <t>Simul8 Corporation Limited</t>
  </si>
  <si>
    <t>Defibstore Ltd</t>
  </si>
  <si>
    <t>LABCOLD LIMITED</t>
  </si>
  <si>
    <t>2bm Limited</t>
  </si>
  <si>
    <t>Apec Systems Limited</t>
  </si>
  <si>
    <t>HealthPartners Group Ltd</t>
  </si>
  <si>
    <t>Deafinitely Women</t>
  </si>
  <si>
    <t>Worcestershire Medal Service Limited</t>
  </si>
  <si>
    <t>Simunix Ltd</t>
  </si>
  <si>
    <t>H S Jackson &amp; Son Fencing Ltd</t>
  </si>
  <si>
    <t>Medical Intervention</t>
  </si>
  <si>
    <t>Des Gosling Mobility Ltd</t>
  </si>
  <si>
    <t>Frictionless Trade Services Limited</t>
  </si>
  <si>
    <t>TRANSK9 LTD</t>
  </si>
  <si>
    <t>Panda Medical Limited</t>
  </si>
  <si>
    <t>Croix Deaf Intermediary Ltd</t>
  </si>
  <si>
    <t>Essentra Components</t>
  </si>
  <si>
    <t>University of Derby</t>
  </si>
  <si>
    <t>Access Expeditions Ltd</t>
  </si>
  <si>
    <t>Respiratory Protective Assessment Ltd</t>
  </si>
  <si>
    <t>MD5 Ltd</t>
  </si>
  <si>
    <t>System Simulation Ltd</t>
  </si>
  <si>
    <t>3M UNITED KINGDOM PLC t/a 3M SAFETY TRAINING</t>
  </si>
  <si>
    <t>That Little Agency Limited</t>
  </si>
  <si>
    <t>Peli Products (UK) Limited</t>
  </si>
  <si>
    <t>Ubiqus UK Ltd</t>
  </si>
  <si>
    <t>Dams Furniture LTD</t>
  </si>
  <si>
    <t>Giant Training Ltd</t>
  </si>
  <si>
    <t>Chatsworth House Trust</t>
  </si>
  <si>
    <t>Anker Elemental Limited</t>
  </si>
  <si>
    <t>IAC Acoustic Company UK Limited</t>
  </si>
  <si>
    <t>The White Hart Inn</t>
  </si>
  <si>
    <t>Mental Health First Aid England CIC</t>
  </si>
  <si>
    <t>Professor Janesh Gupta</t>
  </si>
  <si>
    <t>Thomas Kneale &amp; Company Ltd</t>
  </si>
  <si>
    <t>The Royal School for the Deaf Derby</t>
  </si>
  <si>
    <t>Granart Ltd</t>
  </si>
  <si>
    <t>Tower Surveyors Ltd</t>
  </si>
  <si>
    <t>Quality Health Limited</t>
  </si>
  <si>
    <t>The Police Treatment Centres</t>
  </si>
  <si>
    <t>Business Academy Online Ltd</t>
  </si>
  <si>
    <t>LEVA International Inc</t>
  </si>
  <si>
    <t>The Law Society</t>
  </si>
  <si>
    <t>BMW Authorities</t>
  </si>
  <si>
    <t>Safe and Sound Group</t>
  </si>
  <si>
    <t>PPL PRS Ltd</t>
  </si>
  <si>
    <t>PRAGMATICS 3D LTD</t>
  </si>
  <si>
    <t>Corporate IT Systems Limited</t>
  </si>
  <si>
    <t>Derby SPB Ltd</t>
  </si>
  <si>
    <t>Nilfisk Advance</t>
  </si>
  <si>
    <t>Nathan Parker</t>
  </si>
  <si>
    <t>Roadchef Development Holdings Ltd (RDHL)</t>
  </si>
  <si>
    <t>Spondon Trophies</t>
  </si>
  <si>
    <t>Nisbets Next Day Catering Equipment</t>
  </si>
  <si>
    <t>Windmill Builders Ltd</t>
  </si>
  <si>
    <t>Justin Law Solicitors</t>
  </si>
  <si>
    <t>AJ Katering</t>
  </si>
  <si>
    <t>Midlands Regional Confiscation Unit</t>
  </si>
  <si>
    <t>FTK9 Ltd</t>
  </si>
  <si>
    <t>Marketing Derby</t>
  </si>
  <si>
    <t>Phoenix HSC UK Ltd</t>
  </si>
  <si>
    <t>Derbyshire Landskills</t>
  </si>
  <si>
    <t>Intellitec MV Limited</t>
  </si>
  <si>
    <t>Arbor Tree Services Limited</t>
  </si>
  <si>
    <t>Chesterfield District Scout Council</t>
  </si>
  <si>
    <t>The Fat Lamb</t>
  </si>
  <si>
    <t>Ivygrove Developments Ltd</t>
  </si>
  <si>
    <t>FHP Property Consultants</t>
  </si>
  <si>
    <t>The Conference Works Ltd</t>
  </si>
  <si>
    <t>West Technology Systems Ltd</t>
  </si>
  <si>
    <t>Learning Materials</t>
  </si>
  <si>
    <t>Oxford University Press</t>
  </si>
  <si>
    <t>Etwall Parish Council</t>
  </si>
  <si>
    <t>Forensic Analytics Ltd</t>
  </si>
  <si>
    <t>PolComm Training &amp; Development Limited</t>
  </si>
  <si>
    <t>Durham Police and Crime Commissioner</t>
  </si>
  <si>
    <t>Hollington Parish Council</t>
  </si>
  <si>
    <t>Criterion A Psychology Services Ltd</t>
  </si>
  <si>
    <t>Specialist Fraud Investigation Training &amp; Consultancy Ltd</t>
  </si>
  <si>
    <t>Link Treasury Services Ltd T/A Link Asset Services</t>
  </si>
  <si>
    <t>Scheme Pays Tax Charges - 1987 Scheme</t>
  </si>
  <si>
    <t>HMRC</t>
  </si>
  <si>
    <t>ViaSat UK Limited</t>
  </si>
  <si>
    <t>Brake</t>
  </si>
  <si>
    <t>Christian Police Association</t>
  </si>
  <si>
    <t>Nottinghamshire Sexual Violence Support Services</t>
  </si>
  <si>
    <t>EDF Energy Customers Ltd</t>
  </si>
  <si>
    <t>Cob Stop  t/a Mr &amp; Mrs C Dykes</t>
  </si>
  <si>
    <t>BOC Ltd</t>
  </si>
  <si>
    <t>Werner UK Sales &amp; Distribution Ltd</t>
  </si>
  <si>
    <t>Riflecraft Limited</t>
  </si>
  <si>
    <t>Neo Property Solutions Ltd</t>
  </si>
  <si>
    <t>Susan Bethel T/A CAB Animal Transit Boxes</t>
  </si>
  <si>
    <t>AGA Print LTD T/A Solopress</t>
  </si>
  <si>
    <t>Magpie Creative Communications Ltd</t>
  </si>
  <si>
    <t>Diphex Solutions Limited</t>
  </si>
  <si>
    <t>Municipal Security Ltd</t>
  </si>
  <si>
    <t>O H E C (uk) Limited</t>
  </si>
  <si>
    <t>SSS Public Safety Ltd</t>
  </si>
  <si>
    <t>LiveU UK Limited</t>
  </si>
  <si>
    <t>Michelin Training and Information Centre</t>
  </si>
  <si>
    <t>VVR Village Trading No1 Ltd T/A Village Ashton</t>
  </si>
  <si>
    <t>Derby Cathedral Chapter</t>
  </si>
  <si>
    <t>Francesca Anderson</t>
  </si>
  <si>
    <t>Testo Limited</t>
  </si>
  <si>
    <t>Jo Wake Recruitment Ltd</t>
  </si>
  <si>
    <t>Morton Parish Council</t>
  </si>
  <si>
    <t>Forenteq Limited</t>
  </si>
  <si>
    <t>Adverta Ltd</t>
  </si>
  <si>
    <t>Holmesfield Parish Council</t>
  </si>
  <si>
    <t>Heath &amp; Holmewood Parish Council</t>
  </si>
  <si>
    <t>Barclays Bank PLC</t>
  </si>
  <si>
    <t>Sutton-cum-Duckmanton Parish Council</t>
  </si>
  <si>
    <t>Signifian't (UK) Limited trading as SignVideo</t>
  </si>
  <si>
    <t>Keto Software Ltd</t>
  </si>
  <si>
    <t>Oracle Corporation (UK) Ltd</t>
  </si>
  <si>
    <t>Vauxhall Motors Ltd</t>
  </si>
  <si>
    <t>Control-F Ltd T/A Control-F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</si>
</sst>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sz val="8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6" fillId="0" borderId="10" xfId="0" applyNumberFormat="1" applyFont="1" applyBorder="1"/>
    <xf numFmtId="0" fontId="6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164" fontId="6" fillId="0" borderId="13" xfId="0" applyNumberFormat="1" applyFont="1" applyBorder="1"/>
    <xf numFmtId="0" fontId="6" fillId="0" borderId="14" xfId="0" applyFont="1" applyBorder="1"/>
    <xf numFmtId="0" fontId="5" fillId="0" borderId="15" xfId="0" applyFont="1" applyBorder="1"/>
    <xf numFmtId="0" fontId="5" fillId="0" borderId="0" xfId="0" applyFont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64" fontId="5" fillId="0" borderId="15" xfId="1" applyNumberFormat="1" applyFont="1" applyFill="1" applyBorder="1" applyAlignment="1">
      <alignment horizontal="right"/>
    </xf>
    <xf numFmtId="0" fontId="5" fillId="0" borderId="15" xfId="0" applyFont="1" applyBorder="1" applyAlignment="1">
      <alignment horizontal="center"/>
    </xf>
    <xf numFmtId="164" fontId="6" fillId="0" borderId="18" xfId="0" applyNumberFormat="1" applyFont="1" applyBorder="1"/>
    <xf numFmtId="0" fontId="6" fillId="0" borderId="16" xfId="0" applyFont="1" applyBorder="1"/>
    <xf numFmtId="0" fontId="6" fillId="0" borderId="9" xfId="0" applyFont="1" applyFill="1" applyBorder="1"/>
    <xf numFmtId="14" fontId="5" fillId="0" borderId="0" xfId="0" applyNumberFormat="1" applyFont="1" applyFill="1" applyAlignment="1">
      <alignment horizontal="center"/>
    </xf>
    <xf numFmtId="0" fontId="6" fillId="0" borderId="12" xfId="0" applyFont="1" applyFill="1" applyBorder="1"/>
    <xf numFmtId="0" fontId="6" fillId="0" borderId="16" xfId="0" applyFont="1" applyFill="1" applyBorder="1"/>
    <xf numFmtId="14" fontId="5" fillId="0" borderId="17" xfId="0" applyNumberFormat="1" applyFont="1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vertical="center"/>
    </xf>
    <xf numFmtId="0" fontId="6" fillId="0" borderId="12" xfId="0" applyFont="1" applyBorder="1"/>
    <xf numFmtId="0" fontId="5" fillId="0" borderId="9" xfId="0" applyFont="1" applyBorder="1"/>
    <xf numFmtId="164" fontId="5" fillId="0" borderId="10" xfId="0" applyNumberFormat="1" applyFont="1" applyBorder="1"/>
    <xf numFmtId="14" fontId="5" fillId="0" borderId="0" xfId="0" applyNumberFormat="1" applyFont="1"/>
    <xf numFmtId="0" fontId="5" fillId="0" borderId="14" xfId="0" applyFont="1" applyBorder="1"/>
    <xf numFmtId="164" fontId="5" fillId="0" borderId="13" xfId="0" applyNumberFormat="1" applyFont="1" applyBorder="1"/>
    <xf numFmtId="0" fontId="5" fillId="0" borderId="12" xfId="0" applyFont="1" applyBorder="1"/>
    <xf numFmtId="0" fontId="5" fillId="0" borderId="0" xfId="2" applyFont="1" applyAlignment="1">
      <alignment vertical="center"/>
    </xf>
    <xf numFmtId="0" fontId="5" fillId="0" borderId="15" xfId="2" applyFont="1" applyBorder="1"/>
    <xf numFmtId="0" fontId="5" fillId="0" borderId="15" xfId="2" applyFont="1" applyBorder="1" applyAlignment="1">
      <alignment horizontal="center"/>
    </xf>
    <xf numFmtId="164" fontId="5" fillId="0" borderId="15" xfId="3" applyNumberFormat="1" applyFont="1" applyFill="1" applyBorder="1" applyAlignment="1">
      <alignment horizontal="right"/>
    </xf>
    <xf numFmtId="14" fontId="5" fillId="0" borderId="15" xfId="2" applyNumberFormat="1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7" xfId="2" applyFont="1" applyBorder="1"/>
    <xf numFmtId="0" fontId="5" fillId="0" borderId="11" xfId="2" applyFont="1" applyBorder="1" applyAlignment="1">
      <alignment horizontal="center"/>
    </xf>
    <xf numFmtId="0" fontId="5" fillId="0" borderId="9" xfId="2" applyFont="1" applyBorder="1"/>
    <xf numFmtId="164" fontId="5" fillId="0" borderId="10" xfId="2" applyNumberFormat="1" applyFont="1" applyBorder="1"/>
    <xf numFmtId="14" fontId="5" fillId="3" borderId="0" xfId="2" applyNumberFormat="1" applyFont="1" applyFill="1"/>
    <xf numFmtId="0" fontId="5" fillId="3" borderId="0" xfId="2" applyFont="1" applyFill="1"/>
    <xf numFmtId="0" fontId="5" fillId="4" borderId="9" xfId="2" applyFont="1" applyFill="1" applyBorder="1"/>
    <xf numFmtId="0" fontId="5" fillId="0" borderId="8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4" borderId="12" xfId="2" applyFont="1" applyFill="1" applyBorder="1"/>
    <xf numFmtId="164" fontId="5" fillId="0" borderId="13" xfId="2" applyNumberFormat="1" applyFont="1" applyBorder="1"/>
    <xf numFmtId="0" fontId="5" fillId="0" borderId="14" xfId="2" applyFont="1" applyBorder="1"/>
    <xf numFmtId="0" fontId="5" fillId="0" borderId="0" xfId="2" applyFont="1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164" fontId="2" fillId="2" borderId="5" xfId="3" applyNumberFormat="1" applyFont="1" applyFill="1" applyBorder="1" applyAlignment="1">
      <alignment horizontal="center" vertical="center" wrapText="1"/>
    </xf>
    <xf numFmtId="14" fontId="2" fillId="2" borderId="4" xfId="2" applyNumberFormat="1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/>
    <xf numFmtId="0" fontId="6" fillId="4" borderId="9" xfId="0" applyFont="1" applyFill="1" applyBorder="1"/>
    <xf numFmtId="4" fontId="5" fillId="5" borderId="0" xfId="0" applyNumberFormat="1" applyFont="1" applyFill="1" applyAlignment="1">
      <alignment vertical="center"/>
    </xf>
    <xf numFmtId="0" fontId="6" fillId="4" borderId="12" xfId="0" applyFont="1" applyFill="1" applyBorder="1"/>
    <xf numFmtId="0" fontId="2" fillId="2" borderId="19" xfId="0" applyFont="1" applyFill="1" applyBorder="1" applyAlignment="1">
      <alignment horizontal="center" vertical="center" wrapText="1"/>
    </xf>
    <xf numFmtId="0" fontId="6" fillId="0" borderId="9" xfId="2" applyFont="1" applyBorder="1"/>
    <xf numFmtId="164" fontId="6" fillId="0" borderId="10" xfId="2" applyNumberFormat="1" applyFont="1" applyBorder="1"/>
    <xf numFmtId="0" fontId="6" fillId="4" borderId="9" xfId="2" applyFont="1" applyFill="1" applyBorder="1"/>
    <xf numFmtId="0" fontId="6" fillId="4" borderId="12" xfId="2" applyFont="1" applyFill="1" applyBorder="1"/>
    <xf numFmtId="164" fontId="6" fillId="0" borderId="13" xfId="2" applyNumberFormat="1" applyFont="1" applyBorder="1"/>
    <xf numFmtId="0" fontId="6" fillId="0" borderId="14" xfId="2" applyFont="1" applyBorder="1"/>
    <xf numFmtId="14" fontId="5" fillId="3" borderId="0" xfId="0" applyNumberFormat="1" applyFont="1" applyFill="1"/>
    <xf numFmtId="0" fontId="5" fillId="3" borderId="0" xfId="0" applyFont="1" applyFill="1"/>
  </cellXfs>
  <cellStyles count="4">
    <cellStyle name="Comma" xfId="1" builtinId="3"/>
    <cellStyle name="Comma 2" xfId="3" xr:uid="{B156A91A-9697-4EB6-927B-4E783133340F}"/>
    <cellStyle name="Normal" xfId="0" builtinId="0"/>
    <cellStyle name="Normal 2" xfId="2" xr:uid="{B93F592C-C6CD-4821-9F73-D6FDED4DE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DED7-C076-41A7-9853-B81889FDC200}">
  <dimension ref="A1:L528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10.28515625" style="22" customWidth="1"/>
    <col min="5" max="5" width="11.140625" style="23" bestFit="1" customWidth="1"/>
    <col min="6" max="6" width="38.85546875" style="20" bestFit="1" customWidth="1"/>
    <col min="7" max="7" width="11.7109375" style="24" bestFit="1" customWidth="1"/>
    <col min="8" max="8" width="93.42578125" style="20" bestFit="1" customWidth="1"/>
    <col min="9" max="9" width="1.7109375" style="20" customWidth="1"/>
    <col min="10" max="10" width="16.140625" style="20" bestFit="1" customWidth="1"/>
    <col min="11" max="12" width="5.7109375" style="17" hidden="1" customWidth="1"/>
    <col min="13" max="13" width="5.7109375" style="17" bestFit="1" customWidth="1"/>
    <col min="14" max="16384" width="9.140625" style="17"/>
  </cols>
  <sheetData>
    <row r="1" spans="1:12" s="8" customFormat="1" ht="32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J1" s="9"/>
    </row>
    <row r="2" spans="1:12" x14ac:dyDescent="0.2">
      <c r="A2" s="10" t="s">
        <v>8</v>
      </c>
      <c r="B2" s="11" t="s">
        <v>9</v>
      </c>
      <c r="C2" s="27" t="s">
        <v>10</v>
      </c>
      <c r="D2" s="28">
        <v>45310</v>
      </c>
      <c r="E2" s="12">
        <v>386471.24</v>
      </c>
      <c r="F2" s="13" t="s">
        <v>11</v>
      </c>
      <c r="G2" s="14" t="str">
        <f t="shared" ref="G2:G65" si="0">IF(E2&gt;25000,"C",IF(E2&gt;1000,"B","A"))</f>
        <v>C</v>
      </c>
      <c r="H2" s="15" t="str">
        <f t="shared" ref="H2:H65" si="1">VLOOKUP(G2,$K$2:$L$4,2,FALSE)</f>
        <v>The Commissioner &amp; Chief Constable are satisfied the spend represents VFM in accordance with the requirements of Category C</v>
      </c>
      <c r="I2" s="16"/>
      <c r="J2" s="16"/>
      <c r="K2" s="17" t="s">
        <v>12</v>
      </c>
      <c r="L2" s="15" t="s">
        <v>13</v>
      </c>
    </row>
    <row r="3" spans="1:12" x14ac:dyDescent="0.2">
      <c r="A3" s="10" t="s">
        <v>8</v>
      </c>
      <c r="B3" s="11" t="s">
        <v>9</v>
      </c>
      <c r="C3" s="27" t="s">
        <v>14</v>
      </c>
      <c r="D3" s="28">
        <v>45296</v>
      </c>
      <c r="E3" s="12">
        <v>348600</v>
      </c>
      <c r="F3" s="13" t="s">
        <v>15</v>
      </c>
      <c r="G3" s="14" t="str">
        <f t="shared" si="0"/>
        <v>C</v>
      </c>
      <c r="H3" s="15" t="str">
        <f t="shared" si="1"/>
        <v>The Commissioner &amp; Chief Constable are satisfied the spend represents VFM in accordance with the requirements of Category C</v>
      </c>
      <c r="I3" s="16"/>
      <c r="J3" s="16"/>
      <c r="K3" s="17" t="s">
        <v>16</v>
      </c>
      <c r="L3" s="15" t="s">
        <v>17</v>
      </c>
    </row>
    <row r="4" spans="1:12" x14ac:dyDescent="0.2">
      <c r="A4" s="10" t="s">
        <v>8</v>
      </c>
      <c r="B4" s="11" t="s">
        <v>9</v>
      </c>
      <c r="C4" s="27" t="s">
        <v>18</v>
      </c>
      <c r="D4" s="28">
        <v>45311</v>
      </c>
      <c r="E4" s="12">
        <v>315455.11</v>
      </c>
      <c r="F4" s="13" t="s">
        <v>19</v>
      </c>
      <c r="G4" s="14" t="str">
        <f t="shared" si="0"/>
        <v>C</v>
      </c>
      <c r="H4" s="15" t="str">
        <f t="shared" si="1"/>
        <v>The Commissioner &amp; Chief Constable are satisfied the spend represents VFM in accordance with the requirements of Category C</v>
      </c>
      <c r="I4" s="16"/>
      <c r="J4" s="16"/>
      <c r="K4" s="17" t="s">
        <v>20</v>
      </c>
      <c r="L4" s="15" t="s">
        <v>21</v>
      </c>
    </row>
    <row r="5" spans="1:12" x14ac:dyDescent="0.2">
      <c r="A5" s="10" t="s">
        <v>8</v>
      </c>
      <c r="B5" s="11" t="s">
        <v>9</v>
      </c>
      <c r="C5" s="27" t="s">
        <v>23</v>
      </c>
      <c r="D5" s="28">
        <v>45307</v>
      </c>
      <c r="E5" s="12">
        <v>175604.4</v>
      </c>
      <c r="F5" s="13" t="s">
        <v>24</v>
      </c>
      <c r="G5" s="14" t="str">
        <f t="shared" si="0"/>
        <v>C</v>
      </c>
      <c r="H5" s="15" t="str">
        <f t="shared" si="1"/>
        <v>The Commissioner &amp; Chief Constable are satisfied the spend represents VFM in accordance with the requirements of Category C</v>
      </c>
      <c r="I5" s="16"/>
      <c r="J5" s="16"/>
    </row>
    <row r="6" spans="1:12" x14ac:dyDescent="0.2">
      <c r="A6" s="10" t="s">
        <v>8</v>
      </c>
      <c r="B6" s="11" t="s">
        <v>9</v>
      </c>
      <c r="C6" s="27" t="s">
        <v>25</v>
      </c>
      <c r="D6" s="28">
        <v>45315</v>
      </c>
      <c r="E6" s="12">
        <v>150228.60999999999</v>
      </c>
      <c r="F6" s="13" t="s">
        <v>15</v>
      </c>
      <c r="G6" s="14" t="str">
        <f t="shared" si="0"/>
        <v>C</v>
      </c>
      <c r="H6" s="15" t="str">
        <f t="shared" si="1"/>
        <v>The Commissioner &amp; Chief Constable are satisfied the spend represents VFM in accordance with the requirements of Category C</v>
      </c>
      <c r="I6" s="16"/>
      <c r="J6" s="16"/>
    </row>
    <row r="7" spans="1:12" x14ac:dyDescent="0.2">
      <c r="A7" s="10" t="s">
        <v>8</v>
      </c>
      <c r="B7" s="11" t="s">
        <v>9</v>
      </c>
      <c r="C7" s="29" t="s">
        <v>26</v>
      </c>
      <c r="D7" s="28">
        <v>45306</v>
      </c>
      <c r="E7" s="12">
        <v>136354</v>
      </c>
      <c r="F7" s="13" t="s">
        <v>27</v>
      </c>
      <c r="G7" s="14" t="str">
        <f t="shared" si="0"/>
        <v>C</v>
      </c>
      <c r="H7" s="15" t="str">
        <f t="shared" si="1"/>
        <v>The Commissioner &amp; Chief Constable are satisfied the spend represents VFM in accordance with the requirements of Category C</v>
      </c>
      <c r="I7" s="16"/>
      <c r="J7" s="16"/>
    </row>
    <row r="8" spans="1:12" x14ac:dyDescent="0.2">
      <c r="A8" s="10" t="s">
        <v>8</v>
      </c>
      <c r="B8" s="11" t="s">
        <v>9</v>
      </c>
      <c r="C8" s="27" t="s">
        <v>28</v>
      </c>
      <c r="D8" s="28">
        <v>45307</v>
      </c>
      <c r="E8" s="12">
        <v>131230</v>
      </c>
      <c r="F8" s="13" t="s">
        <v>29</v>
      </c>
      <c r="G8" s="14" t="str">
        <f t="shared" si="0"/>
        <v>C</v>
      </c>
      <c r="H8" s="15" t="str">
        <f t="shared" si="1"/>
        <v>The Commissioner &amp; Chief Constable are satisfied the spend represents VFM in accordance with the requirements of Category C</v>
      </c>
      <c r="I8" s="16"/>
      <c r="J8" s="16"/>
    </row>
    <row r="9" spans="1:12" x14ac:dyDescent="0.2">
      <c r="A9" s="10" t="s">
        <v>8</v>
      </c>
      <c r="B9" s="11" t="s">
        <v>9</v>
      </c>
      <c r="C9" s="27" t="s">
        <v>30</v>
      </c>
      <c r="D9" s="28">
        <v>45293</v>
      </c>
      <c r="E9" s="12">
        <v>106561.3</v>
      </c>
      <c r="F9" s="13" t="s">
        <v>31</v>
      </c>
      <c r="G9" s="14" t="str">
        <f t="shared" si="0"/>
        <v>C</v>
      </c>
      <c r="H9" s="15" t="str">
        <f t="shared" si="1"/>
        <v>The Commissioner &amp; Chief Constable are satisfied the spend represents VFM in accordance with the requirements of Category C</v>
      </c>
      <c r="I9" s="16"/>
      <c r="J9" s="16"/>
    </row>
    <row r="10" spans="1:12" x14ac:dyDescent="0.2">
      <c r="A10" s="10" t="s">
        <v>8</v>
      </c>
      <c r="B10" s="11" t="s">
        <v>9</v>
      </c>
      <c r="C10" s="27" t="s">
        <v>30</v>
      </c>
      <c r="D10" s="28">
        <v>45293</v>
      </c>
      <c r="E10" s="18">
        <v>17.329999999999998</v>
      </c>
      <c r="F10" s="19" t="s">
        <v>32</v>
      </c>
      <c r="G10" s="14" t="str">
        <f t="shared" si="0"/>
        <v>A</v>
      </c>
      <c r="H10" s="15" t="str">
        <f t="shared" si="1"/>
        <v>The Commissioner &amp; Chief Constable are satisfied the spend represents VFM in accordance with the requirements of Category A</v>
      </c>
      <c r="I10" s="16"/>
      <c r="J10" s="16"/>
    </row>
    <row r="11" spans="1:12" x14ac:dyDescent="0.2">
      <c r="A11" s="10" t="s">
        <v>8</v>
      </c>
      <c r="B11" s="11" t="s">
        <v>9</v>
      </c>
      <c r="C11" s="27" t="s">
        <v>33</v>
      </c>
      <c r="D11" s="28">
        <v>45299</v>
      </c>
      <c r="E11" s="12">
        <v>3676.86</v>
      </c>
      <c r="F11" s="13" t="s">
        <v>34</v>
      </c>
      <c r="G11" s="14" t="str">
        <f t="shared" si="0"/>
        <v>B</v>
      </c>
      <c r="H11" s="15" t="str">
        <f t="shared" si="1"/>
        <v>The Commissioner &amp; Chief Constable are satisfied the spend represents VFM in accordance with the requirements of Category B</v>
      </c>
      <c r="I11" s="16"/>
      <c r="J11" s="16"/>
    </row>
    <row r="12" spans="1:12" x14ac:dyDescent="0.2">
      <c r="A12" s="10" t="s">
        <v>8</v>
      </c>
      <c r="B12" s="11" t="s">
        <v>9</v>
      </c>
      <c r="C12" s="29" t="s">
        <v>33</v>
      </c>
      <c r="D12" s="28">
        <v>45299</v>
      </c>
      <c r="E12" s="18">
        <v>40324.550000000003</v>
      </c>
      <c r="F12" s="19" t="s">
        <v>24</v>
      </c>
      <c r="G12" s="14" t="str">
        <f t="shared" si="0"/>
        <v>C</v>
      </c>
      <c r="H12" s="15" t="str">
        <f t="shared" si="1"/>
        <v>The Commissioner &amp; Chief Constable are satisfied the spend represents VFM in accordance with the requirements of Category C</v>
      </c>
      <c r="I12" s="16"/>
      <c r="J12" s="16"/>
    </row>
    <row r="13" spans="1:12" x14ac:dyDescent="0.2">
      <c r="A13" s="10" t="s">
        <v>8</v>
      </c>
      <c r="B13" s="11" t="s">
        <v>9</v>
      </c>
      <c r="C13" s="27" t="s">
        <v>33</v>
      </c>
      <c r="D13" s="28">
        <v>45299</v>
      </c>
      <c r="E13" s="18">
        <v>47.91</v>
      </c>
      <c r="F13" s="19" t="s">
        <v>35</v>
      </c>
      <c r="G13" s="14" t="str">
        <f t="shared" si="0"/>
        <v>A</v>
      </c>
      <c r="H13" s="15" t="str">
        <f t="shared" si="1"/>
        <v>The Commissioner &amp; Chief Constable are satisfied the spend represents VFM in accordance with the requirements of Category A</v>
      </c>
      <c r="I13" s="16"/>
      <c r="J13" s="16"/>
    </row>
    <row r="14" spans="1:12" x14ac:dyDescent="0.2">
      <c r="A14" s="10" t="s">
        <v>8</v>
      </c>
      <c r="B14" s="11" t="s">
        <v>9</v>
      </c>
      <c r="C14" s="27" t="s">
        <v>33</v>
      </c>
      <c r="D14" s="28">
        <v>45299</v>
      </c>
      <c r="E14" s="18">
        <v>3498.43</v>
      </c>
      <c r="F14" s="19" t="s">
        <v>36</v>
      </c>
      <c r="G14" s="14" t="str">
        <f t="shared" si="0"/>
        <v>B</v>
      </c>
      <c r="H14" s="15" t="str">
        <f t="shared" si="1"/>
        <v>The Commissioner &amp; Chief Constable are satisfied the spend represents VFM in accordance with the requirements of Category B</v>
      </c>
      <c r="I14" s="16"/>
      <c r="J14" s="16"/>
    </row>
    <row r="15" spans="1:12" x14ac:dyDescent="0.2">
      <c r="A15" s="10" t="s">
        <v>8</v>
      </c>
      <c r="B15" s="11" t="s">
        <v>9</v>
      </c>
      <c r="C15" s="27" t="s">
        <v>33</v>
      </c>
      <c r="D15" s="28">
        <v>45299</v>
      </c>
      <c r="E15" s="18">
        <v>17740.89</v>
      </c>
      <c r="F15" s="19" t="s">
        <v>37</v>
      </c>
      <c r="G15" s="14" t="str">
        <f t="shared" si="0"/>
        <v>B</v>
      </c>
      <c r="H15" s="15" t="str">
        <f t="shared" si="1"/>
        <v>The Commissioner &amp; Chief Constable are satisfied the spend represents VFM in accordance with the requirements of Category B</v>
      </c>
      <c r="I15" s="16"/>
      <c r="J15" s="16"/>
    </row>
    <row r="16" spans="1:12" x14ac:dyDescent="0.2">
      <c r="A16" s="10" t="s">
        <v>8</v>
      </c>
      <c r="B16" s="11" t="s">
        <v>9</v>
      </c>
      <c r="C16" s="29" t="s">
        <v>33</v>
      </c>
      <c r="D16" s="28">
        <v>45299</v>
      </c>
      <c r="E16" s="18">
        <v>14088.25</v>
      </c>
      <c r="F16" s="19" t="s">
        <v>38</v>
      </c>
      <c r="G16" s="14" t="str">
        <f t="shared" si="0"/>
        <v>B</v>
      </c>
      <c r="H16" s="15" t="str">
        <f t="shared" si="1"/>
        <v>The Commissioner &amp; Chief Constable are satisfied the spend represents VFM in accordance with the requirements of Category B</v>
      </c>
      <c r="I16" s="16"/>
      <c r="J16" s="16"/>
    </row>
    <row r="17" spans="1:10" x14ac:dyDescent="0.2">
      <c r="A17" s="10" t="s">
        <v>8</v>
      </c>
      <c r="B17" s="11" t="s">
        <v>9</v>
      </c>
      <c r="C17" s="27" t="s">
        <v>33</v>
      </c>
      <c r="D17" s="28">
        <v>45299</v>
      </c>
      <c r="E17" s="18">
        <v>4087</v>
      </c>
      <c r="F17" s="19" t="s">
        <v>39</v>
      </c>
      <c r="G17" s="14" t="str">
        <f t="shared" si="0"/>
        <v>B</v>
      </c>
      <c r="H17" s="15" t="str">
        <f t="shared" si="1"/>
        <v>The Commissioner &amp; Chief Constable are satisfied the spend represents VFM in accordance with the requirements of Category B</v>
      </c>
      <c r="I17" s="16"/>
      <c r="J17" s="16"/>
    </row>
    <row r="18" spans="1:10" x14ac:dyDescent="0.2">
      <c r="A18" s="10" t="s">
        <v>8</v>
      </c>
      <c r="B18" s="11" t="s">
        <v>9</v>
      </c>
      <c r="C18" s="29" t="s">
        <v>33</v>
      </c>
      <c r="D18" s="28">
        <v>45299</v>
      </c>
      <c r="E18" s="18">
        <v>4471.7</v>
      </c>
      <c r="F18" s="19" t="s">
        <v>40</v>
      </c>
      <c r="G18" s="14" t="str">
        <f t="shared" si="0"/>
        <v>B</v>
      </c>
      <c r="H18" s="15" t="str">
        <f t="shared" si="1"/>
        <v>The Commissioner &amp; Chief Constable are satisfied the spend represents VFM in accordance with the requirements of Category B</v>
      </c>
      <c r="I18" s="16"/>
      <c r="J18" s="16"/>
    </row>
    <row r="19" spans="1:10" x14ac:dyDescent="0.2">
      <c r="A19" s="10" t="s">
        <v>8</v>
      </c>
      <c r="B19" s="11" t="s">
        <v>9</v>
      </c>
      <c r="C19" s="27" t="s">
        <v>33</v>
      </c>
      <c r="D19" s="28">
        <v>45299</v>
      </c>
      <c r="E19" s="18">
        <v>129.99</v>
      </c>
      <c r="F19" s="19" t="s">
        <v>41</v>
      </c>
      <c r="G19" s="14" t="str">
        <f t="shared" si="0"/>
        <v>A</v>
      </c>
      <c r="H19" s="15" t="str">
        <f t="shared" si="1"/>
        <v>The Commissioner &amp; Chief Constable are satisfied the spend represents VFM in accordance with the requirements of Category A</v>
      </c>
      <c r="I19" s="16"/>
      <c r="J19" s="16"/>
    </row>
    <row r="20" spans="1:10" x14ac:dyDescent="0.2">
      <c r="A20" s="10" t="s">
        <v>8</v>
      </c>
      <c r="B20" s="11" t="s">
        <v>9</v>
      </c>
      <c r="C20" s="29" t="s">
        <v>33</v>
      </c>
      <c r="D20" s="28">
        <v>45299</v>
      </c>
      <c r="E20" s="18">
        <v>1936.4</v>
      </c>
      <c r="F20" s="19" t="s">
        <v>42</v>
      </c>
      <c r="G20" s="14" t="str">
        <f t="shared" si="0"/>
        <v>B</v>
      </c>
      <c r="H20" s="15" t="str">
        <f t="shared" si="1"/>
        <v>The Commissioner &amp; Chief Constable are satisfied the spend represents VFM in accordance with the requirements of Category B</v>
      </c>
      <c r="I20" s="16"/>
      <c r="J20" s="16"/>
    </row>
    <row r="21" spans="1:10" x14ac:dyDescent="0.2">
      <c r="A21" s="10" t="s">
        <v>8</v>
      </c>
      <c r="B21" s="11" t="s">
        <v>9</v>
      </c>
      <c r="C21" s="27" t="s">
        <v>33</v>
      </c>
      <c r="D21" s="28">
        <v>45299</v>
      </c>
      <c r="E21" s="18">
        <v>1019.7</v>
      </c>
      <c r="F21" s="19" t="s">
        <v>43</v>
      </c>
      <c r="G21" s="14" t="str">
        <f t="shared" si="0"/>
        <v>B</v>
      </c>
      <c r="H21" s="15" t="str">
        <f t="shared" si="1"/>
        <v>The Commissioner &amp; Chief Constable are satisfied the spend represents VFM in accordance with the requirements of Category B</v>
      </c>
      <c r="I21" s="16"/>
      <c r="J21" s="16"/>
    </row>
    <row r="22" spans="1:10" x14ac:dyDescent="0.2">
      <c r="A22" s="10" t="s">
        <v>8</v>
      </c>
      <c r="B22" s="11" t="s">
        <v>9</v>
      </c>
      <c r="C22" s="27" t="s">
        <v>44</v>
      </c>
      <c r="D22" s="28">
        <v>45303</v>
      </c>
      <c r="E22" s="12">
        <v>82260</v>
      </c>
      <c r="F22" s="13" t="s">
        <v>45</v>
      </c>
      <c r="G22" s="14" t="str">
        <f t="shared" si="0"/>
        <v>C</v>
      </c>
      <c r="H22" s="15" t="str">
        <f t="shared" si="1"/>
        <v>The Commissioner &amp; Chief Constable are satisfied the spend represents VFM in accordance with the requirements of Category C</v>
      </c>
      <c r="I22" s="16"/>
      <c r="J22" s="16"/>
    </row>
    <row r="23" spans="1:10" x14ac:dyDescent="0.2">
      <c r="A23" s="10" t="s">
        <v>8</v>
      </c>
      <c r="B23" s="11" t="s">
        <v>9</v>
      </c>
      <c r="C23" s="27" t="s">
        <v>46</v>
      </c>
      <c r="D23" s="28">
        <v>45294</v>
      </c>
      <c r="E23" s="12">
        <v>80949.009999999995</v>
      </c>
      <c r="F23" s="13" t="s">
        <v>47</v>
      </c>
      <c r="G23" s="14" t="str">
        <f t="shared" si="0"/>
        <v>C</v>
      </c>
      <c r="H23" s="15" t="str">
        <f t="shared" si="1"/>
        <v>The Commissioner &amp; Chief Constable are satisfied the spend represents VFM in accordance with the requirements of Category C</v>
      </c>
      <c r="I23" s="16"/>
      <c r="J23" s="16"/>
    </row>
    <row r="24" spans="1:10" x14ac:dyDescent="0.2">
      <c r="A24" s="10" t="s">
        <v>8</v>
      </c>
      <c r="B24" s="11" t="s">
        <v>9</v>
      </c>
      <c r="C24" s="29" t="s">
        <v>48</v>
      </c>
      <c r="D24" s="28">
        <v>45320</v>
      </c>
      <c r="E24" s="12">
        <v>77766.75</v>
      </c>
      <c r="F24" s="13" t="s">
        <v>49</v>
      </c>
      <c r="G24" s="14" t="str">
        <f t="shared" si="0"/>
        <v>C</v>
      </c>
      <c r="H24" s="15" t="str">
        <f t="shared" si="1"/>
        <v>The Commissioner &amp; Chief Constable are satisfied the spend represents VFM in accordance with the requirements of Category C</v>
      </c>
      <c r="I24" s="16"/>
      <c r="J24" s="16"/>
    </row>
    <row r="25" spans="1:10" x14ac:dyDescent="0.2">
      <c r="A25" s="10" t="s">
        <v>8</v>
      </c>
      <c r="B25" s="11" t="s">
        <v>9</v>
      </c>
      <c r="C25" s="27" t="s">
        <v>50</v>
      </c>
      <c r="D25" s="28">
        <v>45295</v>
      </c>
      <c r="E25" s="12">
        <v>76727.72</v>
      </c>
      <c r="F25" s="13" t="s">
        <v>36</v>
      </c>
      <c r="G25" s="14" t="str">
        <f t="shared" si="0"/>
        <v>C</v>
      </c>
      <c r="H25" s="15" t="str">
        <f t="shared" si="1"/>
        <v>The Commissioner &amp; Chief Constable are satisfied the spend represents VFM in accordance with the requirements of Category C</v>
      </c>
      <c r="I25" s="16"/>
      <c r="J25" s="16"/>
    </row>
    <row r="26" spans="1:10" x14ac:dyDescent="0.2">
      <c r="A26" s="10" t="s">
        <v>8</v>
      </c>
      <c r="B26" s="11" t="s">
        <v>9</v>
      </c>
      <c r="C26" s="27" t="s">
        <v>51</v>
      </c>
      <c r="D26" s="28">
        <v>45309</v>
      </c>
      <c r="E26" s="12">
        <v>75550</v>
      </c>
      <c r="F26" s="13" t="s">
        <v>15</v>
      </c>
      <c r="G26" s="14" t="str">
        <f t="shared" si="0"/>
        <v>C</v>
      </c>
      <c r="H26" s="15" t="str">
        <f t="shared" si="1"/>
        <v>The Commissioner &amp; Chief Constable are satisfied the spend represents VFM in accordance with the requirements of Category C</v>
      </c>
      <c r="I26" s="16"/>
      <c r="J26" s="16"/>
    </row>
    <row r="27" spans="1:10" x14ac:dyDescent="0.2">
      <c r="A27" s="10" t="s">
        <v>8</v>
      </c>
      <c r="B27" s="11" t="s">
        <v>9</v>
      </c>
      <c r="C27" s="27" t="s">
        <v>52</v>
      </c>
      <c r="D27" s="28">
        <v>45299</v>
      </c>
      <c r="E27" s="12">
        <v>70347</v>
      </c>
      <c r="F27" s="13" t="s">
        <v>45</v>
      </c>
      <c r="G27" s="14" t="str">
        <f t="shared" si="0"/>
        <v>C</v>
      </c>
      <c r="H27" s="15" t="str">
        <f t="shared" si="1"/>
        <v>The Commissioner &amp; Chief Constable are satisfied the spend represents VFM in accordance with the requirements of Category C</v>
      </c>
      <c r="I27" s="16"/>
      <c r="J27" s="16"/>
    </row>
    <row r="28" spans="1:10" x14ac:dyDescent="0.2">
      <c r="A28" s="10" t="s">
        <v>8</v>
      </c>
      <c r="B28" s="11" t="s">
        <v>9</v>
      </c>
      <c r="C28" s="27" t="s">
        <v>14</v>
      </c>
      <c r="D28" s="28">
        <v>45296</v>
      </c>
      <c r="E28" s="12">
        <v>67900</v>
      </c>
      <c r="F28" s="13" t="s">
        <v>15</v>
      </c>
      <c r="G28" s="14" t="str">
        <f t="shared" si="0"/>
        <v>C</v>
      </c>
      <c r="H28" s="15" t="str">
        <f t="shared" si="1"/>
        <v>The Commissioner &amp; Chief Constable are satisfied the spend represents VFM in accordance with the requirements of Category C</v>
      </c>
      <c r="I28" s="16"/>
      <c r="J28" s="16"/>
    </row>
    <row r="29" spans="1:10" x14ac:dyDescent="0.2">
      <c r="A29" s="10" t="s">
        <v>8</v>
      </c>
      <c r="B29" s="11" t="s">
        <v>9</v>
      </c>
      <c r="C29" s="27" t="s">
        <v>26</v>
      </c>
      <c r="D29" s="28">
        <v>45306</v>
      </c>
      <c r="E29" s="12">
        <v>66709</v>
      </c>
      <c r="F29" s="13" t="s">
        <v>27</v>
      </c>
      <c r="G29" s="14" t="str">
        <f t="shared" si="0"/>
        <v>C</v>
      </c>
      <c r="H29" s="15" t="str">
        <f t="shared" si="1"/>
        <v>The Commissioner &amp; Chief Constable are satisfied the spend represents VFM in accordance with the requirements of Category C</v>
      </c>
      <c r="I29" s="16"/>
      <c r="J29" s="16"/>
    </row>
    <row r="30" spans="1:10" x14ac:dyDescent="0.2">
      <c r="A30" s="10" t="s">
        <v>8</v>
      </c>
      <c r="B30" s="11" t="s">
        <v>9</v>
      </c>
      <c r="C30" s="27" t="s">
        <v>26</v>
      </c>
      <c r="D30" s="28">
        <v>45316</v>
      </c>
      <c r="E30" s="12">
        <v>63877.75</v>
      </c>
      <c r="F30" s="13" t="s">
        <v>53</v>
      </c>
      <c r="G30" s="14" t="str">
        <f t="shared" si="0"/>
        <v>C</v>
      </c>
      <c r="H30" s="15" t="str">
        <f t="shared" si="1"/>
        <v>The Commissioner &amp; Chief Constable are satisfied the spend represents VFM in accordance with the requirements of Category C</v>
      </c>
      <c r="I30" s="16"/>
      <c r="J30" s="16"/>
    </row>
    <row r="31" spans="1:10" x14ac:dyDescent="0.2">
      <c r="A31" s="10" t="s">
        <v>8</v>
      </c>
      <c r="B31" s="11" t="s">
        <v>9</v>
      </c>
      <c r="C31" s="27" t="s">
        <v>26</v>
      </c>
      <c r="D31" s="28">
        <v>45302</v>
      </c>
      <c r="E31" s="12">
        <v>61590.5</v>
      </c>
      <c r="F31" s="13" t="s">
        <v>53</v>
      </c>
      <c r="G31" s="14" t="str">
        <f t="shared" si="0"/>
        <v>C</v>
      </c>
      <c r="H31" s="15" t="str">
        <f t="shared" si="1"/>
        <v>The Commissioner &amp; Chief Constable are satisfied the spend represents VFM in accordance with the requirements of Category C</v>
      </c>
      <c r="I31" s="16"/>
      <c r="J31" s="16"/>
    </row>
    <row r="32" spans="1:10" x14ac:dyDescent="0.2">
      <c r="A32" s="10" t="s">
        <v>8</v>
      </c>
      <c r="B32" s="11" t="s">
        <v>9</v>
      </c>
      <c r="C32" s="27" t="s">
        <v>26</v>
      </c>
      <c r="D32" s="28">
        <v>45306</v>
      </c>
      <c r="E32" s="12">
        <v>56694</v>
      </c>
      <c r="F32" s="13" t="s">
        <v>54</v>
      </c>
      <c r="G32" s="14" t="str">
        <f t="shared" si="0"/>
        <v>C</v>
      </c>
      <c r="H32" s="15" t="str">
        <f t="shared" si="1"/>
        <v>The Commissioner &amp; Chief Constable are satisfied the spend represents VFM in accordance with the requirements of Category C</v>
      </c>
      <c r="I32" s="16"/>
      <c r="J32" s="16"/>
    </row>
    <row r="33" spans="1:10" x14ac:dyDescent="0.2">
      <c r="A33" s="10" t="s">
        <v>8</v>
      </c>
      <c r="B33" s="11" t="s">
        <v>9</v>
      </c>
      <c r="C33" s="27" t="s">
        <v>55</v>
      </c>
      <c r="D33" s="28">
        <v>45306</v>
      </c>
      <c r="E33" s="12">
        <v>54833.75</v>
      </c>
      <c r="F33" s="13" t="s">
        <v>27</v>
      </c>
      <c r="G33" s="14" t="str">
        <f t="shared" si="0"/>
        <v>C</v>
      </c>
      <c r="H33" s="15" t="str">
        <f t="shared" si="1"/>
        <v>The Commissioner &amp; Chief Constable are satisfied the spend represents VFM in accordance with the requirements of Category C</v>
      </c>
      <c r="I33" s="16"/>
      <c r="J33" s="16"/>
    </row>
    <row r="34" spans="1:10" x14ac:dyDescent="0.2">
      <c r="A34" s="10" t="s">
        <v>8</v>
      </c>
      <c r="B34" s="11" t="s">
        <v>9</v>
      </c>
      <c r="C34" s="29" t="s">
        <v>56</v>
      </c>
      <c r="D34" s="28">
        <v>45309</v>
      </c>
      <c r="E34" s="12">
        <v>52235.59</v>
      </c>
      <c r="F34" s="13" t="s">
        <v>15</v>
      </c>
      <c r="G34" s="14" t="str">
        <f t="shared" si="0"/>
        <v>C</v>
      </c>
      <c r="H34" s="15" t="str">
        <f t="shared" si="1"/>
        <v>The Commissioner &amp; Chief Constable are satisfied the spend represents VFM in accordance with the requirements of Category C</v>
      </c>
      <c r="I34" s="16"/>
      <c r="J34" s="16"/>
    </row>
    <row r="35" spans="1:10" x14ac:dyDescent="0.2">
      <c r="A35" s="10" t="s">
        <v>8</v>
      </c>
      <c r="B35" s="11" t="s">
        <v>9</v>
      </c>
      <c r="C35" s="27" t="s">
        <v>57</v>
      </c>
      <c r="D35" s="28">
        <v>45307</v>
      </c>
      <c r="E35" s="12">
        <v>51296.45</v>
      </c>
      <c r="F35" s="13" t="s">
        <v>58</v>
      </c>
      <c r="G35" s="14" t="str">
        <f t="shared" si="0"/>
        <v>C</v>
      </c>
      <c r="H35" s="15" t="str">
        <f t="shared" si="1"/>
        <v>The Commissioner &amp; Chief Constable are satisfied the spend represents VFM in accordance with the requirements of Category C</v>
      </c>
      <c r="I35" s="16"/>
      <c r="J35" s="16"/>
    </row>
    <row r="36" spans="1:10" x14ac:dyDescent="0.2">
      <c r="A36" s="10" t="s">
        <v>8</v>
      </c>
      <c r="B36" s="11" t="s">
        <v>9</v>
      </c>
      <c r="C36" s="27" t="s">
        <v>59</v>
      </c>
      <c r="D36" s="28">
        <v>45309</v>
      </c>
      <c r="E36" s="12">
        <v>50000</v>
      </c>
      <c r="F36" s="13" t="s">
        <v>60</v>
      </c>
      <c r="G36" s="14" t="str">
        <f t="shared" si="0"/>
        <v>C</v>
      </c>
      <c r="H36" s="15" t="str">
        <f t="shared" si="1"/>
        <v>The Commissioner &amp; Chief Constable are satisfied the spend represents VFM in accordance with the requirements of Category C</v>
      </c>
      <c r="I36" s="16"/>
      <c r="J36" s="16"/>
    </row>
    <row r="37" spans="1:10" x14ac:dyDescent="0.2">
      <c r="A37" s="10" t="s">
        <v>8</v>
      </c>
      <c r="B37" s="11" t="s">
        <v>9</v>
      </c>
      <c r="C37" s="27" t="s">
        <v>61</v>
      </c>
      <c r="D37" s="28">
        <v>45321</v>
      </c>
      <c r="E37" s="12">
        <v>47771.26</v>
      </c>
      <c r="F37" s="13" t="s">
        <v>62</v>
      </c>
      <c r="G37" s="14" t="str">
        <f t="shared" si="0"/>
        <v>C</v>
      </c>
      <c r="H37" s="15" t="str">
        <f t="shared" si="1"/>
        <v>The Commissioner &amp; Chief Constable are satisfied the spend represents VFM in accordance with the requirements of Category C</v>
      </c>
      <c r="I37" s="16"/>
      <c r="J37" s="16"/>
    </row>
    <row r="38" spans="1:10" x14ac:dyDescent="0.2">
      <c r="A38" s="10" t="s">
        <v>8</v>
      </c>
      <c r="B38" s="11" t="s">
        <v>9</v>
      </c>
      <c r="C38" s="27" t="s">
        <v>61</v>
      </c>
      <c r="D38" s="28">
        <v>45321</v>
      </c>
      <c r="E38" s="18">
        <v>110</v>
      </c>
      <c r="F38" s="19" t="s">
        <v>63</v>
      </c>
      <c r="G38" s="14" t="str">
        <f t="shared" si="0"/>
        <v>A</v>
      </c>
      <c r="H38" s="15" t="str">
        <f t="shared" si="1"/>
        <v>The Commissioner &amp; Chief Constable are satisfied the spend represents VFM in accordance with the requirements of Category A</v>
      </c>
      <c r="I38" s="16"/>
      <c r="J38" s="16"/>
    </row>
    <row r="39" spans="1:10" x14ac:dyDescent="0.2">
      <c r="A39" s="10" t="s">
        <v>8</v>
      </c>
      <c r="B39" s="11" t="s">
        <v>9</v>
      </c>
      <c r="C39" s="27" t="s">
        <v>64</v>
      </c>
      <c r="D39" s="28">
        <v>45306</v>
      </c>
      <c r="E39" s="12">
        <v>43750</v>
      </c>
      <c r="F39" s="13" t="s">
        <v>27</v>
      </c>
      <c r="G39" s="14" t="str">
        <f t="shared" si="0"/>
        <v>C</v>
      </c>
      <c r="H39" s="15" t="str">
        <f t="shared" si="1"/>
        <v>The Commissioner &amp; Chief Constable are satisfied the spend represents VFM in accordance with the requirements of Category C</v>
      </c>
      <c r="I39" s="16"/>
      <c r="J39" s="16"/>
    </row>
    <row r="40" spans="1:10" x14ac:dyDescent="0.2">
      <c r="A40" s="10" t="s">
        <v>8</v>
      </c>
      <c r="B40" s="11" t="s">
        <v>9</v>
      </c>
      <c r="C40" s="27" t="s">
        <v>65</v>
      </c>
      <c r="D40" s="28">
        <v>45310</v>
      </c>
      <c r="E40" s="12">
        <v>40185.769999999997</v>
      </c>
      <c r="F40" s="13" t="s">
        <v>66</v>
      </c>
      <c r="G40" s="14" t="str">
        <f t="shared" si="0"/>
        <v>C</v>
      </c>
      <c r="H40" s="15" t="str">
        <f t="shared" si="1"/>
        <v>The Commissioner &amp; Chief Constable are satisfied the spend represents VFM in accordance with the requirements of Category C</v>
      </c>
      <c r="I40" s="16"/>
      <c r="J40" s="16"/>
    </row>
    <row r="41" spans="1:10" x14ac:dyDescent="0.2">
      <c r="A41" s="10" t="s">
        <v>8</v>
      </c>
      <c r="B41" s="11" t="s">
        <v>9</v>
      </c>
      <c r="C41" s="27" t="s">
        <v>67</v>
      </c>
      <c r="D41" s="28">
        <v>45306</v>
      </c>
      <c r="E41" s="12">
        <v>39632.5</v>
      </c>
      <c r="F41" s="13" t="s">
        <v>27</v>
      </c>
      <c r="G41" s="14" t="str">
        <f t="shared" si="0"/>
        <v>C</v>
      </c>
      <c r="H41" s="15" t="str">
        <f t="shared" si="1"/>
        <v>The Commissioner &amp; Chief Constable are satisfied the spend represents VFM in accordance with the requirements of Category C</v>
      </c>
      <c r="I41" s="16"/>
      <c r="J41" s="16"/>
    </row>
    <row r="42" spans="1:10" x14ac:dyDescent="0.2">
      <c r="A42" s="10" t="s">
        <v>8</v>
      </c>
      <c r="B42" s="11" t="s">
        <v>9</v>
      </c>
      <c r="C42" s="27" t="s">
        <v>68</v>
      </c>
      <c r="D42" s="28">
        <v>45313</v>
      </c>
      <c r="E42" s="12">
        <v>32677.38</v>
      </c>
      <c r="F42" s="13" t="s">
        <v>43</v>
      </c>
      <c r="G42" s="14" t="str">
        <f t="shared" si="0"/>
        <v>C</v>
      </c>
      <c r="H42" s="15" t="str">
        <f t="shared" si="1"/>
        <v>The Commissioner &amp; Chief Constable are satisfied the spend represents VFM in accordance with the requirements of Category C</v>
      </c>
      <c r="I42" s="16"/>
      <c r="J42" s="16"/>
    </row>
    <row r="43" spans="1:10" x14ac:dyDescent="0.2">
      <c r="A43" s="10" t="s">
        <v>8</v>
      </c>
      <c r="B43" s="11" t="s">
        <v>9</v>
      </c>
      <c r="C43" s="27" t="s">
        <v>69</v>
      </c>
      <c r="D43" s="28">
        <v>45307</v>
      </c>
      <c r="E43" s="12">
        <v>31334.2</v>
      </c>
      <c r="F43" s="13" t="s">
        <v>58</v>
      </c>
      <c r="G43" s="14" t="str">
        <f t="shared" si="0"/>
        <v>C</v>
      </c>
      <c r="H43" s="15" t="str">
        <f t="shared" si="1"/>
        <v>The Commissioner &amp; Chief Constable are satisfied the spend represents VFM in accordance with the requirements of Category C</v>
      </c>
      <c r="I43" s="16"/>
      <c r="J43" s="16"/>
    </row>
    <row r="44" spans="1:10" x14ac:dyDescent="0.2">
      <c r="A44" s="10" t="s">
        <v>8</v>
      </c>
      <c r="B44" s="11" t="s">
        <v>9</v>
      </c>
      <c r="C44" s="27" t="s">
        <v>26</v>
      </c>
      <c r="D44" s="28">
        <v>45306</v>
      </c>
      <c r="E44" s="12">
        <v>30000</v>
      </c>
      <c r="F44" s="13" t="s">
        <v>27</v>
      </c>
      <c r="G44" s="14" t="str">
        <f t="shared" si="0"/>
        <v>C</v>
      </c>
      <c r="H44" s="15" t="str">
        <f t="shared" si="1"/>
        <v>The Commissioner &amp; Chief Constable are satisfied the spend represents VFM in accordance with the requirements of Category C</v>
      </c>
      <c r="I44" s="16"/>
      <c r="J44" s="16"/>
    </row>
    <row r="45" spans="1:10" x14ac:dyDescent="0.2">
      <c r="A45" s="10" t="s">
        <v>8</v>
      </c>
      <c r="B45" s="11" t="s">
        <v>9</v>
      </c>
      <c r="C45" s="27" t="s">
        <v>70</v>
      </c>
      <c r="D45" s="28">
        <v>45307</v>
      </c>
      <c r="E45" s="12">
        <v>28938.47</v>
      </c>
      <c r="F45" s="13" t="s">
        <v>58</v>
      </c>
      <c r="G45" s="14" t="str">
        <f t="shared" si="0"/>
        <v>C</v>
      </c>
      <c r="H45" s="15" t="str">
        <f t="shared" si="1"/>
        <v>The Commissioner &amp; Chief Constable are satisfied the spend represents VFM in accordance with the requirements of Category C</v>
      </c>
      <c r="I45" s="16"/>
      <c r="J45" s="16"/>
    </row>
    <row r="46" spans="1:10" x14ac:dyDescent="0.2">
      <c r="A46" s="10" t="s">
        <v>8</v>
      </c>
      <c r="B46" s="11" t="s">
        <v>9</v>
      </c>
      <c r="C46" s="27" t="s">
        <v>26</v>
      </c>
      <c r="D46" s="28">
        <v>45303</v>
      </c>
      <c r="E46" s="12">
        <v>27793</v>
      </c>
      <c r="F46" s="13" t="s">
        <v>22</v>
      </c>
      <c r="G46" s="14" t="str">
        <f t="shared" si="0"/>
        <v>C</v>
      </c>
      <c r="H46" s="15" t="str">
        <f t="shared" si="1"/>
        <v>The Commissioner &amp; Chief Constable are satisfied the spend represents VFM in accordance with the requirements of Category C</v>
      </c>
      <c r="I46" s="16"/>
      <c r="J46" s="16"/>
    </row>
    <row r="47" spans="1:10" x14ac:dyDescent="0.2">
      <c r="A47" s="10" t="s">
        <v>8</v>
      </c>
      <c r="B47" s="11" t="s">
        <v>9</v>
      </c>
      <c r="C47" s="27" t="s">
        <v>71</v>
      </c>
      <c r="D47" s="28">
        <v>45316</v>
      </c>
      <c r="E47" s="12">
        <v>27578.51</v>
      </c>
      <c r="F47" s="13" t="s">
        <v>15</v>
      </c>
      <c r="G47" s="14" t="str">
        <f t="shared" si="0"/>
        <v>C</v>
      </c>
      <c r="H47" s="15" t="str">
        <f t="shared" si="1"/>
        <v>The Commissioner &amp; Chief Constable are satisfied the spend represents VFM in accordance with the requirements of Category C</v>
      </c>
      <c r="I47" s="16"/>
      <c r="J47" s="16"/>
    </row>
    <row r="48" spans="1:10" x14ac:dyDescent="0.2">
      <c r="A48" s="10" t="s">
        <v>8</v>
      </c>
      <c r="B48" s="11" t="s">
        <v>9</v>
      </c>
      <c r="C48" s="27" t="s">
        <v>72</v>
      </c>
      <c r="D48" s="28">
        <v>45300</v>
      </c>
      <c r="E48" s="12">
        <v>26981.13</v>
      </c>
      <c r="F48" s="13" t="s">
        <v>27</v>
      </c>
      <c r="G48" s="14" t="str">
        <f t="shared" si="0"/>
        <v>C</v>
      </c>
      <c r="H48" s="15" t="str">
        <f t="shared" si="1"/>
        <v>The Commissioner &amp; Chief Constable are satisfied the spend represents VFM in accordance with the requirements of Category C</v>
      </c>
      <c r="I48" s="16"/>
      <c r="J48" s="16"/>
    </row>
    <row r="49" spans="1:10" x14ac:dyDescent="0.2">
      <c r="A49" s="10" t="s">
        <v>8</v>
      </c>
      <c r="B49" s="11" t="s">
        <v>9</v>
      </c>
      <c r="C49" s="27" t="s">
        <v>73</v>
      </c>
      <c r="D49" s="28">
        <v>45306</v>
      </c>
      <c r="E49" s="12">
        <v>26160</v>
      </c>
      <c r="F49" s="13" t="s">
        <v>15</v>
      </c>
      <c r="G49" s="14" t="str">
        <f t="shared" si="0"/>
        <v>C</v>
      </c>
      <c r="H49" s="15" t="str">
        <f t="shared" si="1"/>
        <v>The Commissioner &amp; Chief Constable are satisfied the spend represents VFM in accordance with the requirements of Category C</v>
      </c>
      <c r="I49" s="16"/>
      <c r="J49" s="16"/>
    </row>
    <row r="50" spans="1:10" x14ac:dyDescent="0.2">
      <c r="A50" s="10" t="s">
        <v>8</v>
      </c>
      <c r="B50" s="11" t="s">
        <v>9</v>
      </c>
      <c r="C50" s="27" t="s">
        <v>74</v>
      </c>
      <c r="D50" s="28">
        <v>45313</v>
      </c>
      <c r="E50" s="12">
        <v>25313.78</v>
      </c>
      <c r="F50" s="13" t="s">
        <v>75</v>
      </c>
      <c r="G50" s="14" t="str">
        <f t="shared" si="0"/>
        <v>C</v>
      </c>
      <c r="H50" s="15" t="str">
        <f t="shared" si="1"/>
        <v>The Commissioner &amp; Chief Constable are satisfied the spend represents VFM in accordance with the requirements of Category C</v>
      </c>
      <c r="I50" s="16"/>
      <c r="J50" s="16"/>
    </row>
    <row r="51" spans="1:10" x14ac:dyDescent="0.2">
      <c r="A51" s="10" t="s">
        <v>8</v>
      </c>
      <c r="B51" s="11" t="s">
        <v>9</v>
      </c>
      <c r="C51" s="27" t="s">
        <v>26</v>
      </c>
      <c r="D51" s="28">
        <v>45293</v>
      </c>
      <c r="E51" s="12">
        <v>25143.889999999996</v>
      </c>
      <c r="F51" s="13" t="s">
        <v>76</v>
      </c>
      <c r="G51" s="14" t="str">
        <f t="shared" si="0"/>
        <v>C</v>
      </c>
      <c r="H51" s="15" t="str">
        <f t="shared" si="1"/>
        <v>The Commissioner &amp; Chief Constable are satisfied the spend represents VFM in accordance with the requirements of Category C</v>
      </c>
      <c r="I51" s="16"/>
      <c r="J51" s="16"/>
    </row>
    <row r="52" spans="1:10" x14ac:dyDescent="0.2">
      <c r="A52" s="10" t="s">
        <v>8</v>
      </c>
      <c r="B52" s="11" t="s">
        <v>9</v>
      </c>
      <c r="C52" s="27" t="s">
        <v>26</v>
      </c>
      <c r="D52" s="28">
        <v>45293</v>
      </c>
      <c r="E52" s="12">
        <v>24582.73</v>
      </c>
      <c r="F52" s="13" t="s">
        <v>76</v>
      </c>
      <c r="G52" s="14" t="str">
        <f t="shared" si="0"/>
        <v>B</v>
      </c>
      <c r="H52" s="15" t="str">
        <f t="shared" si="1"/>
        <v>The Commissioner &amp; Chief Constable are satisfied the spend represents VFM in accordance with the requirements of Category B</v>
      </c>
      <c r="I52" s="16"/>
      <c r="J52" s="16"/>
    </row>
    <row r="53" spans="1:10" x14ac:dyDescent="0.2">
      <c r="A53" s="10" t="s">
        <v>8</v>
      </c>
      <c r="B53" s="11" t="s">
        <v>9</v>
      </c>
      <c r="C53" s="27" t="s">
        <v>77</v>
      </c>
      <c r="D53" s="28">
        <v>45310</v>
      </c>
      <c r="E53" s="12">
        <v>24529.77</v>
      </c>
      <c r="F53" s="13" t="s">
        <v>58</v>
      </c>
      <c r="G53" s="14" t="str">
        <f t="shared" si="0"/>
        <v>B</v>
      </c>
      <c r="H53" s="15" t="str">
        <f t="shared" si="1"/>
        <v>The Commissioner &amp; Chief Constable are satisfied the spend represents VFM in accordance with the requirements of Category B</v>
      </c>
      <c r="I53" s="16"/>
      <c r="J53" s="16"/>
    </row>
    <row r="54" spans="1:10" x14ac:dyDescent="0.2">
      <c r="A54" s="10" t="s">
        <v>8</v>
      </c>
      <c r="B54" s="11" t="s">
        <v>9</v>
      </c>
      <c r="C54" s="27" t="s">
        <v>78</v>
      </c>
      <c r="D54" s="28">
        <v>45322</v>
      </c>
      <c r="E54" s="12">
        <v>23885.63</v>
      </c>
      <c r="F54" s="13" t="s">
        <v>62</v>
      </c>
      <c r="G54" s="14" t="str">
        <f t="shared" si="0"/>
        <v>B</v>
      </c>
      <c r="H54" s="15" t="str">
        <f t="shared" si="1"/>
        <v>The Commissioner &amp; Chief Constable are satisfied the spend represents VFM in accordance with the requirements of Category B</v>
      </c>
      <c r="I54" s="16"/>
      <c r="J54" s="16"/>
    </row>
    <row r="55" spans="1:10" x14ac:dyDescent="0.2">
      <c r="A55" s="10" t="s">
        <v>8</v>
      </c>
      <c r="B55" s="11" t="s">
        <v>9</v>
      </c>
      <c r="C55" s="27" t="s">
        <v>78</v>
      </c>
      <c r="D55" s="28">
        <v>45322</v>
      </c>
      <c r="E55" s="18">
        <v>55</v>
      </c>
      <c r="F55" s="19" t="s">
        <v>63</v>
      </c>
      <c r="G55" s="14" t="str">
        <f t="shared" si="0"/>
        <v>A</v>
      </c>
      <c r="H55" s="15" t="str">
        <f t="shared" si="1"/>
        <v>The Commissioner &amp; Chief Constable are satisfied the spend represents VFM in accordance with the requirements of Category A</v>
      </c>
      <c r="I55" s="16"/>
      <c r="J55" s="16"/>
    </row>
    <row r="56" spans="1:10" x14ac:dyDescent="0.2">
      <c r="A56" s="10" t="s">
        <v>8</v>
      </c>
      <c r="B56" s="11" t="s">
        <v>9</v>
      </c>
      <c r="C56" s="27" t="s">
        <v>78</v>
      </c>
      <c r="D56" s="28">
        <v>45322</v>
      </c>
      <c r="E56" s="12">
        <v>23885.63</v>
      </c>
      <c r="F56" s="13" t="s">
        <v>62</v>
      </c>
      <c r="G56" s="14" t="str">
        <f t="shared" si="0"/>
        <v>B</v>
      </c>
      <c r="H56" s="15" t="str">
        <f t="shared" si="1"/>
        <v>The Commissioner &amp; Chief Constable are satisfied the spend represents VFM in accordance with the requirements of Category B</v>
      </c>
      <c r="I56" s="16"/>
      <c r="J56" s="16"/>
    </row>
    <row r="57" spans="1:10" x14ac:dyDescent="0.2">
      <c r="A57" s="10" t="s">
        <v>8</v>
      </c>
      <c r="B57" s="11" t="s">
        <v>9</v>
      </c>
      <c r="C57" s="27" t="s">
        <v>78</v>
      </c>
      <c r="D57" s="28">
        <v>45322</v>
      </c>
      <c r="E57" s="18">
        <v>55</v>
      </c>
      <c r="F57" s="19" t="s">
        <v>63</v>
      </c>
      <c r="G57" s="14" t="str">
        <f t="shared" si="0"/>
        <v>A</v>
      </c>
      <c r="H57" s="15" t="str">
        <f t="shared" si="1"/>
        <v>The Commissioner &amp; Chief Constable are satisfied the spend represents VFM in accordance with the requirements of Category A</v>
      </c>
      <c r="I57" s="16"/>
      <c r="J57" s="16"/>
    </row>
    <row r="58" spans="1:10" x14ac:dyDescent="0.2">
      <c r="A58" s="10" t="s">
        <v>8</v>
      </c>
      <c r="B58" s="11" t="s">
        <v>9</v>
      </c>
      <c r="C58" s="27" t="s">
        <v>78</v>
      </c>
      <c r="D58" s="28">
        <v>45294</v>
      </c>
      <c r="E58" s="12">
        <v>23885.63</v>
      </c>
      <c r="F58" s="13" t="s">
        <v>62</v>
      </c>
      <c r="G58" s="14" t="str">
        <f t="shared" si="0"/>
        <v>B</v>
      </c>
      <c r="H58" s="15" t="str">
        <f t="shared" si="1"/>
        <v>The Commissioner &amp; Chief Constable are satisfied the spend represents VFM in accordance with the requirements of Category B</v>
      </c>
      <c r="I58" s="16"/>
      <c r="J58" s="16"/>
    </row>
    <row r="59" spans="1:10" x14ac:dyDescent="0.2">
      <c r="A59" s="10" t="s">
        <v>8</v>
      </c>
      <c r="B59" s="11" t="s">
        <v>9</v>
      </c>
      <c r="C59" s="27" t="s">
        <v>78</v>
      </c>
      <c r="D59" s="28">
        <v>45294</v>
      </c>
      <c r="E59" s="18">
        <v>55</v>
      </c>
      <c r="F59" s="19" t="s">
        <v>63</v>
      </c>
      <c r="G59" s="14" t="str">
        <f t="shared" si="0"/>
        <v>A</v>
      </c>
      <c r="H59" s="15" t="str">
        <f t="shared" si="1"/>
        <v>The Commissioner &amp; Chief Constable are satisfied the spend represents VFM in accordance with the requirements of Category A</v>
      </c>
      <c r="I59" s="16"/>
      <c r="J59" s="16"/>
    </row>
    <row r="60" spans="1:10" x14ac:dyDescent="0.2">
      <c r="A60" s="10" t="s">
        <v>8</v>
      </c>
      <c r="B60" s="11" t="s">
        <v>9</v>
      </c>
      <c r="C60" s="27" t="s">
        <v>61</v>
      </c>
      <c r="D60" s="28">
        <v>45322</v>
      </c>
      <c r="E60" s="12">
        <v>23885.63</v>
      </c>
      <c r="F60" s="13" t="s">
        <v>62</v>
      </c>
      <c r="G60" s="14" t="str">
        <f t="shared" si="0"/>
        <v>B</v>
      </c>
      <c r="H60" s="15" t="str">
        <f t="shared" si="1"/>
        <v>The Commissioner &amp; Chief Constable are satisfied the spend represents VFM in accordance with the requirements of Category B</v>
      </c>
      <c r="I60" s="16"/>
      <c r="J60" s="16"/>
    </row>
    <row r="61" spans="1:10" x14ac:dyDescent="0.2">
      <c r="A61" s="10" t="s">
        <v>8</v>
      </c>
      <c r="B61" s="11" t="s">
        <v>9</v>
      </c>
      <c r="C61" s="27" t="s">
        <v>61</v>
      </c>
      <c r="D61" s="28">
        <v>45322</v>
      </c>
      <c r="E61" s="18">
        <v>55</v>
      </c>
      <c r="F61" s="19" t="s">
        <v>63</v>
      </c>
      <c r="G61" s="14" t="str">
        <f t="shared" si="0"/>
        <v>A</v>
      </c>
      <c r="H61" s="15" t="str">
        <f t="shared" si="1"/>
        <v>The Commissioner &amp; Chief Constable are satisfied the spend represents VFM in accordance with the requirements of Category A</v>
      </c>
      <c r="I61" s="16"/>
      <c r="J61" s="16"/>
    </row>
    <row r="62" spans="1:10" x14ac:dyDescent="0.2">
      <c r="A62" s="10" t="s">
        <v>8</v>
      </c>
      <c r="B62" s="11" t="s">
        <v>9</v>
      </c>
      <c r="C62" s="27" t="s">
        <v>61</v>
      </c>
      <c r="D62" s="28">
        <v>45322</v>
      </c>
      <c r="E62" s="12">
        <v>23885.63</v>
      </c>
      <c r="F62" s="13" t="s">
        <v>62</v>
      </c>
      <c r="G62" s="14" t="str">
        <f t="shared" si="0"/>
        <v>B</v>
      </c>
      <c r="H62" s="15" t="str">
        <f t="shared" si="1"/>
        <v>The Commissioner &amp; Chief Constable are satisfied the spend represents VFM in accordance with the requirements of Category B</v>
      </c>
      <c r="I62" s="16"/>
      <c r="J62" s="16"/>
    </row>
    <row r="63" spans="1:10" x14ac:dyDescent="0.2">
      <c r="A63" s="10" t="s">
        <v>8</v>
      </c>
      <c r="B63" s="11" t="s">
        <v>9</v>
      </c>
      <c r="C63" s="29" t="s">
        <v>61</v>
      </c>
      <c r="D63" s="28">
        <v>45322</v>
      </c>
      <c r="E63" s="18">
        <v>55</v>
      </c>
      <c r="F63" s="19" t="s">
        <v>63</v>
      </c>
      <c r="G63" s="14" t="str">
        <f t="shared" si="0"/>
        <v>A</v>
      </c>
      <c r="H63" s="15" t="str">
        <f t="shared" si="1"/>
        <v>The Commissioner &amp; Chief Constable are satisfied the spend represents VFM in accordance with the requirements of Category A</v>
      </c>
      <c r="I63" s="16"/>
      <c r="J63" s="16"/>
    </row>
    <row r="64" spans="1:10" x14ac:dyDescent="0.2">
      <c r="A64" s="10" t="s">
        <v>8</v>
      </c>
      <c r="B64" s="11" t="s">
        <v>9</v>
      </c>
      <c r="C64" s="27" t="s">
        <v>61</v>
      </c>
      <c r="D64" s="28">
        <v>45322</v>
      </c>
      <c r="E64" s="12">
        <v>23885.63</v>
      </c>
      <c r="F64" s="13" t="s">
        <v>62</v>
      </c>
      <c r="G64" s="14" t="str">
        <f t="shared" si="0"/>
        <v>B</v>
      </c>
      <c r="H64" s="15" t="str">
        <f t="shared" si="1"/>
        <v>The Commissioner &amp; Chief Constable are satisfied the spend represents VFM in accordance with the requirements of Category B</v>
      </c>
      <c r="I64" s="16"/>
      <c r="J64" s="16"/>
    </row>
    <row r="65" spans="1:10" x14ac:dyDescent="0.2">
      <c r="A65" s="10" t="s">
        <v>8</v>
      </c>
      <c r="B65" s="11" t="s">
        <v>9</v>
      </c>
      <c r="C65" s="27" t="s">
        <v>61</v>
      </c>
      <c r="D65" s="28">
        <v>45322</v>
      </c>
      <c r="E65" s="18">
        <v>55</v>
      </c>
      <c r="F65" s="19" t="s">
        <v>63</v>
      </c>
      <c r="G65" s="14" t="str">
        <f t="shared" si="0"/>
        <v>A</v>
      </c>
      <c r="H65" s="15" t="str">
        <f t="shared" si="1"/>
        <v>The Commissioner &amp; Chief Constable are satisfied the spend represents VFM in accordance with the requirements of Category A</v>
      </c>
      <c r="I65" s="16"/>
      <c r="J65" s="16"/>
    </row>
    <row r="66" spans="1:10" x14ac:dyDescent="0.2">
      <c r="A66" s="10" t="s">
        <v>8</v>
      </c>
      <c r="B66" s="11" t="s">
        <v>9</v>
      </c>
      <c r="C66" s="27" t="s">
        <v>61</v>
      </c>
      <c r="D66" s="28">
        <v>45322</v>
      </c>
      <c r="E66" s="12">
        <v>23885.63</v>
      </c>
      <c r="F66" s="13" t="s">
        <v>62</v>
      </c>
      <c r="G66" s="14" t="str">
        <f t="shared" ref="G66:G129" si="2">IF(E66&gt;25000,"C",IF(E66&gt;1000,"B","A"))</f>
        <v>B</v>
      </c>
      <c r="H66" s="15" t="str">
        <f t="shared" ref="H66:H129" si="3">VLOOKUP(G66,$K$2:$L$4,2,FALSE)</f>
        <v>The Commissioner &amp; Chief Constable are satisfied the spend represents VFM in accordance with the requirements of Category B</v>
      </c>
      <c r="I66" s="16"/>
      <c r="J66" s="16"/>
    </row>
    <row r="67" spans="1:10" x14ac:dyDescent="0.2">
      <c r="A67" s="10" t="s">
        <v>8</v>
      </c>
      <c r="B67" s="11" t="s">
        <v>9</v>
      </c>
      <c r="C67" s="27" t="s">
        <v>79</v>
      </c>
      <c r="D67" s="28">
        <v>45300</v>
      </c>
      <c r="E67" s="12">
        <v>23583.91</v>
      </c>
      <c r="F67" s="13" t="s">
        <v>80</v>
      </c>
      <c r="G67" s="14" t="str">
        <f t="shared" si="2"/>
        <v>B</v>
      </c>
      <c r="H67" s="15" t="str">
        <f t="shared" si="3"/>
        <v>The Commissioner &amp; Chief Constable are satisfied the spend represents VFM in accordance with the requirements of Category B</v>
      </c>
      <c r="I67" s="16"/>
      <c r="J67" s="16"/>
    </row>
    <row r="68" spans="1:10" x14ac:dyDescent="0.2">
      <c r="A68" s="10" t="s">
        <v>8</v>
      </c>
      <c r="B68" s="11" t="s">
        <v>9</v>
      </c>
      <c r="C68" s="27" t="s">
        <v>52</v>
      </c>
      <c r="D68" s="28">
        <v>45295</v>
      </c>
      <c r="E68" s="12">
        <v>4941</v>
      </c>
      <c r="F68" s="13" t="s">
        <v>45</v>
      </c>
      <c r="G68" s="14" t="str">
        <f t="shared" si="2"/>
        <v>B</v>
      </c>
      <c r="H68" s="15" t="str">
        <f t="shared" si="3"/>
        <v>The Commissioner &amp; Chief Constable are satisfied the spend represents VFM in accordance with the requirements of Category B</v>
      </c>
      <c r="I68" s="16"/>
      <c r="J68" s="16"/>
    </row>
    <row r="69" spans="1:10" x14ac:dyDescent="0.2">
      <c r="A69" s="10" t="s">
        <v>8</v>
      </c>
      <c r="B69" s="11" t="s">
        <v>9</v>
      </c>
      <c r="C69" s="29" t="s">
        <v>52</v>
      </c>
      <c r="D69" s="28">
        <v>45295</v>
      </c>
      <c r="E69" s="18">
        <v>11460</v>
      </c>
      <c r="F69" s="19" t="s">
        <v>81</v>
      </c>
      <c r="G69" s="14" t="str">
        <f t="shared" si="2"/>
        <v>B</v>
      </c>
      <c r="H69" s="15" t="str">
        <f t="shared" si="3"/>
        <v>The Commissioner &amp; Chief Constable are satisfied the spend represents VFM in accordance with the requirements of Category B</v>
      </c>
      <c r="I69" s="16"/>
      <c r="J69" s="16"/>
    </row>
    <row r="70" spans="1:10" x14ac:dyDescent="0.2">
      <c r="A70" s="10" t="s">
        <v>8</v>
      </c>
      <c r="B70" s="11" t="s">
        <v>9</v>
      </c>
      <c r="C70" s="29" t="s">
        <v>52</v>
      </c>
      <c r="D70" s="28">
        <v>45295</v>
      </c>
      <c r="E70" s="18">
        <v>6039</v>
      </c>
      <c r="F70" s="19" t="s">
        <v>82</v>
      </c>
      <c r="G70" s="14" t="str">
        <f t="shared" si="2"/>
        <v>B</v>
      </c>
      <c r="H70" s="15" t="str">
        <f t="shared" si="3"/>
        <v>The Commissioner &amp; Chief Constable are satisfied the spend represents VFM in accordance with the requirements of Category B</v>
      </c>
      <c r="I70" s="16"/>
      <c r="J70" s="16"/>
    </row>
    <row r="71" spans="1:10" x14ac:dyDescent="0.2">
      <c r="A71" s="10" t="s">
        <v>8</v>
      </c>
      <c r="B71" s="11" t="s">
        <v>9</v>
      </c>
      <c r="C71" s="27" t="s">
        <v>83</v>
      </c>
      <c r="D71" s="28">
        <v>45296</v>
      </c>
      <c r="E71" s="12">
        <v>22271.39</v>
      </c>
      <c r="F71" s="13" t="s">
        <v>84</v>
      </c>
      <c r="G71" s="14" t="str">
        <f t="shared" si="2"/>
        <v>B</v>
      </c>
      <c r="H71" s="15" t="str">
        <f t="shared" si="3"/>
        <v>The Commissioner &amp; Chief Constable are satisfied the spend represents VFM in accordance with the requirements of Category B</v>
      </c>
      <c r="I71" s="16"/>
      <c r="J71" s="16"/>
    </row>
    <row r="72" spans="1:10" x14ac:dyDescent="0.2">
      <c r="A72" s="10" t="s">
        <v>8</v>
      </c>
      <c r="B72" s="11" t="s">
        <v>9</v>
      </c>
      <c r="C72" s="29" t="s">
        <v>44</v>
      </c>
      <c r="D72" s="28">
        <v>45294</v>
      </c>
      <c r="E72" s="12">
        <v>15775</v>
      </c>
      <c r="F72" s="13" t="s">
        <v>45</v>
      </c>
      <c r="G72" s="14" t="str">
        <f t="shared" si="2"/>
        <v>B</v>
      </c>
      <c r="H72" s="15" t="str">
        <f t="shared" si="3"/>
        <v>The Commissioner &amp; Chief Constable are satisfied the spend represents VFM in accordance with the requirements of Category B</v>
      </c>
      <c r="I72" s="16"/>
      <c r="J72" s="16"/>
    </row>
    <row r="73" spans="1:10" x14ac:dyDescent="0.2">
      <c r="A73" s="10" t="s">
        <v>8</v>
      </c>
      <c r="B73" s="11" t="s">
        <v>9</v>
      </c>
      <c r="C73" s="29" t="s">
        <v>44</v>
      </c>
      <c r="D73" s="28">
        <v>45294</v>
      </c>
      <c r="E73" s="18">
        <v>6340</v>
      </c>
      <c r="F73" s="19" t="s">
        <v>82</v>
      </c>
      <c r="G73" s="14" t="str">
        <f t="shared" si="2"/>
        <v>B</v>
      </c>
      <c r="H73" s="15" t="str">
        <f t="shared" si="3"/>
        <v>The Commissioner &amp; Chief Constable are satisfied the spend represents VFM in accordance with the requirements of Category B</v>
      </c>
      <c r="I73" s="16"/>
      <c r="J73" s="16"/>
    </row>
    <row r="74" spans="1:10" x14ac:dyDescent="0.2">
      <c r="A74" s="10" t="s">
        <v>8</v>
      </c>
      <c r="B74" s="11" t="s">
        <v>9</v>
      </c>
      <c r="C74" s="27" t="s">
        <v>85</v>
      </c>
      <c r="D74" s="28">
        <v>45322</v>
      </c>
      <c r="E74" s="12">
        <v>21646.57</v>
      </c>
      <c r="F74" s="13" t="s">
        <v>27</v>
      </c>
      <c r="G74" s="14" t="str">
        <f t="shared" si="2"/>
        <v>B</v>
      </c>
      <c r="H74" s="15" t="str">
        <f t="shared" si="3"/>
        <v>The Commissioner &amp; Chief Constable are satisfied the spend represents VFM in accordance with the requirements of Category B</v>
      </c>
      <c r="I74" s="16"/>
      <c r="J74" s="16"/>
    </row>
    <row r="75" spans="1:10" x14ac:dyDescent="0.2">
      <c r="A75" s="10" t="s">
        <v>8</v>
      </c>
      <c r="B75" s="11" t="s">
        <v>9</v>
      </c>
      <c r="C75" s="29" t="s">
        <v>74</v>
      </c>
      <c r="D75" s="28">
        <v>45315</v>
      </c>
      <c r="E75" s="12">
        <v>20303.63</v>
      </c>
      <c r="F75" s="13" t="s">
        <v>15</v>
      </c>
      <c r="G75" s="14" t="str">
        <f t="shared" si="2"/>
        <v>B</v>
      </c>
      <c r="H75" s="15" t="str">
        <f t="shared" si="3"/>
        <v>The Commissioner &amp; Chief Constable are satisfied the spend represents VFM in accordance with the requirements of Category B</v>
      </c>
      <c r="I75" s="16"/>
      <c r="J75" s="16"/>
    </row>
    <row r="76" spans="1:10" x14ac:dyDescent="0.2">
      <c r="A76" s="10" t="s">
        <v>8</v>
      </c>
      <c r="B76" s="11" t="s">
        <v>9</v>
      </c>
      <c r="C76" s="29" t="s">
        <v>86</v>
      </c>
      <c r="D76" s="28">
        <v>45296</v>
      </c>
      <c r="E76" s="12">
        <v>20013.37</v>
      </c>
      <c r="F76" s="13" t="s">
        <v>87</v>
      </c>
      <c r="G76" s="14" t="str">
        <f t="shared" si="2"/>
        <v>B</v>
      </c>
      <c r="H76" s="15" t="str">
        <f t="shared" si="3"/>
        <v>The Commissioner &amp; Chief Constable are satisfied the spend represents VFM in accordance with the requirements of Category B</v>
      </c>
      <c r="I76" s="16"/>
      <c r="J76" s="16"/>
    </row>
    <row r="77" spans="1:10" x14ac:dyDescent="0.2">
      <c r="A77" s="10" t="s">
        <v>8</v>
      </c>
      <c r="B77" s="11" t="s">
        <v>9</v>
      </c>
      <c r="C77" s="27" t="s">
        <v>85</v>
      </c>
      <c r="D77" s="28">
        <v>45322</v>
      </c>
      <c r="E77" s="12">
        <v>18776.919999999998</v>
      </c>
      <c r="F77" s="13" t="s">
        <v>27</v>
      </c>
      <c r="G77" s="14" t="str">
        <f t="shared" si="2"/>
        <v>B</v>
      </c>
      <c r="H77" s="15" t="str">
        <f t="shared" si="3"/>
        <v>The Commissioner &amp; Chief Constable are satisfied the spend represents VFM in accordance with the requirements of Category B</v>
      </c>
      <c r="I77" s="16"/>
      <c r="J77" s="16"/>
    </row>
    <row r="78" spans="1:10" x14ac:dyDescent="0.2">
      <c r="A78" s="10" t="s">
        <v>8</v>
      </c>
      <c r="B78" s="11" t="s">
        <v>9</v>
      </c>
      <c r="C78" s="29" t="s">
        <v>26</v>
      </c>
      <c r="D78" s="28">
        <v>45308</v>
      </c>
      <c r="E78" s="12">
        <v>18484.93</v>
      </c>
      <c r="F78" s="13" t="s">
        <v>88</v>
      </c>
      <c r="G78" s="14" t="str">
        <f t="shared" si="2"/>
        <v>B</v>
      </c>
      <c r="H78" s="15" t="str">
        <f t="shared" si="3"/>
        <v>The Commissioner &amp; Chief Constable are satisfied the spend represents VFM in accordance with the requirements of Category B</v>
      </c>
      <c r="I78" s="16"/>
      <c r="J78" s="16"/>
    </row>
    <row r="79" spans="1:10" x14ac:dyDescent="0.2">
      <c r="A79" s="10" t="s">
        <v>8</v>
      </c>
      <c r="B79" s="11" t="s">
        <v>9</v>
      </c>
      <c r="C79" s="29" t="s">
        <v>74</v>
      </c>
      <c r="D79" s="28">
        <v>45299</v>
      </c>
      <c r="E79" s="12">
        <v>18275</v>
      </c>
      <c r="F79" s="13" t="s">
        <v>89</v>
      </c>
      <c r="G79" s="14" t="str">
        <f t="shared" si="2"/>
        <v>B</v>
      </c>
      <c r="H79" s="15" t="str">
        <f t="shared" si="3"/>
        <v>The Commissioner &amp; Chief Constable are satisfied the spend represents VFM in accordance with the requirements of Category B</v>
      </c>
      <c r="I79" s="16"/>
      <c r="J79" s="16"/>
    </row>
    <row r="80" spans="1:10" x14ac:dyDescent="0.2">
      <c r="A80" s="10" t="s">
        <v>8</v>
      </c>
      <c r="B80" s="11" t="s">
        <v>9</v>
      </c>
      <c r="C80" s="27" t="s">
        <v>74</v>
      </c>
      <c r="D80" s="28">
        <v>45299</v>
      </c>
      <c r="E80" s="12">
        <v>18041.29</v>
      </c>
      <c r="F80" s="13" t="s">
        <v>75</v>
      </c>
      <c r="G80" s="14" t="str">
        <f t="shared" si="2"/>
        <v>B</v>
      </c>
      <c r="H80" s="15" t="str">
        <f t="shared" si="3"/>
        <v>The Commissioner &amp; Chief Constable are satisfied the spend represents VFM in accordance with the requirements of Category B</v>
      </c>
      <c r="I80" s="16"/>
      <c r="J80" s="16"/>
    </row>
    <row r="81" spans="1:10" x14ac:dyDescent="0.2">
      <c r="A81" s="10" t="s">
        <v>8</v>
      </c>
      <c r="B81" s="11" t="s">
        <v>9</v>
      </c>
      <c r="C81" s="29" t="s">
        <v>90</v>
      </c>
      <c r="D81" s="28">
        <v>45301</v>
      </c>
      <c r="E81" s="12">
        <v>17378.39</v>
      </c>
      <c r="F81" s="13" t="s">
        <v>91</v>
      </c>
      <c r="G81" s="14" t="str">
        <f t="shared" si="2"/>
        <v>B</v>
      </c>
      <c r="H81" s="15" t="str">
        <f t="shared" si="3"/>
        <v>The Commissioner &amp; Chief Constable are satisfied the spend represents VFM in accordance with the requirements of Category B</v>
      </c>
      <c r="I81" s="16"/>
      <c r="J81" s="16"/>
    </row>
    <row r="82" spans="1:10" x14ac:dyDescent="0.2">
      <c r="A82" s="10" t="s">
        <v>8</v>
      </c>
      <c r="B82" s="11" t="s">
        <v>9</v>
      </c>
      <c r="C82" s="27" t="s">
        <v>92</v>
      </c>
      <c r="D82" s="28">
        <v>45300</v>
      </c>
      <c r="E82" s="12">
        <v>15880.6</v>
      </c>
      <c r="F82" s="13" t="s">
        <v>15</v>
      </c>
      <c r="G82" s="14" t="str">
        <f t="shared" si="2"/>
        <v>B</v>
      </c>
      <c r="H82" s="15" t="str">
        <f t="shared" si="3"/>
        <v>The Commissioner &amp; Chief Constable are satisfied the spend represents VFM in accordance with the requirements of Category B</v>
      </c>
      <c r="I82" s="16"/>
      <c r="J82" s="16"/>
    </row>
    <row r="83" spans="1:10" x14ac:dyDescent="0.2">
      <c r="A83" s="10" t="s">
        <v>8</v>
      </c>
      <c r="B83" s="11" t="s">
        <v>9</v>
      </c>
      <c r="C83" s="29" t="s">
        <v>93</v>
      </c>
      <c r="D83" s="28">
        <v>45300</v>
      </c>
      <c r="E83" s="12">
        <v>15315</v>
      </c>
      <c r="F83" s="13" t="s">
        <v>94</v>
      </c>
      <c r="G83" s="14" t="str">
        <f t="shared" si="2"/>
        <v>B</v>
      </c>
      <c r="H83" s="15" t="str">
        <f t="shared" si="3"/>
        <v>The Commissioner &amp; Chief Constable are satisfied the spend represents VFM in accordance with the requirements of Category B</v>
      </c>
      <c r="I83" s="16"/>
      <c r="J83" s="16"/>
    </row>
    <row r="84" spans="1:10" x14ac:dyDescent="0.2">
      <c r="A84" s="10" t="s">
        <v>8</v>
      </c>
      <c r="B84" s="11" t="s">
        <v>9</v>
      </c>
      <c r="C84" s="27" t="s">
        <v>92</v>
      </c>
      <c r="D84" s="28">
        <v>45296</v>
      </c>
      <c r="E84" s="12">
        <v>15120</v>
      </c>
      <c r="F84" s="13" t="s">
        <v>15</v>
      </c>
      <c r="G84" s="14" t="str">
        <f t="shared" si="2"/>
        <v>B</v>
      </c>
      <c r="H84" s="15" t="str">
        <f t="shared" si="3"/>
        <v>The Commissioner &amp; Chief Constable are satisfied the spend represents VFM in accordance with the requirements of Category B</v>
      </c>
      <c r="I84" s="16"/>
      <c r="J84" s="16"/>
    </row>
    <row r="85" spans="1:10" x14ac:dyDescent="0.2">
      <c r="A85" s="10" t="s">
        <v>8</v>
      </c>
      <c r="B85" s="11" t="s">
        <v>9</v>
      </c>
      <c r="C85" s="29" t="s">
        <v>95</v>
      </c>
      <c r="D85" s="28">
        <v>45314</v>
      </c>
      <c r="E85" s="12">
        <v>15000</v>
      </c>
      <c r="F85" s="13" t="s">
        <v>54</v>
      </c>
      <c r="G85" s="14" t="str">
        <f t="shared" si="2"/>
        <v>B</v>
      </c>
      <c r="H85" s="15" t="str">
        <f t="shared" si="3"/>
        <v>The Commissioner &amp; Chief Constable are satisfied the spend represents VFM in accordance with the requirements of Category B</v>
      </c>
      <c r="I85" s="16"/>
      <c r="J85" s="16"/>
    </row>
    <row r="86" spans="1:10" x14ac:dyDescent="0.2">
      <c r="A86" s="10" t="s">
        <v>8</v>
      </c>
      <c r="B86" s="11" t="s">
        <v>9</v>
      </c>
      <c r="C86" s="29" t="s">
        <v>96</v>
      </c>
      <c r="D86" s="28">
        <v>45310</v>
      </c>
      <c r="E86" s="12">
        <v>15000</v>
      </c>
      <c r="F86" s="13" t="s">
        <v>22</v>
      </c>
      <c r="G86" s="14" t="str">
        <f t="shared" si="2"/>
        <v>B</v>
      </c>
      <c r="H86" s="15" t="str">
        <f t="shared" si="3"/>
        <v>The Commissioner &amp; Chief Constable are satisfied the spend represents VFM in accordance with the requirements of Category B</v>
      </c>
      <c r="I86" s="16"/>
      <c r="J86" s="16"/>
    </row>
    <row r="87" spans="1:10" x14ac:dyDescent="0.2">
      <c r="A87" s="10" t="s">
        <v>8</v>
      </c>
      <c r="B87" s="11" t="s">
        <v>9</v>
      </c>
      <c r="C87" s="27" t="s">
        <v>26</v>
      </c>
      <c r="D87" s="28">
        <v>45317</v>
      </c>
      <c r="E87" s="12">
        <v>14902.16</v>
      </c>
      <c r="F87" s="13" t="s">
        <v>76</v>
      </c>
      <c r="G87" s="14" t="str">
        <f t="shared" si="2"/>
        <v>B</v>
      </c>
      <c r="H87" s="15" t="str">
        <f t="shared" si="3"/>
        <v>The Commissioner &amp; Chief Constable are satisfied the spend represents VFM in accordance with the requirements of Category B</v>
      </c>
      <c r="I87" s="16"/>
      <c r="J87" s="16"/>
    </row>
    <row r="88" spans="1:10" x14ac:dyDescent="0.2">
      <c r="A88" s="10" t="s">
        <v>8</v>
      </c>
      <c r="B88" s="11" t="s">
        <v>9</v>
      </c>
      <c r="C88" s="29" t="s">
        <v>97</v>
      </c>
      <c r="D88" s="28">
        <v>45314</v>
      </c>
      <c r="E88" s="12">
        <v>14000</v>
      </c>
      <c r="F88" s="13" t="s">
        <v>98</v>
      </c>
      <c r="G88" s="14" t="str">
        <f t="shared" si="2"/>
        <v>B</v>
      </c>
      <c r="H88" s="15" t="str">
        <f t="shared" si="3"/>
        <v>The Commissioner &amp; Chief Constable are satisfied the spend represents VFM in accordance with the requirements of Category B</v>
      </c>
      <c r="I88" s="16"/>
      <c r="J88" s="16"/>
    </row>
    <row r="89" spans="1:10" x14ac:dyDescent="0.2">
      <c r="A89" s="10" t="s">
        <v>8</v>
      </c>
      <c r="B89" s="11" t="s">
        <v>9</v>
      </c>
      <c r="C89" s="29" t="s">
        <v>99</v>
      </c>
      <c r="D89" s="28">
        <v>45300</v>
      </c>
      <c r="E89" s="12">
        <v>13867.7</v>
      </c>
      <c r="F89" s="13" t="s">
        <v>94</v>
      </c>
      <c r="G89" s="14" t="str">
        <f t="shared" si="2"/>
        <v>B</v>
      </c>
      <c r="H89" s="15" t="str">
        <f t="shared" si="3"/>
        <v>The Commissioner &amp; Chief Constable are satisfied the spend represents VFM in accordance with the requirements of Category B</v>
      </c>
      <c r="I89" s="16"/>
      <c r="J89" s="16"/>
    </row>
    <row r="90" spans="1:10" x14ac:dyDescent="0.2">
      <c r="A90" s="10" t="s">
        <v>8</v>
      </c>
      <c r="B90" s="11" t="s">
        <v>9</v>
      </c>
      <c r="C90" s="27" t="s">
        <v>100</v>
      </c>
      <c r="D90" s="28">
        <v>45302</v>
      </c>
      <c r="E90" s="12">
        <v>13543.39</v>
      </c>
      <c r="F90" s="13" t="s">
        <v>38</v>
      </c>
      <c r="G90" s="14" t="str">
        <f t="shared" si="2"/>
        <v>B</v>
      </c>
      <c r="H90" s="15" t="str">
        <f t="shared" si="3"/>
        <v>The Commissioner &amp; Chief Constable are satisfied the spend represents VFM in accordance with the requirements of Category B</v>
      </c>
      <c r="I90" s="16"/>
      <c r="J90" s="16"/>
    </row>
    <row r="91" spans="1:10" x14ac:dyDescent="0.2">
      <c r="A91" s="10" t="s">
        <v>8</v>
      </c>
      <c r="B91" s="11" t="s">
        <v>9</v>
      </c>
      <c r="C91" s="29" t="s">
        <v>101</v>
      </c>
      <c r="D91" s="28">
        <v>45294</v>
      </c>
      <c r="E91" s="12">
        <v>13500</v>
      </c>
      <c r="F91" s="13" t="s">
        <v>102</v>
      </c>
      <c r="G91" s="14" t="str">
        <f t="shared" si="2"/>
        <v>B</v>
      </c>
      <c r="H91" s="15" t="str">
        <f t="shared" si="3"/>
        <v>The Commissioner &amp; Chief Constable are satisfied the spend represents VFM in accordance with the requirements of Category B</v>
      </c>
      <c r="I91" s="16"/>
      <c r="J91" s="16"/>
    </row>
    <row r="92" spans="1:10" x14ac:dyDescent="0.2">
      <c r="A92" s="10" t="s">
        <v>8</v>
      </c>
      <c r="B92" s="11" t="s">
        <v>9</v>
      </c>
      <c r="C92" s="29" t="s">
        <v>103</v>
      </c>
      <c r="D92" s="28">
        <v>45314</v>
      </c>
      <c r="E92" s="12">
        <v>13205</v>
      </c>
      <c r="F92" s="13" t="s">
        <v>91</v>
      </c>
      <c r="G92" s="14" t="str">
        <f t="shared" si="2"/>
        <v>B</v>
      </c>
      <c r="H92" s="15" t="str">
        <f t="shared" si="3"/>
        <v>The Commissioner &amp; Chief Constable are satisfied the spend represents VFM in accordance with the requirements of Category B</v>
      </c>
      <c r="I92" s="16"/>
      <c r="J92" s="16"/>
    </row>
    <row r="93" spans="1:10" x14ac:dyDescent="0.2">
      <c r="A93" s="10" t="s">
        <v>8</v>
      </c>
      <c r="B93" s="11" t="s">
        <v>9</v>
      </c>
      <c r="C93" s="27" t="s">
        <v>104</v>
      </c>
      <c r="D93" s="28">
        <v>45294</v>
      </c>
      <c r="E93" s="12">
        <v>12925</v>
      </c>
      <c r="F93" s="13" t="s">
        <v>15</v>
      </c>
      <c r="G93" s="14" t="str">
        <f t="shared" si="2"/>
        <v>B</v>
      </c>
      <c r="H93" s="15" t="str">
        <f t="shared" si="3"/>
        <v>The Commissioner &amp; Chief Constable are satisfied the spend represents VFM in accordance with the requirements of Category B</v>
      </c>
      <c r="I93" s="16"/>
      <c r="J93" s="16"/>
    </row>
    <row r="94" spans="1:10" x14ac:dyDescent="0.2">
      <c r="A94" s="10" t="s">
        <v>8</v>
      </c>
      <c r="B94" s="11" t="s">
        <v>9</v>
      </c>
      <c r="C94" s="29" t="s">
        <v>105</v>
      </c>
      <c r="D94" s="28">
        <v>45303</v>
      </c>
      <c r="E94" s="12">
        <v>12840</v>
      </c>
      <c r="F94" s="13" t="s">
        <v>106</v>
      </c>
      <c r="G94" s="14" t="str">
        <f t="shared" si="2"/>
        <v>B</v>
      </c>
      <c r="H94" s="15" t="str">
        <f t="shared" si="3"/>
        <v>The Commissioner &amp; Chief Constable are satisfied the spend represents VFM in accordance with the requirements of Category B</v>
      </c>
      <c r="I94" s="16"/>
      <c r="J94" s="16"/>
    </row>
    <row r="95" spans="1:10" x14ac:dyDescent="0.2">
      <c r="A95" s="10" t="s">
        <v>8</v>
      </c>
      <c r="B95" s="11" t="s">
        <v>9</v>
      </c>
      <c r="C95" s="29" t="s">
        <v>107</v>
      </c>
      <c r="D95" s="28">
        <v>45296</v>
      </c>
      <c r="E95" s="12">
        <v>12527.68</v>
      </c>
      <c r="F95" s="13" t="s">
        <v>108</v>
      </c>
      <c r="G95" s="14" t="str">
        <f t="shared" si="2"/>
        <v>B</v>
      </c>
      <c r="H95" s="15" t="str">
        <f t="shared" si="3"/>
        <v>The Commissioner &amp; Chief Constable are satisfied the spend represents VFM in accordance with the requirements of Category B</v>
      </c>
      <c r="I95" s="16"/>
      <c r="J95" s="16"/>
    </row>
    <row r="96" spans="1:10" x14ac:dyDescent="0.2">
      <c r="A96" s="10" t="s">
        <v>8</v>
      </c>
      <c r="B96" s="11" t="s">
        <v>9</v>
      </c>
      <c r="C96" s="27" t="s">
        <v>109</v>
      </c>
      <c r="D96" s="28">
        <v>45306</v>
      </c>
      <c r="E96" s="12">
        <v>12500</v>
      </c>
      <c r="F96" s="13" t="s">
        <v>27</v>
      </c>
      <c r="G96" s="14" t="str">
        <f t="shared" si="2"/>
        <v>B</v>
      </c>
      <c r="H96" s="15" t="str">
        <f t="shared" si="3"/>
        <v>The Commissioner &amp; Chief Constable are satisfied the spend represents VFM in accordance with the requirements of Category B</v>
      </c>
      <c r="I96" s="16"/>
      <c r="J96" s="16"/>
    </row>
    <row r="97" spans="1:10" x14ac:dyDescent="0.2">
      <c r="A97" s="10" t="s">
        <v>8</v>
      </c>
      <c r="B97" s="11" t="s">
        <v>9</v>
      </c>
      <c r="C97" s="29" t="s">
        <v>110</v>
      </c>
      <c r="D97" s="28">
        <v>45320</v>
      </c>
      <c r="E97" s="12">
        <v>11735.5</v>
      </c>
      <c r="F97" s="13" t="s">
        <v>49</v>
      </c>
      <c r="G97" s="14" t="str">
        <f t="shared" si="2"/>
        <v>B</v>
      </c>
      <c r="H97" s="15" t="str">
        <f t="shared" si="3"/>
        <v>The Commissioner &amp; Chief Constable are satisfied the spend represents VFM in accordance with the requirements of Category B</v>
      </c>
      <c r="I97" s="16"/>
      <c r="J97" s="16"/>
    </row>
    <row r="98" spans="1:10" x14ac:dyDescent="0.2">
      <c r="A98" s="10" t="s">
        <v>8</v>
      </c>
      <c r="B98" s="11" t="s">
        <v>9</v>
      </c>
      <c r="C98" s="29" t="s">
        <v>110</v>
      </c>
      <c r="D98" s="28">
        <v>45320</v>
      </c>
      <c r="E98" s="12">
        <v>11735.5</v>
      </c>
      <c r="F98" s="13" t="s">
        <v>49</v>
      </c>
      <c r="G98" s="14" t="str">
        <f t="shared" si="2"/>
        <v>B</v>
      </c>
      <c r="H98" s="15" t="str">
        <f t="shared" si="3"/>
        <v>The Commissioner &amp; Chief Constable are satisfied the spend represents VFM in accordance with the requirements of Category B</v>
      </c>
      <c r="I98" s="16"/>
      <c r="J98" s="16"/>
    </row>
    <row r="99" spans="1:10" x14ac:dyDescent="0.2">
      <c r="A99" s="10" t="s">
        <v>8</v>
      </c>
      <c r="B99" s="11" t="s">
        <v>9</v>
      </c>
      <c r="C99" s="27" t="s">
        <v>111</v>
      </c>
      <c r="D99" s="28">
        <v>45315</v>
      </c>
      <c r="E99" s="12">
        <v>11625</v>
      </c>
      <c r="F99" s="13" t="s">
        <v>112</v>
      </c>
      <c r="G99" s="14" t="str">
        <f t="shared" si="2"/>
        <v>B</v>
      </c>
      <c r="H99" s="15" t="str">
        <f t="shared" si="3"/>
        <v>The Commissioner &amp; Chief Constable are satisfied the spend represents VFM in accordance with the requirements of Category B</v>
      </c>
      <c r="I99" s="16"/>
      <c r="J99" s="16"/>
    </row>
    <row r="100" spans="1:10" x14ac:dyDescent="0.2">
      <c r="A100" s="10" t="s">
        <v>8</v>
      </c>
      <c r="B100" s="11" t="s">
        <v>9</v>
      </c>
      <c r="C100" s="29" t="s">
        <v>113</v>
      </c>
      <c r="D100" s="28">
        <v>45307</v>
      </c>
      <c r="E100" s="12">
        <v>11146.7</v>
      </c>
      <c r="F100" s="13" t="s">
        <v>114</v>
      </c>
      <c r="G100" s="14" t="str">
        <f t="shared" si="2"/>
        <v>B</v>
      </c>
      <c r="H100" s="15" t="str">
        <f t="shared" si="3"/>
        <v>The Commissioner &amp; Chief Constable are satisfied the spend represents VFM in accordance with the requirements of Category B</v>
      </c>
      <c r="I100" s="16"/>
      <c r="J100" s="16"/>
    </row>
    <row r="101" spans="1:10" x14ac:dyDescent="0.2">
      <c r="A101" s="10" t="s">
        <v>8</v>
      </c>
      <c r="B101" s="11" t="s">
        <v>9</v>
      </c>
      <c r="C101" s="29" t="s">
        <v>115</v>
      </c>
      <c r="D101" s="28">
        <v>45316</v>
      </c>
      <c r="E101" s="12">
        <v>11026.26</v>
      </c>
      <c r="F101" s="13" t="s">
        <v>116</v>
      </c>
      <c r="G101" s="14" t="str">
        <f t="shared" si="2"/>
        <v>B</v>
      </c>
      <c r="H101" s="15" t="str">
        <f t="shared" si="3"/>
        <v>The Commissioner &amp; Chief Constable are satisfied the spend represents VFM in accordance with the requirements of Category B</v>
      </c>
      <c r="I101" s="16"/>
      <c r="J101" s="16"/>
    </row>
    <row r="102" spans="1:10" x14ac:dyDescent="0.2">
      <c r="A102" s="10" t="s">
        <v>8</v>
      </c>
      <c r="B102" s="11" t="s">
        <v>9</v>
      </c>
      <c r="C102" s="27" t="s">
        <v>95</v>
      </c>
      <c r="D102" s="28">
        <v>45293</v>
      </c>
      <c r="E102" s="12">
        <v>11011.99</v>
      </c>
      <c r="F102" s="13" t="s">
        <v>54</v>
      </c>
      <c r="G102" s="14" t="str">
        <f t="shared" si="2"/>
        <v>B</v>
      </c>
      <c r="H102" s="15" t="str">
        <f t="shared" si="3"/>
        <v>The Commissioner &amp; Chief Constable are satisfied the spend represents VFM in accordance with the requirements of Category B</v>
      </c>
      <c r="I102" s="16"/>
      <c r="J102" s="16"/>
    </row>
    <row r="103" spans="1:10" x14ac:dyDescent="0.2">
      <c r="A103" s="10" t="s">
        <v>8</v>
      </c>
      <c r="B103" s="11" t="s">
        <v>9</v>
      </c>
      <c r="C103" s="29" t="s">
        <v>26</v>
      </c>
      <c r="D103" s="28">
        <v>45303</v>
      </c>
      <c r="E103" s="12">
        <v>10443.5</v>
      </c>
      <c r="F103" s="13" t="s">
        <v>54</v>
      </c>
      <c r="G103" s="14" t="str">
        <f t="shared" si="2"/>
        <v>B</v>
      </c>
      <c r="H103" s="15" t="str">
        <f t="shared" si="3"/>
        <v>The Commissioner &amp; Chief Constable are satisfied the spend represents VFM in accordance with the requirements of Category B</v>
      </c>
      <c r="I103" s="16"/>
      <c r="J103" s="16"/>
    </row>
    <row r="104" spans="1:10" x14ac:dyDescent="0.2">
      <c r="A104" s="10" t="s">
        <v>8</v>
      </c>
      <c r="B104" s="11" t="s">
        <v>9</v>
      </c>
      <c r="C104" s="29" t="s">
        <v>107</v>
      </c>
      <c r="D104" s="28">
        <v>45296</v>
      </c>
      <c r="E104" s="12">
        <v>10181.25</v>
      </c>
      <c r="F104" s="13" t="s">
        <v>108</v>
      </c>
      <c r="G104" s="14" t="str">
        <f t="shared" si="2"/>
        <v>B</v>
      </c>
      <c r="H104" s="15" t="str">
        <f t="shared" si="3"/>
        <v>The Commissioner &amp; Chief Constable are satisfied the spend represents VFM in accordance with the requirements of Category B</v>
      </c>
      <c r="I104" s="16"/>
      <c r="J104" s="16"/>
    </row>
    <row r="105" spans="1:10" x14ac:dyDescent="0.2">
      <c r="A105" s="10" t="s">
        <v>8</v>
      </c>
      <c r="B105" s="11" t="s">
        <v>9</v>
      </c>
      <c r="C105" s="27" t="s">
        <v>117</v>
      </c>
      <c r="D105" s="28">
        <v>45309</v>
      </c>
      <c r="E105" s="12">
        <v>10070.66</v>
      </c>
      <c r="F105" s="13" t="s">
        <v>118</v>
      </c>
      <c r="G105" s="14" t="str">
        <f t="shared" si="2"/>
        <v>B</v>
      </c>
      <c r="H105" s="15" t="str">
        <f t="shared" si="3"/>
        <v>The Commissioner &amp; Chief Constable are satisfied the spend represents VFM in accordance with the requirements of Category B</v>
      </c>
      <c r="I105" s="16"/>
      <c r="J105" s="16"/>
    </row>
    <row r="106" spans="1:10" x14ac:dyDescent="0.2">
      <c r="A106" s="10" t="s">
        <v>8</v>
      </c>
      <c r="B106" s="11" t="s">
        <v>9</v>
      </c>
      <c r="C106" s="27" t="s">
        <v>26</v>
      </c>
      <c r="D106" s="28">
        <v>45293</v>
      </c>
      <c r="E106" s="12">
        <v>9958.2200000000012</v>
      </c>
      <c r="F106" s="13" t="s">
        <v>76</v>
      </c>
      <c r="G106" s="14" t="str">
        <f t="shared" si="2"/>
        <v>B</v>
      </c>
      <c r="H106" s="15" t="str">
        <f t="shared" si="3"/>
        <v>The Commissioner &amp; Chief Constable are satisfied the spend represents VFM in accordance with the requirements of Category B</v>
      </c>
      <c r="I106" s="16"/>
      <c r="J106" s="16"/>
    </row>
    <row r="107" spans="1:10" x14ac:dyDescent="0.2">
      <c r="A107" s="10" t="s">
        <v>8</v>
      </c>
      <c r="B107" s="11" t="s">
        <v>9</v>
      </c>
      <c r="C107" s="27" t="s">
        <v>119</v>
      </c>
      <c r="D107" s="28">
        <v>45316</v>
      </c>
      <c r="E107" s="12">
        <v>9880.35</v>
      </c>
      <c r="F107" s="13" t="s">
        <v>120</v>
      </c>
      <c r="G107" s="14" t="str">
        <f t="shared" si="2"/>
        <v>B</v>
      </c>
      <c r="H107" s="15" t="str">
        <f t="shared" si="3"/>
        <v>The Commissioner &amp; Chief Constable are satisfied the spend represents VFM in accordance with the requirements of Category B</v>
      </c>
      <c r="I107" s="16"/>
      <c r="J107" s="16"/>
    </row>
    <row r="108" spans="1:10" x14ac:dyDescent="0.2">
      <c r="A108" s="10" t="s">
        <v>8</v>
      </c>
      <c r="B108" s="11" t="s">
        <v>9</v>
      </c>
      <c r="C108" s="27" t="s">
        <v>121</v>
      </c>
      <c r="D108" s="28">
        <v>45294</v>
      </c>
      <c r="E108" s="12">
        <v>9860.15</v>
      </c>
      <c r="F108" s="13" t="s">
        <v>122</v>
      </c>
      <c r="G108" s="14" t="str">
        <f t="shared" si="2"/>
        <v>B</v>
      </c>
      <c r="H108" s="15" t="str">
        <f t="shared" si="3"/>
        <v>The Commissioner &amp; Chief Constable are satisfied the spend represents VFM in accordance with the requirements of Category B</v>
      </c>
      <c r="I108" s="16"/>
      <c r="J108" s="16"/>
    </row>
    <row r="109" spans="1:10" x14ac:dyDescent="0.2">
      <c r="A109" s="10" t="s">
        <v>8</v>
      </c>
      <c r="B109" s="11" t="s">
        <v>9</v>
      </c>
      <c r="C109" s="27" t="s">
        <v>65</v>
      </c>
      <c r="D109" s="28">
        <v>45313</v>
      </c>
      <c r="E109" s="12">
        <v>9841.92</v>
      </c>
      <c r="F109" s="13" t="s">
        <v>123</v>
      </c>
      <c r="G109" s="14" t="str">
        <f t="shared" si="2"/>
        <v>B</v>
      </c>
      <c r="H109" s="15" t="str">
        <f t="shared" si="3"/>
        <v>The Commissioner &amp; Chief Constable are satisfied the spend represents VFM in accordance with the requirements of Category B</v>
      </c>
      <c r="I109" s="16"/>
      <c r="J109" s="16"/>
    </row>
    <row r="110" spans="1:10" x14ac:dyDescent="0.2">
      <c r="A110" s="10" t="s">
        <v>8</v>
      </c>
      <c r="B110" s="11" t="s">
        <v>9</v>
      </c>
      <c r="C110" s="29" t="s">
        <v>124</v>
      </c>
      <c r="D110" s="28">
        <v>45320</v>
      </c>
      <c r="E110" s="12">
        <v>9696.08</v>
      </c>
      <c r="F110" s="13" t="s">
        <v>91</v>
      </c>
      <c r="G110" s="14" t="str">
        <f t="shared" si="2"/>
        <v>B</v>
      </c>
      <c r="H110" s="15" t="str">
        <f t="shared" si="3"/>
        <v>The Commissioner &amp; Chief Constable are satisfied the spend represents VFM in accordance with the requirements of Category B</v>
      </c>
      <c r="I110" s="16"/>
      <c r="J110" s="16"/>
    </row>
    <row r="111" spans="1:10" x14ac:dyDescent="0.2">
      <c r="A111" s="10" t="s">
        <v>8</v>
      </c>
      <c r="B111" s="11" t="s">
        <v>9</v>
      </c>
      <c r="C111" s="27" t="s">
        <v>125</v>
      </c>
      <c r="D111" s="28">
        <v>45293</v>
      </c>
      <c r="E111" s="12">
        <v>9591</v>
      </c>
      <c r="F111" s="13" t="s">
        <v>15</v>
      </c>
      <c r="G111" s="14" t="str">
        <f t="shared" si="2"/>
        <v>B</v>
      </c>
      <c r="H111" s="15" t="str">
        <f t="shared" si="3"/>
        <v>The Commissioner &amp; Chief Constable are satisfied the spend represents VFM in accordance with the requirements of Category B</v>
      </c>
      <c r="I111" s="16"/>
      <c r="J111" s="16"/>
    </row>
    <row r="112" spans="1:10" x14ac:dyDescent="0.2">
      <c r="A112" s="10" t="s">
        <v>8</v>
      </c>
      <c r="B112" s="11" t="s">
        <v>9</v>
      </c>
      <c r="C112" s="27" t="s">
        <v>126</v>
      </c>
      <c r="D112" s="28">
        <v>45306</v>
      </c>
      <c r="E112" s="12">
        <v>9510.85</v>
      </c>
      <c r="F112" s="13" t="s">
        <v>41</v>
      </c>
      <c r="G112" s="14" t="str">
        <f t="shared" si="2"/>
        <v>B</v>
      </c>
      <c r="H112" s="15" t="str">
        <f t="shared" si="3"/>
        <v>The Commissioner &amp; Chief Constable are satisfied the spend represents VFM in accordance with the requirements of Category B</v>
      </c>
      <c r="I112" s="16"/>
      <c r="J112" s="16"/>
    </row>
    <row r="113" spans="1:10" x14ac:dyDescent="0.2">
      <c r="A113" s="10" t="s">
        <v>8</v>
      </c>
      <c r="B113" s="11" t="s">
        <v>9</v>
      </c>
      <c r="C113" s="27" t="s">
        <v>26</v>
      </c>
      <c r="D113" s="28">
        <v>45293</v>
      </c>
      <c r="E113" s="12">
        <v>9256.4499999999989</v>
      </c>
      <c r="F113" s="13" t="s">
        <v>76</v>
      </c>
      <c r="G113" s="14" t="str">
        <f t="shared" si="2"/>
        <v>B</v>
      </c>
      <c r="H113" s="15" t="str">
        <f t="shared" si="3"/>
        <v>The Commissioner &amp; Chief Constable are satisfied the spend represents VFM in accordance with the requirements of Category B</v>
      </c>
      <c r="I113" s="16"/>
      <c r="J113" s="16"/>
    </row>
    <row r="114" spans="1:10" x14ac:dyDescent="0.2">
      <c r="A114" s="10" t="s">
        <v>8</v>
      </c>
      <c r="B114" s="11" t="s">
        <v>9</v>
      </c>
      <c r="C114" s="27" t="s">
        <v>127</v>
      </c>
      <c r="D114" s="28">
        <v>45308</v>
      </c>
      <c r="E114" s="12">
        <v>9113.0400000000009</v>
      </c>
      <c r="F114" s="13" t="s">
        <v>49</v>
      </c>
      <c r="G114" s="14" t="str">
        <f t="shared" si="2"/>
        <v>B</v>
      </c>
      <c r="H114" s="15" t="str">
        <f t="shared" si="3"/>
        <v>The Commissioner &amp; Chief Constable are satisfied the spend represents VFM in accordance with the requirements of Category B</v>
      </c>
      <c r="I114" s="16"/>
      <c r="J114" s="16"/>
    </row>
    <row r="115" spans="1:10" x14ac:dyDescent="0.2">
      <c r="A115" s="10" t="s">
        <v>8</v>
      </c>
      <c r="B115" s="11" t="s">
        <v>9</v>
      </c>
      <c r="C115" s="27" t="s">
        <v>74</v>
      </c>
      <c r="D115" s="28">
        <v>45293</v>
      </c>
      <c r="E115" s="12">
        <v>9086.2000000000007</v>
      </c>
      <c r="F115" s="13" t="s">
        <v>75</v>
      </c>
      <c r="G115" s="14" t="str">
        <f t="shared" si="2"/>
        <v>B</v>
      </c>
      <c r="H115" s="15" t="str">
        <f t="shared" si="3"/>
        <v>The Commissioner &amp; Chief Constable are satisfied the spend represents VFM in accordance with the requirements of Category B</v>
      </c>
      <c r="I115" s="16"/>
      <c r="J115" s="16"/>
    </row>
    <row r="116" spans="1:10" x14ac:dyDescent="0.2">
      <c r="A116" s="10" t="s">
        <v>8</v>
      </c>
      <c r="B116" s="11" t="s">
        <v>9</v>
      </c>
      <c r="C116" s="27" t="s">
        <v>128</v>
      </c>
      <c r="D116" s="28">
        <v>45293</v>
      </c>
      <c r="E116" s="12">
        <v>8959.5400000000009</v>
      </c>
      <c r="F116" s="13" t="s">
        <v>129</v>
      </c>
      <c r="G116" s="14" t="str">
        <f t="shared" si="2"/>
        <v>B</v>
      </c>
      <c r="H116" s="15" t="str">
        <f t="shared" si="3"/>
        <v>The Commissioner &amp; Chief Constable are satisfied the spend represents VFM in accordance with the requirements of Category B</v>
      </c>
      <c r="I116" s="16"/>
      <c r="J116" s="16"/>
    </row>
    <row r="117" spans="1:10" x14ac:dyDescent="0.2">
      <c r="A117" s="10" t="s">
        <v>8</v>
      </c>
      <c r="B117" s="11" t="s">
        <v>9</v>
      </c>
      <c r="C117" s="27" t="s">
        <v>130</v>
      </c>
      <c r="D117" s="28">
        <v>45295</v>
      </c>
      <c r="E117" s="12">
        <v>8920</v>
      </c>
      <c r="F117" s="13" t="s">
        <v>38</v>
      </c>
      <c r="G117" s="14" t="str">
        <f t="shared" si="2"/>
        <v>B</v>
      </c>
      <c r="H117" s="15" t="str">
        <f t="shared" si="3"/>
        <v>The Commissioner &amp; Chief Constable are satisfied the spend represents VFM in accordance with the requirements of Category B</v>
      </c>
    </row>
    <row r="118" spans="1:10" x14ac:dyDescent="0.2">
      <c r="A118" s="10" t="s">
        <v>8</v>
      </c>
      <c r="B118" s="11" t="s">
        <v>9</v>
      </c>
      <c r="C118" s="27" t="s">
        <v>74</v>
      </c>
      <c r="D118" s="28">
        <v>45308</v>
      </c>
      <c r="E118" s="12">
        <v>8724.36</v>
      </c>
      <c r="F118" s="13" t="s">
        <v>131</v>
      </c>
      <c r="G118" s="14" t="str">
        <f t="shared" si="2"/>
        <v>B</v>
      </c>
      <c r="H118" s="15" t="str">
        <f t="shared" si="3"/>
        <v>The Commissioner &amp; Chief Constable are satisfied the spend represents VFM in accordance with the requirements of Category B</v>
      </c>
    </row>
    <row r="119" spans="1:10" x14ac:dyDescent="0.2">
      <c r="A119" s="10" t="s">
        <v>8</v>
      </c>
      <c r="B119" s="11" t="s">
        <v>9</v>
      </c>
      <c r="C119" s="29" t="s">
        <v>115</v>
      </c>
      <c r="D119" s="28">
        <v>45307</v>
      </c>
      <c r="E119" s="12">
        <v>8710.11</v>
      </c>
      <c r="F119" s="13" t="s">
        <v>116</v>
      </c>
      <c r="G119" s="14" t="str">
        <f t="shared" si="2"/>
        <v>B</v>
      </c>
      <c r="H119" s="15" t="str">
        <f t="shared" si="3"/>
        <v>The Commissioner &amp; Chief Constable are satisfied the spend represents VFM in accordance with the requirements of Category B</v>
      </c>
    </row>
    <row r="120" spans="1:10" x14ac:dyDescent="0.2">
      <c r="A120" s="10" t="s">
        <v>8</v>
      </c>
      <c r="B120" s="11" t="s">
        <v>9</v>
      </c>
      <c r="C120" s="27" t="s">
        <v>26</v>
      </c>
      <c r="D120" s="28">
        <v>45320</v>
      </c>
      <c r="E120" s="12">
        <v>8474.5</v>
      </c>
      <c r="F120" s="13" t="s">
        <v>88</v>
      </c>
      <c r="G120" s="14" t="str">
        <f t="shared" si="2"/>
        <v>B</v>
      </c>
      <c r="H120" s="15" t="str">
        <f t="shared" si="3"/>
        <v>The Commissioner &amp; Chief Constable are satisfied the spend represents VFM in accordance with the requirements of Category B</v>
      </c>
    </row>
    <row r="121" spans="1:10" x14ac:dyDescent="0.2">
      <c r="A121" s="10" t="s">
        <v>8</v>
      </c>
      <c r="B121" s="11" t="s">
        <v>9</v>
      </c>
      <c r="C121" s="27" t="s">
        <v>109</v>
      </c>
      <c r="D121" s="28">
        <v>45306</v>
      </c>
      <c r="E121" s="12">
        <v>8371.92</v>
      </c>
      <c r="F121" s="13" t="s">
        <v>27</v>
      </c>
      <c r="G121" s="14" t="str">
        <f t="shared" si="2"/>
        <v>B</v>
      </c>
      <c r="H121" s="15" t="str">
        <f t="shared" si="3"/>
        <v>The Commissioner &amp; Chief Constable are satisfied the spend represents VFM in accordance with the requirements of Category B</v>
      </c>
    </row>
    <row r="122" spans="1:10" x14ac:dyDescent="0.2">
      <c r="A122" s="10" t="s">
        <v>8</v>
      </c>
      <c r="B122" s="11" t="s">
        <v>9</v>
      </c>
      <c r="C122" s="27" t="s">
        <v>132</v>
      </c>
      <c r="D122" s="28">
        <v>45307</v>
      </c>
      <c r="E122" s="12">
        <v>8284</v>
      </c>
      <c r="F122" s="13" t="s">
        <v>133</v>
      </c>
      <c r="G122" s="14" t="str">
        <f t="shared" si="2"/>
        <v>B</v>
      </c>
      <c r="H122" s="15" t="str">
        <f t="shared" si="3"/>
        <v>The Commissioner &amp; Chief Constable are satisfied the spend represents VFM in accordance with the requirements of Category B</v>
      </c>
    </row>
    <row r="123" spans="1:10" x14ac:dyDescent="0.2">
      <c r="A123" s="10" t="s">
        <v>8</v>
      </c>
      <c r="B123" s="11" t="s">
        <v>9</v>
      </c>
      <c r="C123" s="27" t="s">
        <v>132</v>
      </c>
      <c r="D123" s="28">
        <v>45307</v>
      </c>
      <c r="E123" s="12">
        <v>8284</v>
      </c>
      <c r="F123" s="13" t="s">
        <v>133</v>
      </c>
      <c r="G123" s="14" t="str">
        <f t="shared" si="2"/>
        <v>B</v>
      </c>
      <c r="H123" s="15" t="str">
        <f t="shared" si="3"/>
        <v>The Commissioner &amp; Chief Constable are satisfied the spend represents VFM in accordance with the requirements of Category B</v>
      </c>
    </row>
    <row r="124" spans="1:10" x14ac:dyDescent="0.2">
      <c r="A124" s="10" t="s">
        <v>8</v>
      </c>
      <c r="B124" s="11" t="s">
        <v>9</v>
      </c>
      <c r="C124" s="27" t="s">
        <v>132</v>
      </c>
      <c r="D124" s="28">
        <v>45301</v>
      </c>
      <c r="E124" s="12">
        <v>8284</v>
      </c>
      <c r="F124" s="13" t="s">
        <v>133</v>
      </c>
      <c r="G124" s="14" t="str">
        <f t="shared" si="2"/>
        <v>B</v>
      </c>
      <c r="H124" s="15" t="str">
        <f t="shared" si="3"/>
        <v>The Commissioner &amp; Chief Constable are satisfied the spend represents VFM in accordance with the requirements of Category B</v>
      </c>
    </row>
    <row r="125" spans="1:10" x14ac:dyDescent="0.2">
      <c r="A125" s="10" t="s">
        <v>8</v>
      </c>
      <c r="B125" s="11" t="s">
        <v>9</v>
      </c>
      <c r="C125" s="27" t="s">
        <v>134</v>
      </c>
      <c r="D125" s="28">
        <v>45307</v>
      </c>
      <c r="E125" s="12">
        <v>8133</v>
      </c>
      <c r="F125" s="13" t="s">
        <v>112</v>
      </c>
      <c r="G125" s="14" t="str">
        <f t="shared" si="2"/>
        <v>B</v>
      </c>
      <c r="H125" s="15" t="str">
        <f t="shared" si="3"/>
        <v>The Commissioner &amp; Chief Constable are satisfied the spend represents VFM in accordance with the requirements of Category B</v>
      </c>
    </row>
    <row r="126" spans="1:10" x14ac:dyDescent="0.2">
      <c r="A126" s="10" t="s">
        <v>8</v>
      </c>
      <c r="B126" s="11" t="s">
        <v>9</v>
      </c>
      <c r="C126" s="27" t="s">
        <v>135</v>
      </c>
      <c r="D126" s="28">
        <v>45316</v>
      </c>
      <c r="E126" s="12">
        <v>8076.2</v>
      </c>
      <c r="F126" s="13" t="s">
        <v>40</v>
      </c>
      <c r="G126" s="14" t="str">
        <f t="shared" si="2"/>
        <v>B</v>
      </c>
      <c r="H126" s="15" t="str">
        <f t="shared" si="3"/>
        <v>The Commissioner &amp; Chief Constable are satisfied the spend represents VFM in accordance with the requirements of Category B</v>
      </c>
    </row>
    <row r="127" spans="1:10" x14ac:dyDescent="0.2">
      <c r="A127" s="10" t="s">
        <v>8</v>
      </c>
      <c r="B127" s="11" t="s">
        <v>9</v>
      </c>
      <c r="C127" s="27" t="s">
        <v>136</v>
      </c>
      <c r="D127" s="28">
        <v>45303</v>
      </c>
      <c r="E127" s="12">
        <v>8000</v>
      </c>
      <c r="F127" s="13" t="s">
        <v>15</v>
      </c>
      <c r="G127" s="14" t="str">
        <f t="shared" si="2"/>
        <v>B</v>
      </c>
      <c r="H127" s="15" t="str">
        <f t="shared" si="3"/>
        <v>The Commissioner &amp; Chief Constable are satisfied the spend represents VFM in accordance with the requirements of Category B</v>
      </c>
    </row>
    <row r="128" spans="1:10" x14ac:dyDescent="0.2">
      <c r="A128" s="10" t="s">
        <v>8</v>
      </c>
      <c r="B128" s="11" t="s">
        <v>9</v>
      </c>
      <c r="C128" s="27" t="s">
        <v>136</v>
      </c>
      <c r="D128" s="28">
        <v>45299</v>
      </c>
      <c r="E128" s="12">
        <v>8000</v>
      </c>
      <c r="F128" s="13" t="s">
        <v>15</v>
      </c>
      <c r="G128" s="14" t="str">
        <f t="shared" si="2"/>
        <v>B</v>
      </c>
      <c r="H128" s="15" t="str">
        <f t="shared" si="3"/>
        <v>The Commissioner &amp; Chief Constable are satisfied the spend represents VFM in accordance with the requirements of Category B</v>
      </c>
    </row>
    <row r="129" spans="1:12" x14ac:dyDescent="0.2">
      <c r="A129" s="10" t="s">
        <v>8</v>
      </c>
      <c r="B129" s="11" t="s">
        <v>9</v>
      </c>
      <c r="C129" s="27" t="s">
        <v>137</v>
      </c>
      <c r="D129" s="28">
        <v>45310</v>
      </c>
      <c r="E129" s="12">
        <v>7978.73</v>
      </c>
      <c r="F129" s="13" t="s">
        <v>138</v>
      </c>
      <c r="G129" s="14" t="str">
        <f t="shared" si="2"/>
        <v>B</v>
      </c>
      <c r="H129" s="15" t="str">
        <f t="shared" si="3"/>
        <v>The Commissioner &amp; Chief Constable are satisfied the spend represents VFM in accordance with the requirements of Category B</v>
      </c>
    </row>
    <row r="130" spans="1:12" x14ac:dyDescent="0.2">
      <c r="A130" s="10" t="s">
        <v>8</v>
      </c>
      <c r="B130" s="11" t="s">
        <v>9</v>
      </c>
      <c r="C130" s="27" t="s">
        <v>139</v>
      </c>
      <c r="D130" s="28">
        <v>45313</v>
      </c>
      <c r="E130" s="12">
        <v>7839.25</v>
      </c>
      <c r="F130" s="13" t="s">
        <v>39</v>
      </c>
      <c r="G130" s="14" t="str">
        <f t="shared" ref="G130:G193" si="4">IF(E130&gt;25000,"C",IF(E130&gt;1000,"B","A"))</f>
        <v>B</v>
      </c>
      <c r="H130" s="15" t="str">
        <f t="shared" ref="H130:H193" si="5">VLOOKUP(G130,$K$2:$L$4,2,FALSE)</f>
        <v>The Commissioner &amp; Chief Constable are satisfied the spend represents VFM in accordance with the requirements of Category B</v>
      </c>
    </row>
    <row r="131" spans="1:12" x14ac:dyDescent="0.2">
      <c r="A131" s="10" t="s">
        <v>8</v>
      </c>
      <c r="B131" s="11" t="s">
        <v>9</v>
      </c>
      <c r="C131" s="27" t="s">
        <v>140</v>
      </c>
      <c r="D131" s="28">
        <v>45320</v>
      </c>
      <c r="E131" s="12">
        <v>7753.97</v>
      </c>
      <c r="F131" s="13" t="s">
        <v>34</v>
      </c>
      <c r="G131" s="14" t="str">
        <f t="shared" si="4"/>
        <v>B</v>
      </c>
      <c r="H131" s="15" t="str">
        <f t="shared" si="5"/>
        <v>The Commissioner &amp; Chief Constable are satisfied the spend represents VFM in accordance with the requirements of Category B</v>
      </c>
    </row>
    <row r="132" spans="1:12" x14ac:dyDescent="0.2">
      <c r="A132" s="10" t="s">
        <v>8</v>
      </c>
      <c r="B132" s="11" t="s">
        <v>9</v>
      </c>
      <c r="C132" s="27" t="s">
        <v>127</v>
      </c>
      <c r="D132" s="28">
        <v>45293</v>
      </c>
      <c r="E132" s="12">
        <v>7544.8600000000006</v>
      </c>
      <c r="F132" s="13" t="s">
        <v>49</v>
      </c>
      <c r="G132" s="14" t="str">
        <f t="shared" si="4"/>
        <v>B</v>
      </c>
      <c r="H132" s="15" t="str">
        <f t="shared" si="5"/>
        <v>The Commissioner &amp; Chief Constable are satisfied the spend represents VFM in accordance with the requirements of Category B</v>
      </c>
    </row>
    <row r="133" spans="1:12" x14ac:dyDescent="0.2">
      <c r="A133" s="10" t="s">
        <v>8</v>
      </c>
      <c r="B133" s="11" t="s">
        <v>9</v>
      </c>
      <c r="C133" s="29" t="s">
        <v>117</v>
      </c>
      <c r="D133" s="28">
        <v>45307</v>
      </c>
      <c r="E133" s="12">
        <v>7473.42</v>
      </c>
      <c r="F133" s="13" t="s">
        <v>118</v>
      </c>
      <c r="G133" s="14" t="str">
        <f t="shared" si="4"/>
        <v>B</v>
      </c>
      <c r="H133" s="15" t="str">
        <f t="shared" si="5"/>
        <v>The Commissioner &amp; Chief Constable are satisfied the spend represents VFM in accordance with the requirements of Category B</v>
      </c>
    </row>
    <row r="134" spans="1:12" x14ac:dyDescent="0.2">
      <c r="A134" s="10" t="s">
        <v>8</v>
      </c>
      <c r="B134" s="11" t="s">
        <v>9</v>
      </c>
      <c r="C134" s="29" t="s">
        <v>141</v>
      </c>
      <c r="D134" s="28">
        <v>45294</v>
      </c>
      <c r="E134" s="12">
        <v>7084</v>
      </c>
      <c r="F134" s="13" t="s">
        <v>22</v>
      </c>
      <c r="G134" s="14" t="str">
        <f t="shared" si="4"/>
        <v>B</v>
      </c>
      <c r="H134" s="15" t="str">
        <f t="shared" si="5"/>
        <v>The Commissioner &amp; Chief Constable are satisfied the spend represents VFM in accordance with the requirements of Category B</v>
      </c>
    </row>
    <row r="135" spans="1:12" x14ac:dyDescent="0.2">
      <c r="A135" s="10" t="s">
        <v>8</v>
      </c>
      <c r="B135" s="11" t="s">
        <v>9</v>
      </c>
      <c r="C135" s="27" t="s">
        <v>142</v>
      </c>
      <c r="D135" s="28">
        <v>45295</v>
      </c>
      <c r="E135" s="12">
        <v>7039.21</v>
      </c>
      <c r="F135" s="13" t="s">
        <v>143</v>
      </c>
      <c r="G135" s="14" t="str">
        <f t="shared" si="4"/>
        <v>B</v>
      </c>
      <c r="H135" s="15" t="str">
        <f t="shared" si="5"/>
        <v>The Commissioner &amp; Chief Constable are satisfied the spend represents VFM in accordance with the requirements of Category B</v>
      </c>
    </row>
    <row r="136" spans="1:12" s="20" customFormat="1" x14ac:dyDescent="0.2">
      <c r="A136" s="10" t="s">
        <v>8</v>
      </c>
      <c r="B136" s="11" t="s">
        <v>9</v>
      </c>
      <c r="C136" s="27" t="s">
        <v>48</v>
      </c>
      <c r="D136" s="28">
        <v>45321</v>
      </c>
      <c r="E136" s="12">
        <v>6970.13</v>
      </c>
      <c r="F136" s="13" t="s">
        <v>58</v>
      </c>
      <c r="G136" s="14" t="str">
        <f t="shared" si="4"/>
        <v>B</v>
      </c>
      <c r="H136" s="15" t="str">
        <f t="shared" si="5"/>
        <v>The Commissioner &amp; Chief Constable are satisfied the spend represents VFM in accordance with the requirements of Category B</v>
      </c>
      <c r="K136" s="17"/>
      <c r="L136" s="17"/>
    </row>
    <row r="137" spans="1:12" s="20" customFormat="1" x14ac:dyDescent="0.2">
      <c r="A137" s="10" t="s">
        <v>8</v>
      </c>
      <c r="B137" s="11" t="s">
        <v>9</v>
      </c>
      <c r="C137" s="27" t="s">
        <v>144</v>
      </c>
      <c r="D137" s="28">
        <v>45322</v>
      </c>
      <c r="E137" s="12">
        <v>6965</v>
      </c>
      <c r="F137" s="13" t="s">
        <v>145</v>
      </c>
      <c r="G137" s="14" t="str">
        <f t="shared" si="4"/>
        <v>B</v>
      </c>
      <c r="H137" s="15" t="str">
        <f t="shared" si="5"/>
        <v>The Commissioner &amp; Chief Constable are satisfied the spend represents VFM in accordance with the requirements of Category B</v>
      </c>
      <c r="K137" s="17"/>
      <c r="L137" s="17"/>
    </row>
    <row r="138" spans="1:12" s="20" customFormat="1" x14ac:dyDescent="0.2">
      <c r="A138" s="10" t="s">
        <v>8</v>
      </c>
      <c r="B138" s="11" t="s">
        <v>9</v>
      </c>
      <c r="C138" s="27" t="s">
        <v>124</v>
      </c>
      <c r="D138" s="28">
        <v>45296</v>
      </c>
      <c r="E138" s="12">
        <v>6920.74</v>
      </c>
      <c r="F138" s="13" t="s">
        <v>91</v>
      </c>
      <c r="G138" s="14" t="str">
        <f t="shared" si="4"/>
        <v>B</v>
      </c>
      <c r="H138" s="15" t="str">
        <f t="shared" si="5"/>
        <v>The Commissioner &amp; Chief Constable are satisfied the spend represents VFM in accordance with the requirements of Category B</v>
      </c>
      <c r="K138" s="17"/>
      <c r="L138" s="17"/>
    </row>
    <row r="139" spans="1:12" s="20" customFormat="1" x14ac:dyDescent="0.2">
      <c r="A139" s="10" t="s">
        <v>8</v>
      </c>
      <c r="B139" s="11" t="s">
        <v>9</v>
      </c>
      <c r="C139" s="27" t="s">
        <v>74</v>
      </c>
      <c r="D139" s="28">
        <v>45303</v>
      </c>
      <c r="E139" s="12">
        <v>6762.22</v>
      </c>
      <c r="F139" s="13" t="s">
        <v>75</v>
      </c>
      <c r="G139" s="14" t="str">
        <f t="shared" si="4"/>
        <v>B</v>
      </c>
      <c r="H139" s="15" t="str">
        <f t="shared" si="5"/>
        <v>The Commissioner &amp; Chief Constable are satisfied the spend represents VFM in accordance with the requirements of Category B</v>
      </c>
      <c r="K139" s="17"/>
      <c r="L139" s="17"/>
    </row>
    <row r="140" spans="1:12" s="20" customFormat="1" x14ac:dyDescent="0.2">
      <c r="A140" s="10" t="s">
        <v>8</v>
      </c>
      <c r="B140" s="11" t="s">
        <v>9</v>
      </c>
      <c r="C140" s="29" t="s">
        <v>146</v>
      </c>
      <c r="D140" s="28">
        <v>45316</v>
      </c>
      <c r="E140" s="12">
        <v>6603.29</v>
      </c>
      <c r="F140" s="13" t="s">
        <v>24</v>
      </c>
      <c r="G140" s="14" t="str">
        <f t="shared" si="4"/>
        <v>B</v>
      </c>
      <c r="H140" s="15" t="str">
        <f t="shared" si="5"/>
        <v>The Commissioner &amp; Chief Constable are satisfied the spend represents VFM in accordance with the requirements of Category B</v>
      </c>
      <c r="K140" s="17"/>
      <c r="L140" s="17"/>
    </row>
    <row r="141" spans="1:12" s="20" customFormat="1" x14ac:dyDescent="0.2">
      <c r="A141" s="10" t="s">
        <v>8</v>
      </c>
      <c r="B141" s="11" t="s">
        <v>9</v>
      </c>
      <c r="C141" s="27" t="s">
        <v>147</v>
      </c>
      <c r="D141" s="28">
        <v>45294</v>
      </c>
      <c r="E141" s="12">
        <v>6578.4</v>
      </c>
      <c r="F141" s="13" t="s">
        <v>91</v>
      </c>
      <c r="G141" s="14" t="str">
        <f t="shared" si="4"/>
        <v>B</v>
      </c>
      <c r="H141" s="15" t="str">
        <f t="shared" si="5"/>
        <v>The Commissioner &amp; Chief Constable are satisfied the spend represents VFM in accordance with the requirements of Category B</v>
      </c>
      <c r="K141" s="17"/>
      <c r="L141" s="17"/>
    </row>
    <row r="142" spans="1:12" s="20" customFormat="1" x14ac:dyDescent="0.2">
      <c r="A142" s="10" t="s">
        <v>8</v>
      </c>
      <c r="B142" s="11" t="s">
        <v>9</v>
      </c>
      <c r="C142" s="27" t="s">
        <v>74</v>
      </c>
      <c r="D142" s="28">
        <v>45300</v>
      </c>
      <c r="E142" s="12">
        <v>6541.5</v>
      </c>
      <c r="F142" s="13" t="s">
        <v>148</v>
      </c>
      <c r="G142" s="14" t="str">
        <f t="shared" si="4"/>
        <v>B</v>
      </c>
      <c r="H142" s="15" t="str">
        <f t="shared" si="5"/>
        <v>The Commissioner &amp; Chief Constable are satisfied the spend represents VFM in accordance with the requirements of Category B</v>
      </c>
      <c r="K142" s="17"/>
      <c r="L142" s="17"/>
    </row>
    <row r="143" spans="1:12" s="20" customFormat="1" x14ac:dyDescent="0.2">
      <c r="A143" s="10" t="s">
        <v>8</v>
      </c>
      <c r="B143" s="11" t="s">
        <v>9</v>
      </c>
      <c r="C143" s="27" t="s">
        <v>26</v>
      </c>
      <c r="D143" s="28">
        <v>45301</v>
      </c>
      <c r="E143" s="12">
        <v>6394.47</v>
      </c>
      <c r="F143" s="13" t="s">
        <v>88</v>
      </c>
      <c r="G143" s="14" t="str">
        <f t="shared" si="4"/>
        <v>B</v>
      </c>
      <c r="H143" s="15" t="str">
        <f t="shared" si="5"/>
        <v>The Commissioner &amp; Chief Constable are satisfied the spend represents VFM in accordance with the requirements of Category B</v>
      </c>
      <c r="K143" s="17"/>
      <c r="L143" s="17"/>
    </row>
    <row r="144" spans="1:12" s="20" customFormat="1" x14ac:dyDescent="0.2">
      <c r="A144" s="10" t="s">
        <v>8</v>
      </c>
      <c r="B144" s="11" t="s">
        <v>9</v>
      </c>
      <c r="C144" s="27" t="s">
        <v>149</v>
      </c>
      <c r="D144" s="28">
        <v>45306</v>
      </c>
      <c r="E144" s="12">
        <v>6370.76</v>
      </c>
      <c r="F144" s="13" t="s">
        <v>138</v>
      </c>
      <c r="G144" s="14" t="str">
        <f t="shared" si="4"/>
        <v>B</v>
      </c>
      <c r="H144" s="15" t="str">
        <f t="shared" si="5"/>
        <v>The Commissioner &amp; Chief Constable are satisfied the spend represents VFM in accordance with the requirements of Category B</v>
      </c>
      <c r="K144" s="17"/>
      <c r="L144" s="17"/>
    </row>
    <row r="145" spans="1:12" s="20" customFormat="1" x14ac:dyDescent="0.2">
      <c r="A145" s="10" t="s">
        <v>8</v>
      </c>
      <c r="B145" s="11" t="s">
        <v>9</v>
      </c>
      <c r="C145" s="27" t="s">
        <v>150</v>
      </c>
      <c r="D145" s="28">
        <v>45322</v>
      </c>
      <c r="E145" s="12">
        <v>6354.16</v>
      </c>
      <c r="F145" s="13" t="s">
        <v>151</v>
      </c>
      <c r="G145" s="14" t="str">
        <f t="shared" si="4"/>
        <v>B</v>
      </c>
      <c r="H145" s="15" t="str">
        <f t="shared" si="5"/>
        <v>The Commissioner &amp; Chief Constable are satisfied the spend represents VFM in accordance with the requirements of Category B</v>
      </c>
      <c r="K145" s="17"/>
      <c r="L145" s="17"/>
    </row>
    <row r="146" spans="1:12" s="20" customFormat="1" x14ac:dyDescent="0.2">
      <c r="A146" s="10" t="s">
        <v>8</v>
      </c>
      <c r="B146" s="11" t="s">
        <v>9</v>
      </c>
      <c r="C146" s="27" t="s">
        <v>152</v>
      </c>
      <c r="D146" s="28">
        <v>45320</v>
      </c>
      <c r="E146" s="12">
        <v>6162.64</v>
      </c>
      <c r="F146" s="13" t="s">
        <v>129</v>
      </c>
      <c r="G146" s="14" t="str">
        <f t="shared" si="4"/>
        <v>B</v>
      </c>
      <c r="H146" s="15" t="str">
        <f t="shared" si="5"/>
        <v>The Commissioner &amp; Chief Constable are satisfied the spend represents VFM in accordance with the requirements of Category B</v>
      </c>
      <c r="K146" s="17"/>
      <c r="L146" s="17"/>
    </row>
    <row r="147" spans="1:12" s="20" customFormat="1" x14ac:dyDescent="0.2">
      <c r="A147" s="10" t="s">
        <v>8</v>
      </c>
      <c r="B147" s="11" t="s">
        <v>9</v>
      </c>
      <c r="C147" s="27" t="s">
        <v>153</v>
      </c>
      <c r="D147" s="28">
        <v>45299</v>
      </c>
      <c r="E147" s="12">
        <v>6127.07</v>
      </c>
      <c r="F147" s="13" t="s">
        <v>39</v>
      </c>
      <c r="G147" s="14" t="str">
        <f t="shared" si="4"/>
        <v>B</v>
      </c>
      <c r="H147" s="15" t="str">
        <f t="shared" si="5"/>
        <v>The Commissioner &amp; Chief Constable are satisfied the spend represents VFM in accordance with the requirements of Category B</v>
      </c>
      <c r="K147" s="17"/>
      <c r="L147" s="17"/>
    </row>
    <row r="148" spans="1:12" s="20" customFormat="1" x14ac:dyDescent="0.2">
      <c r="A148" s="10" t="s">
        <v>8</v>
      </c>
      <c r="B148" s="11" t="s">
        <v>9</v>
      </c>
      <c r="C148" s="29" t="s">
        <v>26</v>
      </c>
      <c r="D148" s="28">
        <v>45308</v>
      </c>
      <c r="E148" s="12">
        <v>6109.59</v>
      </c>
      <c r="F148" s="13" t="s">
        <v>76</v>
      </c>
      <c r="G148" s="14" t="str">
        <f t="shared" si="4"/>
        <v>B</v>
      </c>
      <c r="H148" s="15" t="str">
        <f t="shared" si="5"/>
        <v>The Commissioner &amp; Chief Constable are satisfied the spend represents VFM in accordance with the requirements of Category B</v>
      </c>
      <c r="K148" s="17"/>
      <c r="L148" s="17"/>
    </row>
    <row r="149" spans="1:12" s="20" customFormat="1" x14ac:dyDescent="0.2">
      <c r="A149" s="10" t="s">
        <v>8</v>
      </c>
      <c r="B149" s="11" t="s">
        <v>9</v>
      </c>
      <c r="C149" s="27" t="s">
        <v>154</v>
      </c>
      <c r="D149" s="28">
        <v>45303</v>
      </c>
      <c r="E149" s="12">
        <v>6075</v>
      </c>
      <c r="F149" s="13" t="s">
        <v>22</v>
      </c>
      <c r="G149" s="14" t="str">
        <f t="shared" si="4"/>
        <v>B</v>
      </c>
      <c r="H149" s="15" t="str">
        <f t="shared" si="5"/>
        <v>The Commissioner &amp; Chief Constable are satisfied the spend represents VFM in accordance with the requirements of Category B</v>
      </c>
      <c r="K149" s="17"/>
      <c r="L149" s="17"/>
    </row>
    <row r="150" spans="1:12" s="20" customFormat="1" x14ac:dyDescent="0.2">
      <c r="A150" s="10" t="s">
        <v>8</v>
      </c>
      <c r="B150" s="11" t="s">
        <v>9</v>
      </c>
      <c r="C150" s="27" t="s">
        <v>146</v>
      </c>
      <c r="D150" s="28">
        <v>45316</v>
      </c>
      <c r="E150" s="12">
        <v>5897.83</v>
      </c>
      <c r="F150" s="13" t="s">
        <v>102</v>
      </c>
      <c r="G150" s="14" t="str">
        <f t="shared" si="4"/>
        <v>B</v>
      </c>
      <c r="H150" s="15" t="str">
        <f t="shared" si="5"/>
        <v>The Commissioner &amp; Chief Constable are satisfied the spend represents VFM in accordance with the requirements of Category B</v>
      </c>
      <c r="K150" s="17"/>
      <c r="L150" s="17"/>
    </row>
    <row r="151" spans="1:12" s="20" customFormat="1" x14ac:dyDescent="0.2">
      <c r="A151" s="10" t="s">
        <v>8</v>
      </c>
      <c r="B151" s="11" t="s">
        <v>9</v>
      </c>
      <c r="C151" s="29" t="s">
        <v>150</v>
      </c>
      <c r="D151" s="28">
        <v>45299</v>
      </c>
      <c r="E151" s="12">
        <v>1779.4100000000003</v>
      </c>
      <c r="F151" s="13" t="s">
        <v>131</v>
      </c>
      <c r="G151" s="14" t="str">
        <f t="shared" si="4"/>
        <v>B</v>
      </c>
      <c r="H151" s="15" t="str">
        <f t="shared" si="5"/>
        <v>The Commissioner &amp; Chief Constable are satisfied the spend represents VFM in accordance with the requirements of Category B</v>
      </c>
      <c r="K151" s="17"/>
      <c r="L151" s="17"/>
    </row>
    <row r="152" spans="1:12" s="20" customFormat="1" x14ac:dyDescent="0.2">
      <c r="A152" s="10" t="s">
        <v>8</v>
      </c>
      <c r="B152" s="11" t="s">
        <v>9</v>
      </c>
      <c r="C152" s="29" t="s">
        <v>150</v>
      </c>
      <c r="D152" s="28">
        <v>45299</v>
      </c>
      <c r="E152" s="18">
        <v>218.33</v>
      </c>
      <c r="F152" s="19" t="s">
        <v>155</v>
      </c>
      <c r="G152" s="14" t="str">
        <f t="shared" si="4"/>
        <v>A</v>
      </c>
      <c r="H152" s="15" t="str">
        <f t="shared" si="5"/>
        <v>The Commissioner &amp; Chief Constable are satisfied the spend represents VFM in accordance with the requirements of Category A</v>
      </c>
      <c r="K152" s="17"/>
      <c r="L152" s="17"/>
    </row>
    <row r="153" spans="1:12" s="20" customFormat="1" x14ac:dyDescent="0.2">
      <c r="A153" s="10" t="s">
        <v>8</v>
      </c>
      <c r="B153" s="11" t="s">
        <v>9</v>
      </c>
      <c r="C153" s="27" t="s">
        <v>150</v>
      </c>
      <c r="D153" s="28">
        <v>45299</v>
      </c>
      <c r="E153" s="18">
        <v>3729.89</v>
      </c>
      <c r="F153" s="19" t="s">
        <v>151</v>
      </c>
      <c r="G153" s="14" t="str">
        <f t="shared" si="4"/>
        <v>B</v>
      </c>
      <c r="H153" s="15" t="str">
        <f t="shared" si="5"/>
        <v>The Commissioner &amp; Chief Constable are satisfied the spend represents VFM in accordance with the requirements of Category B</v>
      </c>
      <c r="K153" s="17"/>
      <c r="L153" s="17"/>
    </row>
    <row r="154" spans="1:12" s="20" customFormat="1" x14ac:dyDescent="0.2">
      <c r="A154" s="10" t="s">
        <v>8</v>
      </c>
      <c r="B154" s="11" t="s">
        <v>9</v>
      </c>
      <c r="C154" s="27" t="s">
        <v>150</v>
      </c>
      <c r="D154" s="28">
        <v>45299</v>
      </c>
      <c r="E154" s="18">
        <v>82.25</v>
      </c>
      <c r="F154" s="19" t="s">
        <v>156</v>
      </c>
      <c r="G154" s="14" t="str">
        <f t="shared" si="4"/>
        <v>A</v>
      </c>
      <c r="H154" s="15" t="str">
        <f t="shared" si="5"/>
        <v>The Commissioner &amp; Chief Constable are satisfied the spend represents VFM in accordance with the requirements of Category A</v>
      </c>
      <c r="K154" s="17"/>
      <c r="L154" s="17"/>
    </row>
    <row r="155" spans="1:12" s="20" customFormat="1" x14ac:dyDescent="0.2">
      <c r="A155" s="10" t="s">
        <v>8</v>
      </c>
      <c r="B155" s="11" t="s">
        <v>9</v>
      </c>
      <c r="C155" s="27" t="s">
        <v>149</v>
      </c>
      <c r="D155" s="28">
        <v>45293</v>
      </c>
      <c r="E155" s="12">
        <v>5751</v>
      </c>
      <c r="F155" s="13" t="s">
        <v>138</v>
      </c>
      <c r="G155" s="14" t="str">
        <f t="shared" si="4"/>
        <v>B</v>
      </c>
      <c r="H155" s="15" t="str">
        <f t="shared" si="5"/>
        <v>The Commissioner &amp; Chief Constable are satisfied the spend represents VFM in accordance with the requirements of Category B</v>
      </c>
      <c r="K155" s="17"/>
      <c r="L155" s="17"/>
    </row>
    <row r="156" spans="1:12" s="20" customFormat="1" x14ac:dyDescent="0.2">
      <c r="A156" s="10" t="s">
        <v>8</v>
      </c>
      <c r="B156" s="11" t="s">
        <v>9</v>
      </c>
      <c r="C156" s="27" t="s">
        <v>157</v>
      </c>
      <c r="D156" s="28">
        <v>45314</v>
      </c>
      <c r="E156" s="12">
        <v>5699.9</v>
      </c>
      <c r="F156" s="13" t="s">
        <v>43</v>
      </c>
      <c r="G156" s="14" t="str">
        <f t="shared" si="4"/>
        <v>B</v>
      </c>
      <c r="H156" s="15" t="str">
        <f t="shared" si="5"/>
        <v>The Commissioner &amp; Chief Constable are satisfied the spend represents VFM in accordance with the requirements of Category B</v>
      </c>
      <c r="K156" s="17"/>
      <c r="L156" s="17"/>
    </row>
    <row r="157" spans="1:12" s="20" customFormat="1" x14ac:dyDescent="0.2">
      <c r="A157" s="10" t="s">
        <v>8</v>
      </c>
      <c r="B157" s="11" t="s">
        <v>9</v>
      </c>
      <c r="C157" s="27" t="s">
        <v>33</v>
      </c>
      <c r="D157" s="28">
        <v>45293</v>
      </c>
      <c r="E157" s="12">
        <v>5654.85</v>
      </c>
      <c r="F157" s="13" t="s">
        <v>106</v>
      </c>
      <c r="G157" s="14" t="str">
        <f t="shared" si="4"/>
        <v>B</v>
      </c>
      <c r="H157" s="15" t="str">
        <f t="shared" si="5"/>
        <v>The Commissioner &amp; Chief Constable are satisfied the spend represents VFM in accordance with the requirements of Category B</v>
      </c>
      <c r="K157" s="17"/>
      <c r="L157" s="17"/>
    </row>
    <row r="158" spans="1:12" s="20" customFormat="1" x14ac:dyDescent="0.2">
      <c r="A158" s="10" t="s">
        <v>8</v>
      </c>
      <c r="B158" s="11" t="s">
        <v>9</v>
      </c>
      <c r="C158" s="27" t="s">
        <v>74</v>
      </c>
      <c r="D158" s="28">
        <v>45296</v>
      </c>
      <c r="E158" s="12">
        <v>5630.67</v>
      </c>
      <c r="F158" s="13" t="s">
        <v>158</v>
      </c>
      <c r="G158" s="14" t="str">
        <f t="shared" si="4"/>
        <v>B</v>
      </c>
      <c r="H158" s="15" t="str">
        <f t="shared" si="5"/>
        <v>The Commissioner &amp; Chief Constable are satisfied the spend represents VFM in accordance with the requirements of Category B</v>
      </c>
      <c r="K158" s="17"/>
      <c r="L158" s="17"/>
    </row>
    <row r="159" spans="1:12" s="20" customFormat="1" x14ac:dyDescent="0.2">
      <c r="A159" s="10" t="s">
        <v>8</v>
      </c>
      <c r="B159" s="11" t="s">
        <v>9</v>
      </c>
      <c r="C159" s="27" t="s">
        <v>159</v>
      </c>
      <c r="D159" s="28">
        <v>45306</v>
      </c>
      <c r="E159" s="12">
        <v>5623.18</v>
      </c>
      <c r="F159" s="13" t="s">
        <v>22</v>
      </c>
      <c r="G159" s="14" t="str">
        <f t="shared" si="4"/>
        <v>B</v>
      </c>
      <c r="H159" s="15" t="str">
        <f t="shared" si="5"/>
        <v>The Commissioner &amp; Chief Constable are satisfied the spend represents VFM in accordance with the requirements of Category B</v>
      </c>
      <c r="K159" s="17"/>
      <c r="L159" s="17"/>
    </row>
    <row r="160" spans="1:12" s="20" customFormat="1" x14ac:dyDescent="0.2">
      <c r="A160" s="10" t="s">
        <v>8</v>
      </c>
      <c r="B160" s="11" t="s">
        <v>9</v>
      </c>
      <c r="C160" s="27" t="s">
        <v>146</v>
      </c>
      <c r="D160" s="28">
        <v>45302</v>
      </c>
      <c r="E160" s="12">
        <v>5613.11</v>
      </c>
      <c r="F160" s="13" t="s">
        <v>102</v>
      </c>
      <c r="G160" s="14" t="str">
        <f t="shared" si="4"/>
        <v>B</v>
      </c>
      <c r="H160" s="15" t="str">
        <f t="shared" si="5"/>
        <v>The Commissioner &amp; Chief Constable are satisfied the spend represents VFM in accordance with the requirements of Category B</v>
      </c>
      <c r="K160" s="17"/>
      <c r="L160" s="17"/>
    </row>
    <row r="161" spans="1:12" s="20" customFormat="1" x14ac:dyDescent="0.2">
      <c r="A161" s="10" t="s">
        <v>8</v>
      </c>
      <c r="B161" s="11" t="s">
        <v>9</v>
      </c>
      <c r="C161" s="27" t="s">
        <v>90</v>
      </c>
      <c r="D161" s="28">
        <v>45315</v>
      </c>
      <c r="E161" s="12">
        <v>5610.48</v>
      </c>
      <c r="F161" s="13" t="s">
        <v>91</v>
      </c>
      <c r="G161" s="14" t="str">
        <f t="shared" si="4"/>
        <v>B</v>
      </c>
      <c r="H161" s="15" t="str">
        <f t="shared" si="5"/>
        <v>The Commissioner &amp; Chief Constable are satisfied the spend represents VFM in accordance with the requirements of Category B</v>
      </c>
      <c r="K161" s="17"/>
      <c r="L161" s="17"/>
    </row>
    <row r="162" spans="1:12" s="20" customFormat="1" x14ac:dyDescent="0.2">
      <c r="A162" s="10" t="s">
        <v>8</v>
      </c>
      <c r="B162" s="11" t="s">
        <v>9</v>
      </c>
      <c r="C162" s="27" t="s">
        <v>68</v>
      </c>
      <c r="D162" s="28">
        <v>45299</v>
      </c>
      <c r="E162" s="12">
        <v>5600</v>
      </c>
      <c r="F162" s="13" t="s">
        <v>160</v>
      </c>
      <c r="G162" s="14" t="str">
        <f t="shared" si="4"/>
        <v>B</v>
      </c>
      <c r="H162" s="15" t="str">
        <f t="shared" si="5"/>
        <v>The Commissioner &amp; Chief Constable are satisfied the spend represents VFM in accordance with the requirements of Category B</v>
      </c>
      <c r="K162" s="17"/>
      <c r="L162" s="17"/>
    </row>
    <row r="163" spans="1:12" s="20" customFormat="1" x14ac:dyDescent="0.2">
      <c r="A163" s="10" t="s">
        <v>8</v>
      </c>
      <c r="B163" s="11" t="s">
        <v>9</v>
      </c>
      <c r="C163" s="29" t="s">
        <v>161</v>
      </c>
      <c r="D163" s="28">
        <v>45294</v>
      </c>
      <c r="E163" s="12">
        <v>5385.45</v>
      </c>
      <c r="F163" s="13" t="s">
        <v>15</v>
      </c>
      <c r="G163" s="14" t="str">
        <f t="shared" si="4"/>
        <v>B</v>
      </c>
      <c r="H163" s="15" t="str">
        <f t="shared" si="5"/>
        <v>The Commissioner &amp; Chief Constable are satisfied the spend represents VFM in accordance with the requirements of Category B</v>
      </c>
      <c r="K163" s="17"/>
      <c r="L163" s="17"/>
    </row>
    <row r="164" spans="1:12" s="20" customFormat="1" x14ac:dyDescent="0.2">
      <c r="A164" s="10" t="s">
        <v>8</v>
      </c>
      <c r="B164" s="11" t="s">
        <v>9</v>
      </c>
      <c r="C164" s="27" t="s">
        <v>161</v>
      </c>
      <c r="D164" s="28">
        <v>45309</v>
      </c>
      <c r="E164" s="12">
        <v>5385.45</v>
      </c>
      <c r="F164" s="13" t="s">
        <v>15</v>
      </c>
      <c r="G164" s="14" t="str">
        <f t="shared" si="4"/>
        <v>B</v>
      </c>
      <c r="H164" s="15" t="str">
        <f t="shared" si="5"/>
        <v>The Commissioner &amp; Chief Constable are satisfied the spend represents VFM in accordance with the requirements of Category B</v>
      </c>
      <c r="K164" s="17"/>
      <c r="L164" s="17"/>
    </row>
    <row r="165" spans="1:12" s="20" customFormat="1" x14ac:dyDescent="0.2">
      <c r="A165" s="10" t="s">
        <v>8</v>
      </c>
      <c r="B165" s="11" t="s">
        <v>9</v>
      </c>
      <c r="C165" s="27" t="s">
        <v>162</v>
      </c>
      <c r="D165" s="28">
        <v>45313</v>
      </c>
      <c r="E165" s="12">
        <v>5313.1</v>
      </c>
      <c r="F165" s="13" t="s">
        <v>39</v>
      </c>
      <c r="G165" s="14" t="str">
        <f t="shared" si="4"/>
        <v>B</v>
      </c>
      <c r="H165" s="15" t="str">
        <f t="shared" si="5"/>
        <v>The Commissioner &amp; Chief Constable are satisfied the spend represents VFM in accordance with the requirements of Category B</v>
      </c>
      <c r="K165" s="17"/>
      <c r="L165" s="17"/>
    </row>
    <row r="166" spans="1:12" s="20" customFormat="1" x14ac:dyDescent="0.2">
      <c r="A166" s="10" t="s">
        <v>8</v>
      </c>
      <c r="B166" s="11" t="s">
        <v>9</v>
      </c>
      <c r="C166" s="27" t="s">
        <v>163</v>
      </c>
      <c r="D166" s="28">
        <v>45296</v>
      </c>
      <c r="E166" s="12">
        <v>5303</v>
      </c>
      <c r="F166" s="13" t="s">
        <v>45</v>
      </c>
      <c r="G166" s="14" t="str">
        <f t="shared" si="4"/>
        <v>B</v>
      </c>
      <c r="H166" s="15" t="str">
        <f t="shared" si="5"/>
        <v>The Commissioner &amp; Chief Constable are satisfied the spend represents VFM in accordance with the requirements of Category B</v>
      </c>
      <c r="K166" s="17"/>
      <c r="L166" s="17"/>
    </row>
    <row r="167" spans="1:12" s="20" customFormat="1" x14ac:dyDescent="0.2">
      <c r="A167" s="10" t="s">
        <v>8</v>
      </c>
      <c r="B167" s="11" t="s">
        <v>9</v>
      </c>
      <c r="C167" s="27" t="s">
        <v>103</v>
      </c>
      <c r="D167" s="28">
        <v>45314</v>
      </c>
      <c r="E167" s="12">
        <v>5300</v>
      </c>
      <c r="F167" s="13" t="s">
        <v>164</v>
      </c>
      <c r="G167" s="14" t="str">
        <f t="shared" si="4"/>
        <v>B</v>
      </c>
      <c r="H167" s="15" t="str">
        <f t="shared" si="5"/>
        <v>The Commissioner &amp; Chief Constable are satisfied the spend represents VFM in accordance with the requirements of Category B</v>
      </c>
      <c r="K167" s="17"/>
      <c r="L167" s="17"/>
    </row>
    <row r="168" spans="1:12" s="20" customFormat="1" x14ac:dyDescent="0.2">
      <c r="A168" s="10" t="s">
        <v>8</v>
      </c>
      <c r="B168" s="11" t="s">
        <v>9</v>
      </c>
      <c r="C168" s="27" t="s">
        <v>139</v>
      </c>
      <c r="D168" s="28">
        <v>45294</v>
      </c>
      <c r="E168" s="12">
        <v>5141.53</v>
      </c>
      <c r="F168" s="13" t="s">
        <v>39</v>
      </c>
      <c r="G168" s="14" t="str">
        <f t="shared" si="4"/>
        <v>B</v>
      </c>
      <c r="H168" s="15" t="str">
        <f t="shared" si="5"/>
        <v>The Commissioner &amp; Chief Constable are satisfied the spend represents VFM in accordance with the requirements of Category B</v>
      </c>
      <c r="K168" s="17"/>
      <c r="L168" s="17"/>
    </row>
    <row r="169" spans="1:12" s="20" customFormat="1" x14ac:dyDescent="0.2">
      <c r="A169" s="10" t="s">
        <v>8</v>
      </c>
      <c r="B169" s="11" t="s">
        <v>9</v>
      </c>
      <c r="C169" s="27" t="s">
        <v>124</v>
      </c>
      <c r="D169" s="28">
        <v>45310</v>
      </c>
      <c r="E169" s="12">
        <v>5065.93</v>
      </c>
      <c r="F169" s="13" t="s">
        <v>91</v>
      </c>
      <c r="G169" s="14" t="str">
        <f t="shared" si="4"/>
        <v>B</v>
      </c>
      <c r="H169" s="15" t="str">
        <f t="shared" si="5"/>
        <v>The Commissioner &amp; Chief Constable are satisfied the spend represents VFM in accordance with the requirements of Category B</v>
      </c>
      <c r="K169" s="17"/>
      <c r="L169" s="17"/>
    </row>
    <row r="170" spans="1:12" s="20" customFormat="1" x14ac:dyDescent="0.2">
      <c r="A170" s="10" t="s">
        <v>8</v>
      </c>
      <c r="B170" s="11" t="s">
        <v>9</v>
      </c>
      <c r="C170" s="27" t="s">
        <v>124</v>
      </c>
      <c r="D170" s="28">
        <v>45295</v>
      </c>
      <c r="E170" s="12">
        <v>5019.3599999999997</v>
      </c>
      <c r="F170" s="13" t="s">
        <v>91</v>
      </c>
      <c r="G170" s="14" t="str">
        <f t="shared" si="4"/>
        <v>B</v>
      </c>
      <c r="H170" s="15" t="str">
        <f t="shared" si="5"/>
        <v>The Commissioner &amp; Chief Constable are satisfied the spend represents VFM in accordance with the requirements of Category B</v>
      </c>
      <c r="K170" s="17"/>
      <c r="L170" s="17"/>
    </row>
    <row r="171" spans="1:12" s="20" customFormat="1" x14ac:dyDescent="0.2">
      <c r="A171" s="10" t="s">
        <v>8</v>
      </c>
      <c r="B171" s="11" t="s">
        <v>9</v>
      </c>
      <c r="C171" s="27" t="s">
        <v>165</v>
      </c>
      <c r="D171" s="28">
        <v>45303</v>
      </c>
      <c r="E171" s="12">
        <v>5000</v>
      </c>
      <c r="F171" s="13" t="s">
        <v>27</v>
      </c>
      <c r="G171" s="14" t="str">
        <f t="shared" si="4"/>
        <v>B</v>
      </c>
      <c r="H171" s="15" t="str">
        <f t="shared" si="5"/>
        <v>The Commissioner &amp; Chief Constable are satisfied the spend represents VFM in accordance with the requirements of Category B</v>
      </c>
      <c r="K171" s="17"/>
      <c r="L171" s="17"/>
    </row>
    <row r="172" spans="1:12" s="20" customFormat="1" x14ac:dyDescent="0.2">
      <c r="A172" s="10" t="s">
        <v>8</v>
      </c>
      <c r="B172" s="11" t="s">
        <v>9</v>
      </c>
      <c r="C172" s="27" t="s">
        <v>166</v>
      </c>
      <c r="D172" s="28">
        <v>45322</v>
      </c>
      <c r="E172" s="12">
        <v>5000</v>
      </c>
      <c r="F172" s="13" t="s">
        <v>27</v>
      </c>
      <c r="G172" s="14" t="str">
        <f t="shared" si="4"/>
        <v>B</v>
      </c>
      <c r="H172" s="15" t="str">
        <f t="shared" si="5"/>
        <v>The Commissioner &amp; Chief Constable are satisfied the spend represents VFM in accordance with the requirements of Category B</v>
      </c>
      <c r="K172" s="17"/>
      <c r="L172" s="17"/>
    </row>
    <row r="173" spans="1:12" s="20" customFormat="1" x14ac:dyDescent="0.2">
      <c r="A173" s="10" t="s">
        <v>8</v>
      </c>
      <c r="B173" s="11" t="s">
        <v>9</v>
      </c>
      <c r="C173" s="27" t="s">
        <v>167</v>
      </c>
      <c r="D173" s="28">
        <v>45317</v>
      </c>
      <c r="E173" s="12">
        <v>5000</v>
      </c>
      <c r="F173" s="13" t="s">
        <v>27</v>
      </c>
      <c r="G173" s="14" t="str">
        <f t="shared" si="4"/>
        <v>B</v>
      </c>
      <c r="H173" s="15" t="str">
        <f t="shared" si="5"/>
        <v>The Commissioner &amp; Chief Constable are satisfied the spend represents VFM in accordance with the requirements of Category B</v>
      </c>
      <c r="K173" s="17"/>
      <c r="L173" s="17"/>
    </row>
    <row r="174" spans="1:12" s="20" customFormat="1" x14ac:dyDescent="0.2">
      <c r="A174" s="10" t="s">
        <v>8</v>
      </c>
      <c r="B174" s="11" t="s">
        <v>9</v>
      </c>
      <c r="C174" s="27" t="s">
        <v>168</v>
      </c>
      <c r="D174" s="28">
        <v>45299</v>
      </c>
      <c r="E174" s="12">
        <v>5000</v>
      </c>
      <c r="F174" s="13" t="s">
        <v>169</v>
      </c>
      <c r="G174" s="14" t="str">
        <f t="shared" si="4"/>
        <v>B</v>
      </c>
      <c r="H174" s="15" t="str">
        <f t="shared" si="5"/>
        <v>The Commissioner &amp; Chief Constable are satisfied the spend represents VFM in accordance with the requirements of Category B</v>
      </c>
      <c r="K174" s="17"/>
      <c r="L174" s="17"/>
    </row>
    <row r="175" spans="1:12" s="20" customFormat="1" x14ac:dyDescent="0.2">
      <c r="A175" s="10" t="s">
        <v>8</v>
      </c>
      <c r="B175" s="11" t="s">
        <v>9</v>
      </c>
      <c r="C175" s="27" t="s">
        <v>168</v>
      </c>
      <c r="D175" s="28">
        <v>45309</v>
      </c>
      <c r="E175" s="12">
        <v>5000</v>
      </c>
      <c r="F175" s="13" t="s">
        <v>169</v>
      </c>
      <c r="G175" s="14" t="str">
        <f t="shared" si="4"/>
        <v>B</v>
      </c>
      <c r="H175" s="15" t="str">
        <f t="shared" si="5"/>
        <v>The Commissioner &amp; Chief Constable are satisfied the spend represents VFM in accordance with the requirements of Category B</v>
      </c>
      <c r="K175" s="17"/>
      <c r="L175" s="17"/>
    </row>
    <row r="176" spans="1:12" s="20" customFormat="1" x14ac:dyDescent="0.2">
      <c r="A176" s="10" t="s">
        <v>8</v>
      </c>
      <c r="B176" s="11" t="s">
        <v>9</v>
      </c>
      <c r="C176" s="27" t="s">
        <v>170</v>
      </c>
      <c r="D176" s="28">
        <v>45316</v>
      </c>
      <c r="E176" s="12">
        <v>5000</v>
      </c>
      <c r="F176" s="13" t="s">
        <v>54</v>
      </c>
      <c r="G176" s="14" t="str">
        <f t="shared" si="4"/>
        <v>B</v>
      </c>
      <c r="H176" s="15" t="str">
        <f t="shared" si="5"/>
        <v>The Commissioner &amp; Chief Constable are satisfied the spend represents VFM in accordance with the requirements of Category B</v>
      </c>
      <c r="K176" s="17"/>
      <c r="L176" s="17"/>
    </row>
    <row r="177" spans="1:12" s="20" customFormat="1" x14ac:dyDescent="0.2">
      <c r="A177" s="10" t="s">
        <v>8</v>
      </c>
      <c r="B177" s="11" t="s">
        <v>9</v>
      </c>
      <c r="C177" s="27" t="s">
        <v>90</v>
      </c>
      <c r="D177" s="28">
        <v>45300</v>
      </c>
      <c r="E177" s="12">
        <v>4969.82</v>
      </c>
      <c r="F177" s="13" t="s">
        <v>131</v>
      </c>
      <c r="G177" s="14" t="str">
        <f t="shared" si="4"/>
        <v>B</v>
      </c>
      <c r="H177" s="15" t="str">
        <f t="shared" si="5"/>
        <v>The Commissioner &amp; Chief Constable are satisfied the spend represents VFM in accordance with the requirements of Category B</v>
      </c>
      <c r="K177" s="17"/>
      <c r="L177" s="17"/>
    </row>
    <row r="178" spans="1:12" s="20" customFormat="1" x14ac:dyDescent="0.2">
      <c r="A178" s="10" t="s">
        <v>8</v>
      </c>
      <c r="B178" s="11" t="s">
        <v>9</v>
      </c>
      <c r="C178" s="27" t="s">
        <v>171</v>
      </c>
      <c r="D178" s="28">
        <v>45317</v>
      </c>
      <c r="E178" s="12">
        <v>4800</v>
      </c>
      <c r="F178" s="13" t="s">
        <v>27</v>
      </c>
      <c r="G178" s="14" t="str">
        <f t="shared" si="4"/>
        <v>B</v>
      </c>
      <c r="H178" s="15" t="str">
        <f t="shared" si="5"/>
        <v>The Commissioner &amp; Chief Constable are satisfied the spend represents VFM in accordance with the requirements of Category B</v>
      </c>
      <c r="K178" s="17"/>
      <c r="L178" s="17"/>
    </row>
    <row r="179" spans="1:12" s="20" customFormat="1" x14ac:dyDescent="0.2">
      <c r="A179" s="10" t="s">
        <v>8</v>
      </c>
      <c r="B179" s="11" t="s">
        <v>9</v>
      </c>
      <c r="C179" s="27" t="s">
        <v>172</v>
      </c>
      <c r="D179" s="28">
        <v>45296</v>
      </c>
      <c r="E179" s="12">
        <v>4800</v>
      </c>
      <c r="F179" s="13" t="s">
        <v>39</v>
      </c>
      <c r="G179" s="14" t="str">
        <f t="shared" si="4"/>
        <v>B</v>
      </c>
      <c r="H179" s="15" t="str">
        <f t="shared" si="5"/>
        <v>The Commissioner &amp; Chief Constable are satisfied the spend represents VFM in accordance with the requirements of Category B</v>
      </c>
      <c r="K179" s="17"/>
      <c r="L179" s="17"/>
    </row>
    <row r="180" spans="1:12" s="20" customFormat="1" x14ac:dyDescent="0.2">
      <c r="A180" s="10" t="s">
        <v>8</v>
      </c>
      <c r="B180" s="11" t="s">
        <v>9</v>
      </c>
      <c r="C180" s="27" t="s">
        <v>137</v>
      </c>
      <c r="D180" s="28">
        <v>45294</v>
      </c>
      <c r="E180" s="12">
        <v>4787.24</v>
      </c>
      <c r="F180" s="13" t="s">
        <v>138</v>
      </c>
      <c r="G180" s="14" t="str">
        <f t="shared" si="4"/>
        <v>B</v>
      </c>
      <c r="H180" s="15" t="str">
        <f t="shared" si="5"/>
        <v>The Commissioner &amp; Chief Constable are satisfied the spend represents VFM in accordance with the requirements of Category B</v>
      </c>
      <c r="K180" s="17"/>
      <c r="L180" s="17"/>
    </row>
    <row r="181" spans="1:12" s="20" customFormat="1" x14ac:dyDescent="0.2">
      <c r="A181" s="10" t="s">
        <v>8</v>
      </c>
      <c r="B181" s="11" t="s">
        <v>9</v>
      </c>
      <c r="C181" s="27" t="s">
        <v>149</v>
      </c>
      <c r="D181" s="28">
        <v>45309</v>
      </c>
      <c r="E181" s="12">
        <v>4757.8999999999996</v>
      </c>
      <c r="F181" s="13" t="s">
        <v>138</v>
      </c>
      <c r="G181" s="14" t="str">
        <f t="shared" si="4"/>
        <v>B</v>
      </c>
      <c r="H181" s="15" t="str">
        <f t="shared" si="5"/>
        <v>The Commissioner &amp; Chief Constable are satisfied the spend represents VFM in accordance with the requirements of Category B</v>
      </c>
      <c r="K181" s="17"/>
      <c r="L181" s="17"/>
    </row>
    <row r="182" spans="1:12" s="20" customFormat="1" x14ac:dyDescent="0.2">
      <c r="A182" s="10" t="s">
        <v>8</v>
      </c>
      <c r="B182" s="11" t="s">
        <v>9</v>
      </c>
      <c r="C182" s="27" t="s">
        <v>149</v>
      </c>
      <c r="D182" s="28">
        <v>45316</v>
      </c>
      <c r="E182" s="12">
        <v>4579.28</v>
      </c>
      <c r="F182" s="13" t="s">
        <v>138</v>
      </c>
      <c r="G182" s="14" t="str">
        <f t="shared" si="4"/>
        <v>B</v>
      </c>
      <c r="H182" s="15" t="str">
        <f t="shared" si="5"/>
        <v>The Commissioner &amp; Chief Constable are satisfied the spend represents VFM in accordance with the requirements of Category B</v>
      </c>
      <c r="K182" s="17"/>
      <c r="L182" s="17"/>
    </row>
    <row r="183" spans="1:12" s="20" customFormat="1" x14ac:dyDescent="0.2">
      <c r="A183" s="10" t="s">
        <v>8</v>
      </c>
      <c r="B183" s="11" t="s">
        <v>9</v>
      </c>
      <c r="C183" s="27" t="s">
        <v>140</v>
      </c>
      <c r="D183" s="28">
        <v>45307</v>
      </c>
      <c r="E183" s="12">
        <v>4537.3500000000004</v>
      </c>
      <c r="F183" s="13" t="s">
        <v>156</v>
      </c>
      <c r="G183" s="14" t="str">
        <f t="shared" si="4"/>
        <v>B</v>
      </c>
      <c r="H183" s="15" t="str">
        <f t="shared" si="5"/>
        <v>The Commissioner &amp; Chief Constable are satisfied the spend represents VFM in accordance with the requirements of Category B</v>
      </c>
      <c r="K183" s="17"/>
      <c r="L183" s="17"/>
    </row>
    <row r="184" spans="1:12" s="20" customFormat="1" x14ac:dyDescent="0.2">
      <c r="A184" s="10" t="s">
        <v>8</v>
      </c>
      <c r="B184" s="11" t="s">
        <v>9</v>
      </c>
      <c r="C184" s="27" t="s">
        <v>173</v>
      </c>
      <c r="D184" s="28">
        <v>45303</v>
      </c>
      <c r="E184" s="12">
        <v>4500.67</v>
      </c>
      <c r="F184" s="13" t="s">
        <v>80</v>
      </c>
      <c r="G184" s="14" t="str">
        <f t="shared" si="4"/>
        <v>B</v>
      </c>
      <c r="H184" s="15" t="str">
        <f t="shared" si="5"/>
        <v>The Commissioner &amp; Chief Constable are satisfied the spend represents VFM in accordance with the requirements of Category B</v>
      </c>
      <c r="K184" s="17"/>
      <c r="L184" s="17"/>
    </row>
    <row r="185" spans="1:12" s="20" customFormat="1" x14ac:dyDescent="0.2">
      <c r="A185" s="10" t="s">
        <v>8</v>
      </c>
      <c r="B185" s="11" t="s">
        <v>9</v>
      </c>
      <c r="C185" s="27" t="s">
        <v>174</v>
      </c>
      <c r="D185" s="28">
        <v>45301</v>
      </c>
      <c r="E185" s="12">
        <v>4500</v>
      </c>
      <c r="F185" s="13" t="s">
        <v>98</v>
      </c>
      <c r="G185" s="14" t="str">
        <f t="shared" si="4"/>
        <v>B</v>
      </c>
      <c r="H185" s="15" t="str">
        <f t="shared" si="5"/>
        <v>The Commissioner &amp; Chief Constable are satisfied the spend represents VFM in accordance with the requirements of Category B</v>
      </c>
      <c r="K185" s="17"/>
      <c r="L185" s="17"/>
    </row>
    <row r="186" spans="1:12" s="20" customFormat="1" x14ac:dyDescent="0.2">
      <c r="A186" s="10" t="s">
        <v>8</v>
      </c>
      <c r="B186" s="11" t="s">
        <v>9</v>
      </c>
      <c r="C186" s="27" t="s">
        <v>119</v>
      </c>
      <c r="D186" s="28">
        <v>45316</v>
      </c>
      <c r="E186" s="12">
        <v>4456.71</v>
      </c>
      <c r="F186" s="13" t="s">
        <v>120</v>
      </c>
      <c r="G186" s="14" t="str">
        <f t="shared" si="4"/>
        <v>B</v>
      </c>
      <c r="H186" s="15" t="str">
        <f t="shared" si="5"/>
        <v>The Commissioner &amp; Chief Constable are satisfied the spend represents VFM in accordance with the requirements of Category B</v>
      </c>
      <c r="K186" s="17"/>
      <c r="L186" s="17"/>
    </row>
    <row r="187" spans="1:12" s="20" customFormat="1" x14ac:dyDescent="0.2">
      <c r="A187" s="10" t="s">
        <v>8</v>
      </c>
      <c r="B187" s="11" t="s">
        <v>9</v>
      </c>
      <c r="C187" s="27" t="s">
        <v>175</v>
      </c>
      <c r="D187" s="28">
        <v>45321</v>
      </c>
      <c r="E187" s="12">
        <v>4425</v>
      </c>
      <c r="F187" s="13" t="s">
        <v>22</v>
      </c>
      <c r="G187" s="14" t="str">
        <f t="shared" si="4"/>
        <v>B</v>
      </c>
      <c r="H187" s="15" t="str">
        <f t="shared" si="5"/>
        <v>The Commissioner &amp; Chief Constable are satisfied the spend represents VFM in accordance with the requirements of Category B</v>
      </c>
      <c r="K187" s="17"/>
      <c r="L187" s="17"/>
    </row>
    <row r="188" spans="1:12" s="20" customFormat="1" x14ac:dyDescent="0.2">
      <c r="A188" s="10" t="s">
        <v>8</v>
      </c>
      <c r="B188" s="11" t="s">
        <v>9</v>
      </c>
      <c r="C188" s="27" t="s">
        <v>176</v>
      </c>
      <c r="D188" s="28">
        <v>45300</v>
      </c>
      <c r="E188" s="12">
        <v>4400</v>
      </c>
      <c r="F188" s="13" t="s">
        <v>177</v>
      </c>
      <c r="G188" s="14" t="str">
        <f t="shared" si="4"/>
        <v>B</v>
      </c>
      <c r="H188" s="15" t="str">
        <f t="shared" si="5"/>
        <v>The Commissioner &amp; Chief Constable are satisfied the spend represents VFM in accordance with the requirements of Category B</v>
      </c>
      <c r="K188" s="17"/>
      <c r="L188" s="17"/>
    </row>
    <row r="189" spans="1:12" s="20" customFormat="1" x14ac:dyDescent="0.2">
      <c r="A189" s="10" t="s">
        <v>8</v>
      </c>
      <c r="B189" s="11" t="s">
        <v>9</v>
      </c>
      <c r="C189" s="27" t="s">
        <v>103</v>
      </c>
      <c r="D189" s="28">
        <v>45313</v>
      </c>
      <c r="E189" s="12">
        <v>4397</v>
      </c>
      <c r="F189" s="13" t="s">
        <v>91</v>
      </c>
      <c r="G189" s="14" t="str">
        <f t="shared" si="4"/>
        <v>B</v>
      </c>
      <c r="H189" s="15" t="str">
        <f t="shared" si="5"/>
        <v>The Commissioner &amp; Chief Constable are satisfied the spend represents VFM in accordance with the requirements of Category B</v>
      </c>
      <c r="K189" s="17"/>
      <c r="L189" s="17"/>
    </row>
    <row r="190" spans="1:12" s="20" customFormat="1" x14ac:dyDescent="0.2">
      <c r="A190" s="10" t="s">
        <v>8</v>
      </c>
      <c r="B190" s="11" t="s">
        <v>9</v>
      </c>
      <c r="C190" s="27" t="s">
        <v>142</v>
      </c>
      <c r="D190" s="28">
        <v>45313</v>
      </c>
      <c r="E190" s="12">
        <v>4284.3999999999996</v>
      </c>
      <c r="F190" s="13" t="s">
        <v>143</v>
      </c>
      <c r="G190" s="14" t="str">
        <f t="shared" si="4"/>
        <v>B</v>
      </c>
      <c r="H190" s="15" t="str">
        <f t="shared" si="5"/>
        <v>The Commissioner &amp; Chief Constable are satisfied the spend represents VFM in accordance with the requirements of Category B</v>
      </c>
      <c r="K190" s="17"/>
      <c r="L190" s="17"/>
    </row>
    <row r="191" spans="1:12" s="20" customFormat="1" x14ac:dyDescent="0.2">
      <c r="A191" s="10" t="s">
        <v>8</v>
      </c>
      <c r="B191" s="11" t="s">
        <v>9</v>
      </c>
      <c r="C191" s="27" t="s">
        <v>137</v>
      </c>
      <c r="D191" s="28">
        <v>45295</v>
      </c>
      <c r="E191" s="12">
        <v>4255.32</v>
      </c>
      <c r="F191" s="13" t="s">
        <v>138</v>
      </c>
      <c r="G191" s="14" t="str">
        <f t="shared" si="4"/>
        <v>B</v>
      </c>
      <c r="H191" s="15" t="str">
        <f t="shared" si="5"/>
        <v>The Commissioner &amp; Chief Constable are satisfied the spend represents VFM in accordance with the requirements of Category B</v>
      </c>
      <c r="K191" s="17"/>
      <c r="L191" s="17"/>
    </row>
    <row r="192" spans="1:12" s="20" customFormat="1" x14ac:dyDescent="0.2">
      <c r="A192" s="10" t="s">
        <v>8</v>
      </c>
      <c r="B192" s="11" t="s">
        <v>9</v>
      </c>
      <c r="C192" s="27" t="s">
        <v>74</v>
      </c>
      <c r="D192" s="28">
        <v>45302</v>
      </c>
      <c r="E192" s="12">
        <v>4223</v>
      </c>
      <c r="F192" s="13" t="s">
        <v>177</v>
      </c>
      <c r="G192" s="14" t="str">
        <f t="shared" si="4"/>
        <v>B</v>
      </c>
      <c r="H192" s="15" t="str">
        <f t="shared" si="5"/>
        <v>The Commissioner &amp; Chief Constable are satisfied the spend represents VFM in accordance with the requirements of Category B</v>
      </c>
      <c r="K192" s="17"/>
      <c r="L192" s="17"/>
    </row>
    <row r="193" spans="1:12" s="20" customFormat="1" x14ac:dyDescent="0.2">
      <c r="A193" s="10" t="s">
        <v>8</v>
      </c>
      <c r="B193" s="11" t="s">
        <v>9</v>
      </c>
      <c r="C193" s="27" t="s">
        <v>90</v>
      </c>
      <c r="D193" s="28">
        <v>45300</v>
      </c>
      <c r="E193" s="12">
        <v>4178.58</v>
      </c>
      <c r="F193" s="13" t="s">
        <v>131</v>
      </c>
      <c r="G193" s="14" t="str">
        <f t="shared" si="4"/>
        <v>B</v>
      </c>
      <c r="H193" s="15" t="str">
        <f t="shared" si="5"/>
        <v>The Commissioner &amp; Chief Constable are satisfied the spend represents VFM in accordance with the requirements of Category B</v>
      </c>
      <c r="K193" s="17"/>
      <c r="L193" s="17"/>
    </row>
    <row r="194" spans="1:12" s="20" customFormat="1" x14ac:dyDescent="0.2">
      <c r="A194" s="10" t="s">
        <v>8</v>
      </c>
      <c r="B194" s="11" t="s">
        <v>9</v>
      </c>
      <c r="C194" s="27" t="s">
        <v>93</v>
      </c>
      <c r="D194" s="28">
        <v>45313</v>
      </c>
      <c r="E194" s="12">
        <v>4029</v>
      </c>
      <c r="F194" s="13" t="s">
        <v>94</v>
      </c>
      <c r="G194" s="14" t="str">
        <f t="shared" ref="G194:G257" si="6">IF(E194&gt;25000,"C",IF(E194&gt;1000,"B","A"))</f>
        <v>B</v>
      </c>
      <c r="H194" s="15" t="str">
        <f t="shared" ref="H194:H257" si="7">VLOOKUP(G194,$K$2:$L$4,2,FALSE)</f>
        <v>The Commissioner &amp; Chief Constable are satisfied the spend represents VFM in accordance with the requirements of Category B</v>
      </c>
      <c r="K194" s="17"/>
      <c r="L194" s="17"/>
    </row>
    <row r="195" spans="1:12" s="20" customFormat="1" x14ac:dyDescent="0.2">
      <c r="A195" s="10" t="s">
        <v>8</v>
      </c>
      <c r="B195" s="11" t="s">
        <v>9</v>
      </c>
      <c r="C195" s="27" t="s">
        <v>178</v>
      </c>
      <c r="D195" s="28">
        <v>45296</v>
      </c>
      <c r="E195" s="12">
        <v>3923.25</v>
      </c>
      <c r="F195" s="13" t="s">
        <v>39</v>
      </c>
      <c r="G195" s="14" t="str">
        <f t="shared" si="6"/>
        <v>B</v>
      </c>
      <c r="H195" s="15" t="str">
        <f t="shared" si="7"/>
        <v>The Commissioner &amp; Chief Constable are satisfied the spend represents VFM in accordance with the requirements of Category B</v>
      </c>
      <c r="K195" s="17"/>
      <c r="L195" s="17"/>
    </row>
    <row r="196" spans="1:12" s="20" customFormat="1" x14ac:dyDescent="0.2">
      <c r="A196" s="10" t="s">
        <v>8</v>
      </c>
      <c r="B196" s="11" t="s">
        <v>9</v>
      </c>
      <c r="C196" s="27" t="s">
        <v>179</v>
      </c>
      <c r="D196" s="28">
        <v>45322</v>
      </c>
      <c r="E196" s="12">
        <v>3825</v>
      </c>
      <c r="F196" s="13" t="s">
        <v>49</v>
      </c>
      <c r="G196" s="14" t="str">
        <f t="shared" si="6"/>
        <v>B</v>
      </c>
      <c r="H196" s="15" t="str">
        <f t="shared" si="7"/>
        <v>The Commissioner &amp; Chief Constable are satisfied the spend represents VFM in accordance with the requirements of Category B</v>
      </c>
      <c r="K196" s="17"/>
      <c r="L196" s="17"/>
    </row>
    <row r="197" spans="1:12" s="20" customFormat="1" x14ac:dyDescent="0.2">
      <c r="A197" s="10" t="s">
        <v>8</v>
      </c>
      <c r="B197" s="11" t="s">
        <v>9</v>
      </c>
      <c r="C197" s="27" t="s">
        <v>180</v>
      </c>
      <c r="D197" s="28">
        <v>45317</v>
      </c>
      <c r="E197" s="12">
        <v>3719</v>
      </c>
      <c r="F197" s="13" t="s">
        <v>27</v>
      </c>
      <c r="G197" s="14" t="str">
        <f t="shared" si="6"/>
        <v>B</v>
      </c>
      <c r="H197" s="15" t="str">
        <f t="shared" si="7"/>
        <v>The Commissioner &amp; Chief Constable are satisfied the spend represents VFM in accordance with the requirements of Category B</v>
      </c>
      <c r="K197" s="17"/>
      <c r="L197" s="17"/>
    </row>
    <row r="198" spans="1:12" s="20" customFormat="1" x14ac:dyDescent="0.2">
      <c r="A198" s="10" t="s">
        <v>8</v>
      </c>
      <c r="B198" s="11" t="s">
        <v>9</v>
      </c>
      <c r="C198" s="27" t="s">
        <v>110</v>
      </c>
      <c r="D198" s="28">
        <v>45320</v>
      </c>
      <c r="E198" s="12">
        <v>3696</v>
      </c>
      <c r="F198" s="13" t="s">
        <v>49</v>
      </c>
      <c r="G198" s="14" t="str">
        <f t="shared" si="6"/>
        <v>B</v>
      </c>
      <c r="H198" s="15" t="str">
        <f t="shared" si="7"/>
        <v>The Commissioner &amp; Chief Constable are satisfied the spend represents VFM in accordance with the requirements of Category B</v>
      </c>
      <c r="K198" s="17"/>
      <c r="L198" s="17"/>
    </row>
    <row r="199" spans="1:12" s="20" customFormat="1" x14ac:dyDescent="0.2">
      <c r="A199" s="10" t="s">
        <v>8</v>
      </c>
      <c r="B199" s="11" t="s">
        <v>9</v>
      </c>
      <c r="C199" s="27" t="s">
        <v>52</v>
      </c>
      <c r="D199" s="28">
        <v>45301</v>
      </c>
      <c r="E199" s="12">
        <v>3680</v>
      </c>
      <c r="F199" s="13" t="s">
        <v>45</v>
      </c>
      <c r="G199" s="14" t="str">
        <f t="shared" si="6"/>
        <v>B</v>
      </c>
      <c r="H199" s="15" t="str">
        <f t="shared" si="7"/>
        <v>The Commissioner &amp; Chief Constable are satisfied the spend represents VFM in accordance with the requirements of Category B</v>
      </c>
      <c r="K199" s="17"/>
      <c r="L199" s="17"/>
    </row>
    <row r="200" spans="1:12" s="20" customFormat="1" x14ac:dyDescent="0.2">
      <c r="A200" s="10" t="s">
        <v>8</v>
      </c>
      <c r="B200" s="11" t="s">
        <v>9</v>
      </c>
      <c r="C200" s="27" t="s">
        <v>128</v>
      </c>
      <c r="D200" s="28">
        <v>45293</v>
      </c>
      <c r="E200" s="12">
        <v>3580.2</v>
      </c>
      <c r="F200" s="13" t="s">
        <v>129</v>
      </c>
      <c r="G200" s="14" t="str">
        <f t="shared" si="6"/>
        <v>B</v>
      </c>
      <c r="H200" s="15" t="str">
        <f t="shared" si="7"/>
        <v>The Commissioner &amp; Chief Constable are satisfied the spend represents VFM in accordance with the requirements of Category B</v>
      </c>
      <c r="K200" s="17"/>
      <c r="L200" s="17"/>
    </row>
    <row r="201" spans="1:12" s="20" customFormat="1" x14ac:dyDescent="0.2">
      <c r="A201" s="10" t="s">
        <v>8</v>
      </c>
      <c r="B201" s="11" t="s">
        <v>9</v>
      </c>
      <c r="C201" s="27" t="s">
        <v>141</v>
      </c>
      <c r="D201" s="28">
        <v>45306</v>
      </c>
      <c r="E201" s="12">
        <v>3542</v>
      </c>
      <c r="F201" s="13" t="s">
        <v>22</v>
      </c>
      <c r="G201" s="14" t="str">
        <f t="shared" si="6"/>
        <v>B</v>
      </c>
      <c r="H201" s="15" t="str">
        <f t="shared" si="7"/>
        <v>The Commissioner &amp; Chief Constable are satisfied the spend represents VFM in accordance with the requirements of Category B</v>
      </c>
      <c r="K201" s="17"/>
      <c r="L201" s="17"/>
    </row>
    <row r="202" spans="1:12" s="20" customFormat="1" x14ac:dyDescent="0.2">
      <c r="A202" s="10" t="s">
        <v>8</v>
      </c>
      <c r="B202" s="11" t="s">
        <v>9</v>
      </c>
      <c r="C202" s="27" t="s">
        <v>141</v>
      </c>
      <c r="D202" s="28">
        <v>45316</v>
      </c>
      <c r="E202" s="12">
        <v>3542</v>
      </c>
      <c r="F202" s="13" t="s">
        <v>22</v>
      </c>
      <c r="G202" s="14" t="str">
        <f t="shared" si="6"/>
        <v>B</v>
      </c>
      <c r="H202" s="15" t="str">
        <f t="shared" si="7"/>
        <v>The Commissioner &amp; Chief Constable are satisfied the spend represents VFM in accordance with the requirements of Category B</v>
      </c>
      <c r="K202" s="17"/>
      <c r="L202" s="17"/>
    </row>
    <row r="203" spans="1:12" s="20" customFormat="1" x14ac:dyDescent="0.2">
      <c r="A203" s="10" t="s">
        <v>8</v>
      </c>
      <c r="B203" s="11" t="s">
        <v>9</v>
      </c>
      <c r="C203" s="27" t="s">
        <v>181</v>
      </c>
      <c r="D203" s="28">
        <v>45307</v>
      </c>
      <c r="E203" s="12">
        <v>3525</v>
      </c>
      <c r="F203" s="13" t="s">
        <v>106</v>
      </c>
      <c r="G203" s="14" t="str">
        <f t="shared" si="6"/>
        <v>B</v>
      </c>
      <c r="H203" s="15" t="str">
        <f t="shared" si="7"/>
        <v>The Commissioner &amp; Chief Constable are satisfied the spend represents VFM in accordance with the requirements of Category B</v>
      </c>
      <c r="K203" s="17"/>
      <c r="L203" s="17"/>
    </row>
    <row r="204" spans="1:12" s="20" customFormat="1" x14ac:dyDescent="0.2">
      <c r="A204" s="10" t="s">
        <v>8</v>
      </c>
      <c r="B204" s="11" t="s">
        <v>9</v>
      </c>
      <c r="C204" s="27" t="s">
        <v>181</v>
      </c>
      <c r="D204" s="28">
        <v>45307</v>
      </c>
      <c r="E204" s="12">
        <v>3368</v>
      </c>
      <c r="F204" s="13" t="s">
        <v>106</v>
      </c>
      <c r="G204" s="14" t="str">
        <f t="shared" si="6"/>
        <v>B</v>
      </c>
      <c r="H204" s="15" t="str">
        <f t="shared" si="7"/>
        <v>The Commissioner &amp; Chief Constable are satisfied the spend represents VFM in accordance with the requirements of Category B</v>
      </c>
      <c r="K204" s="17"/>
      <c r="L204" s="17"/>
    </row>
    <row r="205" spans="1:12" s="20" customFormat="1" x14ac:dyDescent="0.2">
      <c r="A205" s="10" t="s">
        <v>8</v>
      </c>
      <c r="B205" s="11" t="s">
        <v>9</v>
      </c>
      <c r="C205" s="27" t="s">
        <v>181</v>
      </c>
      <c r="D205" s="28">
        <v>45307</v>
      </c>
      <c r="E205" s="18">
        <v>157</v>
      </c>
      <c r="F205" s="19" t="s">
        <v>182</v>
      </c>
      <c r="G205" s="14" t="str">
        <f t="shared" si="6"/>
        <v>A</v>
      </c>
      <c r="H205" s="15" t="str">
        <f t="shared" si="7"/>
        <v>The Commissioner &amp; Chief Constable are satisfied the spend represents VFM in accordance with the requirements of Category A</v>
      </c>
      <c r="K205" s="17"/>
      <c r="L205" s="17"/>
    </row>
    <row r="206" spans="1:12" s="20" customFormat="1" x14ac:dyDescent="0.2">
      <c r="A206" s="10" t="s">
        <v>8</v>
      </c>
      <c r="B206" s="11" t="s">
        <v>9</v>
      </c>
      <c r="C206" s="27" t="s">
        <v>74</v>
      </c>
      <c r="D206" s="28">
        <v>45301</v>
      </c>
      <c r="E206" s="12">
        <v>3468.05</v>
      </c>
      <c r="F206" s="13" t="s">
        <v>15</v>
      </c>
      <c r="G206" s="14" t="str">
        <f t="shared" si="6"/>
        <v>B</v>
      </c>
      <c r="H206" s="15" t="str">
        <f t="shared" si="7"/>
        <v>The Commissioner &amp; Chief Constable are satisfied the spend represents VFM in accordance with the requirements of Category B</v>
      </c>
      <c r="K206" s="17"/>
      <c r="L206" s="17"/>
    </row>
    <row r="207" spans="1:12" s="20" customFormat="1" x14ac:dyDescent="0.2">
      <c r="A207" s="10" t="s">
        <v>8</v>
      </c>
      <c r="B207" s="11" t="s">
        <v>9</v>
      </c>
      <c r="C207" s="27" t="s">
        <v>157</v>
      </c>
      <c r="D207" s="28">
        <v>45306</v>
      </c>
      <c r="E207" s="12">
        <v>3385.5</v>
      </c>
      <c r="F207" s="13" t="s">
        <v>43</v>
      </c>
      <c r="G207" s="14" t="str">
        <f t="shared" si="6"/>
        <v>B</v>
      </c>
      <c r="H207" s="15" t="str">
        <f t="shared" si="7"/>
        <v>The Commissioner &amp; Chief Constable are satisfied the spend represents VFM in accordance with the requirements of Category B</v>
      </c>
      <c r="K207" s="17"/>
      <c r="L207" s="17"/>
    </row>
    <row r="208" spans="1:12" s="20" customFormat="1" x14ac:dyDescent="0.2">
      <c r="A208" s="10" t="s">
        <v>8</v>
      </c>
      <c r="B208" s="11" t="s">
        <v>9</v>
      </c>
      <c r="C208" s="27" t="s">
        <v>183</v>
      </c>
      <c r="D208" s="28">
        <v>45320</v>
      </c>
      <c r="E208" s="12">
        <v>3294</v>
      </c>
      <c r="F208" s="13" t="s">
        <v>129</v>
      </c>
      <c r="G208" s="14" t="str">
        <f t="shared" si="6"/>
        <v>B</v>
      </c>
      <c r="H208" s="15" t="str">
        <f t="shared" si="7"/>
        <v>The Commissioner &amp; Chief Constable are satisfied the spend represents VFM in accordance with the requirements of Category B</v>
      </c>
      <c r="K208" s="17"/>
      <c r="L208" s="17"/>
    </row>
    <row r="209" spans="1:12" s="20" customFormat="1" x14ac:dyDescent="0.2">
      <c r="A209" s="10" t="s">
        <v>8</v>
      </c>
      <c r="B209" s="11" t="s">
        <v>9</v>
      </c>
      <c r="C209" s="27" t="s">
        <v>184</v>
      </c>
      <c r="D209" s="28">
        <v>45313</v>
      </c>
      <c r="E209" s="12">
        <v>1600</v>
      </c>
      <c r="F209" s="13" t="s">
        <v>131</v>
      </c>
      <c r="G209" s="14" t="str">
        <f t="shared" si="6"/>
        <v>B</v>
      </c>
      <c r="H209" s="15" t="str">
        <f t="shared" si="7"/>
        <v>The Commissioner &amp; Chief Constable are satisfied the spend represents VFM in accordance with the requirements of Category B</v>
      </c>
      <c r="K209" s="17"/>
      <c r="L209" s="17"/>
    </row>
    <row r="210" spans="1:12" s="20" customFormat="1" x14ac:dyDescent="0.2">
      <c r="A210" s="10" t="s">
        <v>8</v>
      </c>
      <c r="B210" s="11" t="s">
        <v>9</v>
      </c>
      <c r="C210" s="27" t="s">
        <v>184</v>
      </c>
      <c r="D210" s="28">
        <v>45313</v>
      </c>
      <c r="E210" s="18">
        <v>1600</v>
      </c>
      <c r="F210" s="19" t="s">
        <v>185</v>
      </c>
      <c r="G210" s="14" t="str">
        <f t="shared" si="6"/>
        <v>B</v>
      </c>
      <c r="H210" s="15" t="str">
        <f t="shared" si="7"/>
        <v>The Commissioner &amp; Chief Constable are satisfied the spend represents VFM in accordance with the requirements of Category B</v>
      </c>
      <c r="K210" s="17"/>
      <c r="L210" s="17"/>
    </row>
    <row r="211" spans="1:12" s="20" customFormat="1" x14ac:dyDescent="0.2">
      <c r="A211" s="10" t="s">
        <v>8</v>
      </c>
      <c r="B211" s="11" t="s">
        <v>9</v>
      </c>
      <c r="C211" s="27" t="s">
        <v>181</v>
      </c>
      <c r="D211" s="28">
        <v>45313</v>
      </c>
      <c r="E211" s="12">
        <v>3120.5</v>
      </c>
      <c r="F211" s="13" t="s">
        <v>106</v>
      </c>
      <c r="G211" s="14" t="str">
        <f t="shared" si="6"/>
        <v>B</v>
      </c>
      <c r="H211" s="15" t="str">
        <f t="shared" si="7"/>
        <v>The Commissioner &amp; Chief Constable are satisfied the spend represents VFM in accordance with the requirements of Category B</v>
      </c>
      <c r="K211" s="17"/>
      <c r="L211" s="17"/>
    </row>
    <row r="212" spans="1:12" s="20" customFormat="1" x14ac:dyDescent="0.2">
      <c r="A212" s="10" t="s">
        <v>8</v>
      </c>
      <c r="B212" s="11" t="s">
        <v>9</v>
      </c>
      <c r="C212" s="27" t="s">
        <v>186</v>
      </c>
      <c r="D212" s="28">
        <v>45301</v>
      </c>
      <c r="E212" s="12">
        <v>3060</v>
      </c>
      <c r="F212" s="13" t="s">
        <v>106</v>
      </c>
      <c r="G212" s="14" t="str">
        <f t="shared" si="6"/>
        <v>B</v>
      </c>
      <c r="H212" s="15" t="str">
        <f t="shared" si="7"/>
        <v>The Commissioner &amp; Chief Constable are satisfied the spend represents VFM in accordance with the requirements of Category B</v>
      </c>
      <c r="K212" s="17"/>
      <c r="L212" s="17"/>
    </row>
    <row r="213" spans="1:12" s="20" customFormat="1" x14ac:dyDescent="0.2">
      <c r="A213" s="10" t="s">
        <v>8</v>
      </c>
      <c r="B213" s="11" t="s">
        <v>9</v>
      </c>
      <c r="C213" s="27" t="s">
        <v>187</v>
      </c>
      <c r="D213" s="28">
        <v>45320</v>
      </c>
      <c r="E213" s="12">
        <v>3059.07</v>
      </c>
      <c r="F213" s="13" t="s">
        <v>188</v>
      </c>
      <c r="G213" s="14" t="str">
        <f t="shared" si="6"/>
        <v>B</v>
      </c>
      <c r="H213" s="15" t="str">
        <f t="shared" si="7"/>
        <v>The Commissioner &amp; Chief Constable are satisfied the spend represents VFM in accordance with the requirements of Category B</v>
      </c>
      <c r="K213" s="17"/>
      <c r="L213" s="17"/>
    </row>
    <row r="214" spans="1:12" s="20" customFormat="1" x14ac:dyDescent="0.2">
      <c r="A214" s="10" t="s">
        <v>8</v>
      </c>
      <c r="B214" s="11" t="s">
        <v>9</v>
      </c>
      <c r="C214" s="27" t="s">
        <v>189</v>
      </c>
      <c r="D214" s="28">
        <v>45315</v>
      </c>
      <c r="E214" s="12">
        <v>3045.15</v>
      </c>
      <c r="F214" s="13" t="s">
        <v>131</v>
      </c>
      <c r="G214" s="14" t="str">
        <f t="shared" si="6"/>
        <v>B</v>
      </c>
      <c r="H214" s="15" t="str">
        <f t="shared" si="7"/>
        <v>The Commissioner &amp; Chief Constable are satisfied the spend represents VFM in accordance with the requirements of Category B</v>
      </c>
      <c r="K214" s="17"/>
      <c r="L214" s="17"/>
    </row>
    <row r="215" spans="1:12" s="20" customFormat="1" x14ac:dyDescent="0.2">
      <c r="A215" s="10" t="s">
        <v>8</v>
      </c>
      <c r="B215" s="11" t="s">
        <v>9</v>
      </c>
      <c r="C215" s="27" t="s">
        <v>190</v>
      </c>
      <c r="D215" s="28">
        <v>45317</v>
      </c>
      <c r="E215" s="12">
        <v>3000</v>
      </c>
      <c r="F215" s="13" t="s">
        <v>27</v>
      </c>
      <c r="G215" s="14" t="str">
        <f t="shared" si="6"/>
        <v>B</v>
      </c>
      <c r="H215" s="15" t="str">
        <f t="shared" si="7"/>
        <v>The Commissioner &amp; Chief Constable are satisfied the spend represents VFM in accordance with the requirements of Category B</v>
      </c>
      <c r="K215" s="17"/>
      <c r="L215" s="17"/>
    </row>
    <row r="216" spans="1:12" s="20" customFormat="1" x14ac:dyDescent="0.2">
      <c r="A216" s="10" t="s">
        <v>8</v>
      </c>
      <c r="B216" s="11" t="s">
        <v>9</v>
      </c>
      <c r="C216" s="27" t="s">
        <v>191</v>
      </c>
      <c r="D216" s="28">
        <v>45317</v>
      </c>
      <c r="E216" s="12">
        <v>3000</v>
      </c>
      <c r="F216" s="13" t="s">
        <v>27</v>
      </c>
      <c r="G216" s="14" t="str">
        <f t="shared" si="6"/>
        <v>B</v>
      </c>
      <c r="H216" s="15" t="str">
        <f t="shared" si="7"/>
        <v>The Commissioner &amp; Chief Constable are satisfied the spend represents VFM in accordance with the requirements of Category B</v>
      </c>
      <c r="K216" s="17"/>
      <c r="L216" s="17"/>
    </row>
    <row r="217" spans="1:12" s="20" customFormat="1" x14ac:dyDescent="0.2">
      <c r="A217" s="10" t="s">
        <v>8</v>
      </c>
      <c r="B217" s="11" t="s">
        <v>9</v>
      </c>
      <c r="C217" s="27" t="s">
        <v>192</v>
      </c>
      <c r="D217" s="28">
        <v>45309</v>
      </c>
      <c r="E217" s="12">
        <v>3000</v>
      </c>
      <c r="F217" s="13" t="s">
        <v>106</v>
      </c>
      <c r="G217" s="14" t="str">
        <f t="shared" si="6"/>
        <v>B</v>
      </c>
      <c r="H217" s="15" t="str">
        <f t="shared" si="7"/>
        <v>The Commissioner &amp; Chief Constable are satisfied the spend represents VFM in accordance with the requirements of Category B</v>
      </c>
      <c r="K217" s="17"/>
      <c r="L217" s="17"/>
    </row>
    <row r="218" spans="1:12" s="20" customFormat="1" x14ac:dyDescent="0.2">
      <c r="A218" s="10" t="s">
        <v>8</v>
      </c>
      <c r="B218" s="11" t="s">
        <v>9</v>
      </c>
      <c r="C218" s="27" t="s">
        <v>193</v>
      </c>
      <c r="D218" s="28">
        <v>45301</v>
      </c>
      <c r="E218" s="12">
        <v>2991.94</v>
      </c>
      <c r="F218" s="13" t="s">
        <v>194</v>
      </c>
      <c r="G218" s="14" t="str">
        <f t="shared" si="6"/>
        <v>B</v>
      </c>
      <c r="H218" s="15" t="str">
        <f t="shared" si="7"/>
        <v>The Commissioner &amp; Chief Constable are satisfied the spend represents VFM in accordance with the requirements of Category B</v>
      </c>
      <c r="K218" s="17"/>
      <c r="L218" s="17"/>
    </row>
    <row r="219" spans="1:12" s="20" customFormat="1" x14ac:dyDescent="0.2">
      <c r="A219" s="10" t="s">
        <v>8</v>
      </c>
      <c r="B219" s="11" t="s">
        <v>9</v>
      </c>
      <c r="C219" s="27" t="s">
        <v>193</v>
      </c>
      <c r="D219" s="28">
        <v>45300</v>
      </c>
      <c r="E219" s="12">
        <v>2991.94</v>
      </c>
      <c r="F219" s="13" t="s">
        <v>194</v>
      </c>
      <c r="G219" s="14" t="str">
        <f t="shared" si="6"/>
        <v>B</v>
      </c>
      <c r="H219" s="15" t="str">
        <f t="shared" si="7"/>
        <v>The Commissioner &amp; Chief Constable are satisfied the spend represents VFM in accordance with the requirements of Category B</v>
      </c>
      <c r="K219" s="17"/>
      <c r="L219" s="17"/>
    </row>
    <row r="220" spans="1:12" s="20" customFormat="1" x14ac:dyDescent="0.2">
      <c r="A220" s="10" t="s">
        <v>8</v>
      </c>
      <c r="B220" s="11" t="s">
        <v>9</v>
      </c>
      <c r="C220" s="27" t="s">
        <v>193</v>
      </c>
      <c r="D220" s="28">
        <v>45301</v>
      </c>
      <c r="E220" s="12">
        <v>2991.94</v>
      </c>
      <c r="F220" s="13" t="s">
        <v>194</v>
      </c>
      <c r="G220" s="14" t="str">
        <f t="shared" si="6"/>
        <v>B</v>
      </c>
      <c r="H220" s="15" t="str">
        <f t="shared" si="7"/>
        <v>The Commissioner &amp; Chief Constable are satisfied the spend represents VFM in accordance with the requirements of Category B</v>
      </c>
      <c r="K220" s="17"/>
      <c r="L220" s="17"/>
    </row>
    <row r="221" spans="1:12" s="20" customFormat="1" x14ac:dyDescent="0.2">
      <c r="A221" s="10" t="s">
        <v>8</v>
      </c>
      <c r="B221" s="11" t="s">
        <v>9</v>
      </c>
      <c r="C221" s="27" t="s">
        <v>193</v>
      </c>
      <c r="D221" s="28">
        <v>45300</v>
      </c>
      <c r="E221" s="12">
        <v>2991.94</v>
      </c>
      <c r="F221" s="13" t="s">
        <v>194</v>
      </c>
      <c r="G221" s="14" t="str">
        <f t="shared" si="6"/>
        <v>B</v>
      </c>
      <c r="H221" s="15" t="str">
        <f t="shared" si="7"/>
        <v>The Commissioner &amp; Chief Constable are satisfied the spend represents VFM in accordance with the requirements of Category B</v>
      </c>
      <c r="K221" s="17"/>
      <c r="L221" s="17"/>
    </row>
    <row r="222" spans="1:12" s="20" customFormat="1" x14ac:dyDescent="0.2">
      <c r="A222" s="10" t="s">
        <v>8</v>
      </c>
      <c r="B222" s="11" t="s">
        <v>9</v>
      </c>
      <c r="C222" s="27" t="s">
        <v>193</v>
      </c>
      <c r="D222" s="28">
        <v>45301</v>
      </c>
      <c r="E222" s="12">
        <v>2991.94</v>
      </c>
      <c r="F222" s="13" t="s">
        <v>194</v>
      </c>
      <c r="G222" s="14" t="str">
        <f t="shared" si="6"/>
        <v>B</v>
      </c>
      <c r="H222" s="15" t="str">
        <f t="shared" si="7"/>
        <v>The Commissioner &amp; Chief Constable are satisfied the spend represents VFM in accordance with the requirements of Category B</v>
      </c>
      <c r="K222" s="17"/>
      <c r="L222" s="17"/>
    </row>
    <row r="223" spans="1:12" s="20" customFormat="1" x14ac:dyDescent="0.2">
      <c r="A223" s="10" t="s">
        <v>8</v>
      </c>
      <c r="B223" s="11" t="s">
        <v>9</v>
      </c>
      <c r="C223" s="27" t="s">
        <v>193</v>
      </c>
      <c r="D223" s="28">
        <v>45301</v>
      </c>
      <c r="E223" s="12">
        <v>2991.94</v>
      </c>
      <c r="F223" s="13" t="s">
        <v>194</v>
      </c>
      <c r="G223" s="14" t="str">
        <f t="shared" si="6"/>
        <v>B</v>
      </c>
      <c r="H223" s="15" t="str">
        <f t="shared" si="7"/>
        <v>The Commissioner &amp; Chief Constable are satisfied the spend represents VFM in accordance with the requirements of Category B</v>
      </c>
      <c r="K223" s="17"/>
      <c r="L223" s="17"/>
    </row>
    <row r="224" spans="1:12" s="20" customFormat="1" x14ac:dyDescent="0.2">
      <c r="A224" s="10" t="s">
        <v>8</v>
      </c>
      <c r="B224" s="11" t="s">
        <v>9</v>
      </c>
      <c r="C224" s="27" t="s">
        <v>193</v>
      </c>
      <c r="D224" s="28">
        <v>45301</v>
      </c>
      <c r="E224" s="12">
        <v>2991.94</v>
      </c>
      <c r="F224" s="13" t="s">
        <v>194</v>
      </c>
      <c r="G224" s="14" t="str">
        <f t="shared" si="6"/>
        <v>B</v>
      </c>
      <c r="H224" s="15" t="str">
        <f t="shared" si="7"/>
        <v>The Commissioner &amp; Chief Constable are satisfied the spend represents VFM in accordance with the requirements of Category B</v>
      </c>
      <c r="K224" s="17"/>
      <c r="L224" s="17"/>
    </row>
    <row r="225" spans="1:12" s="20" customFormat="1" x14ac:dyDescent="0.2">
      <c r="A225" s="10" t="s">
        <v>8</v>
      </c>
      <c r="B225" s="11" t="s">
        <v>9</v>
      </c>
      <c r="C225" s="27" t="s">
        <v>193</v>
      </c>
      <c r="D225" s="28">
        <v>45301</v>
      </c>
      <c r="E225" s="12">
        <v>2991.94</v>
      </c>
      <c r="F225" s="13" t="s">
        <v>194</v>
      </c>
      <c r="G225" s="14" t="str">
        <f t="shared" si="6"/>
        <v>B</v>
      </c>
      <c r="H225" s="15" t="str">
        <f t="shared" si="7"/>
        <v>The Commissioner &amp; Chief Constable are satisfied the spend represents VFM in accordance with the requirements of Category B</v>
      </c>
      <c r="K225" s="17"/>
      <c r="L225" s="17"/>
    </row>
    <row r="226" spans="1:12" s="20" customFormat="1" x14ac:dyDescent="0.2">
      <c r="A226" s="10" t="s">
        <v>8</v>
      </c>
      <c r="B226" s="11" t="s">
        <v>9</v>
      </c>
      <c r="C226" s="27" t="s">
        <v>172</v>
      </c>
      <c r="D226" s="28">
        <v>45296</v>
      </c>
      <c r="E226" s="12">
        <v>2941.66</v>
      </c>
      <c r="F226" s="13" t="s">
        <v>39</v>
      </c>
      <c r="G226" s="14" t="str">
        <f t="shared" si="6"/>
        <v>B</v>
      </c>
      <c r="H226" s="15" t="str">
        <f t="shared" si="7"/>
        <v>The Commissioner &amp; Chief Constable are satisfied the spend represents VFM in accordance with the requirements of Category B</v>
      </c>
      <c r="K226" s="17"/>
      <c r="L226" s="17"/>
    </row>
    <row r="227" spans="1:12" s="20" customFormat="1" x14ac:dyDescent="0.2">
      <c r="A227" s="10" t="s">
        <v>8</v>
      </c>
      <c r="B227" s="11" t="s">
        <v>9</v>
      </c>
      <c r="C227" s="27" t="s">
        <v>142</v>
      </c>
      <c r="D227" s="28">
        <v>45295</v>
      </c>
      <c r="E227" s="12">
        <v>2891.21</v>
      </c>
      <c r="F227" s="13" t="s">
        <v>143</v>
      </c>
      <c r="G227" s="14" t="str">
        <f t="shared" si="6"/>
        <v>B</v>
      </c>
      <c r="H227" s="15" t="str">
        <f t="shared" si="7"/>
        <v>The Commissioner &amp; Chief Constable are satisfied the spend represents VFM in accordance with the requirements of Category B</v>
      </c>
      <c r="K227" s="17"/>
      <c r="L227" s="17"/>
    </row>
    <row r="228" spans="1:12" s="20" customFormat="1" x14ac:dyDescent="0.2">
      <c r="A228" s="10" t="s">
        <v>8</v>
      </c>
      <c r="B228" s="11" t="s">
        <v>9</v>
      </c>
      <c r="C228" s="27" t="s">
        <v>195</v>
      </c>
      <c r="D228" s="28">
        <v>45306</v>
      </c>
      <c r="E228" s="12">
        <v>2860</v>
      </c>
      <c r="F228" s="13" t="s">
        <v>22</v>
      </c>
      <c r="G228" s="14" t="str">
        <f t="shared" si="6"/>
        <v>B</v>
      </c>
      <c r="H228" s="15" t="str">
        <f t="shared" si="7"/>
        <v>The Commissioner &amp; Chief Constable are satisfied the spend represents VFM in accordance with the requirements of Category B</v>
      </c>
      <c r="K228" s="17"/>
      <c r="L228" s="17"/>
    </row>
    <row r="229" spans="1:12" s="20" customFormat="1" x14ac:dyDescent="0.2">
      <c r="A229" s="10" t="s">
        <v>8</v>
      </c>
      <c r="B229" s="11" t="s">
        <v>9</v>
      </c>
      <c r="C229" s="27" t="s">
        <v>124</v>
      </c>
      <c r="D229" s="28">
        <v>45313</v>
      </c>
      <c r="E229" s="12">
        <v>2830.07</v>
      </c>
      <c r="F229" s="13" t="s">
        <v>91</v>
      </c>
      <c r="G229" s="14" t="str">
        <f t="shared" si="6"/>
        <v>B</v>
      </c>
      <c r="H229" s="15" t="str">
        <f t="shared" si="7"/>
        <v>The Commissioner &amp; Chief Constable are satisfied the spend represents VFM in accordance with the requirements of Category B</v>
      </c>
      <c r="K229" s="17"/>
      <c r="L229" s="17"/>
    </row>
    <row r="230" spans="1:12" s="20" customFormat="1" x14ac:dyDescent="0.2">
      <c r="A230" s="10" t="s">
        <v>8</v>
      </c>
      <c r="B230" s="11" t="s">
        <v>9</v>
      </c>
      <c r="C230" s="27" t="s">
        <v>196</v>
      </c>
      <c r="D230" s="28">
        <v>45322</v>
      </c>
      <c r="E230" s="12">
        <v>2808.91</v>
      </c>
      <c r="F230" s="13" t="s">
        <v>169</v>
      </c>
      <c r="G230" s="14" t="str">
        <f t="shared" si="6"/>
        <v>B</v>
      </c>
      <c r="H230" s="15" t="str">
        <f t="shared" si="7"/>
        <v>The Commissioner &amp; Chief Constable are satisfied the spend represents VFM in accordance with the requirements of Category B</v>
      </c>
      <c r="K230" s="17"/>
      <c r="L230" s="17"/>
    </row>
    <row r="231" spans="1:12" s="20" customFormat="1" x14ac:dyDescent="0.2">
      <c r="A231" s="10" t="s">
        <v>8</v>
      </c>
      <c r="B231" s="11" t="s">
        <v>9</v>
      </c>
      <c r="C231" s="27" t="s">
        <v>197</v>
      </c>
      <c r="D231" s="28">
        <v>45308</v>
      </c>
      <c r="E231" s="12">
        <v>2806.2</v>
      </c>
      <c r="F231" s="13" t="s">
        <v>106</v>
      </c>
      <c r="G231" s="14" t="str">
        <f t="shared" si="6"/>
        <v>B</v>
      </c>
      <c r="H231" s="15" t="str">
        <f t="shared" si="7"/>
        <v>The Commissioner &amp; Chief Constable are satisfied the spend represents VFM in accordance with the requirements of Category B</v>
      </c>
      <c r="K231" s="17"/>
      <c r="L231" s="17"/>
    </row>
    <row r="232" spans="1:12" s="20" customFormat="1" x14ac:dyDescent="0.2">
      <c r="A232" s="10" t="s">
        <v>8</v>
      </c>
      <c r="B232" s="11" t="s">
        <v>9</v>
      </c>
      <c r="C232" s="27" t="s">
        <v>196</v>
      </c>
      <c r="D232" s="28">
        <v>45313</v>
      </c>
      <c r="E232" s="12">
        <v>2784.6000000000004</v>
      </c>
      <c r="F232" s="13" t="s">
        <v>169</v>
      </c>
      <c r="G232" s="14" t="str">
        <f t="shared" si="6"/>
        <v>B</v>
      </c>
      <c r="H232" s="15" t="str">
        <f t="shared" si="7"/>
        <v>The Commissioner &amp; Chief Constable are satisfied the spend represents VFM in accordance with the requirements of Category B</v>
      </c>
      <c r="K232" s="17"/>
      <c r="L232" s="17"/>
    </row>
    <row r="233" spans="1:12" s="20" customFormat="1" x14ac:dyDescent="0.2">
      <c r="A233" s="10" t="s">
        <v>8</v>
      </c>
      <c r="B233" s="11" t="s">
        <v>9</v>
      </c>
      <c r="C233" s="27" t="s">
        <v>115</v>
      </c>
      <c r="D233" s="28">
        <v>45320</v>
      </c>
      <c r="E233" s="12">
        <v>2767.71</v>
      </c>
      <c r="F233" s="13" t="s">
        <v>116</v>
      </c>
      <c r="G233" s="14" t="str">
        <f t="shared" si="6"/>
        <v>B</v>
      </c>
      <c r="H233" s="15" t="str">
        <f t="shared" si="7"/>
        <v>The Commissioner &amp; Chief Constable are satisfied the spend represents VFM in accordance with the requirements of Category B</v>
      </c>
      <c r="K233" s="17"/>
      <c r="L233" s="17"/>
    </row>
    <row r="234" spans="1:12" s="20" customFormat="1" x14ac:dyDescent="0.2">
      <c r="A234" s="10" t="s">
        <v>8</v>
      </c>
      <c r="B234" s="11" t="s">
        <v>9</v>
      </c>
      <c r="C234" s="27" t="s">
        <v>198</v>
      </c>
      <c r="D234" s="28">
        <v>45293</v>
      </c>
      <c r="E234" s="12">
        <v>2700</v>
      </c>
      <c r="F234" s="13" t="s">
        <v>15</v>
      </c>
      <c r="G234" s="14" t="str">
        <f t="shared" si="6"/>
        <v>B</v>
      </c>
      <c r="H234" s="15" t="str">
        <f t="shared" si="7"/>
        <v>The Commissioner &amp; Chief Constable are satisfied the spend represents VFM in accordance with the requirements of Category B</v>
      </c>
      <c r="K234" s="17"/>
      <c r="L234" s="17"/>
    </row>
    <row r="235" spans="1:12" s="20" customFormat="1" x14ac:dyDescent="0.2">
      <c r="A235" s="10" t="s">
        <v>8</v>
      </c>
      <c r="B235" s="11" t="s">
        <v>9</v>
      </c>
      <c r="C235" s="29" t="s">
        <v>199</v>
      </c>
      <c r="D235" s="28">
        <v>45322</v>
      </c>
      <c r="E235" s="12">
        <v>2681.95</v>
      </c>
      <c r="F235" s="13" t="s">
        <v>148</v>
      </c>
      <c r="G235" s="14" t="str">
        <f t="shared" si="6"/>
        <v>B</v>
      </c>
      <c r="H235" s="15" t="str">
        <f t="shared" si="7"/>
        <v>The Commissioner &amp; Chief Constable are satisfied the spend represents VFM in accordance with the requirements of Category B</v>
      </c>
      <c r="K235" s="17"/>
      <c r="L235" s="17"/>
    </row>
    <row r="236" spans="1:12" s="20" customFormat="1" x14ac:dyDescent="0.2">
      <c r="A236" s="10" t="s">
        <v>8</v>
      </c>
      <c r="B236" s="11" t="s">
        <v>9</v>
      </c>
      <c r="C236" s="27" t="s">
        <v>186</v>
      </c>
      <c r="D236" s="28">
        <v>45322</v>
      </c>
      <c r="E236" s="12">
        <v>2065</v>
      </c>
      <c r="F236" s="13" t="s">
        <v>106</v>
      </c>
      <c r="G236" s="14" t="str">
        <f t="shared" si="6"/>
        <v>B</v>
      </c>
      <c r="H236" s="15" t="str">
        <f t="shared" si="7"/>
        <v>The Commissioner &amp; Chief Constable are satisfied the spend represents VFM in accordance with the requirements of Category B</v>
      </c>
      <c r="K236" s="17"/>
      <c r="L236" s="17"/>
    </row>
    <row r="237" spans="1:12" s="20" customFormat="1" x14ac:dyDescent="0.2">
      <c r="A237" s="10" t="s">
        <v>8</v>
      </c>
      <c r="B237" s="11" t="s">
        <v>9</v>
      </c>
      <c r="C237" s="27" t="s">
        <v>186</v>
      </c>
      <c r="D237" s="28">
        <v>45322</v>
      </c>
      <c r="E237" s="18">
        <v>612.5</v>
      </c>
      <c r="F237" s="19" t="s">
        <v>182</v>
      </c>
      <c r="G237" s="14" t="str">
        <f t="shared" si="6"/>
        <v>A</v>
      </c>
      <c r="H237" s="15" t="str">
        <f t="shared" si="7"/>
        <v>The Commissioner &amp; Chief Constable are satisfied the spend represents VFM in accordance with the requirements of Category A</v>
      </c>
      <c r="K237" s="17"/>
      <c r="L237" s="17"/>
    </row>
    <row r="238" spans="1:12" s="20" customFormat="1" x14ac:dyDescent="0.2">
      <c r="A238" s="10" t="s">
        <v>8</v>
      </c>
      <c r="B238" s="11" t="s">
        <v>9</v>
      </c>
      <c r="C238" s="27" t="s">
        <v>74</v>
      </c>
      <c r="D238" s="28">
        <v>45300</v>
      </c>
      <c r="E238" s="12">
        <v>2644.59</v>
      </c>
      <c r="F238" s="13" t="s">
        <v>75</v>
      </c>
      <c r="G238" s="14" t="str">
        <f t="shared" si="6"/>
        <v>B</v>
      </c>
      <c r="H238" s="15" t="str">
        <f t="shared" si="7"/>
        <v>The Commissioner &amp; Chief Constable are satisfied the spend represents VFM in accordance with the requirements of Category B</v>
      </c>
      <c r="K238" s="17"/>
      <c r="L238" s="17"/>
    </row>
    <row r="239" spans="1:12" s="20" customFormat="1" x14ac:dyDescent="0.2">
      <c r="A239" s="10" t="s">
        <v>8</v>
      </c>
      <c r="B239" s="11" t="s">
        <v>9</v>
      </c>
      <c r="C239" s="27" t="s">
        <v>142</v>
      </c>
      <c r="D239" s="28">
        <v>45313</v>
      </c>
      <c r="E239" s="12">
        <v>2637.75</v>
      </c>
      <c r="F239" s="13" t="s">
        <v>143</v>
      </c>
      <c r="G239" s="14" t="str">
        <f t="shared" si="6"/>
        <v>B</v>
      </c>
      <c r="H239" s="15" t="str">
        <f t="shared" si="7"/>
        <v>The Commissioner &amp; Chief Constable are satisfied the spend represents VFM in accordance with the requirements of Category B</v>
      </c>
      <c r="K239" s="17"/>
      <c r="L239" s="17"/>
    </row>
    <row r="240" spans="1:12" s="20" customFormat="1" x14ac:dyDescent="0.2">
      <c r="A240" s="10" t="s">
        <v>8</v>
      </c>
      <c r="B240" s="11" t="s">
        <v>9</v>
      </c>
      <c r="C240" s="27" t="s">
        <v>200</v>
      </c>
      <c r="D240" s="28">
        <v>45320</v>
      </c>
      <c r="E240" s="12">
        <v>2632</v>
      </c>
      <c r="F240" s="13" t="s">
        <v>38</v>
      </c>
      <c r="G240" s="14" t="str">
        <f t="shared" si="6"/>
        <v>B</v>
      </c>
      <c r="H240" s="15" t="str">
        <f t="shared" si="7"/>
        <v>The Commissioner &amp; Chief Constable are satisfied the spend represents VFM in accordance with the requirements of Category B</v>
      </c>
      <c r="K240" s="17"/>
      <c r="L240" s="17"/>
    </row>
    <row r="241" spans="1:12" s="20" customFormat="1" x14ac:dyDescent="0.2">
      <c r="A241" s="10" t="s">
        <v>8</v>
      </c>
      <c r="B241" s="11" t="s">
        <v>9</v>
      </c>
      <c r="C241" s="27" t="s">
        <v>201</v>
      </c>
      <c r="D241" s="28">
        <v>45313</v>
      </c>
      <c r="E241" s="12">
        <v>2606.6999999999998</v>
      </c>
      <c r="F241" s="13" t="s">
        <v>94</v>
      </c>
      <c r="G241" s="14" t="str">
        <f t="shared" si="6"/>
        <v>B</v>
      </c>
      <c r="H241" s="15" t="str">
        <f t="shared" si="7"/>
        <v>The Commissioner &amp; Chief Constable are satisfied the spend represents VFM in accordance with the requirements of Category B</v>
      </c>
      <c r="K241" s="17"/>
      <c r="L241" s="17"/>
    </row>
    <row r="242" spans="1:12" s="20" customFormat="1" x14ac:dyDescent="0.2">
      <c r="A242" s="10" t="s">
        <v>8</v>
      </c>
      <c r="B242" s="11" t="s">
        <v>9</v>
      </c>
      <c r="C242" s="27" t="s">
        <v>202</v>
      </c>
      <c r="D242" s="28">
        <v>45300</v>
      </c>
      <c r="E242" s="12">
        <v>2556</v>
      </c>
      <c r="F242" s="13" t="s">
        <v>203</v>
      </c>
      <c r="G242" s="14" t="str">
        <f t="shared" si="6"/>
        <v>B</v>
      </c>
      <c r="H242" s="15" t="str">
        <f t="shared" si="7"/>
        <v>The Commissioner &amp; Chief Constable are satisfied the spend represents VFM in accordance with the requirements of Category B</v>
      </c>
      <c r="K242" s="17"/>
      <c r="L242" s="17"/>
    </row>
    <row r="243" spans="1:12" s="20" customFormat="1" x14ac:dyDescent="0.2">
      <c r="A243" s="10" t="s">
        <v>8</v>
      </c>
      <c r="B243" s="11" t="s">
        <v>9</v>
      </c>
      <c r="C243" s="27" t="s">
        <v>26</v>
      </c>
      <c r="D243" s="28">
        <v>45308</v>
      </c>
      <c r="E243" s="12">
        <v>2529.87</v>
      </c>
      <c r="F243" s="13" t="s">
        <v>76</v>
      </c>
      <c r="G243" s="14" t="str">
        <f t="shared" si="6"/>
        <v>B</v>
      </c>
      <c r="H243" s="15" t="str">
        <f t="shared" si="7"/>
        <v>The Commissioner &amp; Chief Constable are satisfied the spend represents VFM in accordance with the requirements of Category B</v>
      </c>
      <c r="K243" s="17"/>
      <c r="L243" s="17"/>
    </row>
    <row r="244" spans="1:12" s="20" customFormat="1" x14ac:dyDescent="0.2">
      <c r="A244" s="10" t="s">
        <v>8</v>
      </c>
      <c r="B244" s="11" t="s">
        <v>9</v>
      </c>
      <c r="C244" s="27" t="s">
        <v>204</v>
      </c>
      <c r="D244" s="28">
        <v>45294</v>
      </c>
      <c r="E244" s="12">
        <v>2522</v>
      </c>
      <c r="F244" s="13" t="s">
        <v>151</v>
      </c>
      <c r="G244" s="14" t="str">
        <f t="shared" si="6"/>
        <v>B</v>
      </c>
      <c r="H244" s="15" t="str">
        <f t="shared" si="7"/>
        <v>The Commissioner &amp; Chief Constable are satisfied the spend represents VFM in accordance with the requirements of Category B</v>
      </c>
      <c r="K244" s="17"/>
      <c r="L244" s="17"/>
    </row>
    <row r="245" spans="1:12" s="20" customFormat="1" x14ac:dyDescent="0.2">
      <c r="A245" s="10" t="s">
        <v>8</v>
      </c>
      <c r="B245" s="11" t="s">
        <v>9</v>
      </c>
      <c r="C245" s="27" t="s">
        <v>196</v>
      </c>
      <c r="D245" s="28">
        <v>45320</v>
      </c>
      <c r="E245" s="12">
        <v>2511.5</v>
      </c>
      <c r="F245" s="13" t="s">
        <v>169</v>
      </c>
      <c r="G245" s="14" t="str">
        <f t="shared" si="6"/>
        <v>B</v>
      </c>
      <c r="H245" s="15" t="str">
        <f t="shared" si="7"/>
        <v>The Commissioner &amp; Chief Constable are satisfied the spend represents VFM in accordance with the requirements of Category B</v>
      </c>
      <c r="K245" s="17"/>
      <c r="L245" s="17"/>
    </row>
    <row r="246" spans="1:12" s="20" customFormat="1" x14ac:dyDescent="0.2">
      <c r="A246" s="10" t="s">
        <v>8</v>
      </c>
      <c r="B246" s="11" t="s">
        <v>9</v>
      </c>
      <c r="C246" s="27" t="s">
        <v>205</v>
      </c>
      <c r="D246" s="28">
        <v>45317</v>
      </c>
      <c r="E246" s="12">
        <v>2500</v>
      </c>
      <c r="F246" s="13" t="s">
        <v>27</v>
      </c>
      <c r="G246" s="14" t="str">
        <f t="shared" si="6"/>
        <v>B</v>
      </c>
      <c r="H246" s="15" t="str">
        <f t="shared" si="7"/>
        <v>The Commissioner &amp; Chief Constable are satisfied the spend represents VFM in accordance with the requirements of Category B</v>
      </c>
      <c r="K246" s="17"/>
      <c r="L246" s="17"/>
    </row>
    <row r="247" spans="1:12" s="20" customFormat="1" x14ac:dyDescent="0.2">
      <c r="A247" s="10" t="s">
        <v>8</v>
      </c>
      <c r="B247" s="11" t="s">
        <v>9</v>
      </c>
      <c r="C247" s="27" t="s">
        <v>206</v>
      </c>
      <c r="D247" s="28">
        <v>45317</v>
      </c>
      <c r="E247" s="12">
        <v>2500</v>
      </c>
      <c r="F247" s="13" t="s">
        <v>27</v>
      </c>
      <c r="G247" s="14" t="str">
        <f t="shared" si="6"/>
        <v>B</v>
      </c>
      <c r="H247" s="15" t="str">
        <f t="shared" si="7"/>
        <v>The Commissioner &amp; Chief Constable are satisfied the spend represents VFM in accordance with the requirements of Category B</v>
      </c>
      <c r="K247" s="17"/>
      <c r="L247" s="17"/>
    </row>
    <row r="248" spans="1:12" s="20" customFormat="1" x14ac:dyDescent="0.2">
      <c r="A248" s="10" t="s">
        <v>8</v>
      </c>
      <c r="B248" s="11" t="s">
        <v>9</v>
      </c>
      <c r="C248" s="27" t="s">
        <v>207</v>
      </c>
      <c r="D248" s="28">
        <v>45294</v>
      </c>
      <c r="E248" s="12">
        <v>2493.02</v>
      </c>
      <c r="F248" s="13" t="s">
        <v>114</v>
      </c>
      <c r="G248" s="14" t="str">
        <f t="shared" si="6"/>
        <v>B</v>
      </c>
      <c r="H248" s="15" t="str">
        <f t="shared" si="7"/>
        <v>The Commissioner &amp; Chief Constable are satisfied the spend represents VFM in accordance with the requirements of Category B</v>
      </c>
      <c r="K248" s="17"/>
      <c r="L248" s="17"/>
    </row>
    <row r="249" spans="1:12" s="20" customFormat="1" x14ac:dyDescent="0.2">
      <c r="A249" s="10" t="s">
        <v>8</v>
      </c>
      <c r="B249" s="11" t="s">
        <v>9</v>
      </c>
      <c r="C249" s="27" t="s">
        <v>208</v>
      </c>
      <c r="D249" s="28">
        <v>45303</v>
      </c>
      <c r="E249" s="12">
        <v>2491.04</v>
      </c>
      <c r="F249" s="13" t="s">
        <v>209</v>
      </c>
      <c r="G249" s="14" t="str">
        <f t="shared" si="6"/>
        <v>B</v>
      </c>
      <c r="H249" s="15" t="str">
        <f t="shared" si="7"/>
        <v>The Commissioner &amp; Chief Constable are satisfied the spend represents VFM in accordance with the requirements of Category B</v>
      </c>
      <c r="K249" s="17"/>
      <c r="L249" s="17"/>
    </row>
    <row r="250" spans="1:12" s="20" customFormat="1" x14ac:dyDescent="0.2">
      <c r="A250" s="10" t="s">
        <v>8</v>
      </c>
      <c r="B250" s="11" t="s">
        <v>9</v>
      </c>
      <c r="C250" s="27" t="s">
        <v>210</v>
      </c>
      <c r="D250" s="28">
        <v>45317</v>
      </c>
      <c r="E250" s="12">
        <v>2490</v>
      </c>
      <c r="F250" s="13" t="s">
        <v>27</v>
      </c>
      <c r="G250" s="14" t="str">
        <f t="shared" si="6"/>
        <v>B</v>
      </c>
      <c r="H250" s="15" t="str">
        <f t="shared" si="7"/>
        <v>The Commissioner &amp; Chief Constable are satisfied the spend represents VFM in accordance with the requirements of Category B</v>
      </c>
      <c r="K250" s="17"/>
      <c r="L250" s="17"/>
    </row>
    <row r="251" spans="1:12" s="20" customFormat="1" x14ac:dyDescent="0.2">
      <c r="A251" s="10" t="s">
        <v>8</v>
      </c>
      <c r="B251" s="11" t="s">
        <v>9</v>
      </c>
      <c r="C251" s="29" t="s">
        <v>211</v>
      </c>
      <c r="D251" s="28">
        <v>45295</v>
      </c>
      <c r="E251" s="12">
        <v>2457.96</v>
      </c>
      <c r="F251" s="13" t="s">
        <v>91</v>
      </c>
      <c r="G251" s="14" t="str">
        <f t="shared" si="6"/>
        <v>B</v>
      </c>
      <c r="H251" s="15" t="str">
        <f t="shared" si="7"/>
        <v>The Commissioner &amp; Chief Constable are satisfied the spend represents VFM in accordance with the requirements of Category B</v>
      </c>
      <c r="K251" s="17"/>
      <c r="L251" s="17"/>
    </row>
    <row r="252" spans="1:12" s="20" customFormat="1" x14ac:dyDescent="0.2">
      <c r="A252" s="10" t="s">
        <v>8</v>
      </c>
      <c r="B252" s="11" t="s">
        <v>9</v>
      </c>
      <c r="C252" s="27" t="s">
        <v>212</v>
      </c>
      <c r="D252" s="28">
        <v>45317</v>
      </c>
      <c r="E252" s="12">
        <v>2455</v>
      </c>
      <c r="F252" s="13" t="s">
        <v>27</v>
      </c>
      <c r="G252" s="14" t="str">
        <f t="shared" si="6"/>
        <v>B</v>
      </c>
      <c r="H252" s="15" t="str">
        <f t="shared" si="7"/>
        <v>The Commissioner &amp; Chief Constable are satisfied the spend represents VFM in accordance with the requirements of Category B</v>
      </c>
      <c r="K252" s="17"/>
      <c r="L252" s="17"/>
    </row>
    <row r="253" spans="1:12" s="20" customFormat="1" x14ac:dyDescent="0.2">
      <c r="A253" s="10" t="s">
        <v>8</v>
      </c>
      <c r="B253" s="11" t="s">
        <v>9</v>
      </c>
      <c r="C253" s="27" t="s">
        <v>90</v>
      </c>
      <c r="D253" s="28">
        <v>45314</v>
      </c>
      <c r="E253" s="12">
        <v>2435.1</v>
      </c>
      <c r="F253" s="13" t="s">
        <v>91</v>
      </c>
      <c r="G253" s="14" t="str">
        <f t="shared" si="6"/>
        <v>B</v>
      </c>
      <c r="H253" s="15" t="str">
        <f t="shared" si="7"/>
        <v>The Commissioner &amp; Chief Constable are satisfied the spend represents VFM in accordance with the requirements of Category B</v>
      </c>
      <c r="K253" s="17"/>
      <c r="L253" s="17"/>
    </row>
    <row r="254" spans="1:12" s="20" customFormat="1" x14ac:dyDescent="0.2">
      <c r="A254" s="10" t="s">
        <v>8</v>
      </c>
      <c r="B254" s="11" t="s">
        <v>9</v>
      </c>
      <c r="C254" s="27" t="s">
        <v>119</v>
      </c>
      <c r="D254" s="28">
        <v>45316</v>
      </c>
      <c r="E254" s="12">
        <v>2413.5</v>
      </c>
      <c r="F254" s="13" t="s">
        <v>120</v>
      </c>
      <c r="G254" s="14" t="str">
        <f t="shared" si="6"/>
        <v>B</v>
      </c>
      <c r="H254" s="15" t="str">
        <f t="shared" si="7"/>
        <v>The Commissioner &amp; Chief Constable are satisfied the spend represents VFM in accordance with the requirements of Category B</v>
      </c>
      <c r="K254" s="17"/>
      <c r="L254" s="17"/>
    </row>
    <row r="255" spans="1:12" s="20" customFormat="1" x14ac:dyDescent="0.2">
      <c r="A255" s="10" t="s">
        <v>8</v>
      </c>
      <c r="B255" s="11" t="s">
        <v>9</v>
      </c>
      <c r="C255" s="27" t="s">
        <v>74</v>
      </c>
      <c r="D255" s="28">
        <v>45300</v>
      </c>
      <c r="E255" s="12">
        <v>2401.13</v>
      </c>
      <c r="F255" s="13" t="s">
        <v>75</v>
      </c>
      <c r="G255" s="14" t="str">
        <f t="shared" si="6"/>
        <v>B</v>
      </c>
      <c r="H255" s="15" t="str">
        <f t="shared" si="7"/>
        <v>The Commissioner &amp; Chief Constable are satisfied the spend represents VFM in accordance with the requirements of Category B</v>
      </c>
      <c r="K255" s="17"/>
      <c r="L255" s="17"/>
    </row>
    <row r="256" spans="1:12" s="20" customFormat="1" x14ac:dyDescent="0.2">
      <c r="A256" s="10" t="s">
        <v>8</v>
      </c>
      <c r="B256" s="11" t="s">
        <v>9</v>
      </c>
      <c r="C256" s="27" t="s">
        <v>95</v>
      </c>
      <c r="D256" s="28">
        <v>45321</v>
      </c>
      <c r="E256" s="12">
        <v>2368.48</v>
      </c>
      <c r="F256" s="13" t="s">
        <v>75</v>
      </c>
      <c r="G256" s="14" t="str">
        <f t="shared" si="6"/>
        <v>B</v>
      </c>
      <c r="H256" s="15" t="str">
        <f t="shared" si="7"/>
        <v>The Commissioner &amp; Chief Constable are satisfied the spend represents VFM in accordance with the requirements of Category B</v>
      </c>
      <c r="K256" s="17"/>
      <c r="L256" s="17"/>
    </row>
    <row r="257" spans="1:12" s="20" customFormat="1" x14ac:dyDescent="0.2">
      <c r="A257" s="10" t="s">
        <v>8</v>
      </c>
      <c r="B257" s="11" t="s">
        <v>9</v>
      </c>
      <c r="C257" s="27" t="s">
        <v>213</v>
      </c>
      <c r="D257" s="28">
        <v>45303</v>
      </c>
      <c r="E257" s="12">
        <v>2354.5</v>
      </c>
      <c r="F257" s="13" t="s">
        <v>131</v>
      </c>
      <c r="G257" s="14" t="str">
        <f t="shared" si="6"/>
        <v>B</v>
      </c>
      <c r="H257" s="15" t="str">
        <f t="shared" si="7"/>
        <v>The Commissioner &amp; Chief Constable are satisfied the spend represents VFM in accordance with the requirements of Category B</v>
      </c>
      <c r="K257" s="17"/>
      <c r="L257" s="17"/>
    </row>
    <row r="258" spans="1:12" s="20" customFormat="1" x14ac:dyDescent="0.2">
      <c r="A258" s="10" t="s">
        <v>8</v>
      </c>
      <c r="B258" s="11" t="s">
        <v>9</v>
      </c>
      <c r="C258" s="27" t="s">
        <v>214</v>
      </c>
      <c r="D258" s="28">
        <v>45315</v>
      </c>
      <c r="E258" s="12">
        <v>2300</v>
      </c>
      <c r="F258" s="13" t="s">
        <v>22</v>
      </c>
      <c r="G258" s="14" t="str">
        <f t="shared" ref="G258:G321" si="8">IF(E258&gt;25000,"C",IF(E258&gt;1000,"B","A"))</f>
        <v>B</v>
      </c>
      <c r="H258" s="15" t="str">
        <f t="shared" ref="H258:H321" si="9">VLOOKUP(G258,$K$2:$L$4,2,FALSE)</f>
        <v>The Commissioner &amp; Chief Constable are satisfied the spend represents VFM in accordance with the requirements of Category B</v>
      </c>
      <c r="K258" s="17"/>
      <c r="L258" s="17"/>
    </row>
    <row r="259" spans="1:12" s="20" customFormat="1" x14ac:dyDescent="0.2">
      <c r="A259" s="10" t="s">
        <v>8</v>
      </c>
      <c r="B259" s="11" t="s">
        <v>9</v>
      </c>
      <c r="C259" s="27" t="s">
        <v>215</v>
      </c>
      <c r="D259" s="28">
        <v>45306</v>
      </c>
      <c r="E259" s="12">
        <v>2268.9899999999998</v>
      </c>
      <c r="F259" s="13" t="s">
        <v>102</v>
      </c>
      <c r="G259" s="14" t="str">
        <f t="shared" si="8"/>
        <v>B</v>
      </c>
      <c r="H259" s="15" t="str">
        <f t="shared" si="9"/>
        <v>The Commissioner &amp; Chief Constable are satisfied the spend represents VFM in accordance with the requirements of Category B</v>
      </c>
      <c r="K259" s="17"/>
      <c r="L259" s="17"/>
    </row>
    <row r="260" spans="1:12" s="20" customFormat="1" x14ac:dyDescent="0.2">
      <c r="A260" s="10" t="s">
        <v>8</v>
      </c>
      <c r="B260" s="11" t="s">
        <v>9</v>
      </c>
      <c r="C260" s="27" t="s">
        <v>216</v>
      </c>
      <c r="D260" s="28">
        <v>45296</v>
      </c>
      <c r="E260" s="12">
        <v>2257.0100000000002</v>
      </c>
      <c r="F260" s="13" t="s">
        <v>38</v>
      </c>
      <c r="G260" s="14" t="str">
        <f t="shared" si="8"/>
        <v>B</v>
      </c>
      <c r="H260" s="15" t="str">
        <f t="shared" si="9"/>
        <v>The Commissioner &amp; Chief Constable are satisfied the spend represents VFM in accordance with the requirements of Category B</v>
      </c>
      <c r="K260" s="17"/>
      <c r="L260" s="17"/>
    </row>
    <row r="261" spans="1:12" s="20" customFormat="1" x14ac:dyDescent="0.2">
      <c r="A261" s="10" t="s">
        <v>8</v>
      </c>
      <c r="B261" s="11" t="s">
        <v>9</v>
      </c>
      <c r="C261" s="27" t="s">
        <v>217</v>
      </c>
      <c r="D261" s="28">
        <v>45315</v>
      </c>
      <c r="E261" s="12">
        <v>2242</v>
      </c>
      <c r="F261" s="13" t="s">
        <v>218</v>
      </c>
      <c r="G261" s="14" t="str">
        <f t="shared" si="8"/>
        <v>B</v>
      </c>
      <c r="H261" s="15" t="str">
        <f t="shared" si="9"/>
        <v>The Commissioner &amp; Chief Constable are satisfied the spend represents VFM in accordance with the requirements of Category B</v>
      </c>
      <c r="K261" s="17"/>
      <c r="L261" s="17"/>
    </row>
    <row r="262" spans="1:12" s="20" customFormat="1" x14ac:dyDescent="0.2">
      <c r="A262" s="10" t="s">
        <v>8</v>
      </c>
      <c r="B262" s="11" t="s">
        <v>9</v>
      </c>
      <c r="C262" s="27" t="s">
        <v>71</v>
      </c>
      <c r="D262" s="28">
        <v>45309</v>
      </c>
      <c r="E262" s="12">
        <v>2231.9</v>
      </c>
      <c r="F262" s="13" t="s">
        <v>106</v>
      </c>
      <c r="G262" s="14" t="str">
        <f t="shared" si="8"/>
        <v>B</v>
      </c>
      <c r="H262" s="15" t="str">
        <f t="shared" si="9"/>
        <v>The Commissioner &amp; Chief Constable are satisfied the spend represents VFM in accordance with the requirements of Category B</v>
      </c>
      <c r="K262" s="17"/>
      <c r="L262" s="17"/>
    </row>
    <row r="263" spans="1:12" s="20" customFormat="1" x14ac:dyDescent="0.2">
      <c r="A263" s="10" t="s">
        <v>8</v>
      </c>
      <c r="B263" s="11" t="s">
        <v>9</v>
      </c>
      <c r="C263" s="27" t="s">
        <v>219</v>
      </c>
      <c r="D263" s="28">
        <v>45294</v>
      </c>
      <c r="E263" s="12">
        <v>2213.15</v>
      </c>
      <c r="F263" s="13" t="s">
        <v>220</v>
      </c>
      <c r="G263" s="14" t="str">
        <f t="shared" si="8"/>
        <v>B</v>
      </c>
      <c r="H263" s="15" t="str">
        <f t="shared" si="9"/>
        <v>The Commissioner &amp; Chief Constable are satisfied the spend represents VFM in accordance with the requirements of Category B</v>
      </c>
      <c r="K263" s="17"/>
      <c r="L263" s="17"/>
    </row>
    <row r="264" spans="1:12" s="20" customFormat="1" x14ac:dyDescent="0.2">
      <c r="A264" s="10" t="s">
        <v>8</v>
      </c>
      <c r="B264" s="11" t="s">
        <v>9</v>
      </c>
      <c r="C264" s="27" t="s">
        <v>221</v>
      </c>
      <c r="D264" s="28">
        <v>45306</v>
      </c>
      <c r="E264" s="12">
        <v>2200</v>
      </c>
      <c r="F264" s="13" t="s">
        <v>106</v>
      </c>
      <c r="G264" s="14" t="str">
        <f t="shared" si="8"/>
        <v>B</v>
      </c>
      <c r="H264" s="15" t="str">
        <f t="shared" si="9"/>
        <v>The Commissioner &amp; Chief Constable are satisfied the spend represents VFM in accordance with the requirements of Category B</v>
      </c>
      <c r="K264" s="17"/>
      <c r="L264" s="17"/>
    </row>
    <row r="265" spans="1:12" s="20" customFormat="1" x14ac:dyDescent="0.2">
      <c r="A265" s="10" t="s">
        <v>8</v>
      </c>
      <c r="B265" s="11" t="s">
        <v>9</v>
      </c>
      <c r="C265" s="27" t="s">
        <v>222</v>
      </c>
      <c r="D265" s="28">
        <v>45315</v>
      </c>
      <c r="E265" s="12">
        <v>2155</v>
      </c>
      <c r="F265" s="13" t="s">
        <v>22</v>
      </c>
      <c r="G265" s="14" t="str">
        <f t="shared" si="8"/>
        <v>B</v>
      </c>
      <c r="H265" s="15" t="str">
        <f t="shared" si="9"/>
        <v>The Commissioner &amp; Chief Constable are satisfied the spend represents VFM in accordance with the requirements of Category B</v>
      </c>
      <c r="K265" s="17"/>
      <c r="L265" s="17"/>
    </row>
    <row r="266" spans="1:12" s="20" customFormat="1" x14ac:dyDescent="0.2">
      <c r="A266" s="10" t="s">
        <v>8</v>
      </c>
      <c r="B266" s="11" t="s">
        <v>9</v>
      </c>
      <c r="C266" s="27" t="s">
        <v>30</v>
      </c>
      <c r="D266" s="28">
        <v>45293</v>
      </c>
      <c r="E266" s="12">
        <v>2150.9700000000003</v>
      </c>
      <c r="F266" s="13" t="s">
        <v>31</v>
      </c>
      <c r="G266" s="14" t="str">
        <f t="shared" si="8"/>
        <v>B</v>
      </c>
      <c r="H266" s="15" t="str">
        <f t="shared" si="9"/>
        <v>The Commissioner &amp; Chief Constable are satisfied the spend represents VFM in accordance with the requirements of Category B</v>
      </c>
      <c r="K266" s="17"/>
      <c r="L266" s="17"/>
    </row>
    <row r="267" spans="1:12" s="20" customFormat="1" x14ac:dyDescent="0.2">
      <c r="A267" s="10" t="s">
        <v>8</v>
      </c>
      <c r="B267" s="11" t="s">
        <v>9</v>
      </c>
      <c r="C267" s="27" t="s">
        <v>149</v>
      </c>
      <c r="D267" s="28">
        <v>45298</v>
      </c>
      <c r="E267" s="12">
        <v>2148.63</v>
      </c>
      <c r="F267" s="13" t="s">
        <v>138</v>
      </c>
      <c r="G267" s="14" t="str">
        <f t="shared" si="8"/>
        <v>B</v>
      </c>
      <c r="H267" s="15" t="str">
        <f t="shared" si="9"/>
        <v>The Commissioner &amp; Chief Constable are satisfied the spend represents VFM in accordance with the requirements of Category B</v>
      </c>
      <c r="K267" s="17"/>
      <c r="L267" s="17"/>
    </row>
    <row r="268" spans="1:12" s="20" customFormat="1" x14ac:dyDescent="0.2">
      <c r="A268" s="10" t="s">
        <v>8</v>
      </c>
      <c r="B268" s="11" t="s">
        <v>9</v>
      </c>
      <c r="C268" s="27" t="s">
        <v>90</v>
      </c>
      <c r="D268" s="28">
        <v>45315</v>
      </c>
      <c r="E268" s="12">
        <v>2145.9899999999998</v>
      </c>
      <c r="F268" s="13" t="s">
        <v>91</v>
      </c>
      <c r="G268" s="14" t="str">
        <f t="shared" si="8"/>
        <v>B</v>
      </c>
      <c r="H268" s="15" t="str">
        <f t="shared" si="9"/>
        <v>The Commissioner &amp; Chief Constable are satisfied the spend represents VFM in accordance with the requirements of Category B</v>
      </c>
      <c r="K268" s="17"/>
      <c r="L268" s="17"/>
    </row>
    <row r="269" spans="1:12" s="20" customFormat="1" x14ac:dyDescent="0.2">
      <c r="A269" s="10" t="s">
        <v>8</v>
      </c>
      <c r="B269" s="11" t="s">
        <v>9</v>
      </c>
      <c r="C269" s="27" t="s">
        <v>223</v>
      </c>
      <c r="D269" s="28">
        <v>45293</v>
      </c>
      <c r="E269" s="12">
        <v>2145</v>
      </c>
      <c r="F269" s="13" t="s">
        <v>22</v>
      </c>
      <c r="G269" s="14" t="str">
        <f t="shared" si="8"/>
        <v>B</v>
      </c>
      <c r="H269" s="15" t="str">
        <f t="shared" si="9"/>
        <v>The Commissioner &amp; Chief Constable are satisfied the spend represents VFM in accordance with the requirements of Category B</v>
      </c>
      <c r="K269" s="17"/>
      <c r="L269" s="17"/>
    </row>
    <row r="270" spans="1:12" s="20" customFormat="1" x14ac:dyDescent="0.2">
      <c r="A270" s="10" t="s">
        <v>8</v>
      </c>
      <c r="B270" s="11" t="s">
        <v>9</v>
      </c>
      <c r="C270" s="27" t="s">
        <v>196</v>
      </c>
      <c r="D270" s="28">
        <v>45302</v>
      </c>
      <c r="E270" s="12">
        <v>2128.4</v>
      </c>
      <c r="F270" s="13" t="s">
        <v>169</v>
      </c>
      <c r="G270" s="14" t="str">
        <f t="shared" si="8"/>
        <v>B</v>
      </c>
      <c r="H270" s="15" t="str">
        <f t="shared" si="9"/>
        <v>The Commissioner &amp; Chief Constable are satisfied the spend represents VFM in accordance with the requirements of Category B</v>
      </c>
      <c r="K270" s="17"/>
      <c r="L270" s="17"/>
    </row>
    <row r="271" spans="1:12" s="20" customFormat="1" x14ac:dyDescent="0.2">
      <c r="A271" s="10" t="s">
        <v>8</v>
      </c>
      <c r="B271" s="11" t="s">
        <v>9</v>
      </c>
      <c r="C271" s="27" t="s">
        <v>200</v>
      </c>
      <c r="D271" s="28">
        <v>45307</v>
      </c>
      <c r="E271" s="12">
        <v>2111</v>
      </c>
      <c r="F271" s="13" t="s">
        <v>38</v>
      </c>
      <c r="G271" s="14" t="str">
        <f t="shared" si="8"/>
        <v>B</v>
      </c>
      <c r="H271" s="15" t="str">
        <f t="shared" si="9"/>
        <v>The Commissioner &amp; Chief Constable are satisfied the spend represents VFM in accordance with the requirements of Category B</v>
      </c>
      <c r="K271" s="17"/>
      <c r="L271" s="17"/>
    </row>
    <row r="272" spans="1:12" s="20" customFormat="1" x14ac:dyDescent="0.2">
      <c r="A272" s="10" t="s">
        <v>8</v>
      </c>
      <c r="B272" s="11" t="s">
        <v>9</v>
      </c>
      <c r="C272" s="27" t="s">
        <v>224</v>
      </c>
      <c r="D272" s="28">
        <v>45302</v>
      </c>
      <c r="E272" s="12">
        <v>1275</v>
      </c>
      <c r="F272" s="13" t="s">
        <v>106</v>
      </c>
      <c r="G272" s="14" t="str">
        <f t="shared" si="8"/>
        <v>B</v>
      </c>
      <c r="H272" s="15" t="str">
        <f t="shared" si="9"/>
        <v>The Commissioner &amp; Chief Constable are satisfied the spend represents VFM in accordance with the requirements of Category B</v>
      </c>
      <c r="K272" s="17"/>
      <c r="L272" s="17"/>
    </row>
    <row r="273" spans="1:12" s="20" customFormat="1" x14ac:dyDescent="0.2">
      <c r="A273" s="10" t="s">
        <v>8</v>
      </c>
      <c r="B273" s="11" t="s">
        <v>9</v>
      </c>
      <c r="C273" s="27" t="s">
        <v>224</v>
      </c>
      <c r="D273" s="28">
        <v>45302</v>
      </c>
      <c r="E273" s="18">
        <v>817</v>
      </c>
      <c r="F273" s="19" t="s">
        <v>182</v>
      </c>
      <c r="G273" s="14" t="str">
        <f t="shared" si="8"/>
        <v>A</v>
      </c>
      <c r="H273" s="15" t="str">
        <f t="shared" si="9"/>
        <v>The Commissioner &amp; Chief Constable are satisfied the spend represents VFM in accordance with the requirements of Category A</v>
      </c>
      <c r="K273" s="17"/>
      <c r="L273" s="17"/>
    </row>
    <row r="274" spans="1:12" s="20" customFormat="1" x14ac:dyDescent="0.2">
      <c r="A274" s="10" t="s">
        <v>8</v>
      </c>
      <c r="B274" s="11" t="s">
        <v>9</v>
      </c>
      <c r="C274" s="27" t="s">
        <v>225</v>
      </c>
      <c r="D274" s="28">
        <v>45303</v>
      </c>
      <c r="E274" s="12">
        <v>2080</v>
      </c>
      <c r="F274" s="13" t="s">
        <v>106</v>
      </c>
      <c r="G274" s="14" t="str">
        <f t="shared" si="8"/>
        <v>B</v>
      </c>
      <c r="H274" s="15" t="str">
        <f t="shared" si="9"/>
        <v>The Commissioner &amp; Chief Constable are satisfied the spend represents VFM in accordance with the requirements of Category B</v>
      </c>
      <c r="K274" s="17"/>
      <c r="L274" s="17"/>
    </row>
    <row r="275" spans="1:12" s="20" customFormat="1" x14ac:dyDescent="0.2">
      <c r="A275" s="10" t="s">
        <v>8</v>
      </c>
      <c r="B275" s="11" t="s">
        <v>9</v>
      </c>
      <c r="C275" s="27" t="s">
        <v>226</v>
      </c>
      <c r="D275" s="28">
        <v>45322</v>
      </c>
      <c r="E275" s="12">
        <v>2000</v>
      </c>
      <c r="F275" s="13" t="s">
        <v>106</v>
      </c>
      <c r="G275" s="14" t="str">
        <f t="shared" si="8"/>
        <v>B</v>
      </c>
      <c r="H275" s="15" t="str">
        <f t="shared" si="9"/>
        <v>The Commissioner &amp; Chief Constable are satisfied the spend represents VFM in accordance with the requirements of Category B</v>
      </c>
      <c r="K275" s="17"/>
      <c r="L275" s="17"/>
    </row>
    <row r="276" spans="1:12" s="20" customFormat="1" x14ac:dyDescent="0.2">
      <c r="A276" s="10" t="s">
        <v>8</v>
      </c>
      <c r="B276" s="11" t="s">
        <v>9</v>
      </c>
      <c r="C276" s="27" t="s">
        <v>227</v>
      </c>
      <c r="D276" s="28">
        <v>45321</v>
      </c>
      <c r="E276" s="12">
        <v>1990</v>
      </c>
      <c r="F276" s="13" t="s">
        <v>106</v>
      </c>
      <c r="G276" s="14" t="str">
        <f t="shared" si="8"/>
        <v>B</v>
      </c>
      <c r="H276" s="15" t="str">
        <f t="shared" si="9"/>
        <v>The Commissioner &amp; Chief Constable are satisfied the spend represents VFM in accordance with the requirements of Category B</v>
      </c>
      <c r="K276" s="17"/>
      <c r="L276" s="17"/>
    </row>
    <row r="277" spans="1:12" s="20" customFormat="1" x14ac:dyDescent="0.2">
      <c r="A277" s="10" t="s">
        <v>8</v>
      </c>
      <c r="B277" s="11" t="s">
        <v>9</v>
      </c>
      <c r="C277" s="27" t="s">
        <v>228</v>
      </c>
      <c r="D277" s="28">
        <v>45317</v>
      </c>
      <c r="E277" s="12">
        <v>144.12</v>
      </c>
      <c r="F277" s="13" t="s">
        <v>131</v>
      </c>
      <c r="G277" s="14" t="str">
        <f t="shared" si="8"/>
        <v>A</v>
      </c>
      <c r="H277" s="15" t="str">
        <f t="shared" si="9"/>
        <v>The Commissioner &amp; Chief Constable are satisfied the spend represents VFM in accordance with the requirements of Category A</v>
      </c>
      <c r="K277" s="17"/>
      <c r="L277" s="17"/>
    </row>
    <row r="278" spans="1:12" s="20" customFormat="1" x14ac:dyDescent="0.2">
      <c r="A278" s="10" t="s">
        <v>8</v>
      </c>
      <c r="B278" s="11" t="s">
        <v>9</v>
      </c>
      <c r="C278" s="27" t="s">
        <v>228</v>
      </c>
      <c r="D278" s="28">
        <v>45317</v>
      </c>
      <c r="E278" s="18">
        <v>1834.22</v>
      </c>
      <c r="F278" s="19" t="s">
        <v>229</v>
      </c>
      <c r="G278" s="14" t="str">
        <f t="shared" si="8"/>
        <v>B</v>
      </c>
      <c r="H278" s="15" t="str">
        <f t="shared" si="9"/>
        <v>The Commissioner &amp; Chief Constable are satisfied the spend represents VFM in accordance with the requirements of Category B</v>
      </c>
      <c r="K278" s="17"/>
      <c r="L278" s="17"/>
    </row>
    <row r="279" spans="1:12" s="20" customFormat="1" x14ac:dyDescent="0.2">
      <c r="A279" s="10" t="s">
        <v>8</v>
      </c>
      <c r="B279" s="11" t="s">
        <v>9</v>
      </c>
      <c r="C279" s="27" t="s">
        <v>230</v>
      </c>
      <c r="D279" s="28">
        <v>45310</v>
      </c>
      <c r="E279" s="12">
        <v>1972</v>
      </c>
      <c r="F279" s="13" t="s">
        <v>40</v>
      </c>
      <c r="G279" s="14" t="str">
        <f t="shared" si="8"/>
        <v>B</v>
      </c>
      <c r="H279" s="15" t="str">
        <f t="shared" si="9"/>
        <v>The Commissioner &amp; Chief Constable are satisfied the spend represents VFM in accordance with the requirements of Category B</v>
      </c>
      <c r="K279" s="17"/>
      <c r="L279" s="17"/>
    </row>
    <row r="280" spans="1:12" s="20" customFormat="1" x14ac:dyDescent="0.2">
      <c r="A280" s="10" t="s">
        <v>8</v>
      </c>
      <c r="B280" s="11" t="s">
        <v>9</v>
      </c>
      <c r="C280" s="27" t="s">
        <v>231</v>
      </c>
      <c r="D280" s="28">
        <v>45300</v>
      </c>
      <c r="E280" s="12">
        <v>1950</v>
      </c>
      <c r="F280" s="13" t="s">
        <v>22</v>
      </c>
      <c r="G280" s="14" t="str">
        <f t="shared" si="8"/>
        <v>B</v>
      </c>
      <c r="H280" s="15" t="str">
        <f t="shared" si="9"/>
        <v>The Commissioner &amp; Chief Constable are satisfied the spend represents VFM in accordance with the requirements of Category B</v>
      </c>
      <c r="K280" s="17"/>
      <c r="L280" s="17"/>
    </row>
    <row r="281" spans="1:12" s="20" customFormat="1" x14ac:dyDescent="0.2">
      <c r="A281" s="10" t="s">
        <v>8</v>
      </c>
      <c r="B281" s="11" t="s">
        <v>9</v>
      </c>
      <c r="C281" s="27" t="s">
        <v>232</v>
      </c>
      <c r="D281" s="28">
        <v>45300</v>
      </c>
      <c r="E281" s="12">
        <v>1947.4</v>
      </c>
      <c r="F281" s="13" t="s">
        <v>94</v>
      </c>
      <c r="G281" s="14" t="str">
        <f t="shared" si="8"/>
        <v>B</v>
      </c>
      <c r="H281" s="15" t="str">
        <f t="shared" si="9"/>
        <v>The Commissioner &amp; Chief Constable are satisfied the spend represents VFM in accordance with the requirements of Category B</v>
      </c>
      <c r="K281" s="17"/>
      <c r="L281" s="17"/>
    </row>
    <row r="282" spans="1:12" s="20" customFormat="1" x14ac:dyDescent="0.2">
      <c r="A282" s="10" t="s">
        <v>8</v>
      </c>
      <c r="B282" s="11" t="s">
        <v>9</v>
      </c>
      <c r="C282" s="27" t="s">
        <v>48</v>
      </c>
      <c r="D282" s="28">
        <v>45300</v>
      </c>
      <c r="E282" s="12">
        <v>1936.51</v>
      </c>
      <c r="F282" s="13" t="s">
        <v>58</v>
      </c>
      <c r="G282" s="14" t="str">
        <f t="shared" si="8"/>
        <v>B</v>
      </c>
      <c r="H282" s="15" t="str">
        <f t="shared" si="9"/>
        <v>The Commissioner &amp; Chief Constable are satisfied the spend represents VFM in accordance with the requirements of Category B</v>
      </c>
      <c r="K282" s="17"/>
      <c r="L282" s="17"/>
    </row>
    <row r="283" spans="1:12" s="20" customFormat="1" x14ac:dyDescent="0.2">
      <c r="A283" s="10" t="s">
        <v>8</v>
      </c>
      <c r="B283" s="11" t="s">
        <v>9</v>
      </c>
      <c r="C283" s="27" t="s">
        <v>214</v>
      </c>
      <c r="D283" s="28">
        <v>45295</v>
      </c>
      <c r="E283" s="12">
        <v>1920</v>
      </c>
      <c r="F283" s="13" t="s">
        <v>22</v>
      </c>
      <c r="G283" s="14" t="str">
        <f t="shared" si="8"/>
        <v>B</v>
      </c>
      <c r="H283" s="15" t="str">
        <f t="shared" si="9"/>
        <v>The Commissioner &amp; Chief Constable are satisfied the spend represents VFM in accordance with the requirements of Category B</v>
      </c>
      <c r="K283" s="17"/>
      <c r="L283" s="17"/>
    </row>
    <row r="284" spans="1:12" s="20" customFormat="1" x14ac:dyDescent="0.2">
      <c r="A284" s="10" t="s">
        <v>8</v>
      </c>
      <c r="B284" s="11" t="s">
        <v>9</v>
      </c>
      <c r="C284" s="29" t="s">
        <v>48</v>
      </c>
      <c r="D284" s="28">
        <v>45308</v>
      </c>
      <c r="E284" s="12">
        <v>1898.79</v>
      </c>
      <c r="F284" s="13" t="s">
        <v>58</v>
      </c>
      <c r="G284" s="14" t="str">
        <f t="shared" si="8"/>
        <v>B</v>
      </c>
      <c r="H284" s="15" t="str">
        <f t="shared" si="9"/>
        <v>The Commissioner &amp; Chief Constable are satisfied the spend represents VFM in accordance with the requirements of Category B</v>
      </c>
      <c r="K284" s="17"/>
      <c r="L284" s="17"/>
    </row>
    <row r="285" spans="1:12" s="20" customFormat="1" x14ac:dyDescent="0.2">
      <c r="A285" s="10" t="s">
        <v>8</v>
      </c>
      <c r="B285" s="11" t="s">
        <v>9</v>
      </c>
      <c r="C285" s="27" t="s">
        <v>233</v>
      </c>
      <c r="D285" s="28">
        <v>45300</v>
      </c>
      <c r="E285" s="12">
        <v>1895.1</v>
      </c>
      <c r="F285" s="13" t="s">
        <v>131</v>
      </c>
      <c r="G285" s="14" t="str">
        <f t="shared" si="8"/>
        <v>B</v>
      </c>
      <c r="H285" s="15" t="str">
        <f t="shared" si="9"/>
        <v>The Commissioner &amp; Chief Constable are satisfied the spend represents VFM in accordance with the requirements of Category B</v>
      </c>
      <c r="K285" s="17"/>
      <c r="L285" s="17"/>
    </row>
    <row r="286" spans="1:12" s="20" customFormat="1" x14ac:dyDescent="0.2">
      <c r="A286" s="10" t="s">
        <v>8</v>
      </c>
      <c r="B286" s="11" t="s">
        <v>9</v>
      </c>
      <c r="C286" s="27" t="s">
        <v>234</v>
      </c>
      <c r="D286" s="28">
        <v>45320</v>
      </c>
      <c r="E286" s="12">
        <v>1876.86</v>
      </c>
      <c r="F286" s="13" t="s">
        <v>42</v>
      </c>
      <c r="G286" s="14" t="str">
        <f t="shared" si="8"/>
        <v>B</v>
      </c>
      <c r="H286" s="15" t="str">
        <f t="shared" si="9"/>
        <v>The Commissioner &amp; Chief Constable are satisfied the spend represents VFM in accordance with the requirements of Category B</v>
      </c>
      <c r="K286" s="17"/>
      <c r="L286" s="17"/>
    </row>
    <row r="287" spans="1:12" s="20" customFormat="1" x14ac:dyDescent="0.2">
      <c r="A287" s="10" t="s">
        <v>8</v>
      </c>
      <c r="B287" s="11" t="s">
        <v>9</v>
      </c>
      <c r="C287" s="27" t="s">
        <v>235</v>
      </c>
      <c r="D287" s="28">
        <v>45302</v>
      </c>
      <c r="E287" s="12">
        <v>1872</v>
      </c>
      <c r="F287" s="13" t="s">
        <v>39</v>
      </c>
      <c r="G287" s="14" t="str">
        <f t="shared" si="8"/>
        <v>B</v>
      </c>
      <c r="H287" s="15" t="str">
        <f t="shared" si="9"/>
        <v>The Commissioner &amp; Chief Constable are satisfied the spend represents VFM in accordance with the requirements of Category B</v>
      </c>
      <c r="K287" s="17"/>
      <c r="L287" s="17"/>
    </row>
    <row r="288" spans="1:12" s="20" customFormat="1" x14ac:dyDescent="0.2">
      <c r="A288" s="10" t="s">
        <v>8</v>
      </c>
      <c r="B288" s="11" t="s">
        <v>9</v>
      </c>
      <c r="C288" s="27" t="s">
        <v>219</v>
      </c>
      <c r="D288" s="28">
        <v>45321</v>
      </c>
      <c r="E288" s="12">
        <v>1862.15</v>
      </c>
      <c r="F288" s="13" t="s">
        <v>220</v>
      </c>
      <c r="G288" s="14" t="str">
        <f t="shared" si="8"/>
        <v>B</v>
      </c>
      <c r="H288" s="15" t="str">
        <f t="shared" si="9"/>
        <v>The Commissioner &amp; Chief Constable are satisfied the spend represents VFM in accordance with the requirements of Category B</v>
      </c>
      <c r="K288" s="17"/>
      <c r="L288" s="17"/>
    </row>
    <row r="289" spans="1:12" s="20" customFormat="1" x14ac:dyDescent="0.2">
      <c r="A289" s="10" t="s">
        <v>8</v>
      </c>
      <c r="B289" s="11" t="s">
        <v>9</v>
      </c>
      <c r="C289" s="27" t="s">
        <v>236</v>
      </c>
      <c r="D289" s="28">
        <v>45320</v>
      </c>
      <c r="E289" s="12">
        <v>1850</v>
      </c>
      <c r="F289" s="13" t="s">
        <v>237</v>
      </c>
      <c r="G289" s="14" t="str">
        <f t="shared" si="8"/>
        <v>B</v>
      </c>
      <c r="H289" s="15" t="str">
        <f t="shared" si="9"/>
        <v>The Commissioner &amp; Chief Constable are satisfied the spend represents VFM in accordance with the requirements of Category B</v>
      </c>
      <c r="K289" s="17"/>
      <c r="L289" s="17"/>
    </row>
    <row r="290" spans="1:12" s="20" customFormat="1" x14ac:dyDescent="0.2">
      <c r="A290" s="10" t="s">
        <v>8</v>
      </c>
      <c r="B290" s="11" t="s">
        <v>9</v>
      </c>
      <c r="C290" s="27" t="s">
        <v>238</v>
      </c>
      <c r="D290" s="28">
        <v>45321</v>
      </c>
      <c r="E290" s="12">
        <v>1850</v>
      </c>
      <c r="F290" s="13" t="s">
        <v>106</v>
      </c>
      <c r="G290" s="14" t="str">
        <f t="shared" si="8"/>
        <v>B</v>
      </c>
      <c r="H290" s="15" t="str">
        <f t="shared" si="9"/>
        <v>The Commissioner &amp; Chief Constable are satisfied the spend represents VFM in accordance with the requirements of Category B</v>
      </c>
      <c r="K290" s="17"/>
      <c r="L290" s="17"/>
    </row>
    <row r="291" spans="1:12" s="20" customFormat="1" x14ac:dyDescent="0.2">
      <c r="A291" s="10" t="s">
        <v>8</v>
      </c>
      <c r="B291" s="11" t="s">
        <v>9</v>
      </c>
      <c r="C291" s="27" t="s">
        <v>239</v>
      </c>
      <c r="D291" s="28">
        <v>45322</v>
      </c>
      <c r="E291" s="12">
        <v>1840.29</v>
      </c>
      <c r="F291" s="13" t="s">
        <v>94</v>
      </c>
      <c r="G291" s="14" t="str">
        <f t="shared" si="8"/>
        <v>B</v>
      </c>
      <c r="H291" s="15" t="str">
        <f t="shared" si="9"/>
        <v>The Commissioner &amp; Chief Constable are satisfied the spend represents VFM in accordance with the requirements of Category B</v>
      </c>
      <c r="K291" s="17"/>
      <c r="L291" s="17"/>
    </row>
    <row r="292" spans="1:12" s="20" customFormat="1" x14ac:dyDescent="0.2">
      <c r="A292" s="10" t="s">
        <v>8</v>
      </c>
      <c r="B292" s="11" t="s">
        <v>9</v>
      </c>
      <c r="C292" s="27" t="s">
        <v>240</v>
      </c>
      <c r="D292" s="28">
        <v>45307</v>
      </c>
      <c r="E292" s="12">
        <v>1830.08</v>
      </c>
      <c r="F292" s="13" t="s">
        <v>241</v>
      </c>
      <c r="G292" s="14" t="str">
        <f t="shared" si="8"/>
        <v>B</v>
      </c>
      <c r="H292" s="15" t="str">
        <f t="shared" si="9"/>
        <v>The Commissioner &amp; Chief Constable are satisfied the spend represents VFM in accordance with the requirements of Category B</v>
      </c>
      <c r="K292" s="17"/>
      <c r="L292" s="17"/>
    </row>
    <row r="293" spans="1:12" s="20" customFormat="1" x14ac:dyDescent="0.2">
      <c r="A293" s="10" t="s">
        <v>8</v>
      </c>
      <c r="B293" s="11" t="s">
        <v>9</v>
      </c>
      <c r="C293" s="27" t="s">
        <v>242</v>
      </c>
      <c r="D293" s="28">
        <v>45310</v>
      </c>
      <c r="E293" s="12">
        <v>1804.04</v>
      </c>
      <c r="F293" s="13" t="s">
        <v>94</v>
      </c>
      <c r="G293" s="14" t="str">
        <f t="shared" si="8"/>
        <v>B</v>
      </c>
      <c r="H293" s="15" t="str">
        <f t="shared" si="9"/>
        <v>The Commissioner &amp; Chief Constable are satisfied the spend represents VFM in accordance with the requirements of Category B</v>
      </c>
      <c r="K293" s="17"/>
      <c r="L293" s="17"/>
    </row>
    <row r="294" spans="1:12" s="20" customFormat="1" x14ac:dyDescent="0.2">
      <c r="A294" s="10" t="s">
        <v>8</v>
      </c>
      <c r="B294" s="11" t="s">
        <v>9</v>
      </c>
      <c r="C294" s="27" t="s">
        <v>243</v>
      </c>
      <c r="D294" s="28">
        <v>45299</v>
      </c>
      <c r="E294" s="12">
        <v>1800</v>
      </c>
      <c r="F294" s="13" t="s">
        <v>22</v>
      </c>
      <c r="G294" s="14" t="str">
        <f t="shared" si="8"/>
        <v>B</v>
      </c>
      <c r="H294" s="15" t="str">
        <f t="shared" si="9"/>
        <v>The Commissioner &amp; Chief Constable are satisfied the spend represents VFM in accordance with the requirements of Category B</v>
      </c>
      <c r="K294" s="17"/>
      <c r="L294" s="17"/>
    </row>
    <row r="295" spans="1:12" s="20" customFormat="1" x14ac:dyDescent="0.2">
      <c r="A295" s="10" t="s">
        <v>8</v>
      </c>
      <c r="B295" s="11" t="s">
        <v>9</v>
      </c>
      <c r="C295" s="27" t="s">
        <v>244</v>
      </c>
      <c r="D295" s="28">
        <v>45301</v>
      </c>
      <c r="E295" s="12">
        <v>1800</v>
      </c>
      <c r="F295" s="13" t="s">
        <v>106</v>
      </c>
      <c r="G295" s="14" t="str">
        <f t="shared" si="8"/>
        <v>B</v>
      </c>
      <c r="H295" s="15" t="str">
        <f t="shared" si="9"/>
        <v>The Commissioner &amp; Chief Constable are satisfied the spend represents VFM in accordance with the requirements of Category B</v>
      </c>
      <c r="K295" s="17"/>
      <c r="L295" s="17"/>
    </row>
    <row r="296" spans="1:12" s="20" customFormat="1" x14ac:dyDescent="0.2">
      <c r="A296" s="10" t="s">
        <v>8</v>
      </c>
      <c r="B296" s="11" t="s">
        <v>9</v>
      </c>
      <c r="C296" s="27" t="s">
        <v>245</v>
      </c>
      <c r="D296" s="28">
        <v>45317</v>
      </c>
      <c r="E296" s="12">
        <v>1800</v>
      </c>
      <c r="F296" s="13" t="s">
        <v>106</v>
      </c>
      <c r="G296" s="14" t="str">
        <f t="shared" si="8"/>
        <v>B</v>
      </c>
      <c r="H296" s="15" t="str">
        <f t="shared" si="9"/>
        <v>The Commissioner &amp; Chief Constable are satisfied the spend represents VFM in accordance with the requirements of Category B</v>
      </c>
      <c r="K296" s="17"/>
      <c r="L296" s="17"/>
    </row>
    <row r="297" spans="1:12" s="20" customFormat="1" x14ac:dyDescent="0.2">
      <c r="A297" s="10" t="s">
        <v>8</v>
      </c>
      <c r="B297" s="11" t="s">
        <v>9</v>
      </c>
      <c r="C297" s="27" t="s">
        <v>142</v>
      </c>
      <c r="D297" s="28">
        <v>45295</v>
      </c>
      <c r="E297" s="12">
        <v>1798.8</v>
      </c>
      <c r="F297" s="13" t="s">
        <v>143</v>
      </c>
      <c r="G297" s="14" t="str">
        <f t="shared" si="8"/>
        <v>B</v>
      </c>
      <c r="H297" s="15" t="str">
        <f t="shared" si="9"/>
        <v>The Commissioner &amp; Chief Constable are satisfied the spend represents VFM in accordance with the requirements of Category B</v>
      </c>
      <c r="K297" s="17"/>
      <c r="L297" s="17"/>
    </row>
    <row r="298" spans="1:12" s="20" customFormat="1" x14ac:dyDescent="0.2">
      <c r="A298" s="10" t="s">
        <v>8</v>
      </c>
      <c r="B298" s="11" t="s">
        <v>9</v>
      </c>
      <c r="C298" s="27" t="s">
        <v>246</v>
      </c>
      <c r="D298" s="28">
        <v>45303</v>
      </c>
      <c r="E298" s="12">
        <v>1768.08</v>
      </c>
      <c r="F298" s="13" t="s">
        <v>131</v>
      </c>
      <c r="G298" s="14" t="str">
        <f t="shared" si="8"/>
        <v>B</v>
      </c>
      <c r="H298" s="15" t="str">
        <f t="shared" si="9"/>
        <v>The Commissioner &amp; Chief Constable are satisfied the spend represents VFM in accordance with the requirements of Category B</v>
      </c>
      <c r="K298" s="17"/>
      <c r="L298" s="17"/>
    </row>
    <row r="299" spans="1:12" s="20" customFormat="1" x14ac:dyDescent="0.2">
      <c r="A299" s="10" t="s">
        <v>8</v>
      </c>
      <c r="B299" s="11" t="s">
        <v>9</v>
      </c>
      <c r="C299" s="27" t="s">
        <v>247</v>
      </c>
      <c r="D299" s="28">
        <v>45315</v>
      </c>
      <c r="E299" s="12">
        <v>1760</v>
      </c>
      <c r="F299" s="13" t="s">
        <v>194</v>
      </c>
      <c r="G299" s="14" t="str">
        <f t="shared" si="8"/>
        <v>B</v>
      </c>
      <c r="H299" s="15" t="str">
        <f t="shared" si="9"/>
        <v>The Commissioner &amp; Chief Constable are satisfied the spend represents VFM in accordance with the requirements of Category B</v>
      </c>
      <c r="K299" s="17"/>
      <c r="L299" s="17"/>
    </row>
    <row r="300" spans="1:12" s="20" customFormat="1" x14ac:dyDescent="0.2">
      <c r="A300" s="10" t="s">
        <v>8</v>
      </c>
      <c r="B300" s="11" t="s">
        <v>9</v>
      </c>
      <c r="C300" s="27" t="s">
        <v>248</v>
      </c>
      <c r="D300" s="28">
        <v>45320</v>
      </c>
      <c r="E300" s="12">
        <v>1750</v>
      </c>
      <c r="F300" s="13" t="s">
        <v>138</v>
      </c>
      <c r="G300" s="14" t="str">
        <f t="shared" si="8"/>
        <v>B</v>
      </c>
      <c r="H300" s="15" t="str">
        <f t="shared" si="9"/>
        <v>The Commissioner &amp; Chief Constable are satisfied the spend represents VFM in accordance with the requirements of Category B</v>
      </c>
      <c r="K300" s="17"/>
      <c r="L300" s="17"/>
    </row>
    <row r="301" spans="1:12" s="20" customFormat="1" x14ac:dyDescent="0.2">
      <c r="A301" s="10" t="s">
        <v>8</v>
      </c>
      <c r="B301" s="11" t="s">
        <v>9</v>
      </c>
      <c r="C301" s="27" t="s">
        <v>248</v>
      </c>
      <c r="D301" s="28">
        <v>45307</v>
      </c>
      <c r="E301" s="12">
        <v>1750</v>
      </c>
      <c r="F301" s="13" t="s">
        <v>138</v>
      </c>
      <c r="G301" s="14" t="str">
        <f t="shared" si="8"/>
        <v>B</v>
      </c>
      <c r="H301" s="15" t="str">
        <f t="shared" si="9"/>
        <v>The Commissioner &amp; Chief Constable are satisfied the spend represents VFM in accordance with the requirements of Category B</v>
      </c>
      <c r="K301" s="17"/>
      <c r="L301" s="17"/>
    </row>
    <row r="302" spans="1:12" s="20" customFormat="1" x14ac:dyDescent="0.2">
      <c r="A302" s="10" t="s">
        <v>8</v>
      </c>
      <c r="B302" s="11" t="s">
        <v>9</v>
      </c>
      <c r="C302" s="27" t="s">
        <v>198</v>
      </c>
      <c r="D302" s="28">
        <v>45293</v>
      </c>
      <c r="E302" s="12">
        <v>1750</v>
      </c>
      <c r="F302" s="13" t="s">
        <v>15</v>
      </c>
      <c r="G302" s="14" t="str">
        <f t="shared" si="8"/>
        <v>B</v>
      </c>
      <c r="H302" s="15" t="str">
        <f t="shared" si="9"/>
        <v>The Commissioner &amp; Chief Constable are satisfied the spend represents VFM in accordance with the requirements of Category B</v>
      </c>
      <c r="K302" s="17"/>
      <c r="L302" s="17"/>
    </row>
    <row r="303" spans="1:12" s="20" customFormat="1" x14ac:dyDescent="0.2">
      <c r="A303" s="10" t="s">
        <v>8</v>
      </c>
      <c r="B303" s="11" t="s">
        <v>9</v>
      </c>
      <c r="C303" s="27" t="s">
        <v>168</v>
      </c>
      <c r="D303" s="28">
        <v>45320</v>
      </c>
      <c r="E303" s="12">
        <v>1734.8</v>
      </c>
      <c r="F303" s="13" t="s">
        <v>169</v>
      </c>
      <c r="G303" s="14" t="str">
        <f t="shared" si="8"/>
        <v>B</v>
      </c>
      <c r="H303" s="15" t="str">
        <f t="shared" si="9"/>
        <v>The Commissioner &amp; Chief Constable are satisfied the spend represents VFM in accordance with the requirements of Category B</v>
      </c>
      <c r="K303" s="17"/>
      <c r="L303" s="17"/>
    </row>
    <row r="304" spans="1:12" s="20" customFormat="1" x14ac:dyDescent="0.2">
      <c r="A304" s="10" t="s">
        <v>8</v>
      </c>
      <c r="B304" s="11" t="s">
        <v>9</v>
      </c>
      <c r="C304" s="27" t="s">
        <v>157</v>
      </c>
      <c r="D304" s="28">
        <v>45302</v>
      </c>
      <c r="E304" s="12">
        <v>1725.02</v>
      </c>
      <c r="F304" s="13" t="s">
        <v>43</v>
      </c>
      <c r="G304" s="14" t="str">
        <f t="shared" si="8"/>
        <v>B</v>
      </c>
      <c r="H304" s="15" t="str">
        <f t="shared" si="9"/>
        <v>The Commissioner &amp; Chief Constable are satisfied the spend represents VFM in accordance with the requirements of Category B</v>
      </c>
      <c r="K304" s="17"/>
      <c r="L304" s="17"/>
    </row>
    <row r="305" spans="1:12" s="20" customFormat="1" x14ac:dyDescent="0.2">
      <c r="A305" s="10" t="s">
        <v>8</v>
      </c>
      <c r="B305" s="11" t="s">
        <v>9</v>
      </c>
      <c r="C305" s="27" t="s">
        <v>249</v>
      </c>
      <c r="D305" s="28">
        <v>45314</v>
      </c>
      <c r="E305" s="12">
        <v>1713.5</v>
      </c>
      <c r="F305" s="13" t="s">
        <v>138</v>
      </c>
      <c r="G305" s="14" t="str">
        <f t="shared" si="8"/>
        <v>B</v>
      </c>
      <c r="H305" s="15" t="str">
        <f t="shared" si="9"/>
        <v>The Commissioner &amp; Chief Constable are satisfied the spend represents VFM in accordance with the requirements of Category B</v>
      </c>
      <c r="K305" s="17"/>
      <c r="L305" s="17"/>
    </row>
    <row r="306" spans="1:12" s="20" customFormat="1" x14ac:dyDescent="0.2">
      <c r="A306" s="10" t="s">
        <v>8</v>
      </c>
      <c r="B306" s="11" t="s">
        <v>9</v>
      </c>
      <c r="C306" s="27" t="s">
        <v>250</v>
      </c>
      <c r="D306" s="28">
        <v>45299</v>
      </c>
      <c r="E306" s="12">
        <v>50</v>
      </c>
      <c r="F306" s="13" t="s">
        <v>131</v>
      </c>
      <c r="G306" s="14" t="str">
        <f t="shared" si="8"/>
        <v>A</v>
      </c>
      <c r="H306" s="15" t="str">
        <f t="shared" si="9"/>
        <v>The Commissioner &amp; Chief Constable are satisfied the spend represents VFM in accordance with the requirements of Category A</v>
      </c>
      <c r="K306" s="17"/>
      <c r="L306" s="17"/>
    </row>
    <row r="307" spans="1:12" s="20" customFormat="1" x14ac:dyDescent="0.2">
      <c r="A307" s="10" t="s">
        <v>8</v>
      </c>
      <c r="B307" s="11" t="s">
        <v>9</v>
      </c>
      <c r="C307" s="27" t="s">
        <v>250</v>
      </c>
      <c r="D307" s="28">
        <v>45299</v>
      </c>
      <c r="E307" s="18">
        <v>1636.43</v>
      </c>
      <c r="F307" s="19" t="s">
        <v>251</v>
      </c>
      <c r="G307" s="14" t="str">
        <f t="shared" si="8"/>
        <v>B</v>
      </c>
      <c r="H307" s="15" t="str">
        <f t="shared" si="9"/>
        <v>The Commissioner &amp; Chief Constable are satisfied the spend represents VFM in accordance with the requirements of Category B</v>
      </c>
      <c r="K307" s="17"/>
      <c r="L307" s="17"/>
    </row>
    <row r="308" spans="1:12" s="20" customFormat="1" x14ac:dyDescent="0.2">
      <c r="A308" s="10" t="s">
        <v>8</v>
      </c>
      <c r="B308" s="11" t="s">
        <v>9</v>
      </c>
      <c r="C308" s="27" t="s">
        <v>181</v>
      </c>
      <c r="D308" s="28">
        <v>45307</v>
      </c>
      <c r="E308" s="12">
        <v>1682</v>
      </c>
      <c r="F308" s="13" t="s">
        <v>106</v>
      </c>
      <c r="G308" s="14" t="str">
        <f t="shared" si="8"/>
        <v>B</v>
      </c>
      <c r="H308" s="15" t="str">
        <f t="shared" si="9"/>
        <v>The Commissioner &amp; Chief Constable are satisfied the spend represents VFM in accordance with the requirements of Category B</v>
      </c>
      <c r="K308" s="17"/>
      <c r="L308" s="17"/>
    </row>
    <row r="309" spans="1:12" s="20" customFormat="1" x14ac:dyDescent="0.2">
      <c r="A309" s="10" t="s">
        <v>8</v>
      </c>
      <c r="B309" s="11" t="s">
        <v>9</v>
      </c>
      <c r="C309" s="27" t="s">
        <v>196</v>
      </c>
      <c r="D309" s="28">
        <v>45295</v>
      </c>
      <c r="E309" s="12">
        <v>1667.63</v>
      </c>
      <c r="F309" s="13" t="s">
        <v>169</v>
      </c>
      <c r="G309" s="14" t="str">
        <f t="shared" si="8"/>
        <v>B</v>
      </c>
      <c r="H309" s="15" t="str">
        <f t="shared" si="9"/>
        <v>The Commissioner &amp; Chief Constable are satisfied the spend represents VFM in accordance with the requirements of Category B</v>
      </c>
      <c r="K309" s="17"/>
      <c r="L309" s="17"/>
    </row>
    <row r="310" spans="1:12" x14ac:dyDescent="0.2">
      <c r="A310" s="10" t="s">
        <v>8</v>
      </c>
      <c r="B310" s="11" t="s">
        <v>9</v>
      </c>
      <c r="C310" s="27" t="s">
        <v>231</v>
      </c>
      <c r="D310" s="28">
        <v>45300</v>
      </c>
      <c r="E310" s="12">
        <v>1600.25</v>
      </c>
      <c r="F310" s="13" t="s">
        <v>22</v>
      </c>
      <c r="G310" s="14" t="str">
        <f t="shared" si="8"/>
        <v>B</v>
      </c>
      <c r="H310" s="15" t="str">
        <f t="shared" si="9"/>
        <v>The Commissioner &amp; Chief Constable are satisfied the spend represents VFM in accordance with the requirements of Category B</v>
      </c>
    </row>
    <row r="311" spans="1:12" x14ac:dyDescent="0.2">
      <c r="A311" s="10" t="s">
        <v>8</v>
      </c>
      <c r="B311" s="11" t="s">
        <v>9</v>
      </c>
      <c r="C311" s="27" t="s">
        <v>225</v>
      </c>
      <c r="D311" s="28">
        <v>45296</v>
      </c>
      <c r="E311" s="12">
        <v>1600</v>
      </c>
      <c r="F311" s="13" t="s">
        <v>106</v>
      </c>
      <c r="G311" s="14" t="str">
        <f t="shared" si="8"/>
        <v>B</v>
      </c>
      <c r="H311" s="15" t="str">
        <f t="shared" si="9"/>
        <v>The Commissioner &amp; Chief Constable are satisfied the spend represents VFM in accordance with the requirements of Category B</v>
      </c>
    </row>
    <row r="312" spans="1:12" x14ac:dyDescent="0.2">
      <c r="A312" s="10" t="s">
        <v>8</v>
      </c>
      <c r="B312" s="11" t="s">
        <v>9</v>
      </c>
      <c r="C312" s="27" t="s">
        <v>252</v>
      </c>
      <c r="D312" s="28">
        <v>45302</v>
      </c>
      <c r="E312" s="12">
        <v>1596</v>
      </c>
      <c r="F312" s="13" t="s">
        <v>131</v>
      </c>
      <c r="G312" s="14" t="str">
        <f t="shared" si="8"/>
        <v>B</v>
      </c>
      <c r="H312" s="15" t="str">
        <f t="shared" si="9"/>
        <v>The Commissioner &amp; Chief Constable are satisfied the spend represents VFM in accordance with the requirements of Category B</v>
      </c>
    </row>
    <row r="313" spans="1:12" x14ac:dyDescent="0.2">
      <c r="A313" s="10" t="s">
        <v>8</v>
      </c>
      <c r="B313" s="11" t="s">
        <v>9</v>
      </c>
      <c r="C313" s="27" t="s">
        <v>253</v>
      </c>
      <c r="D313" s="28">
        <v>45313</v>
      </c>
      <c r="E313" s="12">
        <v>1592.5</v>
      </c>
      <c r="F313" s="13" t="s">
        <v>138</v>
      </c>
      <c r="G313" s="14" t="str">
        <f t="shared" si="8"/>
        <v>B</v>
      </c>
      <c r="H313" s="15" t="str">
        <f t="shared" si="9"/>
        <v>The Commissioner &amp; Chief Constable are satisfied the spend represents VFM in accordance with the requirements of Category B</v>
      </c>
    </row>
    <row r="314" spans="1:12" x14ac:dyDescent="0.2">
      <c r="A314" s="10" t="s">
        <v>8</v>
      </c>
      <c r="B314" s="11" t="s">
        <v>9</v>
      </c>
      <c r="C314" s="27" t="s">
        <v>26</v>
      </c>
      <c r="D314" s="28">
        <v>45317</v>
      </c>
      <c r="E314" s="12">
        <v>1578.84</v>
      </c>
      <c r="F314" s="13" t="s">
        <v>76</v>
      </c>
      <c r="G314" s="14" t="str">
        <f t="shared" si="8"/>
        <v>B</v>
      </c>
      <c r="H314" s="15" t="str">
        <f t="shared" si="9"/>
        <v>The Commissioner &amp; Chief Constable are satisfied the spend represents VFM in accordance with the requirements of Category B</v>
      </c>
    </row>
    <row r="315" spans="1:12" x14ac:dyDescent="0.2">
      <c r="A315" s="10" t="s">
        <v>8</v>
      </c>
      <c r="B315" s="11" t="s">
        <v>9</v>
      </c>
      <c r="C315" s="27" t="s">
        <v>248</v>
      </c>
      <c r="D315" s="28">
        <v>45315</v>
      </c>
      <c r="E315" s="12">
        <v>1575</v>
      </c>
      <c r="F315" s="13" t="s">
        <v>138</v>
      </c>
      <c r="G315" s="14" t="str">
        <f t="shared" si="8"/>
        <v>B</v>
      </c>
      <c r="H315" s="15" t="str">
        <f t="shared" si="9"/>
        <v>The Commissioner &amp; Chief Constable are satisfied the spend represents VFM in accordance with the requirements of Category B</v>
      </c>
    </row>
    <row r="316" spans="1:12" x14ac:dyDescent="0.2">
      <c r="A316" s="10" t="s">
        <v>8</v>
      </c>
      <c r="B316" s="11" t="s">
        <v>9</v>
      </c>
      <c r="C316" s="27" t="s">
        <v>254</v>
      </c>
      <c r="D316" s="28">
        <v>45307</v>
      </c>
      <c r="E316" s="12">
        <v>1572</v>
      </c>
      <c r="F316" s="13" t="s">
        <v>255</v>
      </c>
      <c r="G316" s="14" t="str">
        <f t="shared" si="8"/>
        <v>B</v>
      </c>
      <c r="H316" s="15" t="str">
        <f t="shared" si="9"/>
        <v>The Commissioner &amp; Chief Constable are satisfied the spend represents VFM in accordance with the requirements of Category B</v>
      </c>
    </row>
    <row r="317" spans="1:12" x14ac:dyDescent="0.2">
      <c r="A317" s="10" t="s">
        <v>8</v>
      </c>
      <c r="B317" s="11" t="s">
        <v>9</v>
      </c>
      <c r="C317" s="27" t="s">
        <v>253</v>
      </c>
      <c r="D317" s="28">
        <v>45309</v>
      </c>
      <c r="E317" s="12">
        <v>1568</v>
      </c>
      <c r="F317" s="13" t="s">
        <v>138</v>
      </c>
      <c r="G317" s="14" t="str">
        <f t="shared" si="8"/>
        <v>B</v>
      </c>
      <c r="H317" s="15" t="str">
        <f t="shared" si="9"/>
        <v>The Commissioner &amp; Chief Constable are satisfied the spend represents VFM in accordance with the requirements of Category B</v>
      </c>
    </row>
    <row r="318" spans="1:12" x14ac:dyDescent="0.2">
      <c r="A318" s="10" t="s">
        <v>8</v>
      </c>
      <c r="B318" s="11" t="s">
        <v>9</v>
      </c>
      <c r="C318" s="27" t="s">
        <v>256</v>
      </c>
      <c r="D318" s="28">
        <v>45304</v>
      </c>
      <c r="E318" s="12">
        <v>1568</v>
      </c>
      <c r="F318" s="13" t="s">
        <v>131</v>
      </c>
      <c r="G318" s="14" t="str">
        <f t="shared" si="8"/>
        <v>B</v>
      </c>
      <c r="H318" s="15" t="str">
        <f t="shared" si="9"/>
        <v>The Commissioner &amp; Chief Constable are satisfied the spend represents VFM in accordance with the requirements of Category B</v>
      </c>
    </row>
    <row r="319" spans="1:12" x14ac:dyDescent="0.2">
      <c r="A319" s="10" t="s">
        <v>8</v>
      </c>
      <c r="B319" s="11" t="s">
        <v>9</v>
      </c>
      <c r="C319" s="27" t="s">
        <v>223</v>
      </c>
      <c r="D319" s="28">
        <v>45295</v>
      </c>
      <c r="E319" s="12">
        <v>1560</v>
      </c>
      <c r="F319" s="13" t="s">
        <v>22</v>
      </c>
      <c r="G319" s="14" t="str">
        <f t="shared" si="8"/>
        <v>B</v>
      </c>
      <c r="H319" s="15" t="str">
        <f t="shared" si="9"/>
        <v>The Commissioner &amp; Chief Constable are satisfied the spend represents VFM in accordance with the requirements of Category B</v>
      </c>
    </row>
    <row r="320" spans="1:12" x14ac:dyDescent="0.2">
      <c r="A320" s="10" t="s">
        <v>8</v>
      </c>
      <c r="B320" s="11" t="s">
        <v>9</v>
      </c>
      <c r="C320" s="27" t="s">
        <v>124</v>
      </c>
      <c r="D320" s="28">
        <v>45301</v>
      </c>
      <c r="E320" s="12">
        <v>1548.27</v>
      </c>
      <c r="F320" s="13" t="s">
        <v>91</v>
      </c>
      <c r="G320" s="14" t="str">
        <f t="shared" si="8"/>
        <v>B</v>
      </c>
      <c r="H320" s="15" t="str">
        <f t="shared" si="9"/>
        <v>The Commissioner &amp; Chief Constable are satisfied the spend represents VFM in accordance with the requirements of Category B</v>
      </c>
    </row>
    <row r="321" spans="1:8" x14ac:dyDescent="0.2">
      <c r="A321" s="10" t="s">
        <v>8</v>
      </c>
      <c r="B321" s="11" t="s">
        <v>9</v>
      </c>
      <c r="C321" s="27" t="s">
        <v>257</v>
      </c>
      <c r="D321" s="28">
        <v>45303</v>
      </c>
      <c r="E321" s="12">
        <v>1546.25</v>
      </c>
      <c r="F321" s="13" t="s">
        <v>22</v>
      </c>
      <c r="G321" s="14" t="str">
        <f t="shared" si="8"/>
        <v>B</v>
      </c>
      <c r="H321" s="15" t="str">
        <f t="shared" si="9"/>
        <v>The Commissioner &amp; Chief Constable are satisfied the spend represents VFM in accordance with the requirements of Category B</v>
      </c>
    </row>
    <row r="322" spans="1:8" x14ac:dyDescent="0.2">
      <c r="A322" s="10" t="s">
        <v>8</v>
      </c>
      <c r="B322" s="11" t="s">
        <v>9</v>
      </c>
      <c r="C322" s="27" t="s">
        <v>217</v>
      </c>
      <c r="D322" s="28">
        <v>45307</v>
      </c>
      <c r="E322" s="12">
        <v>1542.56</v>
      </c>
      <c r="F322" s="13" t="s">
        <v>84</v>
      </c>
      <c r="G322" s="14" t="str">
        <f t="shared" ref="G322:G385" si="10">IF(E322&gt;25000,"C",IF(E322&gt;1000,"B","A"))</f>
        <v>B</v>
      </c>
      <c r="H322" s="15" t="str">
        <f t="shared" ref="H322:H385" si="11">VLOOKUP(G322,$K$2:$L$4,2,FALSE)</f>
        <v>The Commissioner &amp; Chief Constable are satisfied the spend represents VFM in accordance with the requirements of Category B</v>
      </c>
    </row>
    <row r="323" spans="1:8" x14ac:dyDescent="0.2">
      <c r="A323" s="10" t="s">
        <v>8</v>
      </c>
      <c r="B323" s="11" t="s">
        <v>9</v>
      </c>
      <c r="C323" s="27" t="s">
        <v>258</v>
      </c>
      <c r="D323" s="28">
        <v>45313</v>
      </c>
      <c r="E323" s="12">
        <v>1500</v>
      </c>
      <c r="F323" s="13" t="s">
        <v>22</v>
      </c>
      <c r="G323" s="14" t="str">
        <f t="shared" si="10"/>
        <v>B</v>
      </c>
      <c r="H323" s="15" t="str">
        <f t="shared" si="11"/>
        <v>The Commissioner &amp; Chief Constable are satisfied the spend represents VFM in accordance with the requirements of Category B</v>
      </c>
    </row>
    <row r="324" spans="1:8" x14ac:dyDescent="0.2">
      <c r="A324" s="10" t="s">
        <v>8</v>
      </c>
      <c r="B324" s="11" t="s">
        <v>9</v>
      </c>
      <c r="C324" s="27" t="s">
        <v>175</v>
      </c>
      <c r="D324" s="28">
        <v>45321</v>
      </c>
      <c r="E324" s="12">
        <v>1500</v>
      </c>
      <c r="F324" s="13" t="s">
        <v>259</v>
      </c>
      <c r="G324" s="14" t="str">
        <f t="shared" si="10"/>
        <v>B</v>
      </c>
      <c r="H324" s="15" t="str">
        <f t="shared" si="11"/>
        <v>The Commissioner &amp; Chief Constable are satisfied the spend represents VFM in accordance with the requirements of Category B</v>
      </c>
    </row>
    <row r="325" spans="1:8" x14ac:dyDescent="0.2">
      <c r="A325" s="10" t="s">
        <v>8</v>
      </c>
      <c r="B325" s="11" t="s">
        <v>9</v>
      </c>
      <c r="C325" s="27" t="s">
        <v>130</v>
      </c>
      <c r="D325" s="28">
        <v>45295</v>
      </c>
      <c r="E325" s="12">
        <v>1500</v>
      </c>
      <c r="F325" s="13" t="s">
        <v>38</v>
      </c>
      <c r="G325" s="14" t="str">
        <f t="shared" si="10"/>
        <v>B</v>
      </c>
      <c r="H325" s="15" t="str">
        <f t="shared" si="11"/>
        <v>The Commissioner &amp; Chief Constable are satisfied the spend represents VFM in accordance with the requirements of Category B</v>
      </c>
    </row>
    <row r="326" spans="1:8" x14ac:dyDescent="0.2">
      <c r="A326" s="10" t="s">
        <v>8</v>
      </c>
      <c r="B326" s="11" t="s">
        <v>9</v>
      </c>
      <c r="C326" s="27" t="s">
        <v>260</v>
      </c>
      <c r="D326" s="28">
        <v>45320</v>
      </c>
      <c r="E326" s="12">
        <v>1497.73</v>
      </c>
      <c r="F326" s="13" t="s">
        <v>261</v>
      </c>
      <c r="G326" s="14" t="str">
        <f t="shared" si="10"/>
        <v>B</v>
      </c>
      <c r="H326" s="15" t="str">
        <f t="shared" si="11"/>
        <v>The Commissioner &amp; Chief Constable are satisfied the spend represents VFM in accordance with the requirements of Category B</v>
      </c>
    </row>
    <row r="327" spans="1:8" x14ac:dyDescent="0.2">
      <c r="A327" s="10" t="s">
        <v>8</v>
      </c>
      <c r="B327" s="11" t="s">
        <v>9</v>
      </c>
      <c r="C327" s="27" t="s">
        <v>48</v>
      </c>
      <c r="D327" s="28">
        <v>45302</v>
      </c>
      <c r="E327" s="12">
        <v>1485</v>
      </c>
      <c r="F327" s="13" t="s">
        <v>106</v>
      </c>
      <c r="G327" s="14" t="str">
        <f t="shared" si="10"/>
        <v>B</v>
      </c>
      <c r="H327" s="15" t="str">
        <f t="shared" si="11"/>
        <v>The Commissioner &amp; Chief Constable are satisfied the spend represents VFM in accordance with the requirements of Category B</v>
      </c>
    </row>
    <row r="328" spans="1:8" x14ac:dyDescent="0.2">
      <c r="A328" s="10" t="s">
        <v>8</v>
      </c>
      <c r="B328" s="11" t="s">
        <v>9</v>
      </c>
      <c r="C328" s="27" t="s">
        <v>243</v>
      </c>
      <c r="D328" s="28">
        <v>45313</v>
      </c>
      <c r="E328" s="12">
        <v>1480</v>
      </c>
      <c r="F328" s="13" t="s">
        <v>22</v>
      </c>
      <c r="G328" s="14" t="str">
        <f t="shared" si="10"/>
        <v>B</v>
      </c>
      <c r="H328" s="15" t="str">
        <f t="shared" si="11"/>
        <v>The Commissioner &amp; Chief Constable are satisfied the spend represents VFM in accordance with the requirements of Category B</v>
      </c>
    </row>
    <row r="329" spans="1:8" x14ac:dyDescent="0.2">
      <c r="A329" s="10" t="s">
        <v>8</v>
      </c>
      <c r="B329" s="11" t="s">
        <v>9</v>
      </c>
      <c r="C329" s="27" t="s">
        <v>253</v>
      </c>
      <c r="D329" s="28">
        <v>45300</v>
      </c>
      <c r="E329" s="12">
        <v>1470</v>
      </c>
      <c r="F329" s="13" t="s">
        <v>138</v>
      </c>
      <c r="G329" s="14" t="str">
        <f t="shared" si="10"/>
        <v>B</v>
      </c>
      <c r="H329" s="15" t="str">
        <f t="shared" si="11"/>
        <v>The Commissioner &amp; Chief Constable are satisfied the spend represents VFM in accordance with the requirements of Category B</v>
      </c>
    </row>
    <row r="330" spans="1:8" x14ac:dyDescent="0.2">
      <c r="A330" s="10" t="s">
        <v>8</v>
      </c>
      <c r="B330" s="11" t="s">
        <v>9</v>
      </c>
      <c r="C330" s="27" t="s">
        <v>253</v>
      </c>
      <c r="D330" s="28">
        <v>45294</v>
      </c>
      <c r="E330" s="12">
        <v>1470</v>
      </c>
      <c r="F330" s="13" t="s">
        <v>138</v>
      </c>
      <c r="G330" s="14" t="str">
        <f t="shared" si="10"/>
        <v>B</v>
      </c>
      <c r="H330" s="15" t="str">
        <f t="shared" si="11"/>
        <v>The Commissioner &amp; Chief Constable are satisfied the spend represents VFM in accordance with the requirements of Category B</v>
      </c>
    </row>
    <row r="331" spans="1:8" x14ac:dyDescent="0.2">
      <c r="A331" s="10" t="s">
        <v>8</v>
      </c>
      <c r="B331" s="11" t="s">
        <v>9</v>
      </c>
      <c r="C331" s="27" t="s">
        <v>68</v>
      </c>
      <c r="D331" s="28">
        <v>45320</v>
      </c>
      <c r="E331" s="12">
        <v>1470</v>
      </c>
      <c r="F331" s="13" t="s">
        <v>43</v>
      </c>
      <c r="G331" s="14" t="str">
        <f t="shared" si="10"/>
        <v>B</v>
      </c>
      <c r="H331" s="15" t="str">
        <f t="shared" si="11"/>
        <v>The Commissioner &amp; Chief Constable are satisfied the spend represents VFM in accordance with the requirements of Category B</v>
      </c>
    </row>
    <row r="332" spans="1:8" x14ac:dyDescent="0.2">
      <c r="A332" s="10" t="s">
        <v>8</v>
      </c>
      <c r="B332" s="11" t="s">
        <v>9</v>
      </c>
      <c r="C332" s="27" t="s">
        <v>214</v>
      </c>
      <c r="D332" s="28">
        <v>45295</v>
      </c>
      <c r="E332" s="12">
        <v>1467</v>
      </c>
      <c r="F332" s="13" t="s">
        <v>22</v>
      </c>
      <c r="G332" s="14" t="str">
        <f t="shared" si="10"/>
        <v>B</v>
      </c>
      <c r="H332" s="15" t="str">
        <f t="shared" si="11"/>
        <v>The Commissioner &amp; Chief Constable are satisfied the spend represents VFM in accordance with the requirements of Category B</v>
      </c>
    </row>
    <row r="333" spans="1:8" x14ac:dyDescent="0.2">
      <c r="A333" s="10" t="s">
        <v>8</v>
      </c>
      <c r="B333" s="11" t="s">
        <v>9</v>
      </c>
      <c r="C333" s="27" t="s">
        <v>262</v>
      </c>
      <c r="D333" s="28">
        <v>45293</v>
      </c>
      <c r="E333" s="12">
        <v>1431.5</v>
      </c>
      <c r="F333" s="13" t="s">
        <v>263</v>
      </c>
      <c r="G333" s="14" t="str">
        <f t="shared" si="10"/>
        <v>B</v>
      </c>
      <c r="H333" s="15" t="str">
        <f t="shared" si="11"/>
        <v>The Commissioner &amp; Chief Constable are satisfied the spend represents VFM in accordance with the requirements of Category B</v>
      </c>
    </row>
    <row r="334" spans="1:8" x14ac:dyDescent="0.2">
      <c r="A334" s="10" t="s">
        <v>8</v>
      </c>
      <c r="B334" s="11" t="s">
        <v>9</v>
      </c>
      <c r="C334" s="27" t="s">
        <v>214</v>
      </c>
      <c r="D334" s="28">
        <v>45295</v>
      </c>
      <c r="E334" s="12">
        <v>1407</v>
      </c>
      <c r="F334" s="13" t="s">
        <v>22</v>
      </c>
      <c r="G334" s="14" t="str">
        <f t="shared" si="10"/>
        <v>B</v>
      </c>
      <c r="H334" s="15" t="str">
        <f t="shared" si="11"/>
        <v>The Commissioner &amp; Chief Constable are satisfied the spend represents VFM in accordance with the requirements of Category B</v>
      </c>
    </row>
    <row r="335" spans="1:8" x14ac:dyDescent="0.2">
      <c r="A335" s="10" t="s">
        <v>8</v>
      </c>
      <c r="B335" s="11" t="s">
        <v>9</v>
      </c>
      <c r="C335" s="27" t="s">
        <v>10</v>
      </c>
      <c r="D335" s="28">
        <v>45293</v>
      </c>
      <c r="E335" s="12">
        <v>1402.5</v>
      </c>
      <c r="F335" s="13" t="s">
        <v>11</v>
      </c>
      <c r="G335" s="14" t="str">
        <f t="shared" si="10"/>
        <v>B</v>
      </c>
      <c r="H335" s="15" t="str">
        <f t="shared" si="11"/>
        <v>The Commissioner &amp; Chief Constable are satisfied the spend represents VFM in accordance with the requirements of Category B</v>
      </c>
    </row>
    <row r="336" spans="1:8" x14ac:dyDescent="0.2">
      <c r="A336" s="10" t="s">
        <v>8</v>
      </c>
      <c r="B336" s="11" t="s">
        <v>9</v>
      </c>
      <c r="C336" s="27" t="s">
        <v>10</v>
      </c>
      <c r="D336" s="28">
        <v>45293</v>
      </c>
      <c r="E336" s="12">
        <v>1402.5</v>
      </c>
      <c r="F336" s="13" t="s">
        <v>11</v>
      </c>
      <c r="G336" s="14" t="str">
        <f t="shared" si="10"/>
        <v>B</v>
      </c>
      <c r="H336" s="15" t="str">
        <f t="shared" si="11"/>
        <v>The Commissioner &amp; Chief Constable are satisfied the spend represents VFM in accordance with the requirements of Category B</v>
      </c>
    </row>
    <row r="337" spans="1:8" x14ac:dyDescent="0.2">
      <c r="A337" s="10" t="s">
        <v>8</v>
      </c>
      <c r="B337" s="11" t="s">
        <v>9</v>
      </c>
      <c r="C337" s="27" t="s">
        <v>248</v>
      </c>
      <c r="D337" s="28">
        <v>45306</v>
      </c>
      <c r="E337" s="12">
        <v>1400</v>
      </c>
      <c r="F337" s="13" t="s">
        <v>138</v>
      </c>
      <c r="G337" s="14" t="str">
        <f t="shared" si="10"/>
        <v>B</v>
      </c>
      <c r="H337" s="15" t="str">
        <f t="shared" si="11"/>
        <v>The Commissioner &amp; Chief Constable are satisfied the spend represents VFM in accordance with the requirements of Category B</v>
      </c>
    </row>
    <row r="338" spans="1:8" x14ac:dyDescent="0.2">
      <c r="A338" s="10" t="s">
        <v>8</v>
      </c>
      <c r="B338" s="11" t="s">
        <v>9</v>
      </c>
      <c r="C338" s="27" t="s">
        <v>248</v>
      </c>
      <c r="D338" s="28">
        <v>45298</v>
      </c>
      <c r="E338" s="12">
        <v>1400</v>
      </c>
      <c r="F338" s="13" t="s">
        <v>138</v>
      </c>
      <c r="G338" s="14" t="str">
        <f t="shared" si="10"/>
        <v>B</v>
      </c>
      <c r="H338" s="15" t="str">
        <f t="shared" si="11"/>
        <v>The Commissioner &amp; Chief Constable are satisfied the spend represents VFM in accordance with the requirements of Category B</v>
      </c>
    </row>
    <row r="339" spans="1:8" x14ac:dyDescent="0.2">
      <c r="A339" s="10" t="s">
        <v>8</v>
      </c>
      <c r="B339" s="11" t="s">
        <v>9</v>
      </c>
      <c r="C339" s="27" t="s">
        <v>173</v>
      </c>
      <c r="D339" s="28">
        <v>45301</v>
      </c>
      <c r="E339" s="12">
        <v>1395</v>
      </c>
      <c r="F339" s="13" t="s">
        <v>80</v>
      </c>
      <c r="G339" s="14" t="str">
        <f t="shared" si="10"/>
        <v>B</v>
      </c>
      <c r="H339" s="15" t="str">
        <f t="shared" si="11"/>
        <v>The Commissioner &amp; Chief Constable are satisfied the spend represents VFM in accordance with the requirements of Category B</v>
      </c>
    </row>
    <row r="340" spans="1:8" x14ac:dyDescent="0.2">
      <c r="A340" s="10" t="s">
        <v>8</v>
      </c>
      <c r="B340" s="11" t="s">
        <v>9</v>
      </c>
      <c r="C340" s="27" t="s">
        <v>264</v>
      </c>
      <c r="D340" s="28">
        <v>45322</v>
      </c>
      <c r="E340" s="12">
        <v>1379</v>
      </c>
      <c r="F340" s="13" t="s">
        <v>203</v>
      </c>
      <c r="G340" s="14" t="str">
        <f t="shared" si="10"/>
        <v>B</v>
      </c>
      <c r="H340" s="15" t="str">
        <f t="shared" si="11"/>
        <v>The Commissioner &amp; Chief Constable are satisfied the spend represents VFM in accordance with the requirements of Category B</v>
      </c>
    </row>
    <row r="341" spans="1:8" x14ac:dyDescent="0.2">
      <c r="A341" s="10" t="s">
        <v>8</v>
      </c>
      <c r="B341" s="11" t="s">
        <v>9</v>
      </c>
      <c r="C341" s="27" t="s">
        <v>265</v>
      </c>
      <c r="D341" s="28">
        <v>45303</v>
      </c>
      <c r="E341" s="12">
        <v>1375</v>
      </c>
      <c r="F341" s="13" t="s">
        <v>106</v>
      </c>
      <c r="G341" s="14" t="str">
        <f t="shared" si="10"/>
        <v>B</v>
      </c>
      <c r="H341" s="15" t="str">
        <f t="shared" si="11"/>
        <v>The Commissioner &amp; Chief Constable are satisfied the spend represents VFM in accordance with the requirements of Category B</v>
      </c>
    </row>
    <row r="342" spans="1:8" x14ac:dyDescent="0.2">
      <c r="A342" s="10" t="s">
        <v>8</v>
      </c>
      <c r="B342" s="11" t="s">
        <v>9</v>
      </c>
      <c r="C342" s="27" t="s">
        <v>265</v>
      </c>
      <c r="D342" s="28">
        <v>45303</v>
      </c>
      <c r="E342" s="12">
        <v>1375</v>
      </c>
      <c r="F342" s="13" t="s">
        <v>106</v>
      </c>
      <c r="G342" s="14" t="str">
        <f t="shared" si="10"/>
        <v>B</v>
      </c>
      <c r="H342" s="15" t="str">
        <f t="shared" si="11"/>
        <v>The Commissioner &amp; Chief Constable are satisfied the spend represents VFM in accordance with the requirements of Category B</v>
      </c>
    </row>
    <row r="343" spans="1:8" x14ac:dyDescent="0.2">
      <c r="A343" s="10" t="s">
        <v>8</v>
      </c>
      <c r="B343" s="11" t="s">
        <v>9</v>
      </c>
      <c r="C343" s="27" t="s">
        <v>33</v>
      </c>
      <c r="D343" s="28">
        <v>45321</v>
      </c>
      <c r="E343" s="12">
        <v>1373.78</v>
      </c>
      <c r="F343" s="13" t="s">
        <v>58</v>
      </c>
      <c r="G343" s="14" t="str">
        <f t="shared" si="10"/>
        <v>B</v>
      </c>
      <c r="H343" s="15" t="str">
        <f t="shared" si="11"/>
        <v>The Commissioner &amp; Chief Constable are satisfied the spend represents VFM in accordance with the requirements of Category B</v>
      </c>
    </row>
    <row r="344" spans="1:8" x14ac:dyDescent="0.2">
      <c r="A344" s="10" t="s">
        <v>8</v>
      </c>
      <c r="B344" s="11" t="s">
        <v>9</v>
      </c>
      <c r="C344" s="27" t="s">
        <v>249</v>
      </c>
      <c r="D344" s="28">
        <v>45309</v>
      </c>
      <c r="E344" s="12">
        <v>1356</v>
      </c>
      <c r="F344" s="13" t="s">
        <v>138</v>
      </c>
      <c r="G344" s="14" t="str">
        <f t="shared" si="10"/>
        <v>B</v>
      </c>
      <c r="H344" s="15" t="str">
        <f t="shared" si="11"/>
        <v>The Commissioner &amp; Chief Constable are satisfied the spend represents VFM in accordance with the requirements of Category B</v>
      </c>
    </row>
    <row r="345" spans="1:8" x14ac:dyDescent="0.2">
      <c r="A345" s="10" t="s">
        <v>8</v>
      </c>
      <c r="B345" s="11" t="s">
        <v>9</v>
      </c>
      <c r="C345" s="27" t="s">
        <v>266</v>
      </c>
      <c r="D345" s="28">
        <v>45307</v>
      </c>
      <c r="E345" s="12">
        <v>1353.05</v>
      </c>
      <c r="F345" s="13" t="s">
        <v>209</v>
      </c>
      <c r="G345" s="14" t="str">
        <f t="shared" si="10"/>
        <v>B</v>
      </c>
      <c r="H345" s="15" t="str">
        <f t="shared" si="11"/>
        <v>The Commissioner &amp; Chief Constable are satisfied the spend represents VFM in accordance with the requirements of Category B</v>
      </c>
    </row>
    <row r="346" spans="1:8" x14ac:dyDescent="0.2">
      <c r="A346" s="10" t="s">
        <v>8</v>
      </c>
      <c r="B346" s="11" t="s">
        <v>9</v>
      </c>
      <c r="C346" s="27" t="s">
        <v>267</v>
      </c>
      <c r="D346" s="28">
        <v>45303</v>
      </c>
      <c r="E346" s="12">
        <v>1326.91</v>
      </c>
      <c r="F346" s="13" t="s">
        <v>58</v>
      </c>
      <c r="G346" s="14" t="str">
        <f t="shared" si="10"/>
        <v>B</v>
      </c>
      <c r="H346" s="15" t="str">
        <f t="shared" si="11"/>
        <v>The Commissioner &amp; Chief Constable are satisfied the spend represents VFM in accordance with the requirements of Category B</v>
      </c>
    </row>
    <row r="347" spans="1:8" x14ac:dyDescent="0.2">
      <c r="A347" s="10" t="s">
        <v>8</v>
      </c>
      <c r="B347" s="11" t="s">
        <v>9</v>
      </c>
      <c r="C347" s="27" t="s">
        <v>268</v>
      </c>
      <c r="D347" s="28">
        <v>45306</v>
      </c>
      <c r="E347" s="12">
        <v>1325</v>
      </c>
      <c r="F347" s="13" t="s">
        <v>177</v>
      </c>
      <c r="G347" s="14" t="str">
        <f t="shared" si="10"/>
        <v>B</v>
      </c>
      <c r="H347" s="15" t="str">
        <f t="shared" si="11"/>
        <v>The Commissioner &amp; Chief Constable are satisfied the spend represents VFM in accordance with the requirements of Category B</v>
      </c>
    </row>
    <row r="348" spans="1:8" x14ac:dyDescent="0.2">
      <c r="A348" s="10" t="s">
        <v>8</v>
      </c>
      <c r="B348" s="11" t="s">
        <v>9</v>
      </c>
      <c r="C348" s="27" t="s">
        <v>77</v>
      </c>
      <c r="D348" s="28">
        <v>45315</v>
      </c>
      <c r="E348" s="12">
        <v>1318.09</v>
      </c>
      <c r="F348" s="13" t="s">
        <v>58</v>
      </c>
      <c r="G348" s="14" t="str">
        <f t="shared" si="10"/>
        <v>B</v>
      </c>
      <c r="H348" s="15" t="str">
        <f t="shared" si="11"/>
        <v>The Commissioner &amp; Chief Constable are satisfied the spend represents VFM in accordance with the requirements of Category B</v>
      </c>
    </row>
    <row r="349" spans="1:8" x14ac:dyDescent="0.2">
      <c r="A349" s="10" t="s">
        <v>8</v>
      </c>
      <c r="B349" s="11" t="s">
        <v>9</v>
      </c>
      <c r="C349" s="27" t="s">
        <v>269</v>
      </c>
      <c r="D349" s="28">
        <v>45299</v>
      </c>
      <c r="E349" s="12">
        <v>1309.5999999999999</v>
      </c>
      <c r="F349" s="13" t="s">
        <v>177</v>
      </c>
      <c r="G349" s="14" t="str">
        <f t="shared" si="10"/>
        <v>B</v>
      </c>
      <c r="H349" s="15" t="str">
        <f t="shared" si="11"/>
        <v>The Commissioner &amp; Chief Constable are satisfied the spend represents VFM in accordance with the requirements of Category B</v>
      </c>
    </row>
    <row r="350" spans="1:8" x14ac:dyDescent="0.2">
      <c r="A350" s="10" t="s">
        <v>8</v>
      </c>
      <c r="B350" s="11" t="s">
        <v>9</v>
      </c>
      <c r="C350" s="29" t="s">
        <v>240</v>
      </c>
      <c r="D350" s="28">
        <v>45307</v>
      </c>
      <c r="E350" s="12">
        <v>1171.0899999999999</v>
      </c>
      <c r="F350" s="13" t="s">
        <v>241</v>
      </c>
      <c r="G350" s="14" t="str">
        <f t="shared" si="10"/>
        <v>B</v>
      </c>
      <c r="H350" s="15" t="str">
        <f t="shared" si="11"/>
        <v>The Commissioner &amp; Chief Constable are satisfied the spend represents VFM in accordance with the requirements of Category B</v>
      </c>
    </row>
    <row r="351" spans="1:8" x14ac:dyDescent="0.2">
      <c r="A351" s="10" t="s">
        <v>8</v>
      </c>
      <c r="B351" s="11" t="s">
        <v>9</v>
      </c>
      <c r="C351" s="27" t="s">
        <v>240</v>
      </c>
      <c r="D351" s="28">
        <v>45307</v>
      </c>
      <c r="E351" s="18">
        <v>119.68</v>
      </c>
      <c r="F351" s="19" t="s">
        <v>31</v>
      </c>
      <c r="G351" s="14" t="str">
        <f t="shared" si="10"/>
        <v>A</v>
      </c>
      <c r="H351" s="15" t="str">
        <f t="shared" si="11"/>
        <v>The Commissioner &amp; Chief Constable are satisfied the spend represents VFM in accordance with the requirements of Category A</v>
      </c>
    </row>
    <row r="352" spans="1:8" x14ac:dyDescent="0.2">
      <c r="A352" s="10" t="s">
        <v>8</v>
      </c>
      <c r="B352" s="11" t="s">
        <v>9</v>
      </c>
      <c r="C352" s="27" t="s">
        <v>270</v>
      </c>
      <c r="D352" s="28">
        <v>45294</v>
      </c>
      <c r="E352" s="12">
        <v>1289.5</v>
      </c>
      <c r="F352" s="13" t="s">
        <v>133</v>
      </c>
      <c r="G352" s="14" t="str">
        <f t="shared" si="10"/>
        <v>B</v>
      </c>
      <c r="H352" s="15" t="str">
        <f t="shared" si="11"/>
        <v>The Commissioner &amp; Chief Constable are satisfied the spend represents VFM in accordance with the requirements of Category B</v>
      </c>
    </row>
    <row r="353" spans="1:8" x14ac:dyDescent="0.2">
      <c r="A353" s="10" t="s">
        <v>8</v>
      </c>
      <c r="B353" s="11" t="s">
        <v>9</v>
      </c>
      <c r="C353" s="27" t="s">
        <v>107</v>
      </c>
      <c r="D353" s="28">
        <v>45296</v>
      </c>
      <c r="E353" s="12">
        <v>1267.07</v>
      </c>
      <c r="F353" s="13" t="s">
        <v>108</v>
      </c>
      <c r="G353" s="14" t="str">
        <f t="shared" si="10"/>
        <v>B</v>
      </c>
      <c r="H353" s="15" t="str">
        <f t="shared" si="11"/>
        <v>The Commissioner &amp; Chief Constable are satisfied the spend represents VFM in accordance with the requirements of Category B</v>
      </c>
    </row>
    <row r="354" spans="1:8" x14ac:dyDescent="0.2">
      <c r="A354" s="10" t="s">
        <v>8</v>
      </c>
      <c r="B354" s="11" t="s">
        <v>9</v>
      </c>
      <c r="C354" s="27" t="s">
        <v>260</v>
      </c>
      <c r="D354" s="28">
        <v>45300</v>
      </c>
      <c r="E354" s="12">
        <v>1264.8399999999999</v>
      </c>
      <c r="F354" s="13" t="s">
        <v>261</v>
      </c>
      <c r="G354" s="14" t="str">
        <f t="shared" si="10"/>
        <v>B</v>
      </c>
      <c r="H354" s="15" t="str">
        <f t="shared" si="11"/>
        <v>The Commissioner &amp; Chief Constable are satisfied the spend represents VFM in accordance with the requirements of Category B</v>
      </c>
    </row>
    <row r="355" spans="1:8" x14ac:dyDescent="0.2">
      <c r="A355" s="10" t="s">
        <v>8</v>
      </c>
      <c r="B355" s="11" t="s">
        <v>9</v>
      </c>
      <c r="C355" s="27" t="s">
        <v>271</v>
      </c>
      <c r="D355" s="28">
        <v>45303</v>
      </c>
      <c r="E355" s="12">
        <v>1255</v>
      </c>
      <c r="F355" s="13" t="s">
        <v>27</v>
      </c>
      <c r="G355" s="14" t="str">
        <f t="shared" si="10"/>
        <v>B</v>
      </c>
      <c r="H355" s="15" t="str">
        <f t="shared" si="11"/>
        <v>The Commissioner &amp; Chief Constable are satisfied the spend represents VFM in accordance with the requirements of Category B</v>
      </c>
    </row>
    <row r="356" spans="1:8" x14ac:dyDescent="0.2">
      <c r="A356" s="10" t="s">
        <v>8</v>
      </c>
      <c r="B356" s="11" t="s">
        <v>9</v>
      </c>
      <c r="C356" s="27" t="s">
        <v>223</v>
      </c>
      <c r="D356" s="28">
        <v>45309</v>
      </c>
      <c r="E356" s="12">
        <v>1250</v>
      </c>
      <c r="F356" s="13" t="s">
        <v>22</v>
      </c>
      <c r="G356" s="14" t="str">
        <f t="shared" si="10"/>
        <v>B</v>
      </c>
      <c r="H356" s="15" t="str">
        <f t="shared" si="11"/>
        <v>The Commissioner &amp; Chief Constable are satisfied the spend represents VFM in accordance with the requirements of Category B</v>
      </c>
    </row>
    <row r="357" spans="1:8" x14ac:dyDescent="0.2">
      <c r="A357" s="10" t="s">
        <v>8</v>
      </c>
      <c r="B357" s="11" t="s">
        <v>9</v>
      </c>
      <c r="C357" s="27" t="s">
        <v>272</v>
      </c>
      <c r="D357" s="28">
        <v>45310</v>
      </c>
      <c r="E357" s="12">
        <v>1236</v>
      </c>
      <c r="F357" s="13" t="s">
        <v>106</v>
      </c>
      <c r="G357" s="14" t="str">
        <f t="shared" si="10"/>
        <v>B</v>
      </c>
      <c r="H357" s="15" t="str">
        <f t="shared" si="11"/>
        <v>The Commissioner &amp; Chief Constable are satisfied the spend represents VFM in accordance with the requirements of Category B</v>
      </c>
    </row>
    <row r="358" spans="1:8" x14ac:dyDescent="0.2">
      <c r="A358" s="10" t="s">
        <v>8</v>
      </c>
      <c r="B358" s="11" t="s">
        <v>9</v>
      </c>
      <c r="C358" s="27" t="s">
        <v>273</v>
      </c>
      <c r="D358" s="28">
        <v>45301</v>
      </c>
      <c r="E358" s="12">
        <v>1231.9000000000001</v>
      </c>
      <c r="F358" s="13" t="s">
        <v>160</v>
      </c>
      <c r="G358" s="14" t="str">
        <f t="shared" si="10"/>
        <v>B</v>
      </c>
      <c r="H358" s="15" t="str">
        <f t="shared" si="11"/>
        <v>The Commissioner &amp; Chief Constable are satisfied the spend represents VFM in accordance with the requirements of Category B</v>
      </c>
    </row>
    <row r="359" spans="1:8" x14ac:dyDescent="0.2">
      <c r="A359" s="10" t="s">
        <v>8</v>
      </c>
      <c r="B359" s="11" t="s">
        <v>9</v>
      </c>
      <c r="C359" s="27" t="s">
        <v>253</v>
      </c>
      <c r="D359" s="28">
        <v>45295</v>
      </c>
      <c r="E359" s="12">
        <v>1225</v>
      </c>
      <c r="F359" s="13" t="s">
        <v>138</v>
      </c>
      <c r="G359" s="14" t="str">
        <f t="shared" si="10"/>
        <v>B</v>
      </c>
      <c r="H359" s="15" t="str">
        <f t="shared" si="11"/>
        <v>The Commissioner &amp; Chief Constable are satisfied the spend represents VFM in accordance with the requirements of Category B</v>
      </c>
    </row>
    <row r="360" spans="1:8" x14ac:dyDescent="0.2">
      <c r="A360" s="10" t="s">
        <v>8</v>
      </c>
      <c r="B360" s="11" t="s">
        <v>9</v>
      </c>
      <c r="C360" s="27" t="s">
        <v>256</v>
      </c>
      <c r="D360" s="28">
        <v>45296</v>
      </c>
      <c r="E360" s="12">
        <v>1223.26</v>
      </c>
      <c r="F360" s="13" t="s">
        <v>155</v>
      </c>
      <c r="G360" s="14" t="str">
        <f t="shared" si="10"/>
        <v>B</v>
      </c>
      <c r="H360" s="15" t="str">
        <f t="shared" si="11"/>
        <v>The Commissioner &amp; Chief Constable are satisfied the spend represents VFM in accordance with the requirements of Category B</v>
      </c>
    </row>
    <row r="361" spans="1:8" x14ac:dyDescent="0.2">
      <c r="A361" s="10" t="s">
        <v>8</v>
      </c>
      <c r="B361" s="11" t="s">
        <v>9</v>
      </c>
      <c r="C361" s="27" t="s">
        <v>221</v>
      </c>
      <c r="D361" s="28">
        <v>45315</v>
      </c>
      <c r="E361" s="12">
        <v>1219</v>
      </c>
      <c r="F361" s="13" t="s">
        <v>106</v>
      </c>
      <c r="G361" s="14" t="str">
        <f t="shared" si="10"/>
        <v>B</v>
      </c>
      <c r="H361" s="15" t="str">
        <f t="shared" si="11"/>
        <v>The Commissioner &amp; Chief Constable are satisfied the spend represents VFM in accordance with the requirements of Category B</v>
      </c>
    </row>
    <row r="362" spans="1:8" x14ac:dyDescent="0.2">
      <c r="A362" s="10" t="s">
        <v>8</v>
      </c>
      <c r="B362" s="11" t="s">
        <v>9</v>
      </c>
      <c r="C362" s="27" t="s">
        <v>274</v>
      </c>
      <c r="D362" s="28">
        <v>45300</v>
      </c>
      <c r="E362" s="12">
        <v>1216.4100000000001</v>
      </c>
      <c r="F362" s="13" t="s">
        <v>131</v>
      </c>
      <c r="G362" s="14" t="str">
        <f t="shared" si="10"/>
        <v>B</v>
      </c>
      <c r="H362" s="15" t="str">
        <f t="shared" si="11"/>
        <v>The Commissioner &amp; Chief Constable are satisfied the spend represents VFM in accordance with the requirements of Category B</v>
      </c>
    </row>
    <row r="363" spans="1:8" x14ac:dyDescent="0.2">
      <c r="A363" s="10" t="s">
        <v>8</v>
      </c>
      <c r="B363" s="11" t="s">
        <v>9</v>
      </c>
      <c r="C363" s="27" t="s">
        <v>202</v>
      </c>
      <c r="D363" s="28">
        <v>45298</v>
      </c>
      <c r="E363" s="12">
        <v>1215.4000000000001</v>
      </c>
      <c r="F363" s="13" t="s">
        <v>203</v>
      </c>
      <c r="G363" s="14" t="str">
        <f t="shared" si="10"/>
        <v>B</v>
      </c>
      <c r="H363" s="15" t="str">
        <f t="shared" si="11"/>
        <v>The Commissioner &amp; Chief Constable are satisfied the spend represents VFM in accordance with the requirements of Category B</v>
      </c>
    </row>
    <row r="364" spans="1:8" x14ac:dyDescent="0.2">
      <c r="A364" s="10" t="s">
        <v>8</v>
      </c>
      <c r="B364" s="11" t="s">
        <v>9</v>
      </c>
      <c r="C364" s="27" t="s">
        <v>74</v>
      </c>
      <c r="D364" s="28">
        <v>45322</v>
      </c>
      <c r="E364" s="12">
        <v>1211.8800000000001</v>
      </c>
      <c r="F364" s="13" t="s">
        <v>75</v>
      </c>
      <c r="G364" s="14" t="str">
        <f t="shared" si="10"/>
        <v>B</v>
      </c>
      <c r="H364" s="15" t="str">
        <f t="shared" si="11"/>
        <v>The Commissioner &amp; Chief Constable are satisfied the spend represents VFM in accordance with the requirements of Category B</v>
      </c>
    </row>
    <row r="365" spans="1:8" x14ac:dyDescent="0.2">
      <c r="A365" s="10" t="s">
        <v>8</v>
      </c>
      <c r="B365" s="11" t="s">
        <v>9</v>
      </c>
      <c r="C365" s="27" t="s">
        <v>71</v>
      </c>
      <c r="D365" s="28">
        <v>45309</v>
      </c>
      <c r="E365" s="12">
        <v>1210</v>
      </c>
      <c r="F365" s="13" t="s">
        <v>15</v>
      </c>
      <c r="G365" s="14" t="str">
        <f t="shared" si="10"/>
        <v>B</v>
      </c>
      <c r="H365" s="15" t="str">
        <f t="shared" si="11"/>
        <v>The Commissioner &amp; Chief Constable are satisfied the spend represents VFM in accordance with the requirements of Category B</v>
      </c>
    </row>
    <row r="366" spans="1:8" x14ac:dyDescent="0.2">
      <c r="A366" s="10" t="s">
        <v>8</v>
      </c>
      <c r="B366" s="11" t="s">
        <v>9</v>
      </c>
      <c r="C366" s="27" t="s">
        <v>217</v>
      </c>
      <c r="D366" s="28">
        <v>45303</v>
      </c>
      <c r="E366" s="12">
        <v>1200</v>
      </c>
      <c r="F366" s="13" t="s">
        <v>84</v>
      </c>
      <c r="G366" s="14" t="str">
        <f t="shared" si="10"/>
        <v>B</v>
      </c>
      <c r="H366" s="15" t="str">
        <f t="shared" si="11"/>
        <v>The Commissioner &amp; Chief Constable are satisfied the spend represents VFM in accordance with the requirements of Category B</v>
      </c>
    </row>
    <row r="367" spans="1:8" x14ac:dyDescent="0.2">
      <c r="A367" s="10" t="s">
        <v>8</v>
      </c>
      <c r="B367" s="11" t="s">
        <v>9</v>
      </c>
      <c r="C367" s="27" t="s">
        <v>275</v>
      </c>
      <c r="D367" s="28">
        <v>45313</v>
      </c>
      <c r="E367" s="12">
        <v>1200</v>
      </c>
      <c r="F367" s="13" t="s">
        <v>22</v>
      </c>
      <c r="G367" s="14" t="str">
        <f t="shared" si="10"/>
        <v>B</v>
      </c>
      <c r="H367" s="15" t="str">
        <f t="shared" si="11"/>
        <v>The Commissioner &amp; Chief Constable are satisfied the spend represents VFM in accordance with the requirements of Category B</v>
      </c>
    </row>
    <row r="368" spans="1:8" x14ac:dyDescent="0.2">
      <c r="A368" s="10" t="s">
        <v>8</v>
      </c>
      <c r="B368" s="11" t="s">
        <v>9</v>
      </c>
      <c r="C368" s="27" t="s">
        <v>276</v>
      </c>
      <c r="D368" s="28">
        <v>45302</v>
      </c>
      <c r="E368" s="12">
        <v>1197.1099999999999</v>
      </c>
      <c r="F368" s="13" t="s">
        <v>40</v>
      </c>
      <c r="G368" s="14" t="str">
        <f t="shared" si="10"/>
        <v>B</v>
      </c>
      <c r="H368" s="15" t="str">
        <f t="shared" si="11"/>
        <v>The Commissioner &amp; Chief Constable are satisfied the spend represents VFM in accordance with the requirements of Category B</v>
      </c>
    </row>
    <row r="369" spans="1:8" x14ac:dyDescent="0.2">
      <c r="A369" s="10" t="s">
        <v>8</v>
      </c>
      <c r="B369" s="11" t="s">
        <v>9</v>
      </c>
      <c r="C369" s="27" t="s">
        <v>252</v>
      </c>
      <c r="D369" s="28">
        <v>45306</v>
      </c>
      <c r="E369" s="12">
        <v>1155</v>
      </c>
      <c r="F369" s="13" t="s">
        <v>131</v>
      </c>
      <c r="G369" s="14" t="str">
        <f t="shared" si="10"/>
        <v>B</v>
      </c>
      <c r="H369" s="15" t="str">
        <f t="shared" si="11"/>
        <v>The Commissioner &amp; Chief Constable are satisfied the spend represents VFM in accordance with the requirements of Category B</v>
      </c>
    </row>
    <row r="370" spans="1:8" x14ac:dyDescent="0.2">
      <c r="A370" s="10" t="s">
        <v>8</v>
      </c>
      <c r="B370" s="11" t="s">
        <v>9</v>
      </c>
      <c r="C370" s="27" t="s">
        <v>70</v>
      </c>
      <c r="D370" s="28">
        <v>45317</v>
      </c>
      <c r="E370" s="12">
        <v>1151.46</v>
      </c>
      <c r="F370" s="13" t="s">
        <v>182</v>
      </c>
      <c r="G370" s="14" t="str">
        <f t="shared" si="10"/>
        <v>B</v>
      </c>
      <c r="H370" s="15" t="str">
        <f t="shared" si="11"/>
        <v>The Commissioner &amp; Chief Constable are satisfied the spend represents VFM in accordance with the requirements of Category B</v>
      </c>
    </row>
    <row r="371" spans="1:8" x14ac:dyDescent="0.2">
      <c r="A371" s="10" t="s">
        <v>8</v>
      </c>
      <c r="B371" s="11" t="s">
        <v>9</v>
      </c>
      <c r="C371" s="27" t="s">
        <v>277</v>
      </c>
      <c r="D371" s="28">
        <v>45313</v>
      </c>
      <c r="E371" s="12">
        <v>1141</v>
      </c>
      <c r="F371" s="13" t="s">
        <v>278</v>
      </c>
      <c r="G371" s="14" t="str">
        <f t="shared" si="10"/>
        <v>B</v>
      </c>
      <c r="H371" s="15" t="str">
        <f t="shared" si="11"/>
        <v>The Commissioner &amp; Chief Constable are satisfied the spend represents VFM in accordance with the requirements of Category B</v>
      </c>
    </row>
    <row r="372" spans="1:8" x14ac:dyDescent="0.2">
      <c r="A372" s="10" t="s">
        <v>8</v>
      </c>
      <c r="B372" s="11" t="s">
        <v>9</v>
      </c>
      <c r="C372" s="27" t="s">
        <v>279</v>
      </c>
      <c r="D372" s="28">
        <v>45315</v>
      </c>
      <c r="E372" s="12">
        <v>1135</v>
      </c>
      <c r="F372" s="13" t="s">
        <v>131</v>
      </c>
      <c r="G372" s="14" t="str">
        <f t="shared" si="10"/>
        <v>B</v>
      </c>
      <c r="H372" s="15" t="str">
        <f t="shared" si="11"/>
        <v>The Commissioner &amp; Chief Constable are satisfied the spend represents VFM in accordance with the requirements of Category B</v>
      </c>
    </row>
    <row r="373" spans="1:8" x14ac:dyDescent="0.2">
      <c r="A373" s="10" t="s">
        <v>8</v>
      </c>
      <c r="B373" s="11" t="s">
        <v>9</v>
      </c>
      <c r="C373" s="27" t="s">
        <v>280</v>
      </c>
      <c r="D373" s="28">
        <v>45308</v>
      </c>
      <c r="E373" s="12">
        <v>1129.7</v>
      </c>
      <c r="F373" s="13" t="s">
        <v>94</v>
      </c>
      <c r="G373" s="14" t="str">
        <f t="shared" si="10"/>
        <v>B</v>
      </c>
      <c r="H373" s="15" t="str">
        <f t="shared" si="11"/>
        <v>The Commissioner &amp; Chief Constable are satisfied the spend represents VFM in accordance with the requirements of Category B</v>
      </c>
    </row>
    <row r="374" spans="1:8" x14ac:dyDescent="0.2">
      <c r="A374" s="10" t="s">
        <v>8</v>
      </c>
      <c r="B374" s="11" t="s">
        <v>9</v>
      </c>
      <c r="C374" s="27" t="s">
        <v>201</v>
      </c>
      <c r="D374" s="28">
        <v>45300</v>
      </c>
      <c r="E374" s="12">
        <v>1129.57</v>
      </c>
      <c r="F374" s="13" t="s">
        <v>94</v>
      </c>
      <c r="G374" s="14" t="str">
        <f t="shared" si="10"/>
        <v>B</v>
      </c>
      <c r="H374" s="15" t="str">
        <f t="shared" si="11"/>
        <v>The Commissioner &amp; Chief Constable are satisfied the spend represents VFM in accordance with the requirements of Category B</v>
      </c>
    </row>
    <row r="375" spans="1:8" x14ac:dyDescent="0.2">
      <c r="A375" s="10" t="s">
        <v>8</v>
      </c>
      <c r="B375" s="11" t="s">
        <v>9</v>
      </c>
      <c r="C375" s="27" t="s">
        <v>281</v>
      </c>
      <c r="D375" s="28">
        <v>45296</v>
      </c>
      <c r="E375" s="12">
        <v>1113.3</v>
      </c>
      <c r="F375" s="13" t="s">
        <v>209</v>
      </c>
      <c r="G375" s="14" t="str">
        <f t="shared" si="10"/>
        <v>B</v>
      </c>
      <c r="H375" s="15" t="str">
        <f t="shared" si="11"/>
        <v>The Commissioner &amp; Chief Constable are satisfied the spend represents VFM in accordance with the requirements of Category B</v>
      </c>
    </row>
    <row r="376" spans="1:8" x14ac:dyDescent="0.2">
      <c r="A376" s="10" t="s">
        <v>8</v>
      </c>
      <c r="B376" s="11" t="s">
        <v>9</v>
      </c>
      <c r="C376" s="27" t="s">
        <v>282</v>
      </c>
      <c r="D376" s="28">
        <v>45322</v>
      </c>
      <c r="E376" s="12">
        <v>1112.5</v>
      </c>
      <c r="F376" s="13" t="s">
        <v>131</v>
      </c>
      <c r="G376" s="14" t="str">
        <f t="shared" si="10"/>
        <v>B</v>
      </c>
      <c r="H376" s="15" t="str">
        <f t="shared" si="11"/>
        <v>The Commissioner &amp; Chief Constable are satisfied the spend represents VFM in accordance with the requirements of Category B</v>
      </c>
    </row>
    <row r="377" spans="1:8" x14ac:dyDescent="0.2">
      <c r="A377" s="10" t="s">
        <v>8</v>
      </c>
      <c r="B377" s="11" t="s">
        <v>9</v>
      </c>
      <c r="C377" s="27" t="s">
        <v>172</v>
      </c>
      <c r="D377" s="28">
        <v>45309</v>
      </c>
      <c r="E377" s="12">
        <v>1050</v>
      </c>
      <c r="F377" s="13" t="s">
        <v>39</v>
      </c>
      <c r="G377" s="14" t="str">
        <f t="shared" si="10"/>
        <v>B</v>
      </c>
      <c r="H377" s="15" t="str">
        <f t="shared" si="11"/>
        <v>The Commissioner &amp; Chief Constable are satisfied the spend represents VFM in accordance with the requirements of Category B</v>
      </c>
    </row>
    <row r="378" spans="1:8" x14ac:dyDescent="0.2">
      <c r="A378" s="10" t="s">
        <v>8</v>
      </c>
      <c r="B378" s="11" t="s">
        <v>9</v>
      </c>
      <c r="C378" s="27" t="s">
        <v>256</v>
      </c>
      <c r="D378" s="28">
        <v>45304</v>
      </c>
      <c r="E378" s="12">
        <v>1040.99</v>
      </c>
      <c r="F378" s="13" t="s">
        <v>155</v>
      </c>
      <c r="G378" s="14" t="str">
        <f t="shared" si="10"/>
        <v>B</v>
      </c>
      <c r="H378" s="15" t="str">
        <f t="shared" si="11"/>
        <v>The Commissioner &amp; Chief Constable are satisfied the spend represents VFM in accordance with the requirements of Category B</v>
      </c>
    </row>
    <row r="379" spans="1:8" x14ac:dyDescent="0.2">
      <c r="A379" s="10" t="s">
        <v>8</v>
      </c>
      <c r="B379" s="11" t="s">
        <v>9</v>
      </c>
      <c r="C379" s="27" t="s">
        <v>283</v>
      </c>
      <c r="D379" s="28">
        <v>45294</v>
      </c>
      <c r="E379" s="12">
        <v>1039.68</v>
      </c>
      <c r="F379" s="13" t="s">
        <v>40</v>
      </c>
      <c r="G379" s="14" t="str">
        <f t="shared" si="10"/>
        <v>B</v>
      </c>
      <c r="H379" s="15" t="str">
        <f t="shared" si="11"/>
        <v>The Commissioner &amp; Chief Constable are satisfied the spend represents VFM in accordance with the requirements of Category B</v>
      </c>
    </row>
    <row r="380" spans="1:8" x14ac:dyDescent="0.2">
      <c r="A380" s="10" t="s">
        <v>8</v>
      </c>
      <c r="B380" s="11" t="s">
        <v>9</v>
      </c>
      <c r="C380" s="27" t="s">
        <v>181</v>
      </c>
      <c r="D380" s="28">
        <v>45300</v>
      </c>
      <c r="E380" s="12">
        <v>1030.5</v>
      </c>
      <c r="F380" s="13" t="s">
        <v>106</v>
      </c>
      <c r="G380" s="14" t="str">
        <f t="shared" si="10"/>
        <v>B</v>
      </c>
      <c r="H380" s="15" t="str">
        <f t="shared" si="11"/>
        <v>The Commissioner &amp; Chief Constable are satisfied the spend represents VFM in accordance with the requirements of Category B</v>
      </c>
    </row>
    <row r="381" spans="1:8" x14ac:dyDescent="0.2">
      <c r="A381" s="10" t="s">
        <v>8</v>
      </c>
      <c r="B381" s="11" t="s">
        <v>9</v>
      </c>
      <c r="C381" s="27" t="s">
        <v>284</v>
      </c>
      <c r="D381" s="28">
        <v>45306</v>
      </c>
      <c r="E381" s="12">
        <v>1028.9000000000001</v>
      </c>
      <c r="F381" s="13" t="s">
        <v>131</v>
      </c>
      <c r="G381" s="14" t="str">
        <f t="shared" si="10"/>
        <v>B</v>
      </c>
      <c r="H381" s="15" t="str">
        <f t="shared" si="11"/>
        <v>The Commissioner &amp; Chief Constable are satisfied the spend represents VFM in accordance with the requirements of Category B</v>
      </c>
    </row>
    <row r="382" spans="1:8" x14ac:dyDescent="0.2">
      <c r="A382" s="10" t="s">
        <v>8</v>
      </c>
      <c r="B382" s="11" t="s">
        <v>9</v>
      </c>
      <c r="C382" s="27" t="s">
        <v>285</v>
      </c>
      <c r="D382" s="28">
        <v>45313</v>
      </c>
      <c r="E382" s="12">
        <v>1027.8399999999999</v>
      </c>
      <c r="F382" s="13" t="s">
        <v>94</v>
      </c>
      <c r="G382" s="14" t="str">
        <f t="shared" si="10"/>
        <v>B</v>
      </c>
      <c r="H382" s="15" t="str">
        <f t="shared" si="11"/>
        <v>The Commissioner &amp; Chief Constable are satisfied the spend represents VFM in accordance with the requirements of Category B</v>
      </c>
    </row>
    <row r="383" spans="1:8" x14ac:dyDescent="0.2">
      <c r="A383" s="10" t="s">
        <v>8</v>
      </c>
      <c r="B383" s="11" t="s">
        <v>9</v>
      </c>
      <c r="C383" s="27" t="s">
        <v>256</v>
      </c>
      <c r="D383" s="28">
        <v>45306</v>
      </c>
      <c r="E383" s="12">
        <v>1020.26</v>
      </c>
      <c r="F383" s="13" t="s">
        <v>203</v>
      </c>
      <c r="G383" s="14" t="str">
        <f t="shared" si="10"/>
        <v>B</v>
      </c>
      <c r="H383" s="15" t="str">
        <f t="shared" si="11"/>
        <v>The Commissioner &amp; Chief Constable are satisfied the spend represents VFM in accordance with the requirements of Category B</v>
      </c>
    </row>
    <row r="384" spans="1:8" x14ac:dyDescent="0.2">
      <c r="A384" s="10" t="s">
        <v>8</v>
      </c>
      <c r="B384" s="11" t="s">
        <v>9</v>
      </c>
      <c r="C384" s="27" t="s">
        <v>266</v>
      </c>
      <c r="D384" s="28">
        <v>45296</v>
      </c>
      <c r="E384" s="12">
        <v>1019</v>
      </c>
      <c r="F384" s="13" t="s">
        <v>209</v>
      </c>
      <c r="G384" s="14" t="str">
        <f t="shared" si="10"/>
        <v>B</v>
      </c>
      <c r="H384" s="15" t="str">
        <f t="shared" si="11"/>
        <v>The Commissioner &amp; Chief Constable are satisfied the spend represents VFM in accordance with the requirements of Category B</v>
      </c>
    </row>
    <row r="385" spans="1:12" x14ac:dyDescent="0.2">
      <c r="A385" s="10" t="s">
        <v>8</v>
      </c>
      <c r="B385" s="11" t="s">
        <v>9</v>
      </c>
      <c r="C385" s="27" t="s">
        <v>286</v>
      </c>
      <c r="D385" s="28">
        <v>45296</v>
      </c>
      <c r="E385" s="12">
        <v>1012.5</v>
      </c>
      <c r="F385" s="13" t="s">
        <v>22</v>
      </c>
      <c r="G385" s="14" t="str">
        <f t="shared" si="10"/>
        <v>B</v>
      </c>
      <c r="H385" s="15" t="str">
        <f t="shared" si="11"/>
        <v>The Commissioner &amp; Chief Constable are satisfied the spend represents VFM in accordance with the requirements of Category B</v>
      </c>
    </row>
    <row r="386" spans="1:12" x14ac:dyDescent="0.2">
      <c r="A386" s="10" t="s">
        <v>8</v>
      </c>
      <c r="B386" s="11" t="s">
        <v>9</v>
      </c>
      <c r="C386" s="27" t="s">
        <v>219</v>
      </c>
      <c r="D386" s="28">
        <v>45294</v>
      </c>
      <c r="E386" s="12">
        <v>1009.1</v>
      </c>
      <c r="F386" s="13" t="s">
        <v>220</v>
      </c>
      <c r="G386" s="14" t="str">
        <f t="shared" ref="G386:G410" si="12">IF(E386&gt;25000,"C",IF(E386&gt;1000,"B","A"))</f>
        <v>B</v>
      </c>
      <c r="H386" s="15" t="str">
        <f t="shared" ref="H386:H411" si="13">VLOOKUP(G386,$K$2:$L$4,2,FALSE)</f>
        <v>The Commissioner &amp; Chief Constable are satisfied the spend represents VFM in accordance with the requirements of Category B</v>
      </c>
    </row>
    <row r="387" spans="1:12" x14ac:dyDescent="0.2">
      <c r="A387" s="10" t="s">
        <v>8</v>
      </c>
      <c r="B387" s="11" t="s">
        <v>9</v>
      </c>
      <c r="C387" s="27" t="s">
        <v>287</v>
      </c>
      <c r="D387" s="28">
        <v>45317</v>
      </c>
      <c r="E387" s="12">
        <v>1004.54</v>
      </c>
      <c r="F387" s="13" t="s">
        <v>131</v>
      </c>
      <c r="G387" s="14" t="str">
        <f t="shared" si="12"/>
        <v>B</v>
      </c>
      <c r="H387" s="15" t="str">
        <f t="shared" si="13"/>
        <v>The Commissioner &amp; Chief Constable are satisfied the spend represents VFM in accordance with the requirements of Category B</v>
      </c>
    </row>
    <row r="388" spans="1:12" x14ac:dyDescent="0.2">
      <c r="A388" s="10" t="s">
        <v>8</v>
      </c>
      <c r="B388" s="11" t="s">
        <v>9</v>
      </c>
      <c r="C388" s="27" t="s">
        <v>223</v>
      </c>
      <c r="D388" s="28">
        <v>45309</v>
      </c>
      <c r="E388" s="12">
        <v>1000</v>
      </c>
      <c r="F388" s="13" t="s">
        <v>22</v>
      </c>
      <c r="G388" s="14" t="str">
        <f t="shared" si="12"/>
        <v>A</v>
      </c>
      <c r="H388" s="15" t="str">
        <f t="shared" si="13"/>
        <v>The Commissioner &amp; Chief Constable are satisfied the spend represents VFM in accordance with the requirements of Category A</v>
      </c>
    </row>
    <row r="389" spans="1:12" x14ac:dyDescent="0.2">
      <c r="A389" s="10" t="s">
        <v>8</v>
      </c>
      <c r="B389" s="11" t="s">
        <v>9</v>
      </c>
      <c r="C389" s="27" t="s">
        <v>223</v>
      </c>
      <c r="D389" s="28">
        <v>45309</v>
      </c>
      <c r="E389" s="12">
        <v>1000</v>
      </c>
      <c r="F389" s="13" t="s">
        <v>22</v>
      </c>
      <c r="G389" s="14" t="str">
        <f t="shared" si="12"/>
        <v>A</v>
      </c>
      <c r="H389" s="15" t="str">
        <f t="shared" si="13"/>
        <v>The Commissioner &amp; Chief Constable are satisfied the spend represents VFM in accordance with the requirements of Category A</v>
      </c>
    </row>
    <row r="390" spans="1:12" s="20" customFormat="1" x14ac:dyDescent="0.2">
      <c r="A390" s="10" t="s">
        <v>8</v>
      </c>
      <c r="B390" s="11" t="s">
        <v>9</v>
      </c>
      <c r="C390" s="27" t="s">
        <v>10</v>
      </c>
      <c r="D390" s="28">
        <v>45293</v>
      </c>
      <c r="E390" s="12">
        <v>990</v>
      </c>
      <c r="F390" s="13" t="s">
        <v>11</v>
      </c>
      <c r="G390" s="14" t="str">
        <f t="shared" si="12"/>
        <v>A</v>
      </c>
      <c r="H390" s="15" t="str">
        <f t="shared" si="13"/>
        <v>The Commissioner &amp; Chief Constable are satisfied the spend represents VFM in accordance with the requirements of Category A</v>
      </c>
      <c r="K390" s="17"/>
      <c r="L390" s="17"/>
    </row>
    <row r="391" spans="1:12" s="20" customFormat="1" x14ac:dyDescent="0.2">
      <c r="A391" s="10" t="s">
        <v>8</v>
      </c>
      <c r="B391" s="11" t="s">
        <v>9</v>
      </c>
      <c r="C391" s="27" t="s">
        <v>288</v>
      </c>
      <c r="D391" s="28">
        <v>45308</v>
      </c>
      <c r="E391" s="12">
        <v>980</v>
      </c>
      <c r="F391" s="13" t="s">
        <v>22</v>
      </c>
      <c r="G391" s="14" t="str">
        <f t="shared" si="12"/>
        <v>A</v>
      </c>
      <c r="H391" s="15" t="str">
        <f t="shared" si="13"/>
        <v>The Commissioner &amp; Chief Constable are satisfied the spend represents VFM in accordance with the requirements of Category A</v>
      </c>
      <c r="K391" s="17"/>
      <c r="L391" s="17"/>
    </row>
    <row r="392" spans="1:12" s="20" customFormat="1" x14ac:dyDescent="0.2">
      <c r="A392" s="10" t="s">
        <v>8</v>
      </c>
      <c r="B392" s="11" t="s">
        <v>9</v>
      </c>
      <c r="C392" s="27" t="s">
        <v>289</v>
      </c>
      <c r="D392" s="28">
        <v>45298</v>
      </c>
      <c r="E392" s="12">
        <v>976.13</v>
      </c>
      <c r="F392" s="13" t="s">
        <v>131</v>
      </c>
      <c r="G392" s="14" t="str">
        <f t="shared" si="12"/>
        <v>A</v>
      </c>
      <c r="H392" s="15" t="str">
        <f t="shared" si="13"/>
        <v>The Commissioner &amp; Chief Constable are satisfied the spend represents VFM in accordance with the requirements of Category A</v>
      </c>
      <c r="K392" s="17"/>
      <c r="L392" s="17"/>
    </row>
    <row r="393" spans="1:12" s="20" customFormat="1" x14ac:dyDescent="0.2">
      <c r="A393" s="10" t="s">
        <v>8</v>
      </c>
      <c r="B393" s="11" t="s">
        <v>9</v>
      </c>
      <c r="C393" s="27" t="s">
        <v>260</v>
      </c>
      <c r="D393" s="28">
        <v>45310</v>
      </c>
      <c r="E393" s="12">
        <v>960.41000000000008</v>
      </c>
      <c r="F393" s="13" t="s">
        <v>261</v>
      </c>
      <c r="G393" s="14" t="str">
        <f t="shared" si="12"/>
        <v>A</v>
      </c>
      <c r="H393" s="15" t="str">
        <f t="shared" si="13"/>
        <v>The Commissioner &amp; Chief Constable are satisfied the spend represents VFM in accordance with the requirements of Category A</v>
      </c>
      <c r="K393" s="17"/>
      <c r="L393" s="17"/>
    </row>
    <row r="394" spans="1:12" s="20" customFormat="1" x14ac:dyDescent="0.2">
      <c r="A394" s="10" t="s">
        <v>8</v>
      </c>
      <c r="B394" s="11" t="s">
        <v>9</v>
      </c>
      <c r="C394" s="27" t="s">
        <v>130</v>
      </c>
      <c r="D394" s="28">
        <v>45295</v>
      </c>
      <c r="E394" s="12">
        <v>950</v>
      </c>
      <c r="F394" s="13" t="s">
        <v>38</v>
      </c>
      <c r="G394" s="14" t="str">
        <f t="shared" si="12"/>
        <v>A</v>
      </c>
      <c r="H394" s="15" t="str">
        <f t="shared" si="13"/>
        <v>The Commissioner &amp; Chief Constable are satisfied the spend represents VFM in accordance with the requirements of Category A</v>
      </c>
      <c r="K394" s="17"/>
      <c r="L394" s="17"/>
    </row>
    <row r="395" spans="1:12" s="20" customFormat="1" x14ac:dyDescent="0.2">
      <c r="A395" s="10" t="s">
        <v>8</v>
      </c>
      <c r="B395" s="11" t="s">
        <v>9</v>
      </c>
      <c r="C395" s="27" t="s">
        <v>290</v>
      </c>
      <c r="D395" s="28">
        <v>45298</v>
      </c>
      <c r="E395" s="12">
        <v>940</v>
      </c>
      <c r="F395" s="13" t="s">
        <v>38</v>
      </c>
      <c r="G395" s="14" t="str">
        <f t="shared" si="12"/>
        <v>A</v>
      </c>
      <c r="H395" s="15" t="str">
        <f t="shared" si="13"/>
        <v>The Commissioner &amp; Chief Constable are satisfied the spend represents VFM in accordance with the requirements of Category A</v>
      </c>
      <c r="K395" s="17"/>
      <c r="L395" s="17"/>
    </row>
    <row r="396" spans="1:12" s="20" customFormat="1" x14ac:dyDescent="0.2">
      <c r="A396" s="10" t="s">
        <v>8</v>
      </c>
      <c r="B396" s="11" t="s">
        <v>9</v>
      </c>
      <c r="C396" s="27" t="s">
        <v>256</v>
      </c>
      <c r="D396" s="28">
        <v>45299</v>
      </c>
      <c r="E396" s="12">
        <v>937.15</v>
      </c>
      <c r="F396" s="13" t="s">
        <v>155</v>
      </c>
      <c r="G396" s="14" t="str">
        <f t="shared" si="12"/>
        <v>A</v>
      </c>
      <c r="H396" s="15" t="str">
        <f t="shared" si="13"/>
        <v>The Commissioner &amp; Chief Constable are satisfied the spend represents VFM in accordance with the requirements of Category A</v>
      </c>
      <c r="K396" s="17"/>
      <c r="L396" s="17"/>
    </row>
    <row r="397" spans="1:12" s="20" customFormat="1" x14ac:dyDescent="0.2">
      <c r="A397" s="10" t="s">
        <v>8</v>
      </c>
      <c r="B397" s="11" t="s">
        <v>9</v>
      </c>
      <c r="C397" s="27" t="s">
        <v>277</v>
      </c>
      <c r="D397" s="28">
        <v>45306</v>
      </c>
      <c r="E397" s="12">
        <v>929</v>
      </c>
      <c r="F397" s="13" t="s">
        <v>131</v>
      </c>
      <c r="G397" s="14" t="str">
        <f t="shared" si="12"/>
        <v>A</v>
      </c>
      <c r="H397" s="15" t="str">
        <f t="shared" si="13"/>
        <v>The Commissioner &amp; Chief Constable are satisfied the spend represents VFM in accordance with the requirements of Category A</v>
      </c>
      <c r="K397" s="17"/>
      <c r="L397" s="17"/>
    </row>
    <row r="398" spans="1:12" s="20" customFormat="1" x14ac:dyDescent="0.2">
      <c r="A398" s="10" t="s">
        <v>8</v>
      </c>
      <c r="B398" s="11" t="s">
        <v>9</v>
      </c>
      <c r="C398" s="27" t="s">
        <v>291</v>
      </c>
      <c r="D398" s="28">
        <v>45303</v>
      </c>
      <c r="E398" s="12">
        <v>925</v>
      </c>
      <c r="F398" s="13" t="s">
        <v>39</v>
      </c>
      <c r="G398" s="14" t="str">
        <f t="shared" si="12"/>
        <v>A</v>
      </c>
      <c r="H398" s="15" t="str">
        <f t="shared" si="13"/>
        <v>The Commissioner &amp; Chief Constable are satisfied the spend represents VFM in accordance with the requirements of Category A</v>
      </c>
      <c r="K398" s="17"/>
      <c r="L398" s="17"/>
    </row>
    <row r="399" spans="1:12" s="20" customFormat="1" x14ac:dyDescent="0.2">
      <c r="A399" s="10" t="s">
        <v>8</v>
      </c>
      <c r="B399" s="11" t="s">
        <v>9</v>
      </c>
      <c r="C399" s="27" t="s">
        <v>178</v>
      </c>
      <c r="D399" s="28">
        <v>45313</v>
      </c>
      <c r="E399" s="12">
        <v>924.67</v>
      </c>
      <c r="F399" s="13" t="s">
        <v>39</v>
      </c>
      <c r="G399" s="14" t="str">
        <f t="shared" si="12"/>
        <v>A</v>
      </c>
      <c r="H399" s="15" t="str">
        <f t="shared" si="13"/>
        <v>The Commissioner &amp; Chief Constable are satisfied the spend represents VFM in accordance with the requirements of Category A</v>
      </c>
      <c r="K399" s="17"/>
      <c r="L399" s="17"/>
    </row>
    <row r="400" spans="1:12" s="20" customFormat="1" x14ac:dyDescent="0.2">
      <c r="A400" s="10" t="s">
        <v>8</v>
      </c>
      <c r="B400" s="11" t="s">
        <v>9</v>
      </c>
      <c r="C400" s="27" t="s">
        <v>292</v>
      </c>
      <c r="D400" s="28">
        <v>45315</v>
      </c>
      <c r="E400" s="12">
        <v>920</v>
      </c>
      <c r="F400" s="13" t="s">
        <v>84</v>
      </c>
      <c r="G400" s="14" t="str">
        <f t="shared" si="12"/>
        <v>A</v>
      </c>
      <c r="H400" s="15" t="str">
        <f t="shared" si="13"/>
        <v>The Commissioner &amp; Chief Constable are satisfied the spend represents VFM in accordance with the requirements of Category A</v>
      </c>
      <c r="K400" s="17"/>
      <c r="L400" s="17"/>
    </row>
    <row r="401" spans="1:12" s="20" customFormat="1" x14ac:dyDescent="0.2">
      <c r="A401" s="10" t="s">
        <v>8</v>
      </c>
      <c r="B401" s="11" t="s">
        <v>9</v>
      </c>
      <c r="C401" s="27" t="s">
        <v>284</v>
      </c>
      <c r="D401" s="28">
        <v>45321</v>
      </c>
      <c r="E401" s="12">
        <v>915.87</v>
      </c>
      <c r="F401" s="13" t="s">
        <v>131</v>
      </c>
      <c r="G401" s="14" t="str">
        <f t="shared" si="12"/>
        <v>A</v>
      </c>
      <c r="H401" s="15" t="str">
        <f t="shared" si="13"/>
        <v>The Commissioner &amp; Chief Constable are satisfied the spend represents VFM in accordance with the requirements of Category A</v>
      </c>
      <c r="K401" s="17"/>
      <c r="L401" s="17"/>
    </row>
    <row r="402" spans="1:12" s="20" customFormat="1" x14ac:dyDescent="0.2">
      <c r="A402" s="10" t="s">
        <v>8</v>
      </c>
      <c r="B402" s="11" t="s">
        <v>9</v>
      </c>
      <c r="C402" s="27" t="s">
        <v>293</v>
      </c>
      <c r="D402" s="28">
        <v>45316</v>
      </c>
      <c r="E402" s="12">
        <v>911.75</v>
      </c>
      <c r="F402" s="13" t="s">
        <v>133</v>
      </c>
      <c r="G402" s="14" t="str">
        <f t="shared" si="12"/>
        <v>A</v>
      </c>
      <c r="H402" s="15" t="str">
        <f t="shared" si="13"/>
        <v>The Commissioner &amp; Chief Constable are satisfied the spend represents VFM in accordance with the requirements of Category A</v>
      </c>
      <c r="K402" s="17"/>
      <c r="L402" s="17"/>
    </row>
    <row r="403" spans="1:12" s="20" customFormat="1" x14ac:dyDescent="0.2">
      <c r="A403" s="10" t="s">
        <v>8</v>
      </c>
      <c r="B403" s="11" t="s">
        <v>9</v>
      </c>
      <c r="C403" s="27" t="s">
        <v>293</v>
      </c>
      <c r="D403" s="28">
        <v>45316</v>
      </c>
      <c r="E403" s="12">
        <v>911.75</v>
      </c>
      <c r="F403" s="13" t="s">
        <v>133</v>
      </c>
      <c r="G403" s="14" t="str">
        <f t="shared" si="12"/>
        <v>A</v>
      </c>
      <c r="H403" s="15" t="str">
        <f t="shared" si="13"/>
        <v>The Commissioner &amp; Chief Constable are satisfied the spend represents VFM in accordance with the requirements of Category A</v>
      </c>
      <c r="K403" s="17"/>
      <c r="L403" s="17"/>
    </row>
    <row r="404" spans="1:12" s="20" customFormat="1" x14ac:dyDescent="0.2">
      <c r="A404" s="10" t="s">
        <v>8</v>
      </c>
      <c r="B404" s="11" t="s">
        <v>9</v>
      </c>
      <c r="C404" s="27" t="s">
        <v>294</v>
      </c>
      <c r="D404" s="28">
        <v>45316</v>
      </c>
      <c r="E404" s="12">
        <v>911.75</v>
      </c>
      <c r="F404" s="13" t="s">
        <v>133</v>
      </c>
      <c r="G404" s="14" t="str">
        <f t="shared" si="12"/>
        <v>A</v>
      </c>
      <c r="H404" s="15" t="str">
        <f t="shared" si="13"/>
        <v>The Commissioner &amp; Chief Constable are satisfied the spend represents VFM in accordance with the requirements of Category A</v>
      </c>
      <c r="K404" s="17"/>
      <c r="L404" s="17"/>
    </row>
    <row r="405" spans="1:12" x14ac:dyDescent="0.2">
      <c r="A405" s="10" t="s">
        <v>8</v>
      </c>
      <c r="B405" s="11" t="s">
        <v>9</v>
      </c>
      <c r="C405" s="27" t="s">
        <v>172</v>
      </c>
      <c r="D405" s="28">
        <v>45296</v>
      </c>
      <c r="E405" s="12">
        <v>900</v>
      </c>
      <c r="F405" s="13" t="s">
        <v>39</v>
      </c>
      <c r="G405" s="14" t="str">
        <f t="shared" si="12"/>
        <v>A</v>
      </c>
      <c r="H405" s="15" t="str">
        <f t="shared" si="13"/>
        <v>The Commissioner &amp; Chief Constable are satisfied the spend represents VFM in accordance with the requirements of Category A</v>
      </c>
    </row>
    <row r="406" spans="1:12" x14ac:dyDescent="0.2">
      <c r="A406" s="10" t="s">
        <v>8</v>
      </c>
      <c r="B406" s="11" t="s">
        <v>9</v>
      </c>
      <c r="C406" s="27" t="s">
        <v>295</v>
      </c>
      <c r="D406" s="28">
        <v>45295</v>
      </c>
      <c r="E406" s="12">
        <v>900</v>
      </c>
      <c r="F406" s="13" t="s">
        <v>296</v>
      </c>
      <c r="G406" s="14" t="str">
        <f t="shared" si="12"/>
        <v>A</v>
      </c>
      <c r="H406" s="15" t="str">
        <f t="shared" si="13"/>
        <v>The Commissioner &amp; Chief Constable are satisfied the spend represents VFM in accordance with the requirements of Category A</v>
      </c>
    </row>
    <row r="407" spans="1:12" x14ac:dyDescent="0.2">
      <c r="A407" s="10" t="s">
        <v>8</v>
      </c>
      <c r="B407" s="11" t="s">
        <v>9</v>
      </c>
      <c r="C407" s="27" t="s">
        <v>297</v>
      </c>
      <c r="D407" s="28">
        <v>45300</v>
      </c>
      <c r="E407" s="12">
        <v>900</v>
      </c>
      <c r="F407" s="13" t="s">
        <v>298</v>
      </c>
      <c r="G407" s="14" t="str">
        <f t="shared" si="12"/>
        <v>A</v>
      </c>
      <c r="H407" s="15" t="str">
        <f t="shared" si="13"/>
        <v>The Commissioner &amp; Chief Constable are satisfied the spend represents VFM in accordance with the requirements of Category A</v>
      </c>
    </row>
    <row r="408" spans="1:12" x14ac:dyDescent="0.2">
      <c r="A408" s="10" t="s">
        <v>8</v>
      </c>
      <c r="B408" s="11" t="s">
        <v>9</v>
      </c>
      <c r="C408" s="27" t="s">
        <v>299</v>
      </c>
      <c r="D408" s="28">
        <v>45315</v>
      </c>
      <c r="E408" s="12">
        <v>900</v>
      </c>
      <c r="F408" s="13" t="s">
        <v>259</v>
      </c>
      <c r="G408" s="14" t="str">
        <f t="shared" si="12"/>
        <v>A</v>
      </c>
      <c r="H408" s="15" t="str">
        <f t="shared" si="13"/>
        <v>The Commissioner &amp; Chief Constable are satisfied the spend represents VFM in accordance with the requirements of Category A</v>
      </c>
    </row>
    <row r="409" spans="1:12" x14ac:dyDescent="0.2">
      <c r="A409" s="10" t="s">
        <v>8</v>
      </c>
      <c r="B409" s="11" t="s">
        <v>9</v>
      </c>
      <c r="C409" s="27" t="s">
        <v>300</v>
      </c>
      <c r="D409" s="28">
        <v>45315</v>
      </c>
      <c r="E409" s="12">
        <v>900</v>
      </c>
      <c r="F409" s="13" t="s">
        <v>182</v>
      </c>
      <c r="G409" s="14" t="str">
        <f t="shared" si="12"/>
        <v>A</v>
      </c>
      <c r="H409" s="15" t="str">
        <f t="shared" si="13"/>
        <v>The Commissioner &amp; Chief Constable are satisfied the spend represents VFM in accordance with the requirements of Category A</v>
      </c>
    </row>
    <row r="410" spans="1:12" x14ac:dyDescent="0.2">
      <c r="A410" s="10" t="s">
        <v>8</v>
      </c>
      <c r="B410" s="11" t="s">
        <v>9</v>
      </c>
      <c r="C410" s="27" t="s">
        <v>227</v>
      </c>
      <c r="D410" s="28">
        <v>45301</v>
      </c>
      <c r="E410" s="12">
        <v>895</v>
      </c>
      <c r="F410" s="13" t="s">
        <v>106</v>
      </c>
      <c r="G410" s="14" t="str">
        <f t="shared" si="12"/>
        <v>A</v>
      </c>
      <c r="H410" s="15" t="str">
        <f t="shared" si="13"/>
        <v>The Commissioner &amp; Chief Constable are satisfied the spend represents VFM in accordance with the requirements of Category A</v>
      </c>
    </row>
    <row r="411" spans="1:12" x14ac:dyDescent="0.2">
      <c r="A411" s="10" t="s">
        <v>8</v>
      </c>
      <c r="B411" s="11" t="s">
        <v>9</v>
      </c>
      <c r="C411" s="27" t="s">
        <v>256</v>
      </c>
      <c r="D411" s="28">
        <v>45320</v>
      </c>
      <c r="E411" s="12">
        <v>894.52</v>
      </c>
      <c r="F411" s="13" t="s">
        <v>106</v>
      </c>
      <c r="G411" s="14" t="str">
        <f t="shared" ref="G411:G442" si="14">IF(E411&gt;25000,"C",IF(E411&gt;1000,"B","A"))</f>
        <v>A</v>
      </c>
      <c r="H411" s="15" t="str">
        <f t="shared" si="13"/>
        <v>The Commissioner &amp; Chief Constable are satisfied the spend represents VFM in accordance with the requirements of Category A</v>
      </c>
    </row>
    <row r="412" spans="1:12" x14ac:dyDescent="0.2">
      <c r="A412" s="10" t="s">
        <v>8</v>
      </c>
      <c r="B412" s="11" t="s">
        <v>9</v>
      </c>
      <c r="C412" s="27" t="s">
        <v>124</v>
      </c>
      <c r="D412" s="28">
        <v>45320</v>
      </c>
      <c r="E412" s="12">
        <v>893.78</v>
      </c>
      <c r="F412" s="13" t="s">
        <v>91</v>
      </c>
      <c r="G412" s="14" t="str">
        <f t="shared" si="14"/>
        <v>A</v>
      </c>
      <c r="H412" s="15" t="str">
        <f t="shared" ref="H412:H443" si="15">VLOOKUP(G412,$K$2:$L$4,2,FALSE)</f>
        <v>The Commissioner &amp; Chief Constable are satisfied the spend represents VFM in accordance with the requirements of Category A</v>
      </c>
    </row>
    <row r="413" spans="1:12" x14ac:dyDescent="0.2">
      <c r="A413" s="10" t="s">
        <v>8</v>
      </c>
      <c r="B413" s="11" t="s">
        <v>9</v>
      </c>
      <c r="C413" s="27" t="s">
        <v>93</v>
      </c>
      <c r="D413" s="28">
        <v>45313</v>
      </c>
      <c r="E413" s="12">
        <v>892</v>
      </c>
      <c r="F413" s="13" t="s">
        <v>94</v>
      </c>
      <c r="G413" s="14" t="str">
        <f t="shared" si="14"/>
        <v>A</v>
      </c>
      <c r="H413" s="15" t="str">
        <f t="shared" si="15"/>
        <v>The Commissioner &amp; Chief Constable are satisfied the spend represents VFM in accordance with the requirements of Category A</v>
      </c>
    </row>
    <row r="414" spans="1:12" x14ac:dyDescent="0.2">
      <c r="A414" s="10" t="s">
        <v>8</v>
      </c>
      <c r="B414" s="11" t="s">
        <v>9</v>
      </c>
      <c r="C414" s="27" t="s">
        <v>301</v>
      </c>
      <c r="D414" s="28">
        <v>45303</v>
      </c>
      <c r="E414" s="12">
        <v>890</v>
      </c>
      <c r="F414" s="13" t="s">
        <v>22</v>
      </c>
      <c r="G414" s="14" t="str">
        <f t="shared" si="14"/>
        <v>A</v>
      </c>
      <c r="H414" s="15" t="str">
        <f t="shared" si="15"/>
        <v>The Commissioner &amp; Chief Constable are satisfied the spend represents VFM in accordance with the requirements of Category A</v>
      </c>
    </row>
    <row r="415" spans="1:12" x14ac:dyDescent="0.2">
      <c r="A415" s="10" t="s">
        <v>8</v>
      </c>
      <c r="B415" s="11" t="s">
        <v>9</v>
      </c>
      <c r="C415" s="27" t="s">
        <v>249</v>
      </c>
      <c r="D415" s="28">
        <v>45303</v>
      </c>
      <c r="E415" s="12">
        <v>888.5</v>
      </c>
      <c r="F415" s="13" t="s">
        <v>138</v>
      </c>
      <c r="G415" s="14" t="str">
        <f t="shared" si="14"/>
        <v>A</v>
      </c>
      <c r="H415" s="15" t="str">
        <f t="shared" si="15"/>
        <v>The Commissioner &amp; Chief Constable are satisfied the spend represents VFM in accordance with the requirements of Category A</v>
      </c>
    </row>
    <row r="416" spans="1:12" x14ac:dyDescent="0.2">
      <c r="A416" s="10" t="s">
        <v>8</v>
      </c>
      <c r="B416" s="11" t="s">
        <v>9</v>
      </c>
      <c r="C416" s="27" t="s">
        <v>302</v>
      </c>
      <c r="D416" s="28">
        <v>45296</v>
      </c>
      <c r="E416" s="12">
        <v>881.24</v>
      </c>
      <c r="F416" s="13" t="s">
        <v>131</v>
      </c>
      <c r="G416" s="14" t="str">
        <f t="shared" si="14"/>
        <v>A</v>
      </c>
      <c r="H416" s="15" t="str">
        <f t="shared" si="15"/>
        <v>The Commissioner &amp; Chief Constable are satisfied the spend represents VFM in accordance with the requirements of Category A</v>
      </c>
    </row>
    <row r="417" spans="1:12" x14ac:dyDescent="0.2">
      <c r="A417" s="10" t="s">
        <v>8</v>
      </c>
      <c r="B417" s="11" t="s">
        <v>9</v>
      </c>
      <c r="C417" s="27" t="s">
        <v>303</v>
      </c>
      <c r="D417" s="28">
        <v>45293</v>
      </c>
      <c r="E417" s="12">
        <v>866.38</v>
      </c>
      <c r="F417" s="13" t="s">
        <v>91</v>
      </c>
      <c r="G417" s="14" t="str">
        <f t="shared" si="14"/>
        <v>A</v>
      </c>
      <c r="H417" s="15" t="str">
        <f t="shared" si="15"/>
        <v>The Commissioner &amp; Chief Constable are satisfied the spend represents VFM in accordance with the requirements of Category A</v>
      </c>
    </row>
    <row r="418" spans="1:12" s="20" customFormat="1" x14ac:dyDescent="0.2">
      <c r="A418" s="10" t="s">
        <v>8</v>
      </c>
      <c r="B418" s="11" t="s">
        <v>9</v>
      </c>
      <c r="C418" s="27" t="s">
        <v>304</v>
      </c>
      <c r="D418" s="28">
        <v>45300</v>
      </c>
      <c r="E418" s="12">
        <v>864.5</v>
      </c>
      <c r="F418" s="13" t="s">
        <v>155</v>
      </c>
      <c r="G418" s="14" t="str">
        <f t="shared" si="14"/>
        <v>A</v>
      </c>
      <c r="H418" s="15" t="str">
        <f t="shared" si="15"/>
        <v>The Commissioner &amp; Chief Constable are satisfied the spend represents VFM in accordance with the requirements of Category A</v>
      </c>
      <c r="K418" s="17"/>
      <c r="L418" s="17"/>
    </row>
    <row r="419" spans="1:12" s="20" customFormat="1" x14ac:dyDescent="0.2">
      <c r="A419" s="10" t="s">
        <v>8</v>
      </c>
      <c r="B419" s="11" t="s">
        <v>9</v>
      </c>
      <c r="C419" s="27" t="s">
        <v>304</v>
      </c>
      <c r="D419" s="28">
        <v>45309</v>
      </c>
      <c r="E419" s="12">
        <v>863.5</v>
      </c>
      <c r="F419" s="13" t="s">
        <v>155</v>
      </c>
      <c r="G419" s="14" t="str">
        <f t="shared" si="14"/>
        <v>A</v>
      </c>
      <c r="H419" s="15" t="str">
        <f t="shared" si="15"/>
        <v>The Commissioner &amp; Chief Constable are satisfied the spend represents VFM in accordance with the requirements of Category A</v>
      </c>
      <c r="K419" s="17"/>
      <c r="L419" s="17"/>
    </row>
    <row r="420" spans="1:12" s="20" customFormat="1" x14ac:dyDescent="0.2">
      <c r="A420" s="10" t="s">
        <v>8</v>
      </c>
      <c r="B420" s="11" t="s">
        <v>9</v>
      </c>
      <c r="C420" s="29" t="s">
        <v>249</v>
      </c>
      <c r="D420" s="28">
        <v>45295</v>
      </c>
      <c r="E420" s="12">
        <v>861</v>
      </c>
      <c r="F420" s="13" t="s">
        <v>138</v>
      </c>
      <c r="G420" s="14" t="str">
        <f t="shared" si="14"/>
        <v>A</v>
      </c>
      <c r="H420" s="15" t="str">
        <f t="shared" si="15"/>
        <v>The Commissioner &amp; Chief Constable are satisfied the spend represents VFM in accordance with the requirements of Category A</v>
      </c>
      <c r="K420" s="17"/>
      <c r="L420" s="17"/>
    </row>
    <row r="421" spans="1:12" s="20" customFormat="1" x14ac:dyDescent="0.2">
      <c r="A421" s="10" t="s">
        <v>8</v>
      </c>
      <c r="B421" s="11" t="s">
        <v>9</v>
      </c>
      <c r="C421" s="27" t="s">
        <v>305</v>
      </c>
      <c r="D421" s="28">
        <v>45300</v>
      </c>
      <c r="E421" s="12">
        <v>850.64</v>
      </c>
      <c r="F421" s="13" t="s">
        <v>306</v>
      </c>
      <c r="G421" s="14" t="str">
        <f t="shared" si="14"/>
        <v>A</v>
      </c>
      <c r="H421" s="15" t="str">
        <f t="shared" si="15"/>
        <v>The Commissioner &amp; Chief Constable are satisfied the spend represents VFM in accordance with the requirements of Category A</v>
      </c>
      <c r="K421" s="17"/>
      <c r="L421" s="17"/>
    </row>
    <row r="422" spans="1:12" s="20" customFormat="1" x14ac:dyDescent="0.2">
      <c r="A422" s="10" t="s">
        <v>8</v>
      </c>
      <c r="B422" s="11" t="s">
        <v>9</v>
      </c>
      <c r="C422" s="27" t="s">
        <v>130</v>
      </c>
      <c r="D422" s="28">
        <v>45295</v>
      </c>
      <c r="E422" s="12">
        <v>850</v>
      </c>
      <c r="F422" s="13" t="s">
        <v>38</v>
      </c>
      <c r="G422" s="14" t="str">
        <f t="shared" si="14"/>
        <v>A</v>
      </c>
      <c r="H422" s="15" t="str">
        <f t="shared" si="15"/>
        <v>The Commissioner &amp; Chief Constable are satisfied the spend represents VFM in accordance with the requirements of Category A</v>
      </c>
      <c r="K422" s="17"/>
      <c r="L422" s="17"/>
    </row>
    <row r="423" spans="1:12" s="20" customFormat="1" x14ac:dyDescent="0.2">
      <c r="A423" s="10" t="s">
        <v>8</v>
      </c>
      <c r="B423" s="11" t="s">
        <v>9</v>
      </c>
      <c r="C423" s="27" t="s">
        <v>219</v>
      </c>
      <c r="D423" s="28">
        <v>45321</v>
      </c>
      <c r="E423" s="12">
        <v>845.95</v>
      </c>
      <c r="F423" s="13" t="s">
        <v>220</v>
      </c>
      <c r="G423" s="14" t="str">
        <f t="shared" si="14"/>
        <v>A</v>
      </c>
      <c r="H423" s="15" t="str">
        <f t="shared" si="15"/>
        <v>The Commissioner &amp; Chief Constable are satisfied the spend represents VFM in accordance with the requirements of Category A</v>
      </c>
      <c r="K423" s="17"/>
      <c r="L423" s="17"/>
    </row>
    <row r="424" spans="1:12" s="20" customFormat="1" x14ac:dyDescent="0.2">
      <c r="A424" s="10" t="s">
        <v>8</v>
      </c>
      <c r="B424" s="11" t="s">
        <v>9</v>
      </c>
      <c r="C424" s="27" t="s">
        <v>260</v>
      </c>
      <c r="D424" s="28">
        <v>45296</v>
      </c>
      <c r="E424" s="12">
        <v>843.04</v>
      </c>
      <c r="F424" s="13" t="s">
        <v>261</v>
      </c>
      <c r="G424" s="14" t="str">
        <f t="shared" si="14"/>
        <v>A</v>
      </c>
      <c r="H424" s="15" t="str">
        <f t="shared" si="15"/>
        <v>The Commissioner &amp; Chief Constable are satisfied the spend represents VFM in accordance with the requirements of Category A</v>
      </c>
      <c r="K424" s="17"/>
      <c r="L424" s="17"/>
    </row>
    <row r="425" spans="1:12" s="20" customFormat="1" x14ac:dyDescent="0.2">
      <c r="A425" s="10" t="s">
        <v>8</v>
      </c>
      <c r="B425" s="11" t="s">
        <v>9</v>
      </c>
      <c r="C425" s="27" t="s">
        <v>260</v>
      </c>
      <c r="D425" s="28">
        <v>45299</v>
      </c>
      <c r="E425" s="12">
        <v>840.16</v>
      </c>
      <c r="F425" s="13" t="s">
        <v>131</v>
      </c>
      <c r="G425" s="14" t="str">
        <f t="shared" si="14"/>
        <v>A</v>
      </c>
      <c r="H425" s="15" t="str">
        <f t="shared" si="15"/>
        <v>The Commissioner &amp; Chief Constable are satisfied the spend represents VFM in accordance with the requirements of Category A</v>
      </c>
      <c r="K425" s="17"/>
      <c r="L425" s="17"/>
    </row>
    <row r="426" spans="1:12" s="20" customFormat="1" x14ac:dyDescent="0.2">
      <c r="A426" s="10" t="s">
        <v>8</v>
      </c>
      <c r="B426" s="11" t="s">
        <v>9</v>
      </c>
      <c r="C426" s="27" t="s">
        <v>307</v>
      </c>
      <c r="D426" s="28">
        <v>45307</v>
      </c>
      <c r="E426" s="12">
        <v>840</v>
      </c>
      <c r="F426" s="13" t="s">
        <v>29</v>
      </c>
      <c r="G426" s="14" t="str">
        <f t="shared" si="14"/>
        <v>A</v>
      </c>
      <c r="H426" s="15" t="str">
        <f t="shared" si="15"/>
        <v>The Commissioner &amp; Chief Constable are satisfied the spend represents VFM in accordance with the requirements of Category A</v>
      </c>
      <c r="K426" s="17"/>
      <c r="L426" s="17"/>
    </row>
    <row r="427" spans="1:12" s="20" customFormat="1" x14ac:dyDescent="0.2">
      <c r="A427" s="10" t="s">
        <v>8</v>
      </c>
      <c r="B427" s="11" t="s">
        <v>9</v>
      </c>
      <c r="C427" s="27" t="s">
        <v>308</v>
      </c>
      <c r="D427" s="28">
        <v>45306</v>
      </c>
      <c r="E427" s="12">
        <v>830.55</v>
      </c>
      <c r="F427" s="13" t="s">
        <v>160</v>
      </c>
      <c r="G427" s="14" t="str">
        <f t="shared" si="14"/>
        <v>A</v>
      </c>
      <c r="H427" s="15" t="str">
        <f t="shared" si="15"/>
        <v>The Commissioner &amp; Chief Constable are satisfied the spend represents VFM in accordance with the requirements of Category A</v>
      </c>
      <c r="K427" s="17"/>
      <c r="L427" s="17"/>
    </row>
    <row r="428" spans="1:12" s="20" customFormat="1" x14ac:dyDescent="0.2">
      <c r="A428" s="10" t="s">
        <v>8</v>
      </c>
      <c r="B428" s="11" t="s">
        <v>9</v>
      </c>
      <c r="C428" s="29" t="s">
        <v>309</v>
      </c>
      <c r="D428" s="28">
        <v>45307</v>
      </c>
      <c r="E428" s="12">
        <v>830.25</v>
      </c>
      <c r="F428" s="13" t="s">
        <v>38</v>
      </c>
      <c r="G428" s="14" t="str">
        <f t="shared" si="14"/>
        <v>A</v>
      </c>
      <c r="H428" s="15" t="str">
        <f t="shared" si="15"/>
        <v>The Commissioner &amp; Chief Constable are satisfied the spend represents VFM in accordance with the requirements of Category A</v>
      </c>
      <c r="K428" s="17"/>
      <c r="L428" s="17"/>
    </row>
    <row r="429" spans="1:12" s="20" customFormat="1" x14ac:dyDescent="0.2">
      <c r="A429" s="10" t="s">
        <v>8</v>
      </c>
      <c r="B429" s="11" t="s">
        <v>9</v>
      </c>
      <c r="C429" s="27" t="s">
        <v>310</v>
      </c>
      <c r="D429" s="28">
        <v>45313</v>
      </c>
      <c r="E429" s="12">
        <v>827.04</v>
      </c>
      <c r="F429" s="13" t="s">
        <v>39</v>
      </c>
      <c r="G429" s="14" t="str">
        <f t="shared" si="14"/>
        <v>A</v>
      </c>
      <c r="H429" s="15" t="str">
        <f t="shared" si="15"/>
        <v>The Commissioner &amp; Chief Constable are satisfied the spend represents VFM in accordance with the requirements of Category A</v>
      </c>
      <c r="K429" s="17"/>
      <c r="L429" s="17"/>
    </row>
    <row r="430" spans="1:12" s="20" customFormat="1" x14ac:dyDescent="0.2">
      <c r="A430" s="10" t="s">
        <v>8</v>
      </c>
      <c r="B430" s="11" t="s">
        <v>9</v>
      </c>
      <c r="C430" s="27" t="s">
        <v>119</v>
      </c>
      <c r="D430" s="28">
        <v>45316</v>
      </c>
      <c r="E430" s="12">
        <v>826.2</v>
      </c>
      <c r="F430" s="13" t="s">
        <v>120</v>
      </c>
      <c r="G430" s="14" t="str">
        <f t="shared" si="14"/>
        <v>A</v>
      </c>
      <c r="H430" s="15" t="str">
        <f t="shared" si="15"/>
        <v>The Commissioner &amp; Chief Constable are satisfied the spend represents VFM in accordance with the requirements of Category A</v>
      </c>
      <c r="K430" s="17"/>
      <c r="L430" s="17"/>
    </row>
    <row r="431" spans="1:12" s="20" customFormat="1" x14ac:dyDescent="0.2">
      <c r="A431" s="10" t="s">
        <v>8</v>
      </c>
      <c r="B431" s="11" t="s">
        <v>9</v>
      </c>
      <c r="C431" s="27" t="s">
        <v>272</v>
      </c>
      <c r="D431" s="28">
        <v>45309</v>
      </c>
      <c r="E431" s="12">
        <v>824</v>
      </c>
      <c r="F431" s="13" t="s">
        <v>106</v>
      </c>
      <c r="G431" s="14" t="str">
        <f t="shared" si="14"/>
        <v>A</v>
      </c>
      <c r="H431" s="15" t="str">
        <f t="shared" si="15"/>
        <v>The Commissioner &amp; Chief Constable are satisfied the spend represents VFM in accordance with the requirements of Category A</v>
      </c>
      <c r="K431" s="17"/>
      <c r="L431" s="17"/>
    </row>
    <row r="432" spans="1:12" s="20" customFormat="1" x14ac:dyDescent="0.2">
      <c r="A432" s="10" t="s">
        <v>8</v>
      </c>
      <c r="B432" s="11" t="s">
        <v>9</v>
      </c>
      <c r="C432" s="27" t="s">
        <v>311</v>
      </c>
      <c r="D432" s="28">
        <v>45299</v>
      </c>
      <c r="E432" s="12">
        <v>816</v>
      </c>
      <c r="F432" s="13" t="s">
        <v>80</v>
      </c>
      <c r="G432" s="14" t="str">
        <f t="shared" si="14"/>
        <v>A</v>
      </c>
      <c r="H432" s="15" t="str">
        <f t="shared" si="15"/>
        <v>The Commissioner &amp; Chief Constable are satisfied the spend represents VFM in accordance with the requirements of Category A</v>
      </c>
      <c r="K432" s="17"/>
      <c r="L432" s="17"/>
    </row>
    <row r="433" spans="1:12" s="20" customFormat="1" x14ac:dyDescent="0.2">
      <c r="A433" s="10" t="s">
        <v>8</v>
      </c>
      <c r="B433" s="11" t="s">
        <v>9</v>
      </c>
      <c r="C433" s="27" t="s">
        <v>176</v>
      </c>
      <c r="D433" s="28">
        <v>45300</v>
      </c>
      <c r="E433" s="12">
        <v>815.83</v>
      </c>
      <c r="F433" s="13" t="s">
        <v>131</v>
      </c>
      <c r="G433" s="14" t="str">
        <f t="shared" si="14"/>
        <v>A</v>
      </c>
      <c r="H433" s="15" t="str">
        <f t="shared" si="15"/>
        <v>The Commissioner &amp; Chief Constable are satisfied the spend represents VFM in accordance with the requirements of Category A</v>
      </c>
      <c r="K433" s="17"/>
      <c r="L433" s="17"/>
    </row>
    <row r="434" spans="1:12" s="20" customFormat="1" x14ac:dyDescent="0.2">
      <c r="A434" s="10" t="s">
        <v>8</v>
      </c>
      <c r="B434" s="11" t="s">
        <v>9</v>
      </c>
      <c r="C434" s="27" t="s">
        <v>181</v>
      </c>
      <c r="D434" s="28">
        <v>45314</v>
      </c>
      <c r="E434" s="12">
        <v>815</v>
      </c>
      <c r="F434" s="13" t="s">
        <v>106</v>
      </c>
      <c r="G434" s="14" t="str">
        <f t="shared" si="14"/>
        <v>A</v>
      </c>
      <c r="H434" s="15" t="str">
        <f t="shared" si="15"/>
        <v>The Commissioner &amp; Chief Constable are satisfied the spend represents VFM in accordance with the requirements of Category A</v>
      </c>
      <c r="K434" s="17"/>
      <c r="L434" s="17"/>
    </row>
    <row r="435" spans="1:12" s="20" customFormat="1" x14ac:dyDescent="0.2">
      <c r="A435" s="10" t="s">
        <v>8</v>
      </c>
      <c r="B435" s="11" t="s">
        <v>9</v>
      </c>
      <c r="C435" s="27" t="s">
        <v>181</v>
      </c>
      <c r="D435" s="28">
        <v>45317</v>
      </c>
      <c r="E435" s="12">
        <v>815</v>
      </c>
      <c r="F435" s="13" t="s">
        <v>106</v>
      </c>
      <c r="G435" s="14" t="str">
        <f t="shared" si="14"/>
        <v>A</v>
      </c>
      <c r="H435" s="15" t="str">
        <f t="shared" si="15"/>
        <v>The Commissioner &amp; Chief Constable are satisfied the spend represents VFM in accordance with the requirements of Category A</v>
      </c>
      <c r="K435" s="17"/>
      <c r="L435" s="17"/>
    </row>
    <row r="436" spans="1:12" s="20" customFormat="1" x14ac:dyDescent="0.2">
      <c r="A436" s="10" t="s">
        <v>8</v>
      </c>
      <c r="B436" s="11" t="s">
        <v>9</v>
      </c>
      <c r="C436" s="27" t="s">
        <v>312</v>
      </c>
      <c r="D436" s="28">
        <v>45293</v>
      </c>
      <c r="E436" s="12">
        <v>809</v>
      </c>
      <c r="F436" s="13" t="s">
        <v>151</v>
      </c>
      <c r="G436" s="14" t="str">
        <f t="shared" si="14"/>
        <v>A</v>
      </c>
      <c r="H436" s="15" t="str">
        <f t="shared" si="15"/>
        <v>The Commissioner &amp; Chief Constable are satisfied the spend represents VFM in accordance with the requirements of Category A</v>
      </c>
      <c r="K436" s="17"/>
      <c r="L436" s="17"/>
    </row>
    <row r="437" spans="1:12" s="20" customFormat="1" x14ac:dyDescent="0.2">
      <c r="A437" s="10" t="s">
        <v>8</v>
      </c>
      <c r="B437" s="11" t="s">
        <v>9</v>
      </c>
      <c r="C437" s="27" t="s">
        <v>312</v>
      </c>
      <c r="D437" s="28">
        <v>45314</v>
      </c>
      <c r="E437" s="12">
        <v>809</v>
      </c>
      <c r="F437" s="13" t="s">
        <v>151</v>
      </c>
      <c r="G437" s="14" t="str">
        <f t="shared" si="14"/>
        <v>A</v>
      </c>
      <c r="H437" s="15" t="str">
        <f t="shared" si="15"/>
        <v>The Commissioner &amp; Chief Constable are satisfied the spend represents VFM in accordance with the requirements of Category A</v>
      </c>
      <c r="K437" s="17"/>
      <c r="L437" s="17"/>
    </row>
    <row r="438" spans="1:12" s="20" customFormat="1" x14ac:dyDescent="0.2">
      <c r="A438" s="10" t="s">
        <v>8</v>
      </c>
      <c r="B438" s="11" t="s">
        <v>9</v>
      </c>
      <c r="C438" s="27" t="s">
        <v>313</v>
      </c>
      <c r="D438" s="28">
        <v>45309</v>
      </c>
      <c r="E438" s="12">
        <v>800</v>
      </c>
      <c r="F438" s="13" t="s">
        <v>106</v>
      </c>
      <c r="G438" s="14" t="str">
        <f t="shared" si="14"/>
        <v>A</v>
      </c>
      <c r="H438" s="15" t="str">
        <f t="shared" si="15"/>
        <v>The Commissioner &amp; Chief Constable are satisfied the spend represents VFM in accordance with the requirements of Category A</v>
      </c>
      <c r="K438" s="17"/>
      <c r="L438" s="17"/>
    </row>
    <row r="439" spans="1:12" s="20" customFormat="1" x14ac:dyDescent="0.2">
      <c r="A439" s="10" t="s">
        <v>8</v>
      </c>
      <c r="B439" s="11" t="s">
        <v>9</v>
      </c>
      <c r="C439" s="27" t="s">
        <v>279</v>
      </c>
      <c r="D439" s="28">
        <v>45293</v>
      </c>
      <c r="E439" s="12">
        <v>791.6</v>
      </c>
      <c r="F439" s="13" t="s">
        <v>94</v>
      </c>
      <c r="G439" s="14" t="str">
        <f t="shared" si="14"/>
        <v>A</v>
      </c>
      <c r="H439" s="15" t="str">
        <f t="shared" si="15"/>
        <v>The Commissioner &amp; Chief Constable are satisfied the spend represents VFM in accordance with the requirements of Category A</v>
      </c>
      <c r="K439" s="17"/>
      <c r="L439" s="17"/>
    </row>
    <row r="440" spans="1:12" s="20" customFormat="1" x14ac:dyDescent="0.2">
      <c r="A440" s="10" t="s">
        <v>8</v>
      </c>
      <c r="B440" s="11" t="s">
        <v>9</v>
      </c>
      <c r="C440" s="27" t="s">
        <v>256</v>
      </c>
      <c r="D440" s="28">
        <v>45299</v>
      </c>
      <c r="E440" s="12">
        <v>788.32</v>
      </c>
      <c r="F440" s="13" t="s">
        <v>155</v>
      </c>
      <c r="G440" s="14" t="str">
        <f t="shared" si="14"/>
        <v>A</v>
      </c>
      <c r="H440" s="15" t="str">
        <f t="shared" si="15"/>
        <v>The Commissioner &amp; Chief Constable are satisfied the spend represents VFM in accordance with the requirements of Category A</v>
      </c>
      <c r="K440" s="17"/>
      <c r="L440" s="17"/>
    </row>
    <row r="441" spans="1:12" s="20" customFormat="1" x14ac:dyDescent="0.2">
      <c r="A441" s="10" t="s">
        <v>8</v>
      </c>
      <c r="B441" s="11" t="s">
        <v>9</v>
      </c>
      <c r="C441" s="27" t="s">
        <v>309</v>
      </c>
      <c r="D441" s="28">
        <v>45307</v>
      </c>
      <c r="E441" s="12">
        <v>786.32</v>
      </c>
      <c r="F441" s="13" t="s">
        <v>38</v>
      </c>
      <c r="G441" s="14" t="str">
        <f t="shared" si="14"/>
        <v>A</v>
      </c>
      <c r="H441" s="15" t="str">
        <f t="shared" si="15"/>
        <v>The Commissioner &amp; Chief Constable are satisfied the spend represents VFM in accordance with the requirements of Category A</v>
      </c>
      <c r="K441" s="17"/>
      <c r="L441" s="17"/>
    </row>
    <row r="442" spans="1:12" s="20" customFormat="1" x14ac:dyDescent="0.2">
      <c r="A442" s="10" t="s">
        <v>8</v>
      </c>
      <c r="B442" s="11" t="s">
        <v>9</v>
      </c>
      <c r="C442" s="27" t="s">
        <v>303</v>
      </c>
      <c r="D442" s="28">
        <v>45301</v>
      </c>
      <c r="E442" s="12">
        <v>786.22</v>
      </c>
      <c r="F442" s="13" t="s">
        <v>91</v>
      </c>
      <c r="G442" s="14" t="str">
        <f t="shared" si="14"/>
        <v>A</v>
      </c>
      <c r="H442" s="15" t="str">
        <f t="shared" si="15"/>
        <v>The Commissioner &amp; Chief Constable are satisfied the spend represents VFM in accordance with the requirements of Category A</v>
      </c>
      <c r="K442" s="17"/>
      <c r="L442" s="17"/>
    </row>
    <row r="443" spans="1:12" s="20" customFormat="1" x14ac:dyDescent="0.2">
      <c r="A443" s="10" t="s">
        <v>8</v>
      </c>
      <c r="B443" s="11" t="s">
        <v>9</v>
      </c>
      <c r="C443" s="27" t="s">
        <v>110</v>
      </c>
      <c r="D443" s="28">
        <v>45309</v>
      </c>
      <c r="E443" s="12">
        <v>785.8</v>
      </c>
      <c r="F443" s="13" t="s">
        <v>49</v>
      </c>
      <c r="G443" s="14" t="str">
        <f t="shared" ref="G443:G474" si="16">IF(E443&gt;25000,"C",IF(E443&gt;1000,"B","A"))</f>
        <v>A</v>
      </c>
      <c r="H443" s="15" t="str">
        <f t="shared" si="15"/>
        <v>The Commissioner &amp; Chief Constable are satisfied the spend represents VFM in accordance with the requirements of Category A</v>
      </c>
      <c r="K443" s="17"/>
      <c r="L443" s="17"/>
    </row>
    <row r="444" spans="1:12" s="20" customFormat="1" x14ac:dyDescent="0.2">
      <c r="A444" s="10" t="s">
        <v>8</v>
      </c>
      <c r="B444" s="11" t="s">
        <v>9</v>
      </c>
      <c r="C444" s="27" t="s">
        <v>314</v>
      </c>
      <c r="D444" s="28">
        <v>45314</v>
      </c>
      <c r="E444" s="12">
        <v>783.2</v>
      </c>
      <c r="F444" s="13" t="s">
        <v>315</v>
      </c>
      <c r="G444" s="14" t="str">
        <f t="shared" si="16"/>
        <v>A</v>
      </c>
      <c r="H444" s="15" t="str">
        <f t="shared" ref="H444:H475" si="17">VLOOKUP(G444,$K$2:$L$4,2,FALSE)</f>
        <v>The Commissioner &amp; Chief Constable are satisfied the spend represents VFM in accordance with the requirements of Category A</v>
      </c>
      <c r="K444" s="17"/>
      <c r="L444" s="17"/>
    </row>
    <row r="445" spans="1:12" s="20" customFormat="1" x14ac:dyDescent="0.2">
      <c r="A445" s="10" t="s">
        <v>8</v>
      </c>
      <c r="B445" s="11" t="s">
        <v>9</v>
      </c>
      <c r="C445" s="27" t="s">
        <v>316</v>
      </c>
      <c r="D445" s="28">
        <v>45293</v>
      </c>
      <c r="E445" s="12">
        <v>783</v>
      </c>
      <c r="F445" s="13" t="s">
        <v>241</v>
      </c>
      <c r="G445" s="14" t="str">
        <f t="shared" si="16"/>
        <v>A</v>
      </c>
      <c r="H445" s="15" t="str">
        <f t="shared" si="17"/>
        <v>The Commissioner &amp; Chief Constable are satisfied the spend represents VFM in accordance with the requirements of Category A</v>
      </c>
      <c r="K445" s="17"/>
      <c r="L445" s="17"/>
    </row>
    <row r="446" spans="1:12" s="20" customFormat="1" x14ac:dyDescent="0.2">
      <c r="A446" s="10" t="s">
        <v>8</v>
      </c>
      <c r="B446" s="11" t="s">
        <v>9</v>
      </c>
      <c r="C446" s="27" t="s">
        <v>316</v>
      </c>
      <c r="D446" s="28">
        <v>45320</v>
      </c>
      <c r="E446" s="12">
        <v>783</v>
      </c>
      <c r="F446" s="13" t="s">
        <v>241</v>
      </c>
      <c r="G446" s="14" t="str">
        <f t="shared" si="16"/>
        <v>A</v>
      </c>
      <c r="H446" s="15" t="str">
        <f t="shared" si="17"/>
        <v>The Commissioner &amp; Chief Constable are satisfied the spend represents VFM in accordance with the requirements of Category A</v>
      </c>
      <c r="K446" s="17"/>
      <c r="L446" s="17"/>
    </row>
    <row r="447" spans="1:12" s="20" customFormat="1" x14ac:dyDescent="0.2">
      <c r="A447" s="10" t="s">
        <v>8</v>
      </c>
      <c r="B447" s="11" t="s">
        <v>9</v>
      </c>
      <c r="C447" s="27" t="s">
        <v>317</v>
      </c>
      <c r="D447" s="28">
        <v>45294</v>
      </c>
      <c r="E447" s="12">
        <v>782.86</v>
      </c>
      <c r="F447" s="13" t="s">
        <v>102</v>
      </c>
      <c r="G447" s="14" t="str">
        <f t="shared" si="16"/>
        <v>A</v>
      </c>
      <c r="H447" s="15" t="str">
        <f t="shared" si="17"/>
        <v>The Commissioner &amp; Chief Constable are satisfied the spend represents VFM in accordance with the requirements of Category A</v>
      </c>
      <c r="K447" s="17"/>
      <c r="L447" s="17"/>
    </row>
    <row r="448" spans="1:12" s="20" customFormat="1" x14ac:dyDescent="0.2">
      <c r="A448" s="10" t="s">
        <v>8</v>
      </c>
      <c r="B448" s="11" t="s">
        <v>9</v>
      </c>
      <c r="C448" s="27" t="s">
        <v>264</v>
      </c>
      <c r="D448" s="28">
        <v>45316</v>
      </c>
      <c r="E448" s="12">
        <v>782</v>
      </c>
      <c r="F448" s="13" t="s">
        <v>203</v>
      </c>
      <c r="G448" s="14" t="str">
        <f t="shared" si="16"/>
        <v>A</v>
      </c>
      <c r="H448" s="15" t="str">
        <f t="shared" si="17"/>
        <v>The Commissioner &amp; Chief Constable are satisfied the spend represents VFM in accordance with the requirements of Category A</v>
      </c>
      <c r="K448" s="17"/>
      <c r="L448" s="17"/>
    </row>
    <row r="449" spans="1:12" s="20" customFormat="1" x14ac:dyDescent="0.2">
      <c r="A449" s="10" t="s">
        <v>8</v>
      </c>
      <c r="B449" s="11" t="s">
        <v>9</v>
      </c>
      <c r="C449" s="27" t="s">
        <v>312</v>
      </c>
      <c r="D449" s="28">
        <v>45296</v>
      </c>
      <c r="E449" s="12">
        <v>779</v>
      </c>
      <c r="F449" s="13" t="s">
        <v>151</v>
      </c>
      <c r="G449" s="14" t="str">
        <f t="shared" si="16"/>
        <v>A</v>
      </c>
      <c r="H449" s="15" t="str">
        <f t="shared" si="17"/>
        <v>The Commissioner &amp; Chief Constable are satisfied the spend represents VFM in accordance with the requirements of Category A</v>
      </c>
      <c r="K449" s="17"/>
      <c r="L449" s="17"/>
    </row>
    <row r="450" spans="1:12" s="20" customFormat="1" x14ac:dyDescent="0.2">
      <c r="A450" s="10" t="s">
        <v>8</v>
      </c>
      <c r="B450" s="11" t="s">
        <v>9</v>
      </c>
      <c r="C450" s="27" t="s">
        <v>318</v>
      </c>
      <c r="D450" s="28">
        <v>45306</v>
      </c>
      <c r="E450" s="12">
        <v>766.4</v>
      </c>
      <c r="F450" s="13" t="s">
        <v>319</v>
      </c>
      <c r="G450" s="14" t="str">
        <f t="shared" si="16"/>
        <v>A</v>
      </c>
      <c r="H450" s="15" t="str">
        <f t="shared" si="17"/>
        <v>The Commissioner &amp; Chief Constable are satisfied the spend represents VFM in accordance with the requirements of Category A</v>
      </c>
      <c r="K450" s="17"/>
      <c r="L450" s="17"/>
    </row>
    <row r="451" spans="1:12" s="20" customFormat="1" x14ac:dyDescent="0.2">
      <c r="A451" s="10" t="s">
        <v>8</v>
      </c>
      <c r="B451" s="11" t="s">
        <v>9</v>
      </c>
      <c r="C451" s="27" t="s">
        <v>305</v>
      </c>
      <c r="D451" s="28">
        <v>45294</v>
      </c>
      <c r="E451" s="12">
        <v>763.84</v>
      </c>
      <c r="F451" s="13" t="s">
        <v>306</v>
      </c>
      <c r="G451" s="14" t="str">
        <f t="shared" si="16"/>
        <v>A</v>
      </c>
      <c r="H451" s="15" t="str">
        <f t="shared" si="17"/>
        <v>The Commissioner &amp; Chief Constable are satisfied the spend represents VFM in accordance with the requirements of Category A</v>
      </c>
      <c r="K451" s="17"/>
      <c r="L451" s="17"/>
    </row>
    <row r="452" spans="1:12" s="20" customFormat="1" x14ac:dyDescent="0.2">
      <c r="A452" s="10" t="s">
        <v>8</v>
      </c>
      <c r="B452" s="11" t="s">
        <v>9</v>
      </c>
      <c r="C452" s="27" t="s">
        <v>264</v>
      </c>
      <c r="D452" s="28">
        <v>45296</v>
      </c>
      <c r="E452" s="12">
        <v>762</v>
      </c>
      <c r="F452" s="13" t="s">
        <v>151</v>
      </c>
      <c r="G452" s="14" t="str">
        <f t="shared" si="16"/>
        <v>A</v>
      </c>
      <c r="H452" s="15" t="str">
        <f t="shared" si="17"/>
        <v>The Commissioner &amp; Chief Constable are satisfied the spend represents VFM in accordance with the requirements of Category A</v>
      </c>
      <c r="K452" s="17"/>
      <c r="L452" s="17"/>
    </row>
    <row r="453" spans="1:12" s="20" customFormat="1" x14ac:dyDescent="0.2">
      <c r="A453" s="10" t="s">
        <v>8</v>
      </c>
      <c r="B453" s="11" t="s">
        <v>9</v>
      </c>
      <c r="C453" s="27" t="s">
        <v>250</v>
      </c>
      <c r="D453" s="28">
        <v>45310</v>
      </c>
      <c r="E453" s="12">
        <v>760</v>
      </c>
      <c r="F453" s="13" t="s">
        <v>251</v>
      </c>
      <c r="G453" s="14" t="str">
        <f t="shared" si="16"/>
        <v>A</v>
      </c>
      <c r="H453" s="15" t="str">
        <f t="shared" si="17"/>
        <v>The Commissioner &amp; Chief Constable are satisfied the spend represents VFM in accordance with the requirements of Category A</v>
      </c>
      <c r="K453" s="17"/>
      <c r="L453" s="17"/>
    </row>
    <row r="454" spans="1:12" s="20" customFormat="1" x14ac:dyDescent="0.2">
      <c r="A454" s="10" t="s">
        <v>8</v>
      </c>
      <c r="B454" s="11" t="s">
        <v>9</v>
      </c>
      <c r="C454" s="27" t="s">
        <v>93</v>
      </c>
      <c r="D454" s="28">
        <v>45314</v>
      </c>
      <c r="E454" s="12">
        <v>756</v>
      </c>
      <c r="F454" s="13" t="s">
        <v>94</v>
      </c>
      <c r="G454" s="14" t="str">
        <f t="shared" si="16"/>
        <v>A</v>
      </c>
      <c r="H454" s="15" t="str">
        <f t="shared" si="17"/>
        <v>The Commissioner &amp; Chief Constable are satisfied the spend represents VFM in accordance with the requirements of Category A</v>
      </c>
      <c r="K454" s="17"/>
      <c r="L454" s="17"/>
    </row>
    <row r="455" spans="1:12" s="20" customFormat="1" x14ac:dyDescent="0.2">
      <c r="A455" s="10" t="s">
        <v>8</v>
      </c>
      <c r="B455" s="11" t="s">
        <v>9</v>
      </c>
      <c r="C455" s="27" t="s">
        <v>320</v>
      </c>
      <c r="D455" s="28">
        <v>45320</v>
      </c>
      <c r="E455" s="12">
        <v>750</v>
      </c>
      <c r="F455" s="13" t="s">
        <v>106</v>
      </c>
      <c r="G455" s="14" t="str">
        <f t="shared" si="16"/>
        <v>A</v>
      </c>
      <c r="H455" s="15" t="str">
        <f t="shared" si="17"/>
        <v>The Commissioner &amp; Chief Constable are satisfied the spend represents VFM in accordance with the requirements of Category A</v>
      </c>
      <c r="K455" s="17"/>
      <c r="L455" s="17"/>
    </row>
    <row r="456" spans="1:12" s="20" customFormat="1" x14ac:dyDescent="0.2">
      <c r="A456" s="10" t="s">
        <v>8</v>
      </c>
      <c r="B456" s="11" t="s">
        <v>9</v>
      </c>
      <c r="C456" s="27" t="s">
        <v>222</v>
      </c>
      <c r="D456" s="28">
        <v>45306</v>
      </c>
      <c r="E456" s="12">
        <v>749</v>
      </c>
      <c r="F456" s="13" t="s">
        <v>259</v>
      </c>
      <c r="G456" s="14" t="str">
        <f t="shared" si="16"/>
        <v>A</v>
      </c>
      <c r="H456" s="15" t="str">
        <f t="shared" si="17"/>
        <v>The Commissioner &amp; Chief Constable are satisfied the spend represents VFM in accordance with the requirements of Category A</v>
      </c>
      <c r="K456" s="17"/>
      <c r="L456" s="17"/>
    </row>
    <row r="457" spans="1:12" s="20" customFormat="1" x14ac:dyDescent="0.2">
      <c r="A457" s="10" t="s">
        <v>8</v>
      </c>
      <c r="B457" s="11" t="s">
        <v>9</v>
      </c>
      <c r="C457" s="27" t="s">
        <v>321</v>
      </c>
      <c r="D457" s="28">
        <v>45316</v>
      </c>
      <c r="E457" s="12">
        <v>745</v>
      </c>
      <c r="F457" s="13" t="s">
        <v>229</v>
      </c>
      <c r="G457" s="14" t="str">
        <f t="shared" si="16"/>
        <v>A</v>
      </c>
      <c r="H457" s="15" t="str">
        <f t="shared" si="17"/>
        <v>The Commissioner &amp; Chief Constable are satisfied the spend represents VFM in accordance with the requirements of Category A</v>
      </c>
      <c r="K457" s="17"/>
      <c r="L457" s="17"/>
    </row>
    <row r="458" spans="1:12" s="20" customFormat="1" x14ac:dyDescent="0.2">
      <c r="A458" s="10" t="s">
        <v>8</v>
      </c>
      <c r="B458" s="11" t="s">
        <v>9</v>
      </c>
      <c r="C458" s="27" t="s">
        <v>322</v>
      </c>
      <c r="D458" s="28">
        <v>45313</v>
      </c>
      <c r="E458" s="12">
        <v>726.95</v>
      </c>
      <c r="F458" s="13" t="s">
        <v>80</v>
      </c>
      <c r="G458" s="14" t="str">
        <f t="shared" si="16"/>
        <v>A</v>
      </c>
      <c r="H458" s="15" t="str">
        <f t="shared" si="17"/>
        <v>The Commissioner &amp; Chief Constable are satisfied the spend represents VFM in accordance with the requirements of Category A</v>
      </c>
      <c r="K458" s="17"/>
      <c r="L458" s="17"/>
    </row>
    <row r="459" spans="1:12" s="20" customFormat="1" x14ac:dyDescent="0.2">
      <c r="A459" s="10" t="s">
        <v>8</v>
      </c>
      <c r="B459" s="11" t="s">
        <v>9</v>
      </c>
      <c r="C459" s="27" t="s">
        <v>272</v>
      </c>
      <c r="D459" s="28">
        <v>45316</v>
      </c>
      <c r="E459" s="12">
        <v>725</v>
      </c>
      <c r="F459" s="13" t="s">
        <v>22</v>
      </c>
      <c r="G459" s="14" t="str">
        <f t="shared" si="16"/>
        <v>A</v>
      </c>
      <c r="H459" s="15" t="str">
        <f t="shared" si="17"/>
        <v>The Commissioner &amp; Chief Constable are satisfied the spend represents VFM in accordance with the requirements of Category A</v>
      </c>
      <c r="K459" s="17"/>
      <c r="L459" s="17"/>
    </row>
    <row r="460" spans="1:12" s="20" customFormat="1" x14ac:dyDescent="0.2">
      <c r="A460" s="10" t="s">
        <v>8</v>
      </c>
      <c r="B460" s="11" t="s">
        <v>9</v>
      </c>
      <c r="C460" s="27" t="s">
        <v>223</v>
      </c>
      <c r="D460" s="28">
        <v>45295</v>
      </c>
      <c r="E460" s="12">
        <v>715</v>
      </c>
      <c r="F460" s="13" t="s">
        <v>22</v>
      </c>
      <c r="G460" s="14" t="str">
        <f t="shared" si="16"/>
        <v>A</v>
      </c>
      <c r="H460" s="15" t="str">
        <f t="shared" si="17"/>
        <v>The Commissioner &amp; Chief Constable are satisfied the spend represents VFM in accordance with the requirements of Category A</v>
      </c>
      <c r="K460" s="17"/>
      <c r="L460" s="17"/>
    </row>
    <row r="461" spans="1:12" s="20" customFormat="1" x14ac:dyDescent="0.2">
      <c r="A461" s="10" t="s">
        <v>8</v>
      </c>
      <c r="B461" s="11" t="s">
        <v>9</v>
      </c>
      <c r="C461" s="27" t="s">
        <v>323</v>
      </c>
      <c r="D461" s="28">
        <v>45320</v>
      </c>
      <c r="E461" s="12">
        <v>708.55</v>
      </c>
      <c r="F461" s="13" t="s">
        <v>169</v>
      </c>
      <c r="G461" s="14" t="str">
        <f t="shared" si="16"/>
        <v>A</v>
      </c>
      <c r="H461" s="15" t="str">
        <f t="shared" si="17"/>
        <v>The Commissioner &amp; Chief Constable are satisfied the spend represents VFM in accordance with the requirements of Category A</v>
      </c>
      <c r="K461" s="17"/>
      <c r="L461" s="17"/>
    </row>
    <row r="462" spans="1:12" s="20" customFormat="1" x14ac:dyDescent="0.2">
      <c r="A462" s="10" t="s">
        <v>8</v>
      </c>
      <c r="B462" s="11" t="s">
        <v>9</v>
      </c>
      <c r="C462" s="27" t="s">
        <v>277</v>
      </c>
      <c r="D462" s="28">
        <v>45320</v>
      </c>
      <c r="E462" s="12">
        <v>705.97</v>
      </c>
      <c r="F462" s="13" t="s">
        <v>278</v>
      </c>
      <c r="G462" s="14" t="str">
        <f t="shared" si="16"/>
        <v>A</v>
      </c>
      <c r="H462" s="15" t="str">
        <f t="shared" si="17"/>
        <v>The Commissioner &amp; Chief Constable are satisfied the spend represents VFM in accordance with the requirements of Category A</v>
      </c>
      <c r="K462" s="17"/>
      <c r="L462" s="17"/>
    </row>
    <row r="463" spans="1:12" s="20" customFormat="1" x14ac:dyDescent="0.2">
      <c r="A463" s="10" t="s">
        <v>8</v>
      </c>
      <c r="B463" s="11" t="s">
        <v>9</v>
      </c>
      <c r="C463" s="27" t="s">
        <v>293</v>
      </c>
      <c r="D463" s="28">
        <v>45316</v>
      </c>
      <c r="E463" s="12">
        <v>705.04</v>
      </c>
      <c r="F463" s="13" t="s">
        <v>133</v>
      </c>
      <c r="G463" s="14" t="str">
        <f t="shared" si="16"/>
        <v>A</v>
      </c>
      <c r="H463" s="15" t="str">
        <f t="shared" si="17"/>
        <v>The Commissioner &amp; Chief Constable are satisfied the spend represents VFM in accordance with the requirements of Category A</v>
      </c>
      <c r="K463" s="17"/>
      <c r="L463" s="17"/>
    </row>
    <row r="464" spans="1:12" s="20" customFormat="1" x14ac:dyDescent="0.2">
      <c r="A464" s="10" t="s">
        <v>8</v>
      </c>
      <c r="B464" s="11" t="s">
        <v>9</v>
      </c>
      <c r="C464" s="27" t="s">
        <v>324</v>
      </c>
      <c r="D464" s="28">
        <v>45315</v>
      </c>
      <c r="E464" s="12">
        <v>700</v>
      </c>
      <c r="F464" s="13" t="s">
        <v>325</v>
      </c>
      <c r="G464" s="14" t="str">
        <f t="shared" si="16"/>
        <v>A</v>
      </c>
      <c r="H464" s="15" t="str">
        <f t="shared" si="17"/>
        <v>The Commissioner &amp; Chief Constable are satisfied the spend represents VFM in accordance with the requirements of Category A</v>
      </c>
      <c r="K464" s="17"/>
      <c r="L464" s="17"/>
    </row>
    <row r="465" spans="1:8" x14ac:dyDescent="0.2">
      <c r="A465" s="10" t="s">
        <v>8</v>
      </c>
      <c r="B465" s="11" t="s">
        <v>9</v>
      </c>
      <c r="C465" s="27" t="s">
        <v>198</v>
      </c>
      <c r="D465" s="28">
        <v>45293</v>
      </c>
      <c r="E465" s="12">
        <v>700</v>
      </c>
      <c r="F465" s="13" t="s">
        <v>15</v>
      </c>
      <c r="G465" s="14" t="str">
        <f t="shared" si="16"/>
        <v>A</v>
      </c>
      <c r="H465" s="15" t="str">
        <f t="shared" si="17"/>
        <v>The Commissioner &amp; Chief Constable are satisfied the spend represents VFM in accordance with the requirements of Category A</v>
      </c>
    </row>
    <row r="466" spans="1:8" x14ac:dyDescent="0.2">
      <c r="A466" s="10" t="s">
        <v>8</v>
      </c>
      <c r="B466" s="11" t="s">
        <v>9</v>
      </c>
      <c r="C466" s="27" t="s">
        <v>309</v>
      </c>
      <c r="D466" s="28">
        <v>45321</v>
      </c>
      <c r="E466" s="12">
        <v>695</v>
      </c>
      <c r="F466" s="13" t="s">
        <v>39</v>
      </c>
      <c r="G466" s="14" t="str">
        <f t="shared" si="16"/>
        <v>A</v>
      </c>
      <c r="H466" s="15" t="str">
        <f t="shared" si="17"/>
        <v>The Commissioner &amp; Chief Constable are satisfied the spend represents VFM in accordance with the requirements of Category A</v>
      </c>
    </row>
    <row r="467" spans="1:8" x14ac:dyDescent="0.2">
      <c r="A467" s="10" t="s">
        <v>8</v>
      </c>
      <c r="B467" s="11" t="s">
        <v>9</v>
      </c>
      <c r="C467" s="27" t="s">
        <v>326</v>
      </c>
      <c r="D467" s="28">
        <v>45313</v>
      </c>
      <c r="E467" s="12">
        <v>685</v>
      </c>
      <c r="F467" s="13" t="s">
        <v>38</v>
      </c>
      <c r="G467" s="14" t="str">
        <f t="shared" si="16"/>
        <v>A</v>
      </c>
      <c r="H467" s="15" t="str">
        <f t="shared" si="17"/>
        <v>The Commissioner &amp; Chief Constable are satisfied the spend represents VFM in accordance with the requirements of Category A</v>
      </c>
    </row>
    <row r="468" spans="1:8" x14ac:dyDescent="0.2">
      <c r="A468" s="10" t="s">
        <v>8</v>
      </c>
      <c r="B468" s="11" t="s">
        <v>9</v>
      </c>
      <c r="C468" s="27" t="s">
        <v>327</v>
      </c>
      <c r="D468" s="28">
        <v>45321</v>
      </c>
      <c r="E468" s="12">
        <v>677.05</v>
      </c>
      <c r="F468" s="13" t="s">
        <v>58</v>
      </c>
      <c r="G468" s="14" t="str">
        <f t="shared" si="16"/>
        <v>A</v>
      </c>
      <c r="H468" s="15" t="str">
        <f t="shared" si="17"/>
        <v>The Commissioner &amp; Chief Constable are satisfied the spend represents VFM in accordance with the requirements of Category A</v>
      </c>
    </row>
    <row r="469" spans="1:8" x14ac:dyDescent="0.2">
      <c r="A469" s="10" t="s">
        <v>8</v>
      </c>
      <c r="B469" s="11" t="s">
        <v>9</v>
      </c>
      <c r="C469" s="27" t="s">
        <v>328</v>
      </c>
      <c r="D469" s="28">
        <v>45313</v>
      </c>
      <c r="E469" s="12">
        <v>675</v>
      </c>
      <c r="F469" s="13" t="s">
        <v>54</v>
      </c>
      <c r="G469" s="14" t="str">
        <f t="shared" si="16"/>
        <v>A</v>
      </c>
      <c r="H469" s="15" t="str">
        <f t="shared" si="17"/>
        <v>The Commissioner &amp; Chief Constable are satisfied the spend represents VFM in accordance with the requirements of Category A</v>
      </c>
    </row>
    <row r="470" spans="1:8" x14ac:dyDescent="0.2">
      <c r="A470" s="10" t="s">
        <v>8</v>
      </c>
      <c r="B470" s="11" t="s">
        <v>9</v>
      </c>
      <c r="C470" s="27" t="s">
        <v>294</v>
      </c>
      <c r="D470" s="28">
        <v>45300</v>
      </c>
      <c r="E470" s="12">
        <v>674.5</v>
      </c>
      <c r="F470" s="13" t="s">
        <v>203</v>
      </c>
      <c r="G470" s="14" t="str">
        <f t="shared" si="16"/>
        <v>A</v>
      </c>
      <c r="H470" s="15" t="str">
        <f t="shared" si="17"/>
        <v>The Commissioner &amp; Chief Constable are satisfied the spend represents VFM in accordance with the requirements of Category A</v>
      </c>
    </row>
    <row r="471" spans="1:8" x14ac:dyDescent="0.2">
      <c r="A471" s="10" t="s">
        <v>8</v>
      </c>
      <c r="B471" s="11" t="s">
        <v>9</v>
      </c>
      <c r="C471" s="27" t="s">
        <v>329</v>
      </c>
      <c r="D471" s="28">
        <v>45310</v>
      </c>
      <c r="E471" s="12">
        <v>673</v>
      </c>
      <c r="F471" s="13" t="s">
        <v>330</v>
      </c>
      <c r="G471" s="14" t="str">
        <f t="shared" si="16"/>
        <v>A</v>
      </c>
      <c r="H471" s="15" t="str">
        <f t="shared" si="17"/>
        <v>The Commissioner &amp; Chief Constable are satisfied the spend represents VFM in accordance with the requirements of Category A</v>
      </c>
    </row>
    <row r="472" spans="1:8" x14ac:dyDescent="0.2">
      <c r="A472" s="10" t="s">
        <v>8</v>
      </c>
      <c r="B472" s="11" t="s">
        <v>9</v>
      </c>
      <c r="C472" s="27" t="s">
        <v>331</v>
      </c>
      <c r="D472" s="28">
        <v>45315</v>
      </c>
      <c r="E472" s="12">
        <v>673</v>
      </c>
      <c r="F472" s="13" t="s">
        <v>106</v>
      </c>
      <c r="G472" s="14" t="str">
        <f t="shared" si="16"/>
        <v>A</v>
      </c>
      <c r="H472" s="15" t="str">
        <f t="shared" si="17"/>
        <v>The Commissioner &amp; Chief Constable are satisfied the spend represents VFM in accordance with the requirements of Category A</v>
      </c>
    </row>
    <row r="473" spans="1:8" x14ac:dyDescent="0.2">
      <c r="A473" s="10" t="s">
        <v>8</v>
      </c>
      <c r="B473" s="11" t="s">
        <v>9</v>
      </c>
      <c r="C473" s="27" t="s">
        <v>331</v>
      </c>
      <c r="D473" s="28">
        <v>45322</v>
      </c>
      <c r="E473" s="12">
        <v>673</v>
      </c>
      <c r="F473" s="13" t="s">
        <v>106</v>
      </c>
      <c r="G473" s="14" t="str">
        <f t="shared" si="16"/>
        <v>A</v>
      </c>
      <c r="H473" s="15" t="str">
        <f t="shared" si="17"/>
        <v>The Commissioner &amp; Chief Constable are satisfied the spend represents VFM in accordance with the requirements of Category A</v>
      </c>
    </row>
    <row r="474" spans="1:8" x14ac:dyDescent="0.2">
      <c r="A474" s="10" t="s">
        <v>8</v>
      </c>
      <c r="B474" s="11" t="s">
        <v>9</v>
      </c>
      <c r="C474" s="27" t="s">
        <v>90</v>
      </c>
      <c r="D474" s="28">
        <v>45300</v>
      </c>
      <c r="E474" s="12">
        <v>670.47</v>
      </c>
      <c r="F474" s="13" t="s">
        <v>91</v>
      </c>
      <c r="G474" s="14" t="str">
        <f t="shared" si="16"/>
        <v>A</v>
      </c>
      <c r="H474" s="15" t="str">
        <f t="shared" si="17"/>
        <v>The Commissioner &amp; Chief Constable are satisfied the spend represents VFM in accordance with the requirements of Category A</v>
      </c>
    </row>
    <row r="475" spans="1:8" x14ac:dyDescent="0.2">
      <c r="A475" s="10" t="s">
        <v>8</v>
      </c>
      <c r="B475" s="11" t="s">
        <v>9</v>
      </c>
      <c r="C475" s="27" t="s">
        <v>124</v>
      </c>
      <c r="D475" s="28">
        <v>45309</v>
      </c>
      <c r="E475" s="12">
        <v>661.66</v>
      </c>
      <c r="F475" s="13" t="s">
        <v>91</v>
      </c>
      <c r="G475" s="14" t="str">
        <f t="shared" ref="G475:G504" si="18">IF(E475&gt;25000,"C",IF(E475&gt;1000,"B","A"))</f>
        <v>A</v>
      </c>
      <c r="H475" s="15" t="str">
        <f t="shared" si="17"/>
        <v>The Commissioner &amp; Chief Constable are satisfied the spend represents VFM in accordance with the requirements of Category A</v>
      </c>
    </row>
    <row r="476" spans="1:8" x14ac:dyDescent="0.2">
      <c r="A476" s="10" t="s">
        <v>8</v>
      </c>
      <c r="B476" s="11" t="s">
        <v>9</v>
      </c>
      <c r="C476" s="27" t="s">
        <v>256</v>
      </c>
      <c r="D476" s="28">
        <v>45299</v>
      </c>
      <c r="E476" s="12">
        <v>655</v>
      </c>
      <c r="F476" s="13" t="s">
        <v>131</v>
      </c>
      <c r="G476" s="14" t="str">
        <f t="shared" si="18"/>
        <v>A</v>
      </c>
      <c r="H476" s="15" t="str">
        <f t="shared" ref="H476:H505" si="19">VLOOKUP(G476,$K$2:$L$4,2,FALSE)</f>
        <v>The Commissioner &amp; Chief Constable are satisfied the spend represents VFM in accordance with the requirements of Category A</v>
      </c>
    </row>
    <row r="477" spans="1:8" x14ac:dyDescent="0.2">
      <c r="A477" s="10" t="s">
        <v>8</v>
      </c>
      <c r="B477" s="11" t="s">
        <v>9</v>
      </c>
      <c r="C477" s="27" t="s">
        <v>332</v>
      </c>
      <c r="D477" s="28">
        <v>45313</v>
      </c>
      <c r="E477" s="12">
        <v>654.65</v>
      </c>
      <c r="F477" s="13" t="s">
        <v>155</v>
      </c>
      <c r="G477" s="14" t="str">
        <f t="shared" si="18"/>
        <v>A</v>
      </c>
      <c r="H477" s="15" t="str">
        <f t="shared" si="19"/>
        <v>The Commissioner &amp; Chief Constable are satisfied the spend represents VFM in accordance with the requirements of Category A</v>
      </c>
    </row>
    <row r="478" spans="1:8" x14ac:dyDescent="0.2">
      <c r="A478" s="10" t="s">
        <v>8</v>
      </c>
      <c r="B478" s="11" t="s">
        <v>9</v>
      </c>
      <c r="C478" s="27" t="s">
        <v>130</v>
      </c>
      <c r="D478" s="28">
        <v>45295</v>
      </c>
      <c r="E478" s="12">
        <v>650</v>
      </c>
      <c r="F478" s="13" t="s">
        <v>38</v>
      </c>
      <c r="G478" s="14" t="str">
        <f t="shared" si="18"/>
        <v>A</v>
      </c>
      <c r="H478" s="15" t="str">
        <f t="shared" si="19"/>
        <v>The Commissioner &amp; Chief Constable are satisfied the spend represents VFM in accordance with the requirements of Category A</v>
      </c>
    </row>
    <row r="479" spans="1:8" x14ac:dyDescent="0.2">
      <c r="A479" s="10" t="s">
        <v>8</v>
      </c>
      <c r="B479" s="11" t="s">
        <v>9</v>
      </c>
      <c r="C479" s="27" t="s">
        <v>333</v>
      </c>
      <c r="D479" s="28">
        <v>45295</v>
      </c>
      <c r="E479" s="12">
        <v>649</v>
      </c>
      <c r="F479" s="13" t="s">
        <v>38</v>
      </c>
      <c r="G479" s="14" t="str">
        <f t="shared" si="18"/>
        <v>A</v>
      </c>
      <c r="H479" s="15" t="str">
        <f t="shared" si="19"/>
        <v>The Commissioner &amp; Chief Constable are satisfied the spend represents VFM in accordance with the requirements of Category A</v>
      </c>
    </row>
    <row r="480" spans="1:8" x14ac:dyDescent="0.2">
      <c r="A480" s="10" t="s">
        <v>8</v>
      </c>
      <c r="B480" s="11" t="s">
        <v>9</v>
      </c>
      <c r="C480" s="27" t="s">
        <v>227</v>
      </c>
      <c r="D480" s="28">
        <v>45301</v>
      </c>
      <c r="E480" s="12">
        <v>645</v>
      </c>
      <c r="F480" s="13" t="s">
        <v>106</v>
      </c>
      <c r="G480" s="14" t="str">
        <f t="shared" si="18"/>
        <v>A</v>
      </c>
      <c r="H480" s="15" t="str">
        <f t="shared" si="19"/>
        <v>The Commissioner &amp; Chief Constable are satisfied the spend represents VFM in accordance with the requirements of Category A</v>
      </c>
    </row>
    <row r="481" spans="1:8" x14ac:dyDescent="0.2">
      <c r="A481" s="10" t="s">
        <v>8</v>
      </c>
      <c r="B481" s="11" t="s">
        <v>9</v>
      </c>
      <c r="C481" s="27" t="s">
        <v>124</v>
      </c>
      <c r="D481" s="28">
        <v>45302</v>
      </c>
      <c r="E481" s="12">
        <v>643.96</v>
      </c>
      <c r="F481" s="13" t="s">
        <v>91</v>
      </c>
      <c r="G481" s="14" t="str">
        <f t="shared" si="18"/>
        <v>A</v>
      </c>
      <c r="H481" s="15" t="str">
        <f t="shared" si="19"/>
        <v>The Commissioner &amp; Chief Constable are satisfied the spend represents VFM in accordance with the requirements of Category A</v>
      </c>
    </row>
    <row r="482" spans="1:8" x14ac:dyDescent="0.2">
      <c r="A482" s="10" t="s">
        <v>8</v>
      </c>
      <c r="B482" s="11" t="s">
        <v>9</v>
      </c>
      <c r="C482" s="27" t="s">
        <v>334</v>
      </c>
      <c r="D482" s="28">
        <v>45294</v>
      </c>
      <c r="E482" s="12">
        <v>635</v>
      </c>
      <c r="F482" s="13" t="s">
        <v>39</v>
      </c>
      <c r="G482" s="14" t="str">
        <f t="shared" si="18"/>
        <v>A</v>
      </c>
      <c r="H482" s="15" t="str">
        <f t="shared" si="19"/>
        <v>The Commissioner &amp; Chief Constable are satisfied the spend represents VFM in accordance with the requirements of Category A</v>
      </c>
    </row>
    <row r="483" spans="1:8" x14ac:dyDescent="0.2">
      <c r="A483" s="10" t="s">
        <v>8</v>
      </c>
      <c r="B483" s="11" t="s">
        <v>9</v>
      </c>
      <c r="C483" s="27" t="s">
        <v>334</v>
      </c>
      <c r="D483" s="28">
        <v>45295</v>
      </c>
      <c r="E483" s="12">
        <v>630</v>
      </c>
      <c r="F483" s="13" t="s">
        <v>91</v>
      </c>
      <c r="G483" s="14" t="str">
        <f t="shared" si="18"/>
        <v>A</v>
      </c>
      <c r="H483" s="15" t="str">
        <f t="shared" si="19"/>
        <v>The Commissioner &amp; Chief Constable are satisfied the spend represents VFM in accordance with the requirements of Category A</v>
      </c>
    </row>
    <row r="484" spans="1:8" x14ac:dyDescent="0.2">
      <c r="A484" s="10" t="s">
        <v>8</v>
      </c>
      <c r="B484" s="11" t="s">
        <v>9</v>
      </c>
      <c r="C484" s="27" t="s">
        <v>335</v>
      </c>
      <c r="D484" s="28">
        <v>45322</v>
      </c>
      <c r="E484" s="12">
        <v>629.5</v>
      </c>
      <c r="F484" s="13" t="s">
        <v>94</v>
      </c>
      <c r="G484" s="14" t="str">
        <f t="shared" si="18"/>
        <v>A</v>
      </c>
      <c r="H484" s="15" t="str">
        <f t="shared" si="19"/>
        <v>The Commissioner &amp; Chief Constable are satisfied the spend represents VFM in accordance with the requirements of Category A</v>
      </c>
    </row>
    <row r="485" spans="1:8" x14ac:dyDescent="0.2">
      <c r="A485" s="10" t="s">
        <v>8</v>
      </c>
      <c r="B485" s="11" t="s">
        <v>9</v>
      </c>
      <c r="C485" s="27" t="s">
        <v>336</v>
      </c>
      <c r="D485" s="28">
        <v>45301</v>
      </c>
      <c r="E485" s="12">
        <v>626.36</v>
      </c>
      <c r="F485" s="13" t="s">
        <v>229</v>
      </c>
      <c r="G485" s="14" t="str">
        <f t="shared" si="18"/>
        <v>A</v>
      </c>
      <c r="H485" s="15" t="str">
        <f t="shared" si="19"/>
        <v>The Commissioner &amp; Chief Constable are satisfied the spend represents VFM in accordance with the requirements of Category A</v>
      </c>
    </row>
    <row r="486" spans="1:8" x14ac:dyDescent="0.2">
      <c r="A486" s="10" t="s">
        <v>8</v>
      </c>
      <c r="B486" s="11" t="s">
        <v>9</v>
      </c>
      <c r="C486" s="27" t="s">
        <v>279</v>
      </c>
      <c r="D486" s="28">
        <v>45303</v>
      </c>
      <c r="E486" s="12">
        <v>622.91999999999996</v>
      </c>
      <c r="F486" s="13" t="s">
        <v>131</v>
      </c>
      <c r="G486" s="14" t="str">
        <f t="shared" si="18"/>
        <v>A</v>
      </c>
      <c r="H486" s="15" t="str">
        <f t="shared" si="19"/>
        <v>The Commissioner &amp; Chief Constable are satisfied the spend represents VFM in accordance with the requirements of Category A</v>
      </c>
    </row>
    <row r="487" spans="1:8" x14ac:dyDescent="0.2">
      <c r="A487" s="10" t="s">
        <v>8</v>
      </c>
      <c r="B487" s="11" t="s">
        <v>9</v>
      </c>
      <c r="C487" s="27" t="s">
        <v>173</v>
      </c>
      <c r="D487" s="28">
        <v>45315</v>
      </c>
      <c r="E487" s="12">
        <v>622.62</v>
      </c>
      <c r="F487" s="13" t="s">
        <v>80</v>
      </c>
      <c r="G487" s="14" t="str">
        <f t="shared" si="18"/>
        <v>A</v>
      </c>
      <c r="H487" s="15" t="str">
        <f t="shared" si="19"/>
        <v>The Commissioner &amp; Chief Constable are satisfied the spend represents VFM in accordance with the requirements of Category A</v>
      </c>
    </row>
    <row r="488" spans="1:8" x14ac:dyDescent="0.2">
      <c r="A488" s="10" t="s">
        <v>8</v>
      </c>
      <c r="B488" s="11" t="s">
        <v>9</v>
      </c>
      <c r="C488" s="27" t="s">
        <v>256</v>
      </c>
      <c r="D488" s="28">
        <v>45320</v>
      </c>
      <c r="E488" s="12">
        <v>621.54999999999995</v>
      </c>
      <c r="F488" s="13" t="s">
        <v>155</v>
      </c>
      <c r="G488" s="14" t="str">
        <f t="shared" si="18"/>
        <v>A</v>
      </c>
      <c r="H488" s="15" t="str">
        <f t="shared" si="19"/>
        <v>The Commissioner &amp; Chief Constable are satisfied the spend represents VFM in accordance with the requirements of Category A</v>
      </c>
    </row>
    <row r="489" spans="1:8" x14ac:dyDescent="0.2">
      <c r="A489" s="10" t="s">
        <v>8</v>
      </c>
      <c r="B489" s="11" t="s">
        <v>9</v>
      </c>
      <c r="C489" s="27" t="s">
        <v>337</v>
      </c>
      <c r="D489" s="28">
        <v>45294</v>
      </c>
      <c r="E489" s="12">
        <v>621</v>
      </c>
      <c r="F489" s="13" t="s">
        <v>155</v>
      </c>
      <c r="G489" s="14" t="str">
        <f t="shared" si="18"/>
        <v>A</v>
      </c>
      <c r="H489" s="15" t="str">
        <f t="shared" si="19"/>
        <v>The Commissioner &amp; Chief Constable are satisfied the spend represents VFM in accordance with the requirements of Category A</v>
      </c>
    </row>
    <row r="490" spans="1:8" x14ac:dyDescent="0.2">
      <c r="A490" s="10" t="s">
        <v>8</v>
      </c>
      <c r="B490" s="11" t="s">
        <v>9</v>
      </c>
      <c r="C490" s="27" t="s">
        <v>10</v>
      </c>
      <c r="D490" s="28">
        <v>45293</v>
      </c>
      <c r="E490" s="12">
        <v>616</v>
      </c>
      <c r="F490" s="13" t="s">
        <v>11</v>
      </c>
      <c r="G490" s="14" t="str">
        <f t="shared" si="18"/>
        <v>A</v>
      </c>
      <c r="H490" s="15" t="str">
        <f t="shared" si="19"/>
        <v>The Commissioner &amp; Chief Constable are satisfied the spend represents VFM in accordance with the requirements of Category A</v>
      </c>
    </row>
    <row r="491" spans="1:8" x14ac:dyDescent="0.2">
      <c r="A491" s="10" t="s">
        <v>8</v>
      </c>
      <c r="B491" s="11" t="s">
        <v>9</v>
      </c>
      <c r="C491" s="27" t="s">
        <v>338</v>
      </c>
      <c r="D491" s="28">
        <v>45294</v>
      </c>
      <c r="E491" s="12">
        <v>611.51</v>
      </c>
      <c r="F491" s="13" t="s">
        <v>131</v>
      </c>
      <c r="G491" s="14" t="str">
        <f t="shared" si="18"/>
        <v>A</v>
      </c>
      <c r="H491" s="15" t="str">
        <f t="shared" si="19"/>
        <v>The Commissioner &amp; Chief Constable are satisfied the spend represents VFM in accordance with the requirements of Category A</v>
      </c>
    </row>
    <row r="492" spans="1:8" x14ac:dyDescent="0.2">
      <c r="A492" s="10" t="s">
        <v>8</v>
      </c>
      <c r="B492" s="11" t="s">
        <v>9</v>
      </c>
      <c r="C492" s="27" t="s">
        <v>107</v>
      </c>
      <c r="D492" s="28">
        <v>45296</v>
      </c>
      <c r="E492" s="12">
        <v>607.20000000000005</v>
      </c>
      <c r="F492" s="13" t="s">
        <v>108</v>
      </c>
      <c r="G492" s="14" t="str">
        <f t="shared" si="18"/>
        <v>A</v>
      </c>
      <c r="H492" s="15" t="str">
        <f t="shared" si="19"/>
        <v>The Commissioner &amp; Chief Constable are satisfied the spend represents VFM in accordance with the requirements of Category A</v>
      </c>
    </row>
    <row r="493" spans="1:8" x14ac:dyDescent="0.2">
      <c r="A493" s="10" t="s">
        <v>8</v>
      </c>
      <c r="B493" s="11" t="s">
        <v>9</v>
      </c>
      <c r="C493" s="27" t="s">
        <v>339</v>
      </c>
      <c r="D493" s="28">
        <v>45299</v>
      </c>
      <c r="E493" s="12">
        <v>592</v>
      </c>
      <c r="F493" s="13" t="s">
        <v>94</v>
      </c>
      <c r="G493" s="14" t="str">
        <f t="shared" si="18"/>
        <v>A</v>
      </c>
      <c r="H493" s="15" t="str">
        <f t="shared" si="19"/>
        <v>The Commissioner &amp; Chief Constable are satisfied the spend represents VFM in accordance with the requirements of Category A</v>
      </c>
    </row>
    <row r="494" spans="1:8" x14ac:dyDescent="0.2">
      <c r="A494" s="10" t="s">
        <v>8</v>
      </c>
      <c r="B494" s="11" t="s">
        <v>9</v>
      </c>
      <c r="C494" s="27" t="s">
        <v>340</v>
      </c>
      <c r="D494" s="28">
        <v>45295</v>
      </c>
      <c r="E494" s="12">
        <v>590</v>
      </c>
      <c r="F494" s="13" t="s">
        <v>106</v>
      </c>
      <c r="G494" s="14" t="str">
        <f t="shared" si="18"/>
        <v>A</v>
      </c>
      <c r="H494" s="15" t="str">
        <f t="shared" si="19"/>
        <v>The Commissioner &amp; Chief Constable are satisfied the spend represents VFM in accordance with the requirements of Category A</v>
      </c>
    </row>
    <row r="495" spans="1:8" x14ac:dyDescent="0.2">
      <c r="A495" s="10" t="s">
        <v>8</v>
      </c>
      <c r="B495" s="11" t="s">
        <v>9</v>
      </c>
      <c r="C495" s="27" t="s">
        <v>113</v>
      </c>
      <c r="D495" s="28">
        <v>45307</v>
      </c>
      <c r="E495" s="12">
        <v>588.23</v>
      </c>
      <c r="F495" s="13" t="s">
        <v>114</v>
      </c>
      <c r="G495" s="14" t="str">
        <f t="shared" si="18"/>
        <v>A</v>
      </c>
      <c r="H495" s="15" t="str">
        <f t="shared" si="19"/>
        <v>The Commissioner &amp; Chief Constable are satisfied the spend represents VFM in accordance with the requirements of Category A</v>
      </c>
    </row>
    <row r="496" spans="1:8" x14ac:dyDescent="0.2">
      <c r="A496" s="10" t="s">
        <v>8</v>
      </c>
      <c r="B496" s="11" t="s">
        <v>9</v>
      </c>
      <c r="C496" s="27" t="s">
        <v>341</v>
      </c>
      <c r="D496" s="28">
        <v>45296</v>
      </c>
      <c r="E496" s="12">
        <v>582</v>
      </c>
      <c r="F496" s="13" t="s">
        <v>131</v>
      </c>
      <c r="G496" s="14" t="str">
        <f t="shared" si="18"/>
        <v>A</v>
      </c>
      <c r="H496" s="15" t="str">
        <f t="shared" si="19"/>
        <v>The Commissioner &amp; Chief Constable are satisfied the spend represents VFM in accordance with the requirements of Category A</v>
      </c>
    </row>
    <row r="497" spans="1:8" x14ac:dyDescent="0.2">
      <c r="A497" s="10" t="s">
        <v>8</v>
      </c>
      <c r="B497" s="11" t="s">
        <v>9</v>
      </c>
      <c r="C497" s="27" t="s">
        <v>260</v>
      </c>
      <c r="D497" s="28">
        <v>45301</v>
      </c>
      <c r="E497" s="12">
        <v>580.91999999999996</v>
      </c>
      <c r="F497" s="13" t="s">
        <v>261</v>
      </c>
      <c r="G497" s="14" t="str">
        <f t="shared" si="18"/>
        <v>A</v>
      </c>
      <c r="H497" s="15" t="str">
        <f t="shared" si="19"/>
        <v>The Commissioner &amp; Chief Constable are satisfied the spend represents VFM in accordance with the requirements of Category A</v>
      </c>
    </row>
    <row r="498" spans="1:8" x14ac:dyDescent="0.2">
      <c r="A498" s="10" t="s">
        <v>8</v>
      </c>
      <c r="B498" s="11" t="s">
        <v>9</v>
      </c>
      <c r="C498" s="27" t="s">
        <v>342</v>
      </c>
      <c r="D498" s="28">
        <v>45296</v>
      </c>
      <c r="E498" s="12">
        <v>580</v>
      </c>
      <c r="F498" s="13" t="s">
        <v>38</v>
      </c>
      <c r="G498" s="14" t="str">
        <f t="shared" si="18"/>
        <v>A</v>
      </c>
      <c r="H498" s="15" t="str">
        <f t="shared" si="19"/>
        <v>The Commissioner &amp; Chief Constable are satisfied the spend represents VFM in accordance with the requirements of Category A</v>
      </c>
    </row>
    <row r="499" spans="1:8" x14ac:dyDescent="0.2">
      <c r="A499" s="10" t="s">
        <v>8</v>
      </c>
      <c r="B499" s="11" t="s">
        <v>9</v>
      </c>
      <c r="C499" s="27" t="s">
        <v>202</v>
      </c>
      <c r="D499" s="28">
        <v>45302</v>
      </c>
      <c r="E499" s="12">
        <v>568</v>
      </c>
      <c r="F499" s="13" t="s">
        <v>203</v>
      </c>
      <c r="G499" s="14" t="str">
        <f t="shared" si="18"/>
        <v>A</v>
      </c>
      <c r="H499" s="15" t="str">
        <f t="shared" si="19"/>
        <v>The Commissioner &amp; Chief Constable are satisfied the spend represents VFM in accordance with the requirements of Category A</v>
      </c>
    </row>
    <row r="500" spans="1:8" x14ac:dyDescent="0.2">
      <c r="A500" s="10" t="s">
        <v>8</v>
      </c>
      <c r="B500" s="11" t="s">
        <v>9</v>
      </c>
      <c r="C500" s="27" t="s">
        <v>90</v>
      </c>
      <c r="D500" s="28">
        <v>45300</v>
      </c>
      <c r="E500" s="12">
        <v>560.70000000000005</v>
      </c>
      <c r="F500" s="13" t="s">
        <v>91</v>
      </c>
      <c r="G500" s="14" t="str">
        <f t="shared" si="18"/>
        <v>A</v>
      </c>
      <c r="H500" s="15" t="str">
        <f t="shared" si="19"/>
        <v>The Commissioner &amp; Chief Constable are satisfied the spend represents VFM in accordance with the requirements of Category A</v>
      </c>
    </row>
    <row r="501" spans="1:8" x14ac:dyDescent="0.2">
      <c r="A501" s="10" t="s">
        <v>8</v>
      </c>
      <c r="B501" s="11" t="s">
        <v>9</v>
      </c>
      <c r="C501" s="27" t="s">
        <v>256</v>
      </c>
      <c r="D501" s="28">
        <v>45320</v>
      </c>
      <c r="E501" s="12">
        <v>559.21</v>
      </c>
      <c r="F501" s="13" t="s">
        <v>155</v>
      </c>
      <c r="G501" s="14" t="str">
        <f t="shared" si="18"/>
        <v>A</v>
      </c>
      <c r="H501" s="15" t="str">
        <f t="shared" si="19"/>
        <v>The Commissioner &amp; Chief Constable are satisfied the spend represents VFM in accordance with the requirements of Category A</v>
      </c>
    </row>
    <row r="502" spans="1:8" x14ac:dyDescent="0.2">
      <c r="A502" s="10" t="s">
        <v>8</v>
      </c>
      <c r="B502" s="11" t="s">
        <v>9</v>
      </c>
      <c r="C502" s="27" t="s">
        <v>343</v>
      </c>
      <c r="D502" s="28">
        <v>45309</v>
      </c>
      <c r="E502" s="12">
        <v>550</v>
      </c>
      <c r="F502" s="13" t="s">
        <v>106</v>
      </c>
      <c r="G502" s="14" t="str">
        <f t="shared" si="18"/>
        <v>A</v>
      </c>
      <c r="H502" s="15" t="str">
        <f t="shared" si="19"/>
        <v>The Commissioner &amp; Chief Constable are satisfied the spend represents VFM in accordance with the requirements of Category A</v>
      </c>
    </row>
    <row r="503" spans="1:8" x14ac:dyDescent="0.2">
      <c r="A503" s="10" t="s">
        <v>8</v>
      </c>
      <c r="B503" s="11" t="s">
        <v>9</v>
      </c>
      <c r="C503" s="27" t="s">
        <v>344</v>
      </c>
      <c r="D503" s="28">
        <v>45321</v>
      </c>
      <c r="E503" s="12">
        <v>549.24</v>
      </c>
      <c r="F503" s="13" t="s">
        <v>194</v>
      </c>
      <c r="G503" s="14" t="str">
        <f t="shared" si="18"/>
        <v>A</v>
      </c>
      <c r="H503" s="15" t="str">
        <f t="shared" si="19"/>
        <v>The Commissioner &amp; Chief Constable are satisfied the spend represents VFM in accordance with the requirements of Category A</v>
      </c>
    </row>
    <row r="504" spans="1:8" x14ac:dyDescent="0.2">
      <c r="A504" s="10" t="s">
        <v>8</v>
      </c>
      <c r="B504" s="11" t="s">
        <v>9</v>
      </c>
      <c r="C504" s="27" t="s">
        <v>121</v>
      </c>
      <c r="D504" s="28">
        <v>45315</v>
      </c>
      <c r="E504" s="12">
        <v>543.6</v>
      </c>
      <c r="F504" s="13" t="s">
        <v>345</v>
      </c>
      <c r="G504" s="14" t="str">
        <f t="shared" si="18"/>
        <v>A</v>
      </c>
      <c r="H504" s="15" t="str">
        <f t="shared" si="19"/>
        <v>The Commissioner &amp; Chief Constable are satisfied the spend represents VFM in accordance with the requirements of Category A</v>
      </c>
    </row>
    <row r="505" spans="1:8" x14ac:dyDescent="0.2">
      <c r="A505" s="10" t="s">
        <v>8</v>
      </c>
      <c r="B505" s="11" t="s">
        <v>9</v>
      </c>
      <c r="C505" s="27" t="s">
        <v>74</v>
      </c>
      <c r="D505" s="28">
        <v>45315</v>
      </c>
      <c r="E505" s="12">
        <v>541.92999999999995</v>
      </c>
      <c r="F505" s="13" t="s">
        <v>345</v>
      </c>
      <c r="G505" s="14" t="str">
        <f t="shared" ref="G505:G528" si="20">IF(E505&gt;25000,"C",IF(E505&gt;1000,"B","A"))</f>
        <v>A</v>
      </c>
      <c r="H505" s="15" t="str">
        <f t="shared" si="19"/>
        <v>The Commissioner &amp; Chief Constable are satisfied the spend represents VFM in accordance with the requirements of Category A</v>
      </c>
    </row>
    <row r="506" spans="1:8" x14ac:dyDescent="0.2">
      <c r="A506" s="10" t="s">
        <v>8</v>
      </c>
      <c r="B506" s="11" t="s">
        <v>9</v>
      </c>
      <c r="C506" s="27" t="s">
        <v>292</v>
      </c>
      <c r="D506" s="28">
        <v>45300</v>
      </c>
      <c r="E506" s="12">
        <v>541.66</v>
      </c>
      <c r="F506" s="13" t="s">
        <v>84</v>
      </c>
      <c r="G506" s="14" t="str">
        <f t="shared" si="20"/>
        <v>A</v>
      </c>
      <c r="H506" s="15" t="str">
        <f t="shared" ref="H506:H528" si="21">VLOOKUP(G506,$K$2:$L$4,2,FALSE)</f>
        <v>The Commissioner &amp; Chief Constable are satisfied the spend represents VFM in accordance with the requirements of Category A</v>
      </c>
    </row>
    <row r="507" spans="1:8" x14ac:dyDescent="0.2">
      <c r="A507" s="10" t="s">
        <v>8</v>
      </c>
      <c r="B507" s="11" t="s">
        <v>9</v>
      </c>
      <c r="C507" s="27" t="s">
        <v>297</v>
      </c>
      <c r="D507" s="28">
        <v>45300</v>
      </c>
      <c r="E507" s="12">
        <v>540</v>
      </c>
      <c r="F507" s="13" t="s">
        <v>298</v>
      </c>
      <c r="G507" s="14" t="str">
        <f t="shared" si="20"/>
        <v>A</v>
      </c>
      <c r="H507" s="15" t="str">
        <f t="shared" si="21"/>
        <v>The Commissioner &amp; Chief Constable are satisfied the spend represents VFM in accordance with the requirements of Category A</v>
      </c>
    </row>
    <row r="508" spans="1:8" x14ac:dyDescent="0.2">
      <c r="A508" s="10" t="s">
        <v>8</v>
      </c>
      <c r="B508" s="11" t="s">
        <v>9</v>
      </c>
      <c r="C508" s="27" t="s">
        <v>346</v>
      </c>
      <c r="D508" s="28">
        <v>45313</v>
      </c>
      <c r="E508" s="12">
        <v>532</v>
      </c>
      <c r="F508" s="13" t="s">
        <v>319</v>
      </c>
      <c r="G508" s="14" t="str">
        <f t="shared" si="20"/>
        <v>A</v>
      </c>
      <c r="H508" s="15" t="str">
        <f t="shared" si="21"/>
        <v>The Commissioner &amp; Chief Constable are satisfied the spend represents VFM in accordance with the requirements of Category A</v>
      </c>
    </row>
    <row r="509" spans="1:8" x14ac:dyDescent="0.2">
      <c r="A509" s="10" t="s">
        <v>8</v>
      </c>
      <c r="B509" s="11" t="s">
        <v>9</v>
      </c>
      <c r="C509" s="27" t="s">
        <v>285</v>
      </c>
      <c r="D509" s="28">
        <v>45321</v>
      </c>
      <c r="E509" s="12">
        <v>529.75</v>
      </c>
      <c r="F509" s="13" t="s">
        <v>94</v>
      </c>
      <c r="G509" s="14" t="str">
        <f t="shared" si="20"/>
        <v>A</v>
      </c>
      <c r="H509" s="15" t="str">
        <f t="shared" si="21"/>
        <v>The Commissioner &amp; Chief Constable are satisfied the spend represents VFM in accordance with the requirements of Category A</v>
      </c>
    </row>
    <row r="510" spans="1:8" x14ac:dyDescent="0.2">
      <c r="A510" s="10" t="s">
        <v>8</v>
      </c>
      <c r="B510" s="11" t="s">
        <v>9</v>
      </c>
      <c r="C510" s="27" t="s">
        <v>256</v>
      </c>
      <c r="D510" s="28">
        <v>45295</v>
      </c>
      <c r="E510" s="12">
        <v>528.11</v>
      </c>
      <c r="F510" s="13" t="s">
        <v>155</v>
      </c>
      <c r="G510" s="14" t="str">
        <f t="shared" si="20"/>
        <v>A</v>
      </c>
      <c r="H510" s="15" t="str">
        <f t="shared" si="21"/>
        <v>The Commissioner &amp; Chief Constable are satisfied the spend represents VFM in accordance with the requirements of Category A</v>
      </c>
    </row>
    <row r="511" spans="1:8" x14ac:dyDescent="0.2">
      <c r="A511" s="10" t="s">
        <v>8</v>
      </c>
      <c r="B511" s="11" t="s">
        <v>9</v>
      </c>
      <c r="C511" s="27" t="s">
        <v>333</v>
      </c>
      <c r="D511" s="28">
        <v>45294</v>
      </c>
      <c r="E511" s="12">
        <v>515</v>
      </c>
      <c r="F511" s="13" t="s">
        <v>91</v>
      </c>
      <c r="G511" s="14" t="str">
        <f t="shared" si="20"/>
        <v>A</v>
      </c>
      <c r="H511" s="15" t="str">
        <f t="shared" si="21"/>
        <v>The Commissioner &amp; Chief Constable are satisfied the spend represents VFM in accordance with the requirements of Category A</v>
      </c>
    </row>
    <row r="512" spans="1:8" x14ac:dyDescent="0.2">
      <c r="A512" s="10" t="s">
        <v>8</v>
      </c>
      <c r="B512" s="11" t="s">
        <v>9</v>
      </c>
      <c r="C512" s="27" t="s">
        <v>312</v>
      </c>
      <c r="D512" s="28">
        <v>45320</v>
      </c>
      <c r="E512" s="12">
        <v>508.93</v>
      </c>
      <c r="F512" s="13" t="s">
        <v>151</v>
      </c>
      <c r="G512" s="14" t="str">
        <f t="shared" si="20"/>
        <v>A</v>
      </c>
      <c r="H512" s="15" t="str">
        <f t="shared" si="21"/>
        <v>The Commissioner &amp; Chief Constable are satisfied the spend represents VFM in accordance with the requirements of Category A</v>
      </c>
    </row>
    <row r="513" spans="1:8" x14ac:dyDescent="0.2">
      <c r="A513" s="10" t="s">
        <v>8</v>
      </c>
      <c r="B513" s="11" t="s">
        <v>9</v>
      </c>
      <c r="C513" s="27" t="s">
        <v>347</v>
      </c>
      <c r="D513" s="28">
        <v>45302</v>
      </c>
      <c r="E513" s="12">
        <v>507.14</v>
      </c>
      <c r="F513" s="13" t="s">
        <v>94</v>
      </c>
      <c r="G513" s="14" t="str">
        <f t="shared" si="20"/>
        <v>A</v>
      </c>
      <c r="H513" s="15" t="str">
        <f t="shared" si="21"/>
        <v>The Commissioner &amp; Chief Constable are satisfied the spend represents VFM in accordance with the requirements of Category A</v>
      </c>
    </row>
    <row r="514" spans="1:8" x14ac:dyDescent="0.2">
      <c r="A514" s="10" t="s">
        <v>8</v>
      </c>
      <c r="B514" s="11" t="s">
        <v>9</v>
      </c>
      <c r="C514" s="27" t="s">
        <v>348</v>
      </c>
      <c r="D514" s="28">
        <v>45321</v>
      </c>
      <c r="E514" s="12">
        <v>505.88</v>
      </c>
      <c r="F514" s="13" t="s">
        <v>131</v>
      </c>
      <c r="G514" s="14" t="str">
        <f t="shared" si="20"/>
        <v>A</v>
      </c>
      <c r="H514" s="15" t="str">
        <f t="shared" si="21"/>
        <v>The Commissioner &amp; Chief Constable are satisfied the spend represents VFM in accordance with the requirements of Category A</v>
      </c>
    </row>
    <row r="515" spans="1:8" x14ac:dyDescent="0.2">
      <c r="A515" s="10" t="s">
        <v>8</v>
      </c>
      <c r="B515" s="11" t="s">
        <v>9</v>
      </c>
      <c r="C515" s="27" t="s">
        <v>349</v>
      </c>
      <c r="D515" s="28">
        <v>45295</v>
      </c>
      <c r="E515" s="12">
        <v>500</v>
      </c>
      <c r="F515" s="13" t="s">
        <v>106</v>
      </c>
      <c r="G515" s="14" t="str">
        <f t="shared" si="20"/>
        <v>A</v>
      </c>
      <c r="H515" s="15" t="str">
        <f t="shared" si="21"/>
        <v>The Commissioner &amp; Chief Constable are satisfied the spend represents VFM in accordance with the requirements of Category A</v>
      </c>
    </row>
    <row r="516" spans="1:8" x14ac:dyDescent="0.2">
      <c r="A516" s="10" t="s">
        <v>8</v>
      </c>
      <c r="B516" s="11" t="s">
        <v>9</v>
      </c>
      <c r="C516" s="27" t="s">
        <v>260</v>
      </c>
      <c r="D516" s="28">
        <v>45294</v>
      </c>
      <c r="E516" s="12">
        <v>-555.36</v>
      </c>
      <c r="F516" s="13" t="s">
        <v>131</v>
      </c>
      <c r="G516" s="14" t="str">
        <f t="shared" si="20"/>
        <v>A</v>
      </c>
      <c r="H516" s="15" t="str">
        <f t="shared" si="21"/>
        <v>The Commissioner &amp; Chief Constable are satisfied the spend represents VFM in accordance with the requirements of Category A</v>
      </c>
    </row>
    <row r="517" spans="1:8" x14ac:dyDescent="0.2">
      <c r="A517" s="10" t="s">
        <v>8</v>
      </c>
      <c r="B517" s="11" t="s">
        <v>9</v>
      </c>
      <c r="C517" s="27" t="s">
        <v>10</v>
      </c>
      <c r="D517" s="28">
        <v>45293</v>
      </c>
      <c r="E517" s="12">
        <v>-1300</v>
      </c>
      <c r="F517" s="13" t="s">
        <v>106</v>
      </c>
      <c r="G517" s="14" t="str">
        <f t="shared" si="20"/>
        <v>A</v>
      </c>
      <c r="H517" s="15" t="str">
        <f t="shared" si="21"/>
        <v>The Commissioner &amp; Chief Constable are satisfied the spend represents VFM in accordance with the requirements of Category A</v>
      </c>
    </row>
    <row r="518" spans="1:8" x14ac:dyDescent="0.2">
      <c r="A518" s="10" t="s">
        <v>8</v>
      </c>
      <c r="B518" s="11" t="s">
        <v>9</v>
      </c>
      <c r="C518" s="27" t="s">
        <v>10</v>
      </c>
      <c r="D518" s="28">
        <v>45293</v>
      </c>
      <c r="E518" s="12">
        <v>-1560</v>
      </c>
      <c r="F518" s="13" t="s">
        <v>131</v>
      </c>
      <c r="G518" s="14" t="str">
        <f t="shared" si="20"/>
        <v>A</v>
      </c>
      <c r="H518" s="15" t="str">
        <f t="shared" si="21"/>
        <v>The Commissioner &amp; Chief Constable are satisfied the spend represents VFM in accordance with the requirements of Category A</v>
      </c>
    </row>
    <row r="519" spans="1:8" x14ac:dyDescent="0.2">
      <c r="A519" s="10" t="s">
        <v>8</v>
      </c>
      <c r="B519" s="11" t="s">
        <v>9</v>
      </c>
      <c r="C519" s="27" t="s">
        <v>193</v>
      </c>
      <c r="D519" s="28">
        <v>45320</v>
      </c>
      <c r="E519" s="12">
        <v>-3080</v>
      </c>
      <c r="F519" s="13" t="s">
        <v>11</v>
      </c>
      <c r="G519" s="14" t="str">
        <f t="shared" si="20"/>
        <v>A</v>
      </c>
      <c r="H519" s="15" t="str">
        <f t="shared" si="21"/>
        <v>The Commissioner &amp; Chief Constable are satisfied the spend represents VFM in accordance with the requirements of Category A</v>
      </c>
    </row>
    <row r="520" spans="1:8" x14ac:dyDescent="0.2">
      <c r="A520" s="10" t="s">
        <v>8</v>
      </c>
      <c r="B520" s="11" t="s">
        <v>9</v>
      </c>
      <c r="C520" s="27" t="s">
        <v>184</v>
      </c>
      <c r="D520" s="28">
        <v>45296</v>
      </c>
      <c r="E520" s="12">
        <v>-5680</v>
      </c>
      <c r="F520" s="13" t="s">
        <v>11</v>
      </c>
      <c r="G520" s="14" t="str">
        <f t="shared" si="20"/>
        <v>A</v>
      </c>
      <c r="H520" s="15" t="str">
        <f t="shared" si="21"/>
        <v>The Commissioner &amp; Chief Constable are satisfied the spend represents VFM in accordance with the requirements of Category A</v>
      </c>
    </row>
    <row r="521" spans="1:8" x14ac:dyDescent="0.2">
      <c r="A521" s="10" t="s">
        <v>8</v>
      </c>
      <c r="B521" s="11" t="s">
        <v>9</v>
      </c>
      <c r="C521" s="27" t="s">
        <v>136</v>
      </c>
      <c r="D521" s="28">
        <v>45303</v>
      </c>
      <c r="E521" s="12">
        <v>-8000</v>
      </c>
      <c r="F521" s="13" t="s">
        <v>194</v>
      </c>
      <c r="G521" s="14" t="str">
        <f t="shared" si="20"/>
        <v>A</v>
      </c>
      <c r="H521" s="15" t="str">
        <f t="shared" si="21"/>
        <v>The Commissioner &amp; Chief Constable are satisfied the spend represents VFM in accordance with the requirements of Category A</v>
      </c>
    </row>
    <row r="522" spans="1:8" x14ac:dyDescent="0.2">
      <c r="A522" s="10" t="s">
        <v>8</v>
      </c>
      <c r="B522" s="11" t="s">
        <v>9</v>
      </c>
      <c r="C522" s="27" t="s">
        <v>95</v>
      </c>
      <c r="D522" s="28">
        <v>45293</v>
      </c>
      <c r="E522" s="12">
        <v>-11011.99</v>
      </c>
      <c r="F522" s="13" t="s">
        <v>38</v>
      </c>
      <c r="G522" s="14" t="str">
        <f t="shared" si="20"/>
        <v>A</v>
      </c>
      <c r="H522" s="15" t="str">
        <f t="shared" si="21"/>
        <v>The Commissioner &amp; Chief Constable are satisfied the spend represents VFM in accordance with the requirements of Category A</v>
      </c>
    </row>
    <row r="523" spans="1:8" x14ac:dyDescent="0.2">
      <c r="A523" s="10" t="s">
        <v>8</v>
      </c>
      <c r="B523" s="11" t="s">
        <v>9</v>
      </c>
      <c r="C523" s="27" t="s">
        <v>350</v>
      </c>
      <c r="D523" s="28">
        <v>45294</v>
      </c>
      <c r="E523" s="12">
        <v>-12441.46</v>
      </c>
      <c r="F523" s="13" t="s">
        <v>15</v>
      </c>
      <c r="G523" s="14" t="str">
        <f t="shared" si="20"/>
        <v>A</v>
      </c>
      <c r="H523" s="15" t="str">
        <f t="shared" si="21"/>
        <v>The Commissioner &amp; Chief Constable are satisfied the spend represents VFM in accordance with the requirements of Category A</v>
      </c>
    </row>
    <row r="524" spans="1:8" x14ac:dyDescent="0.2">
      <c r="A524" s="10" t="s">
        <v>8</v>
      </c>
      <c r="B524" s="11" t="s">
        <v>9</v>
      </c>
      <c r="C524" s="27" t="s">
        <v>14</v>
      </c>
      <c r="D524" s="28">
        <v>45299</v>
      </c>
      <c r="E524" s="12">
        <v>-15422.53</v>
      </c>
      <c r="F524" s="13" t="s">
        <v>54</v>
      </c>
      <c r="G524" s="14" t="str">
        <f t="shared" si="20"/>
        <v>A</v>
      </c>
      <c r="H524" s="15" t="str">
        <f t="shared" si="21"/>
        <v>The Commissioner &amp; Chief Constable are satisfied the spend represents VFM in accordance with the requirements of Category A</v>
      </c>
    </row>
    <row r="525" spans="1:8" x14ac:dyDescent="0.2">
      <c r="A525" s="10" t="s">
        <v>8</v>
      </c>
      <c r="B525" s="11" t="s">
        <v>9</v>
      </c>
      <c r="C525" s="27" t="s">
        <v>85</v>
      </c>
      <c r="D525" s="28">
        <v>45322</v>
      </c>
      <c r="E525" s="12">
        <v>-22419.5</v>
      </c>
      <c r="F525" s="13" t="s">
        <v>102</v>
      </c>
      <c r="G525" s="14" t="str">
        <f t="shared" si="20"/>
        <v>A</v>
      </c>
      <c r="H525" s="15" t="str">
        <f t="shared" si="21"/>
        <v>The Commissioner &amp; Chief Constable are satisfied the spend represents VFM in accordance with the requirements of Category A</v>
      </c>
    </row>
    <row r="526" spans="1:8" x14ac:dyDescent="0.2">
      <c r="A526" s="10" t="s">
        <v>8</v>
      </c>
      <c r="B526" s="11" t="s">
        <v>9</v>
      </c>
      <c r="C526" s="27" t="s">
        <v>85</v>
      </c>
      <c r="D526" s="28">
        <v>45322</v>
      </c>
      <c r="E526" s="12">
        <v>-23597.5</v>
      </c>
      <c r="F526" s="13" t="s">
        <v>15</v>
      </c>
      <c r="G526" s="14" t="str">
        <f t="shared" si="20"/>
        <v>A</v>
      </c>
      <c r="H526" s="15" t="str">
        <f t="shared" si="21"/>
        <v>The Commissioner &amp; Chief Constable are satisfied the spend represents VFM in accordance with the requirements of Category A</v>
      </c>
    </row>
    <row r="527" spans="1:8" x14ac:dyDescent="0.2">
      <c r="A527" s="10" t="s">
        <v>8</v>
      </c>
      <c r="B527" s="11" t="s">
        <v>9</v>
      </c>
      <c r="C527" s="27" t="s">
        <v>85</v>
      </c>
      <c r="D527" s="28">
        <v>45322</v>
      </c>
      <c r="E527" s="12">
        <v>-37023.94</v>
      </c>
      <c r="F527" s="13" t="s">
        <v>27</v>
      </c>
      <c r="G527" s="14" t="str">
        <f t="shared" si="20"/>
        <v>A</v>
      </c>
      <c r="H527" s="15" t="str">
        <f t="shared" si="21"/>
        <v>The Commissioner &amp; Chief Constable are satisfied the spend represents VFM in accordance with the requirements of Category A</v>
      </c>
    </row>
    <row r="528" spans="1:8" x14ac:dyDescent="0.2">
      <c r="A528" s="10" t="s">
        <v>8</v>
      </c>
      <c r="B528" s="11" t="s">
        <v>9</v>
      </c>
      <c r="C528" s="30" t="s">
        <v>14</v>
      </c>
      <c r="D528" s="31">
        <v>45299</v>
      </c>
      <c r="E528" s="25">
        <v>-37152.68</v>
      </c>
      <c r="F528" s="26" t="s">
        <v>27</v>
      </c>
      <c r="G528" s="14" t="str">
        <f t="shared" si="20"/>
        <v>A</v>
      </c>
      <c r="H528" s="15" t="str">
        <f t="shared" si="21"/>
        <v>The Commissioner &amp; Chief Constable are satisfied the spend represents VFM in accordance with the requirements of Category A</v>
      </c>
    </row>
  </sheetData>
  <autoFilter ref="A1:M528" xr:uid="{D766DED7-C076-41A7-9853-B81889FDC2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39B7-13EA-4DA9-A21F-4F861C29D6FC}">
  <dimension ref="A1:L564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10.28515625" style="22" customWidth="1"/>
    <col min="5" max="5" width="11.140625" style="23" bestFit="1" customWidth="1"/>
    <col min="6" max="6" width="38.85546875" style="20" bestFit="1" customWidth="1"/>
    <col min="7" max="7" width="11.7109375" style="24" bestFit="1" customWidth="1"/>
    <col min="8" max="8" width="93.42578125" style="20" bestFit="1" customWidth="1"/>
    <col min="9" max="9" width="1.7109375" style="20" customWidth="1"/>
    <col min="10" max="10" width="16.140625" style="20" bestFit="1" customWidth="1"/>
    <col min="11" max="12" width="5.7109375" style="17" hidden="1" customWidth="1"/>
    <col min="13" max="13" width="5.7109375" style="17" bestFit="1" customWidth="1"/>
    <col min="14" max="16384" width="9.140625" style="17"/>
  </cols>
  <sheetData>
    <row r="1" spans="1:12" s="8" customFormat="1" ht="32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J1" s="9"/>
    </row>
    <row r="2" spans="1:12" x14ac:dyDescent="0.2">
      <c r="A2" s="10" t="s">
        <v>8</v>
      </c>
      <c r="B2" s="11" t="s">
        <v>9</v>
      </c>
      <c r="C2" s="35" t="s">
        <v>48</v>
      </c>
      <c r="D2" s="37">
        <v>45330</v>
      </c>
      <c r="E2" s="36">
        <v>3197812</v>
      </c>
      <c r="F2" s="35" t="s">
        <v>58</v>
      </c>
      <c r="G2" s="14" t="str">
        <f t="shared" ref="G2:G65" si="0">IF(E2&gt;25000,"C",IF(E2&gt;1000,"B","A"))</f>
        <v>C</v>
      </c>
      <c r="H2" s="15" t="str">
        <f t="shared" ref="H2:H65" si="1">VLOOKUP(G2,$K$2:$L$4,2,FALSE)</f>
        <v>The Commissioner &amp; Chief Constable are satisfied the spend represents VFM in accordance with the requirements of Category C</v>
      </c>
      <c r="I2" s="16"/>
      <c r="J2" s="16"/>
      <c r="K2" s="17" t="s">
        <v>12</v>
      </c>
      <c r="L2" s="15" t="s">
        <v>13</v>
      </c>
    </row>
    <row r="3" spans="1:12" x14ac:dyDescent="0.2">
      <c r="A3" s="10" t="s">
        <v>8</v>
      </c>
      <c r="B3" s="11" t="s">
        <v>9</v>
      </c>
      <c r="C3" s="35" t="s">
        <v>592</v>
      </c>
      <c r="D3" s="37">
        <v>45330</v>
      </c>
      <c r="E3" s="36">
        <v>584913.63</v>
      </c>
      <c r="F3" s="35" t="s">
        <v>345</v>
      </c>
      <c r="G3" s="14" t="str">
        <f t="shared" si="0"/>
        <v>C</v>
      </c>
      <c r="H3" s="15" t="str">
        <f t="shared" si="1"/>
        <v>The Commissioner &amp; Chief Constable are satisfied the spend represents VFM in accordance with the requirements of Category C</v>
      </c>
      <c r="I3" s="16"/>
      <c r="J3" s="16"/>
      <c r="K3" s="17" t="s">
        <v>16</v>
      </c>
      <c r="L3" s="15" t="s">
        <v>17</v>
      </c>
    </row>
    <row r="4" spans="1:12" x14ac:dyDescent="0.2">
      <c r="A4" s="10" t="s">
        <v>8</v>
      </c>
      <c r="B4" s="11" t="s">
        <v>9</v>
      </c>
      <c r="C4" s="35" t="s">
        <v>10</v>
      </c>
      <c r="D4" s="37">
        <v>45342</v>
      </c>
      <c r="E4" s="36">
        <v>386471.24</v>
      </c>
      <c r="F4" s="35" t="s">
        <v>11</v>
      </c>
      <c r="G4" s="14" t="str">
        <f t="shared" si="0"/>
        <v>C</v>
      </c>
      <c r="H4" s="15" t="str">
        <f t="shared" si="1"/>
        <v>The Commissioner &amp; Chief Constable are satisfied the spend represents VFM in accordance with the requirements of Category C</v>
      </c>
      <c r="I4" s="16"/>
      <c r="J4" s="16"/>
      <c r="K4" s="17" t="s">
        <v>20</v>
      </c>
      <c r="L4" s="15" t="s">
        <v>21</v>
      </c>
    </row>
    <row r="5" spans="1:12" x14ac:dyDescent="0.2">
      <c r="A5" s="10" t="s">
        <v>8</v>
      </c>
      <c r="B5" s="11" t="s">
        <v>9</v>
      </c>
      <c r="C5" s="35" t="s">
        <v>18</v>
      </c>
      <c r="D5" s="37">
        <v>45344</v>
      </c>
      <c r="E5" s="36">
        <v>315455.11</v>
      </c>
      <c r="F5" s="35" t="s">
        <v>19</v>
      </c>
      <c r="G5" s="14" t="str">
        <f t="shared" si="0"/>
        <v>C</v>
      </c>
      <c r="H5" s="15" t="str">
        <f t="shared" si="1"/>
        <v>The Commissioner &amp; Chief Constable are satisfied the spend represents VFM in accordance with the requirements of Category C</v>
      </c>
      <c r="I5" s="16"/>
      <c r="J5" s="16"/>
    </row>
    <row r="6" spans="1:12" x14ac:dyDescent="0.2">
      <c r="A6" s="10" t="s">
        <v>8</v>
      </c>
      <c r="B6" s="11" t="s">
        <v>9</v>
      </c>
      <c r="C6" s="40" t="s">
        <v>591</v>
      </c>
      <c r="D6" s="37">
        <v>45328</v>
      </c>
      <c r="E6" s="36">
        <v>194499.96</v>
      </c>
      <c r="F6" s="35" t="s">
        <v>27</v>
      </c>
      <c r="G6" s="14" t="str">
        <f t="shared" si="0"/>
        <v>C</v>
      </c>
      <c r="H6" s="15" t="str">
        <f t="shared" si="1"/>
        <v>The Commissioner &amp; Chief Constable are satisfied the spend represents VFM in accordance with the requirements of Category C</v>
      </c>
      <c r="I6" s="16"/>
      <c r="J6" s="16"/>
    </row>
    <row r="7" spans="1:12" x14ac:dyDescent="0.2">
      <c r="A7" s="10" t="s">
        <v>8</v>
      </c>
      <c r="B7" s="11" t="s">
        <v>9</v>
      </c>
      <c r="C7" s="35" t="s">
        <v>23</v>
      </c>
      <c r="D7" s="37">
        <v>45342</v>
      </c>
      <c r="E7" s="36">
        <v>183433.60000000001</v>
      </c>
      <c r="F7" s="35" t="s">
        <v>24</v>
      </c>
      <c r="G7" s="14" t="str">
        <f t="shared" si="0"/>
        <v>C</v>
      </c>
      <c r="H7" s="15" t="str">
        <f t="shared" si="1"/>
        <v>The Commissioner &amp; Chief Constable are satisfied the spend represents VFM in accordance with the requirements of Category C</v>
      </c>
      <c r="I7" s="16"/>
      <c r="J7" s="16"/>
    </row>
    <row r="8" spans="1:12" x14ac:dyDescent="0.2">
      <c r="A8" s="10" t="s">
        <v>8</v>
      </c>
      <c r="B8" s="11" t="s">
        <v>9</v>
      </c>
      <c r="C8" s="40" t="s">
        <v>74</v>
      </c>
      <c r="D8" s="37">
        <v>45323</v>
      </c>
      <c r="E8" s="36">
        <v>147288.78</v>
      </c>
      <c r="F8" s="35" t="s">
        <v>218</v>
      </c>
      <c r="G8" s="14" t="str">
        <f t="shared" si="0"/>
        <v>C</v>
      </c>
      <c r="H8" s="15" t="str">
        <f t="shared" si="1"/>
        <v>The Commissioner &amp; Chief Constable are satisfied the spend represents VFM in accordance with the requirements of Category C</v>
      </c>
      <c r="I8" s="16"/>
      <c r="J8" s="16"/>
    </row>
    <row r="9" spans="1:12" x14ac:dyDescent="0.2">
      <c r="A9" s="10" t="s">
        <v>8</v>
      </c>
      <c r="B9" s="11" t="s">
        <v>9</v>
      </c>
      <c r="C9" s="35" t="s">
        <v>448</v>
      </c>
      <c r="D9" s="37">
        <v>45327</v>
      </c>
      <c r="E9" s="36">
        <v>138639</v>
      </c>
      <c r="F9" s="35" t="s">
        <v>27</v>
      </c>
      <c r="G9" s="14" t="str">
        <f t="shared" si="0"/>
        <v>C</v>
      </c>
      <c r="H9" s="15" t="str">
        <f t="shared" si="1"/>
        <v>The Commissioner &amp; Chief Constable are satisfied the spend represents VFM in accordance with the requirements of Category C</v>
      </c>
      <c r="I9" s="16"/>
      <c r="J9" s="16"/>
    </row>
    <row r="10" spans="1:12" x14ac:dyDescent="0.2">
      <c r="A10" s="10" t="s">
        <v>8</v>
      </c>
      <c r="B10" s="11" t="s">
        <v>9</v>
      </c>
      <c r="C10" s="35" t="s">
        <v>26</v>
      </c>
      <c r="D10" s="37">
        <v>45342</v>
      </c>
      <c r="E10" s="36">
        <v>133418</v>
      </c>
      <c r="F10" s="35" t="s">
        <v>27</v>
      </c>
      <c r="G10" s="14" t="str">
        <f t="shared" si="0"/>
        <v>C</v>
      </c>
      <c r="H10" s="15" t="str">
        <f t="shared" si="1"/>
        <v>The Commissioner &amp; Chief Constable are satisfied the spend represents VFM in accordance with the requirements of Category C</v>
      </c>
      <c r="I10" s="16"/>
      <c r="J10" s="16"/>
    </row>
    <row r="11" spans="1:12" x14ac:dyDescent="0.2">
      <c r="A11" s="10" t="s">
        <v>8</v>
      </c>
      <c r="B11" s="11" t="s">
        <v>9</v>
      </c>
      <c r="C11" s="35" t="s">
        <v>50</v>
      </c>
      <c r="D11" s="37">
        <v>45342</v>
      </c>
      <c r="E11" s="36">
        <v>109015.87000000001</v>
      </c>
      <c r="F11" s="35" t="s">
        <v>36</v>
      </c>
      <c r="G11" s="14" t="str">
        <f t="shared" si="0"/>
        <v>C</v>
      </c>
      <c r="H11" s="15" t="str">
        <f t="shared" si="1"/>
        <v>The Commissioner &amp; Chief Constable are satisfied the spend represents VFM in accordance with the requirements of Category C</v>
      </c>
      <c r="I11" s="16"/>
      <c r="J11" s="16"/>
    </row>
    <row r="12" spans="1:12" x14ac:dyDescent="0.2">
      <c r="A12" s="10" t="s">
        <v>8</v>
      </c>
      <c r="B12" s="11" t="s">
        <v>9</v>
      </c>
      <c r="C12" s="35" t="s">
        <v>140</v>
      </c>
      <c r="D12" s="37">
        <v>45331</v>
      </c>
      <c r="E12" s="36">
        <v>108270.79</v>
      </c>
      <c r="F12" s="35" t="s">
        <v>34</v>
      </c>
      <c r="G12" s="14" t="str">
        <f t="shared" si="0"/>
        <v>C</v>
      </c>
      <c r="H12" s="15" t="str">
        <f t="shared" si="1"/>
        <v>The Commissioner &amp; Chief Constable are satisfied the spend represents VFM in accordance with the requirements of Category C</v>
      </c>
      <c r="I12" s="16"/>
      <c r="J12" s="16"/>
    </row>
    <row r="13" spans="1:12" x14ac:dyDescent="0.2">
      <c r="A13" s="10" t="s">
        <v>8</v>
      </c>
      <c r="B13" s="11" t="s">
        <v>9</v>
      </c>
      <c r="C13" s="40" t="s">
        <v>30</v>
      </c>
      <c r="D13" s="37">
        <v>45328</v>
      </c>
      <c r="E13" s="36">
        <v>107414.59999999999</v>
      </c>
      <c r="F13" s="35" t="s">
        <v>31</v>
      </c>
      <c r="G13" s="14" t="str">
        <f t="shared" si="0"/>
        <v>C</v>
      </c>
      <c r="H13" s="15" t="str">
        <f t="shared" si="1"/>
        <v>The Commissioner &amp; Chief Constable are satisfied the spend represents VFM in accordance with the requirements of Category C</v>
      </c>
      <c r="I13" s="16"/>
      <c r="J13" s="16"/>
    </row>
    <row r="14" spans="1:12" x14ac:dyDescent="0.2">
      <c r="A14" s="10" t="s">
        <v>8</v>
      </c>
      <c r="B14" s="11" t="s">
        <v>9</v>
      </c>
      <c r="C14" s="35" t="s">
        <v>30</v>
      </c>
      <c r="D14" s="37">
        <v>45328</v>
      </c>
      <c r="E14" s="39">
        <v>7.92</v>
      </c>
      <c r="F14" s="38" t="s">
        <v>32</v>
      </c>
      <c r="G14" s="14" t="str">
        <f t="shared" si="0"/>
        <v>A</v>
      </c>
      <c r="H14" s="15" t="str">
        <f t="shared" si="1"/>
        <v>The Commissioner &amp; Chief Constable are satisfied the spend represents VFM in accordance with the requirements of Category A</v>
      </c>
      <c r="I14" s="16"/>
      <c r="J14" s="16"/>
    </row>
    <row r="15" spans="1:12" x14ac:dyDescent="0.2">
      <c r="A15" s="10" t="s">
        <v>8</v>
      </c>
      <c r="B15" s="11" t="s">
        <v>9</v>
      </c>
      <c r="C15" s="35" t="s">
        <v>44</v>
      </c>
      <c r="D15" s="37">
        <v>45336</v>
      </c>
      <c r="E15" s="36">
        <v>91672</v>
      </c>
      <c r="F15" s="35" t="s">
        <v>45</v>
      </c>
      <c r="G15" s="14" t="str">
        <f t="shared" si="0"/>
        <v>C</v>
      </c>
      <c r="H15" s="15" t="str">
        <f t="shared" si="1"/>
        <v>The Commissioner &amp; Chief Constable are satisfied the spend represents VFM in accordance with the requirements of Category C</v>
      </c>
      <c r="I15" s="16"/>
      <c r="J15" s="16"/>
    </row>
    <row r="16" spans="1:12" x14ac:dyDescent="0.2">
      <c r="A16" s="10" t="s">
        <v>8</v>
      </c>
      <c r="B16" s="11" t="s">
        <v>9</v>
      </c>
      <c r="C16" s="35" t="s">
        <v>52</v>
      </c>
      <c r="D16" s="37">
        <v>45330</v>
      </c>
      <c r="E16" s="36">
        <v>89983</v>
      </c>
      <c r="F16" s="35" t="s">
        <v>45</v>
      </c>
      <c r="G16" s="14" t="str">
        <f t="shared" si="0"/>
        <v>C</v>
      </c>
      <c r="H16" s="15" t="str">
        <f t="shared" si="1"/>
        <v>The Commissioner &amp; Chief Constable are satisfied the spend represents VFM in accordance with the requirements of Category C</v>
      </c>
      <c r="I16" s="16"/>
      <c r="J16" s="16"/>
    </row>
    <row r="17" spans="1:10" x14ac:dyDescent="0.2">
      <c r="A17" s="10" t="s">
        <v>8</v>
      </c>
      <c r="B17" s="11" t="s">
        <v>9</v>
      </c>
      <c r="C17" s="40" t="s">
        <v>50</v>
      </c>
      <c r="D17" s="37">
        <v>45342</v>
      </c>
      <c r="E17" s="36">
        <v>88553.72</v>
      </c>
      <c r="F17" s="35" t="s">
        <v>36</v>
      </c>
      <c r="G17" s="14" t="str">
        <f t="shared" si="0"/>
        <v>C</v>
      </c>
      <c r="H17" s="15" t="str">
        <f t="shared" si="1"/>
        <v>The Commissioner &amp; Chief Constable are satisfied the spend represents VFM in accordance with the requirements of Category C</v>
      </c>
      <c r="I17" s="16"/>
      <c r="J17" s="16"/>
    </row>
    <row r="18" spans="1:10" x14ac:dyDescent="0.2">
      <c r="A18" s="10" t="s">
        <v>8</v>
      </c>
      <c r="B18" s="11" t="s">
        <v>9</v>
      </c>
      <c r="C18" s="35" t="s">
        <v>26</v>
      </c>
      <c r="D18" s="37">
        <v>45334</v>
      </c>
      <c r="E18" s="36">
        <v>85200</v>
      </c>
      <c r="F18" s="35" t="s">
        <v>27</v>
      </c>
      <c r="G18" s="14" t="str">
        <f t="shared" si="0"/>
        <v>C</v>
      </c>
      <c r="H18" s="15" t="str">
        <f t="shared" si="1"/>
        <v>The Commissioner &amp; Chief Constable are satisfied the spend represents VFM in accordance with the requirements of Category C</v>
      </c>
      <c r="I18" s="16"/>
      <c r="J18" s="16"/>
    </row>
    <row r="19" spans="1:10" x14ac:dyDescent="0.2">
      <c r="A19" s="10" t="s">
        <v>8</v>
      </c>
      <c r="B19" s="11" t="s">
        <v>9</v>
      </c>
      <c r="C19" s="40" t="s">
        <v>46</v>
      </c>
      <c r="D19" s="37">
        <v>45324</v>
      </c>
      <c r="E19" s="36">
        <v>80949.009999999995</v>
      </c>
      <c r="F19" s="35" t="s">
        <v>47</v>
      </c>
      <c r="G19" s="14" t="str">
        <f t="shared" si="0"/>
        <v>C</v>
      </c>
      <c r="H19" s="15" t="str">
        <f t="shared" si="1"/>
        <v>The Commissioner &amp; Chief Constable are satisfied the spend represents VFM in accordance with the requirements of Category C</v>
      </c>
      <c r="I19" s="16"/>
      <c r="J19" s="16"/>
    </row>
    <row r="20" spans="1:10" x14ac:dyDescent="0.2">
      <c r="A20" s="10" t="s">
        <v>8</v>
      </c>
      <c r="B20" s="11" t="s">
        <v>9</v>
      </c>
      <c r="C20" s="35" t="s">
        <v>95</v>
      </c>
      <c r="D20" s="37">
        <v>45338</v>
      </c>
      <c r="E20" s="36">
        <v>75265.45</v>
      </c>
      <c r="F20" s="35" t="s">
        <v>54</v>
      </c>
      <c r="G20" s="14" t="str">
        <f t="shared" si="0"/>
        <v>C</v>
      </c>
      <c r="H20" s="15" t="str">
        <f t="shared" si="1"/>
        <v>The Commissioner &amp; Chief Constable are satisfied the spend represents VFM in accordance with the requirements of Category C</v>
      </c>
      <c r="I20" s="16"/>
      <c r="J20" s="16"/>
    </row>
    <row r="21" spans="1:10" x14ac:dyDescent="0.2">
      <c r="A21" s="10" t="s">
        <v>8</v>
      </c>
      <c r="B21" s="11" t="s">
        <v>9</v>
      </c>
      <c r="C21" s="40" t="s">
        <v>74</v>
      </c>
      <c r="D21" s="37">
        <v>45344</v>
      </c>
      <c r="E21" s="36">
        <v>65922.52</v>
      </c>
      <c r="F21" s="35" t="s">
        <v>218</v>
      </c>
      <c r="G21" s="14" t="str">
        <f t="shared" si="0"/>
        <v>C</v>
      </c>
      <c r="H21" s="15" t="str">
        <f t="shared" si="1"/>
        <v>The Commissioner &amp; Chief Constable are satisfied the spend represents VFM in accordance with the requirements of Category C</v>
      </c>
      <c r="I21" s="16"/>
      <c r="J21" s="16"/>
    </row>
    <row r="22" spans="1:10" x14ac:dyDescent="0.2">
      <c r="A22" s="10" t="s">
        <v>8</v>
      </c>
      <c r="B22" s="11" t="s">
        <v>9</v>
      </c>
      <c r="C22" s="35" t="s">
        <v>448</v>
      </c>
      <c r="D22" s="37">
        <v>45342</v>
      </c>
      <c r="E22" s="36">
        <v>62743</v>
      </c>
      <c r="F22" s="35" t="s">
        <v>27</v>
      </c>
      <c r="G22" s="14" t="str">
        <f t="shared" si="0"/>
        <v>C</v>
      </c>
      <c r="H22" s="15" t="str">
        <f t="shared" si="1"/>
        <v>The Commissioner &amp; Chief Constable are satisfied the spend represents VFM in accordance with the requirements of Category C</v>
      </c>
      <c r="I22" s="16"/>
      <c r="J22" s="16"/>
    </row>
    <row r="23" spans="1:10" x14ac:dyDescent="0.2">
      <c r="A23" s="10" t="s">
        <v>8</v>
      </c>
      <c r="B23" s="11" t="s">
        <v>9</v>
      </c>
      <c r="C23" s="35" t="s">
        <v>26</v>
      </c>
      <c r="D23" s="37">
        <v>45336</v>
      </c>
      <c r="E23" s="36">
        <v>61885.98</v>
      </c>
      <c r="F23" s="35" t="s">
        <v>53</v>
      </c>
      <c r="G23" s="14" t="str">
        <f t="shared" si="0"/>
        <v>C</v>
      </c>
      <c r="H23" s="15" t="str">
        <f t="shared" si="1"/>
        <v>The Commissioner &amp; Chief Constable are satisfied the spend represents VFM in accordance with the requirements of Category C</v>
      </c>
      <c r="I23" s="16"/>
      <c r="J23" s="16"/>
    </row>
    <row r="24" spans="1:10" x14ac:dyDescent="0.2">
      <c r="A24" s="10" t="s">
        <v>8</v>
      </c>
      <c r="B24" s="11" t="s">
        <v>9</v>
      </c>
      <c r="C24" s="35" t="s">
        <v>85</v>
      </c>
      <c r="D24" s="37">
        <v>45327</v>
      </c>
      <c r="E24" s="36">
        <v>60280.21</v>
      </c>
      <c r="F24" s="35" t="s">
        <v>27</v>
      </c>
      <c r="G24" s="14" t="str">
        <f t="shared" si="0"/>
        <v>C</v>
      </c>
      <c r="H24" s="15" t="str">
        <f t="shared" si="1"/>
        <v>The Commissioner &amp; Chief Constable are satisfied the spend represents VFM in accordance with the requirements of Category C</v>
      </c>
      <c r="I24" s="16"/>
      <c r="J24" s="16"/>
    </row>
    <row r="25" spans="1:10" x14ac:dyDescent="0.2">
      <c r="A25" s="10" t="s">
        <v>8</v>
      </c>
      <c r="B25" s="11" t="s">
        <v>9</v>
      </c>
      <c r="C25" s="40" t="s">
        <v>146</v>
      </c>
      <c r="D25" s="37">
        <v>45348</v>
      </c>
      <c r="E25" s="36">
        <v>60121.07</v>
      </c>
      <c r="F25" s="35" t="s">
        <v>38</v>
      </c>
      <c r="G25" s="14" t="str">
        <f t="shared" si="0"/>
        <v>C</v>
      </c>
      <c r="H25" s="15" t="str">
        <f t="shared" si="1"/>
        <v>The Commissioner &amp; Chief Constable are satisfied the spend represents VFM in accordance with the requirements of Category C</v>
      </c>
      <c r="I25" s="16"/>
      <c r="J25" s="16"/>
    </row>
    <row r="26" spans="1:10" x14ac:dyDescent="0.2">
      <c r="A26" s="10" t="s">
        <v>8</v>
      </c>
      <c r="B26" s="11" t="s">
        <v>9</v>
      </c>
      <c r="C26" s="35" t="s">
        <v>468</v>
      </c>
      <c r="D26" s="37">
        <v>45334</v>
      </c>
      <c r="E26" s="36">
        <v>54500</v>
      </c>
      <c r="F26" s="35" t="s">
        <v>131</v>
      </c>
      <c r="G26" s="14" t="str">
        <f t="shared" si="0"/>
        <v>C</v>
      </c>
      <c r="H26" s="15" t="str">
        <f t="shared" si="1"/>
        <v>The Commissioner &amp; Chief Constable are satisfied the spend represents VFM in accordance with the requirements of Category C</v>
      </c>
      <c r="I26" s="16"/>
      <c r="J26" s="16"/>
    </row>
    <row r="27" spans="1:10" x14ac:dyDescent="0.2">
      <c r="A27" s="10" t="s">
        <v>8</v>
      </c>
      <c r="B27" s="11" t="s">
        <v>9</v>
      </c>
      <c r="C27" s="35" t="s">
        <v>350</v>
      </c>
      <c r="D27" s="37">
        <v>45348</v>
      </c>
      <c r="E27" s="36">
        <v>51732.75</v>
      </c>
      <c r="F27" s="35" t="s">
        <v>102</v>
      </c>
      <c r="G27" s="14" t="str">
        <f t="shared" si="0"/>
        <v>C</v>
      </c>
      <c r="H27" s="15" t="str">
        <f t="shared" si="1"/>
        <v>The Commissioner &amp; Chief Constable are satisfied the spend represents VFM in accordance with the requirements of Category C</v>
      </c>
      <c r="I27" s="16"/>
      <c r="J27" s="16"/>
    </row>
    <row r="28" spans="1:10" x14ac:dyDescent="0.2">
      <c r="A28" s="10" t="s">
        <v>8</v>
      </c>
      <c r="B28" s="11" t="s">
        <v>9</v>
      </c>
      <c r="C28" s="35" t="s">
        <v>415</v>
      </c>
      <c r="D28" s="37">
        <v>45342</v>
      </c>
      <c r="E28" s="36">
        <v>50350</v>
      </c>
      <c r="F28" s="35" t="s">
        <v>590</v>
      </c>
      <c r="G28" s="14" t="str">
        <f t="shared" si="0"/>
        <v>C</v>
      </c>
      <c r="H28" s="15" t="str">
        <f t="shared" si="1"/>
        <v>The Commissioner &amp; Chief Constable are satisfied the spend represents VFM in accordance with the requirements of Category C</v>
      </c>
      <c r="I28" s="16"/>
      <c r="J28" s="16"/>
    </row>
    <row r="29" spans="1:10" x14ac:dyDescent="0.2">
      <c r="A29" s="10" t="s">
        <v>8</v>
      </c>
      <c r="B29" s="11" t="s">
        <v>9</v>
      </c>
      <c r="C29" s="35" t="s">
        <v>14</v>
      </c>
      <c r="D29" s="37">
        <v>45344</v>
      </c>
      <c r="E29" s="36">
        <v>49750</v>
      </c>
      <c r="F29" s="35" t="s">
        <v>218</v>
      </c>
      <c r="G29" s="14" t="str">
        <f t="shared" si="0"/>
        <v>C</v>
      </c>
      <c r="H29" s="15" t="str">
        <f t="shared" si="1"/>
        <v>The Commissioner &amp; Chief Constable are satisfied the spend represents VFM in accordance with the requirements of Category C</v>
      </c>
      <c r="I29" s="16"/>
      <c r="J29" s="16"/>
    </row>
    <row r="30" spans="1:10" x14ac:dyDescent="0.2">
      <c r="A30" s="10" t="s">
        <v>8</v>
      </c>
      <c r="B30" s="11" t="s">
        <v>9</v>
      </c>
      <c r="C30" s="35" t="s">
        <v>588</v>
      </c>
      <c r="D30" s="37">
        <v>45328</v>
      </c>
      <c r="E30" s="36">
        <v>47402.51</v>
      </c>
      <c r="F30" s="35" t="s">
        <v>62</v>
      </c>
      <c r="G30" s="14" t="str">
        <f t="shared" si="0"/>
        <v>C</v>
      </c>
      <c r="H30" s="15" t="str">
        <f t="shared" si="1"/>
        <v>The Commissioner &amp; Chief Constable are satisfied the spend represents VFM in accordance with the requirements of Category C</v>
      </c>
      <c r="I30" s="16"/>
      <c r="J30" s="16"/>
    </row>
    <row r="31" spans="1:10" x14ac:dyDescent="0.2">
      <c r="A31" s="10" t="s">
        <v>8</v>
      </c>
      <c r="B31" s="11" t="s">
        <v>9</v>
      </c>
      <c r="C31" s="35" t="s">
        <v>588</v>
      </c>
      <c r="D31" s="37">
        <v>45328</v>
      </c>
      <c r="E31" s="39">
        <v>55</v>
      </c>
      <c r="F31" s="38" t="s">
        <v>63</v>
      </c>
      <c r="G31" s="14" t="str">
        <f t="shared" si="0"/>
        <v>A</v>
      </c>
      <c r="H31" s="15" t="str">
        <f t="shared" si="1"/>
        <v>The Commissioner &amp; Chief Constable are satisfied the spend represents VFM in accordance with the requirements of Category A</v>
      </c>
      <c r="I31" s="16"/>
      <c r="J31" s="16"/>
    </row>
    <row r="32" spans="1:10" x14ac:dyDescent="0.2">
      <c r="A32" s="10" t="s">
        <v>8</v>
      </c>
      <c r="B32" s="11" t="s">
        <v>9</v>
      </c>
      <c r="C32" s="35" t="s">
        <v>588</v>
      </c>
      <c r="D32" s="37">
        <v>45328</v>
      </c>
      <c r="E32" s="36">
        <v>47402.51</v>
      </c>
      <c r="F32" s="35" t="s">
        <v>62</v>
      </c>
      <c r="G32" s="14" t="str">
        <f t="shared" si="0"/>
        <v>C</v>
      </c>
      <c r="H32" s="15" t="str">
        <f t="shared" si="1"/>
        <v>The Commissioner &amp; Chief Constable are satisfied the spend represents VFM in accordance with the requirements of Category C</v>
      </c>
      <c r="I32" s="16"/>
      <c r="J32" s="16"/>
    </row>
    <row r="33" spans="1:10" x14ac:dyDescent="0.2">
      <c r="A33" s="10" t="s">
        <v>8</v>
      </c>
      <c r="B33" s="11" t="s">
        <v>9</v>
      </c>
      <c r="C33" s="35" t="s">
        <v>588</v>
      </c>
      <c r="D33" s="37">
        <v>45328</v>
      </c>
      <c r="E33" s="39">
        <v>55</v>
      </c>
      <c r="F33" s="38" t="s">
        <v>63</v>
      </c>
      <c r="G33" s="14" t="str">
        <f t="shared" si="0"/>
        <v>A</v>
      </c>
      <c r="H33" s="15" t="str">
        <f t="shared" si="1"/>
        <v>The Commissioner &amp; Chief Constable are satisfied the spend represents VFM in accordance with the requirements of Category A</v>
      </c>
      <c r="I33" s="16"/>
      <c r="J33" s="16"/>
    </row>
    <row r="34" spans="1:10" x14ac:dyDescent="0.2">
      <c r="A34" s="10" t="s">
        <v>8</v>
      </c>
      <c r="B34" s="11" t="s">
        <v>9</v>
      </c>
      <c r="C34" s="35" t="s">
        <v>117</v>
      </c>
      <c r="D34" s="37">
        <v>45349</v>
      </c>
      <c r="E34" s="36">
        <v>45997.31</v>
      </c>
      <c r="F34" s="35" t="s">
        <v>84</v>
      </c>
      <c r="G34" s="14" t="str">
        <f t="shared" si="0"/>
        <v>C</v>
      </c>
      <c r="H34" s="15" t="str">
        <f t="shared" si="1"/>
        <v>The Commissioner &amp; Chief Constable are satisfied the spend represents VFM in accordance with the requirements of Category C</v>
      </c>
      <c r="I34" s="16"/>
      <c r="J34" s="16"/>
    </row>
    <row r="35" spans="1:10" x14ac:dyDescent="0.2">
      <c r="A35" s="10" t="s">
        <v>8</v>
      </c>
      <c r="B35" s="11" t="s">
        <v>9</v>
      </c>
      <c r="C35" s="40" t="s">
        <v>109</v>
      </c>
      <c r="D35" s="37">
        <v>45334</v>
      </c>
      <c r="E35" s="36">
        <v>33851</v>
      </c>
      <c r="F35" s="35" t="s">
        <v>27</v>
      </c>
      <c r="G35" s="14" t="str">
        <f t="shared" si="0"/>
        <v>C</v>
      </c>
      <c r="H35" s="15" t="str">
        <f t="shared" si="1"/>
        <v>The Commissioner &amp; Chief Constable are satisfied the spend represents VFM in accordance with the requirements of Category C</v>
      </c>
      <c r="I35" s="16"/>
      <c r="J35" s="16"/>
    </row>
    <row r="36" spans="1:10" x14ac:dyDescent="0.2">
      <c r="A36" s="10" t="s">
        <v>8</v>
      </c>
      <c r="B36" s="11" t="s">
        <v>9</v>
      </c>
      <c r="C36" s="35" t="s">
        <v>448</v>
      </c>
      <c r="D36" s="37">
        <v>45343</v>
      </c>
      <c r="E36" s="36">
        <v>33733.75</v>
      </c>
      <c r="F36" s="35" t="s">
        <v>27</v>
      </c>
      <c r="G36" s="14" t="str">
        <f t="shared" si="0"/>
        <v>C</v>
      </c>
      <c r="H36" s="15" t="str">
        <f t="shared" si="1"/>
        <v>The Commissioner &amp; Chief Constable are satisfied the spend represents VFM in accordance with the requirements of Category C</v>
      </c>
      <c r="I36" s="16"/>
      <c r="J36" s="16"/>
    </row>
    <row r="37" spans="1:10" x14ac:dyDescent="0.2">
      <c r="A37" s="10" t="s">
        <v>8</v>
      </c>
      <c r="B37" s="11" t="s">
        <v>9</v>
      </c>
      <c r="C37" s="35" t="s">
        <v>448</v>
      </c>
      <c r="D37" s="37">
        <v>45335</v>
      </c>
      <c r="E37" s="36">
        <v>33733.75</v>
      </c>
      <c r="F37" s="35" t="s">
        <v>27</v>
      </c>
      <c r="G37" s="14" t="str">
        <f t="shared" si="0"/>
        <v>C</v>
      </c>
      <c r="H37" s="15" t="str">
        <f t="shared" si="1"/>
        <v>The Commissioner &amp; Chief Constable are satisfied the spend represents VFM in accordance with the requirements of Category C</v>
      </c>
      <c r="I37" s="16"/>
      <c r="J37" s="16"/>
    </row>
    <row r="38" spans="1:10" x14ac:dyDescent="0.2">
      <c r="A38" s="10" t="s">
        <v>8</v>
      </c>
      <c r="B38" s="11" t="s">
        <v>9</v>
      </c>
      <c r="C38" s="35" t="s">
        <v>589</v>
      </c>
      <c r="D38" s="37">
        <v>45331</v>
      </c>
      <c r="E38" s="36">
        <v>32732.94</v>
      </c>
      <c r="F38" s="35" t="s">
        <v>62</v>
      </c>
      <c r="G38" s="14" t="str">
        <f t="shared" si="0"/>
        <v>C</v>
      </c>
      <c r="H38" s="15" t="str">
        <f t="shared" si="1"/>
        <v>The Commissioner &amp; Chief Constable are satisfied the spend represents VFM in accordance with the requirements of Category C</v>
      </c>
      <c r="I38" s="16"/>
      <c r="J38" s="16"/>
    </row>
    <row r="39" spans="1:10" x14ac:dyDescent="0.2">
      <c r="A39" s="10" t="s">
        <v>8</v>
      </c>
      <c r="B39" s="11" t="s">
        <v>9</v>
      </c>
      <c r="C39" s="35" t="s">
        <v>589</v>
      </c>
      <c r="D39" s="37">
        <v>45331</v>
      </c>
      <c r="E39" s="39">
        <v>55</v>
      </c>
      <c r="F39" s="38" t="s">
        <v>63</v>
      </c>
      <c r="G39" s="14" t="str">
        <f t="shared" si="0"/>
        <v>A</v>
      </c>
      <c r="H39" s="15" t="str">
        <f t="shared" si="1"/>
        <v>The Commissioner &amp; Chief Constable are satisfied the spend represents VFM in accordance with the requirements of Category A</v>
      </c>
      <c r="I39" s="16"/>
      <c r="J39" s="16"/>
    </row>
    <row r="40" spans="1:10" x14ac:dyDescent="0.2">
      <c r="A40" s="10" t="s">
        <v>8</v>
      </c>
      <c r="B40" s="11" t="s">
        <v>9</v>
      </c>
      <c r="C40" s="35" t="s">
        <v>589</v>
      </c>
      <c r="D40" s="37">
        <v>45331</v>
      </c>
      <c r="E40" s="36">
        <v>32732.94</v>
      </c>
      <c r="F40" s="35" t="s">
        <v>62</v>
      </c>
      <c r="G40" s="14" t="str">
        <f t="shared" si="0"/>
        <v>C</v>
      </c>
      <c r="H40" s="15" t="str">
        <f t="shared" si="1"/>
        <v>The Commissioner &amp; Chief Constable are satisfied the spend represents VFM in accordance with the requirements of Category C</v>
      </c>
      <c r="I40" s="16"/>
      <c r="J40" s="16"/>
    </row>
    <row r="41" spans="1:10" x14ac:dyDescent="0.2">
      <c r="A41" s="10" t="s">
        <v>8</v>
      </c>
      <c r="B41" s="11" t="s">
        <v>9</v>
      </c>
      <c r="C41" s="35" t="s">
        <v>589</v>
      </c>
      <c r="D41" s="37">
        <v>45331</v>
      </c>
      <c r="E41" s="39">
        <v>55</v>
      </c>
      <c r="F41" s="38" t="s">
        <v>63</v>
      </c>
      <c r="G41" s="14" t="str">
        <f t="shared" si="0"/>
        <v>A</v>
      </c>
      <c r="H41" s="15" t="str">
        <f t="shared" si="1"/>
        <v>The Commissioner &amp; Chief Constable are satisfied the spend represents VFM in accordance with the requirements of Category A</v>
      </c>
      <c r="I41" s="16"/>
      <c r="J41" s="16"/>
    </row>
    <row r="42" spans="1:10" x14ac:dyDescent="0.2">
      <c r="A42" s="10" t="s">
        <v>8</v>
      </c>
      <c r="B42" s="11" t="s">
        <v>9</v>
      </c>
      <c r="C42" s="35" t="s">
        <v>589</v>
      </c>
      <c r="D42" s="37">
        <v>45331</v>
      </c>
      <c r="E42" s="36">
        <v>32732.94</v>
      </c>
      <c r="F42" s="35" t="s">
        <v>62</v>
      </c>
      <c r="G42" s="14" t="str">
        <f t="shared" si="0"/>
        <v>C</v>
      </c>
      <c r="H42" s="15" t="str">
        <f t="shared" si="1"/>
        <v>The Commissioner &amp; Chief Constable are satisfied the spend represents VFM in accordance with the requirements of Category C</v>
      </c>
      <c r="I42" s="16"/>
      <c r="J42" s="16"/>
    </row>
    <row r="43" spans="1:10" x14ac:dyDescent="0.2">
      <c r="A43" s="10" t="s">
        <v>8</v>
      </c>
      <c r="B43" s="11" t="s">
        <v>9</v>
      </c>
      <c r="C43" s="35" t="s">
        <v>589</v>
      </c>
      <c r="D43" s="37">
        <v>45331</v>
      </c>
      <c r="E43" s="39">
        <v>55</v>
      </c>
      <c r="F43" s="38" t="s">
        <v>63</v>
      </c>
      <c r="G43" s="14" t="str">
        <f t="shared" si="0"/>
        <v>A</v>
      </c>
      <c r="H43" s="15" t="str">
        <f t="shared" si="1"/>
        <v>The Commissioner &amp; Chief Constable are satisfied the spend represents VFM in accordance with the requirements of Category A</v>
      </c>
      <c r="I43" s="16"/>
      <c r="J43" s="16"/>
    </row>
    <row r="44" spans="1:10" x14ac:dyDescent="0.2">
      <c r="A44" s="10" t="s">
        <v>8</v>
      </c>
      <c r="B44" s="11" t="s">
        <v>9</v>
      </c>
      <c r="C44" s="35" t="s">
        <v>589</v>
      </c>
      <c r="D44" s="37">
        <v>45331</v>
      </c>
      <c r="E44" s="36">
        <v>32732.94</v>
      </c>
      <c r="F44" s="35" t="s">
        <v>62</v>
      </c>
      <c r="G44" s="14" t="str">
        <f t="shared" si="0"/>
        <v>C</v>
      </c>
      <c r="H44" s="15" t="str">
        <f t="shared" si="1"/>
        <v>The Commissioner &amp; Chief Constable are satisfied the spend represents VFM in accordance with the requirements of Category C</v>
      </c>
      <c r="I44" s="16"/>
      <c r="J44" s="16"/>
    </row>
    <row r="45" spans="1:10" x14ac:dyDescent="0.2">
      <c r="A45" s="10" t="s">
        <v>8</v>
      </c>
      <c r="B45" s="11" t="s">
        <v>9</v>
      </c>
      <c r="C45" s="35" t="s">
        <v>589</v>
      </c>
      <c r="D45" s="37">
        <v>45331</v>
      </c>
      <c r="E45" s="39">
        <v>55</v>
      </c>
      <c r="F45" s="38" t="s">
        <v>63</v>
      </c>
      <c r="G45" s="14" t="str">
        <f t="shared" si="0"/>
        <v>A</v>
      </c>
      <c r="H45" s="15" t="str">
        <f t="shared" si="1"/>
        <v>The Commissioner &amp; Chief Constable are satisfied the spend represents VFM in accordance with the requirements of Category A</v>
      </c>
      <c r="I45" s="16"/>
      <c r="J45" s="16"/>
    </row>
    <row r="46" spans="1:10" x14ac:dyDescent="0.2">
      <c r="A46" s="10" t="s">
        <v>8</v>
      </c>
      <c r="B46" s="11" t="s">
        <v>9</v>
      </c>
      <c r="C46" s="35" t="s">
        <v>589</v>
      </c>
      <c r="D46" s="37">
        <v>45331</v>
      </c>
      <c r="E46" s="36">
        <v>32732.94</v>
      </c>
      <c r="F46" s="35" t="s">
        <v>62</v>
      </c>
      <c r="G46" s="14" t="str">
        <f t="shared" si="0"/>
        <v>C</v>
      </c>
      <c r="H46" s="15" t="str">
        <f t="shared" si="1"/>
        <v>The Commissioner &amp; Chief Constable are satisfied the spend represents VFM in accordance with the requirements of Category C</v>
      </c>
      <c r="I46" s="16"/>
      <c r="J46" s="16"/>
    </row>
    <row r="47" spans="1:10" x14ac:dyDescent="0.2">
      <c r="A47" s="10" t="s">
        <v>8</v>
      </c>
      <c r="B47" s="11" t="s">
        <v>9</v>
      </c>
      <c r="C47" s="35" t="s">
        <v>589</v>
      </c>
      <c r="D47" s="37">
        <v>45331</v>
      </c>
      <c r="E47" s="39">
        <v>55</v>
      </c>
      <c r="F47" s="38" t="s">
        <v>63</v>
      </c>
      <c r="G47" s="14" t="str">
        <f t="shared" si="0"/>
        <v>A</v>
      </c>
      <c r="H47" s="15" t="str">
        <f t="shared" si="1"/>
        <v>The Commissioner &amp; Chief Constable are satisfied the spend represents VFM in accordance with the requirements of Category A</v>
      </c>
      <c r="I47" s="16"/>
      <c r="J47" s="16"/>
    </row>
    <row r="48" spans="1:10" x14ac:dyDescent="0.2">
      <c r="A48" s="10" t="s">
        <v>8</v>
      </c>
      <c r="B48" s="11" t="s">
        <v>9</v>
      </c>
      <c r="C48" s="35" t="s">
        <v>589</v>
      </c>
      <c r="D48" s="37">
        <v>45351</v>
      </c>
      <c r="E48" s="36">
        <v>32732.94</v>
      </c>
      <c r="F48" s="35" t="s">
        <v>62</v>
      </c>
      <c r="G48" s="14" t="str">
        <f t="shared" si="0"/>
        <v>C</v>
      </c>
      <c r="H48" s="15" t="str">
        <f t="shared" si="1"/>
        <v>The Commissioner &amp; Chief Constable are satisfied the spend represents VFM in accordance with the requirements of Category C</v>
      </c>
      <c r="I48" s="16"/>
      <c r="J48" s="16"/>
    </row>
    <row r="49" spans="1:10" x14ac:dyDescent="0.2">
      <c r="A49" s="10" t="s">
        <v>8</v>
      </c>
      <c r="B49" s="11" t="s">
        <v>9</v>
      </c>
      <c r="C49" s="35" t="s">
        <v>589</v>
      </c>
      <c r="D49" s="37">
        <v>45351</v>
      </c>
      <c r="E49" s="39">
        <v>55</v>
      </c>
      <c r="F49" s="38" t="s">
        <v>63</v>
      </c>
      <c r="G49" s="14" t="str">
        <f t="shared" si="0"/>
        <v>A</v>
      </c>
      <c r="H49" s="15" t="str">
        <f t="shared" si="1"/>
        <v>The Commissioner &amp; Chief Constable are satisfied the spend represents VFM in accordance with the requirements of Category A</v>
      </c>
      <c r="I49" s="16"/>
      <c r="J49" s="16"/>
    </row>
    <row r="50" spans="1:10" x14ac:dyDescent="0.2">
      <c r="A50" s="10" t="s">
        <v>8</v>
      </c>
      <c r="B50" s="11" t="s">
        <v>9</v>
      </c>
      <c r="C50" s="35" t="s">
        <v>589</v>
      </c>
      <c r="D50" s="37">
        <v>45334</v>
      </c>
      <c r="E50" s="36">
        <v>32732.94</v>
      </c>
      <c r="F50" s="35" t="s">
        <v>62</v>
      </c>
      <c r="G50" s="14" t="str">
        <f t="shared" si="0"/>
        <v>C</v>
      </c>
      <c r="H50" s="15" t="str">
        <f t="shared" si="1"/>
        <v>The Commissioner &amp; Chief Constable are satisfied the spend represents VFM in accordance with the requirements of Category C</v>
      </c>
      <c r="I50" s="16"/>
      <c r="J50" s="16"/>
    </row>
    <row r="51" spans="1:10" x14ac:dyDescent="0.2">
      <c r="A51" s="10" t="s">
        <v>8</v>
      </c>
      <c r="B51" s="11" t="s">
        <v>9</v>
      </c>
      <c r="C51" s="35" t="s">
        <v>589</v>
      </c>
      <c r="D51" s="37">
        <v>45334</v>
      </c>
      <c r="E51" s="39">
        <v>55</v>
      </c>
      <c r="F51" s="38" t="s">
        <v>63</v>
      </c>
      <c r="G51" s="14" t="str">
        <f t="shared" si="0"/>
        <v>A</v>
      </c>
      <c r="H51" s="15" t="str">
        <f t="shared" si="1"/>
        <v>The Commissioner &amp; Chief Constable are satisfied the spend represents VFM in accordance with the requirements of Category A</v>
      </c>
      <c r="I51" s="16"/>
      <c r="J51" s="16"/>
    </row>
    <row r="52" spans="1:10" x14ac:dyDescent="0.2">
      <c r="A52" s="10" t="s">
        <v>8</v>
      </c>
      <c r="B52" s="11" t="s">
        <v>9</v>
      </c>
      <c r="C52" s="35" t="s">
        <v>589</v>
      </c>
      <c r="D52" s="37">
        <v>45331</v>
      </c>
      <c r="E52" s="36">
        <v>32732.94</v>
      </c>
      <c r="F52" s="35" t="s">
        <v>62</v>
      </c>
      <c r="G52" s="14" t="str">
        <f t="shared" si="0"/>
        <v>C</v>
      </c>
      <c r="H52" s="15" t="str">
        <f t="shared" si="1"/>
        <v>The Commissioner &amp; Chief Constable are satisfied the spend represents VFM in accordance with the requirements of Category C</v>
      </c>
      <c r="I52" s="16"/>
      <c r="J52" s="16"/>
    </row>
    <row r="53" spans="1:10" x14ac:dyDescent="0.2">
      <c r="A53" s="10" t="s">
        <v>8</v>
      </c>
      <c r="B53" s="11" t="s">
        <v>9</v>
      </c>
      <c r="C53" s="35" t="s">
        <v>589</v>
      </c>
      <c r="D53" s="37">
        <v>45331</v>
      </c>
      <c r="E53" s="39">
        <v>55</v>
      </c>
      <c r="F53" s="38" t="s">
        <v>63</v>
      </c>
      <c r="G53" s="14" t="str">
        <f t="shared" si="0"/>
        <v>A</v>
      </c>
      <c r="H53" s="15" t="str">
        <f t="shared" si="1"/>
        <v>The Commissioner &amp; Chief Constable are satisfied the spend represents VFM in accordance with the requirements of Category A</v>
      </c>
      <c r="I53" s="16"/>
      <c r="J53" s="16"/>
    </row>
    <row r="54" spans="1:10" x14ac:dyDescent="0.2">
      <c r="A54" s="10" t="s">
        <v>8</v>
      </c>
      <c r="B54" s="11" t="s">
        <v>9</v>
      </c>
      <c r="C54" s="35" t="s">
        <v>589</v>
      </c>
      <c r="D54" s="37">
        <v>45334</v>
      </c>
      <c r="E54" s="36">
        <v>32732.94</v>
      </c>
      <c r="F54" s="35" t="s">
        <v>62</v>
      </c>
      <c r="G54" s="14" t="str">
        <f t="shared" si="0"/>
        <v>C</v>
      </c>
      <c r="H54" s="15" t="str">
        <f t="shared" si="1"/>
        <v>The Commissioner &amp; Chief Constable are satisfied the spend represents VFM in accordance with the requirements of Category C</v>
      </c>
      <c r="I54" s="16"/>
      <c r="J54" s="16"/>
    </row>
    <row r="55" spans="1:10" x14ac:dyDescent="0.2">
      <c r="A55" s="10" t="s">
        <v>8</v>
      </c>
      <c r="B55" s="11" t="s">
        <v>9</v>
      </c>
      <c r="C55" s="35" t="s">
        <v>589</v>
      </c>
      <c r="D55" s="37">
        <v>45334</v>
      </c>
      <c r="E55" s="39">
        <v>55</v>
      </c>
      <c r="F55" s="38" t="s">
        <v>63</v>
      </c>
      <c r="G55" s="14" t="str">
        <f t="shared" si="0"/>
        <v>A</v>
      </c>
      <c r="H55" s="15" t="str">
        <f t="shared" si="1"/>
        <v>The Commissioner &amp; Chief Constable are satisfied the spend represents VFM in accordance with the requirements of Category A</v>
      </c>
      <c r="I55" s="16"/>
      <c r="J55" s="16"/>
    </row>
    <row r="56" spans="1:10" x14ac:dyDescent="0.2">
      <c r="A56" s="10" t="s">
        <v>8</v>
      </c>
      <c r="B56" s="11" t="s">
        <v>9</v>
      </c>
      <c r="C56" s="35" t="s">
        <v>589</v>
      </c>
      <c r="D56" s="37">
        <v>45331</v>
      </c>
      <c r="E56" s="36">
        <v>32732.94</v>
      </c>
      <c r="F56" s="35" t="s">
        <v>62</v>
      </c>
      <c r="G56" s="14" t="str">
        <f t="shared" si="0"/>
        <v>C</v>
      </c>
      <c r="H56" s="15" t="str">
        <f t="shared" si="1"/>
        <v>The Commissioner &amp; Chief Constable are satisfied the spend represents VFM in accordance with the requirements of Category C</v>
      </c>
      <c r="I56" s="16"/>
      <c r="J56" s="16"/>
    </row>
    <row r="57" spans="1:10" x14ac:dyDescent="0.2">
      <c r="A57" s="10" t="s">
        <v>8</v>
      </c>
      <c r="B57" s="11" t="s">
        <v>9</v>
      </c>
      <c r="C57" s="35" t="s">
        <v>589</v>
      </c>
      <c r="D57" s="37">
        <v>45331</v>
      </c>
      <c r="E57" s="39">
        <v>55</v>
      </c>
      <c r="F57" s="38" t="s">
        <v>63</v>
      </c>
      <c r="G57" s="14" t="str">
        <f t="shared" si="0"/>
        <v>A</v>
      </c>
      <c r="H57" s="15" t="str">
        <f t="shared" si="1"/>
        <v>The Commissioner &amp; Chief Constable are satisfied the spend represents VFM in accordance with the requirements of Category A</v>
      </c>
      <c r="I57" s="16"/>
      <c r="J57" s="16"/>
    </row>
    <row r="58" spans="1:10" x14ac:dyDescent="0.2">
      <c r="A58" s="10" t="s">
        <v>8</v>
      </c>
      <c r="B58" s="11" t="s">
        <v>9</v>
      </c>
      <c r="C58" s="35" t="s">
        <v>85</v>
      </c>
      <c r="D58" s="37">
        <v>45327</v>
      </c>
      <c r="E58" s="36">
        <v>31392.25</v>
      </c>
      <c r="F58" s="35" t="s">
        <v>27</v>
      </c>
      <c r="G58" s="14" t="str">
        <f t="shared" si="0"/>
        <v>C</v>
      </c>
      <c r="H58" s="15" t="str">
        <f t="shared" si="1"/>
        <v>The Commissioner &amp; Chief Constable are satisfied the spend represents VFM in accordance with the requirements of Category C</v>
      </c>
      <c r="I58" s="16"/>
      <c r="J58" s="16"/>
    </row>
    <row r="59" spans="1:10" x14ac:dyDescent="0.2">
      <c r="A59" s="10" t="s">
        <v>8</v>
      </c>
      <c r="B59" s="11" t="s">
        <v>9</v>
      </c>
      <c r="C59" s="35" t="s">
        <v>79</v>
      </c>
      <c r="D59" s="37">
        <v>45329</v>
      </c>
      <c r="E59" s="36">
        <v>30290.42</v>
      </c>
      <c r="F59" s="35" t="s">
        <v>80</v>
      </c>
      <c r="G59" s="14" t="str">
        <f t="shared" si="0"/>
        <v>C</v>
      </c>
      <c r="H59" s="15" t="str">
        <f t="shared" si="1"/>
        <v>The Commissioner &amp; Chief Constable are satisfied the spend represents VFM in accordance with the requirements of Category C</v>
      </c>
      <c r="I59" s="16"/>
      <c r="J59" s="16"/>
    </row>
    <row r="60" spans="1:10" x14ac:dyDescent="0.2">
      <c r="A60" s="10" t="s">
        <v>8</v>
      </c>
      <c r="B60" s="11" t="s">
        <v>9</v>
      </c>
      <c r="C60" s="35" t="s">
        <v>50</v>
      </c>
      <c r="D60" s="37">
        <v>45334</v>
      </c>
      <c r="E60" s="36">
        <v>28633.25</v>
      </c>
      <c r="F60" s="35" t="s">
        <v>36</v>
      </c>
      <c r="G60" s="14" t="str">
        <f t="shared" si="0"/>
        <v>C</v>
      </c>
      <c r="H60" s="15" t="str">
        <f t="shared" si="1"/>
        <v>The Commissioner &amp; Chief Constable are satisfied the spend represents VFM in accordance with the requirements of Category C</v>
      </c>
      <c r="I60" s="16"/>
      <c r="J60" s="16"/>
    </row>
    <row r="61" spans="1:10" x14ac:dyDescent="0.2">
      <c r="A61" s="10" t="s">
        <v>8</v>
      </c>
      <c r="B61" s="11" t="s">
        <v>9</v>
      </c>
      <c r="C61" s="35" t="s">
        <v>588</v>
      </c>
      <c r="D61" s="37">
        <v>45328</v>
      </c>
      <c r="E61" s="36">
        <v>28347.64</v>
      </c>
      <c r="F61" s="35" t="s">
        <v>62</v>
      </c>
      <c r="G61" s="14" t="str">
        <f t="shared" si="0"/>
        <v>C</v>
      </c>
      <c r="H61" s="15" t="str">
        <f t="shared" si="1"/>
        <v>The Commissioner &amp; Chief Constable are satisfied the spend represents VFM in accordance with the requirements of Category C</v>
      </c>
      <c r="I61" s="16"/>
      <c r="J61" s="16"/>
    </row>
    <row r="62" spans="1:10" x14ac:dyDescent="0.2">
      <c r="A62" s="10" t="s">
        <v>8</v>
      </c>
      <c r="B62" s="11" t="s">
        <v>9</v>
      </c>
      <c r="C62" s="35" t="s">
        <v>588</v>
      </c>
      <c r="D62" s="37">
        <v>45328</v>
      </c>
      <c r="E62" s="39">
        <v>55</v>
      </c>
      <c r="F62" s="38" t="s">
        <v>63</v>
      </c>
      <c r="G62" s="14" t="str">
        <f t="shared" si="0"/>
        <v>A</v>
      </c>
      <c r="H62" s="15" t="str">
        <f t="shared" si="1"/>
        <v>The Commissioner &amp; Chief Constable are satisfied the spend represents VFM in accordance with the requirements of Category A</v>
      </c>
      <c r="I62" s="16"/>
      <c r="J62" s="16"/>
    </row>
    <row r="63" spans="1:10" x14ac:dyDescent="0.2">
      <c r="A63" s="10" t="s">
        <v>8</v>
      </c>
      <c r="B63" s="11" t="s">
        <v>9</v>
      </c>
      <c r="C63" s="40" t="s">
        <v>587</v>
      </c>
      <c r="D63" s="37">
        <v>45327</v>
      </c>
      <c r="E63" s="36">
        <v>27753</v>
      </c>
      <c r="F63" s="35" t="s">
        <v>49</v>
      </c>
      <c r="G63" s="14" t="str">
        <f t="shared" si="0"/>
        <v>C</v>
      </c>
      <c r="H63" s="15" t="str">
        <f t="shared" si="1"/>
        <v>The Commissioner &amp; Chief Constable are satisfied the spend represents VFM in accordance with the requirements of Category C</v>
      </c>
      <c r="I63" s="16"/>
      <c r="J63" s="16"/>
    </row>
    <row r="64" spans="1:10" x14ac:dyDescent="0.2">
      <c r="A64" s="10" t="s">
        <v>8</v>
      </c>
      <c r="B64" s="11" t="s">
        <v>9</v>
      </c>
      <c r="C64" s="35" t="s">
        <v>86</v>
      </c>
      <c r="D64" s="37">
        <v>45324</v>
      </c>
      <c r="E64" s="36">
        <v>27046.309999999998</v>
      </c>
      <c r="F64" s="35" t="s">
        <v>87</v>
      </c>
      <c r="G64" s="14" t="str">
        <f t="shared" si="0"/>
        <v>C</v>
      </c>
      <c r="H64" s="15" t="str">
        <f t="shared" si="1"/>
        <v>The Commissioner &amp; Chief Constable are satisfied the spend represents VFM in accordance with the requirements of Category C</v>
      </c>
      <c r="I64" s="16"/>
      <c r="J64" s="16"/>
    </row>
    <row r="65" spans="1:10" x14ac:dyDescent="0.2">
      <c r="A65" s="10" t="s">
        <v>8</v>
      </c>
      <c r="B65" s="11" t="s">
        <v>9</v>
      </c>
      <c r="C65" s="35" t="s">
        <v>72</v>
      </c>
      <c r="D65" s="37">
        <v>45348</v>
      </c>
      <c r="E65" s="36">
        <v>26981.13</v>
      </c>
      <c r="F65" s="35" t="s">
        <v>27</v>
      </c>
      <c r="G65" s="14" t="str">
        <f t="shared" si="0"/>
        <v>C</v>
      </c>
      <c r="H65" s="15" t="str">
        <f t="shared" si="1"/>
        <v>The Commissioner &amp; Chief Constable are satisfied the spend represents VFM in accordance with the requirements of Category C</v>
      </c>
      <c r="I65" s="16"/>
      <c r="J65" s="16"/>
    </row>
    <row r="66" spans="1:10" x14ac:dyDescent="0.2">
      <c r="A66" s="10" t="s">
        <v>8</v>
      </c>
      <c r="B66" s="11" t="s">
        <v>9</v>
      </c>
      <c r="C66" s="35" t="s">
        <v>586</v>
      </c>
      <c r="D66" s="37">
        <v>45331</v>
      </c>
      <c r="E66" s="36">
        <v>25393.88</v>
      </c>
      <c r="F66" s="35" t="s">
        <v>62</v>
      </c>
      <c r="G66" s="14" t="str">
        <f t="shared" ref="G66:G129" si="2">IF(E66&gt;25000,"C",IF(E66&gt;1000,"B","A"))</f>
        <v>C</v>
      </c>
      <c r="H66" s="15" t="str">
        <f t="shared" ref="H66:H129" si="3">VLOOKUP(G66,$K$2:$L$4,2,FALSE)</f>
        <v>The Commissioner &amp; Chief Constable are satisfied the spend represents VFM in accordance with the requirements of Category C</v>
      </c>
      <c r="I66" s="16"/>
      <c r="J66" s="16"/>
    </row>
    <row r="67" spans="1:10" x14ac:dyDescent="0.2">
      <c r="A67" s="10" t="s">
        <v>8</v>
      </c>
      <c r="B67" s="11" t="s">
        <v>9</v>
      </c>
      <c r="C67" s="35" t="s">
        <v>586</v>
      </c>
      <c r="D67" s="37">
        <v>45331</v>
      </c>
      <c r="E67" s="39">
        <v>55</v>
      </c>
      <c r="F67" s="38" t="s">
        <v>63</v>
      </c>
      <c r="G67" s="14" t="str">
        <f t="shared" si="2"/>
        <v>A</v>
      </c>
      <c r="H67" s="15" t="str">
        <f t="shared" si="3"/>
        <v>The Commissioner &amp; Chief Constable are satisfied the spend represents VFM in accordance with the requirements of Category A</v>
      </c>
      <c r="I67" s="16"/>
      <c r="J67" s="16"/>
    </row>
    <row r="68" spans="1:10" x14ac:dyDescent="0.2">
      <c r="A68" s="10" t="s">
        <v>8</v>
      </c>
      <c r="B68" s="11" t="s">
        <v>9</v>
      </c>
      <c r="C68" s="35" t="s">
        <v>197</v>
      </c>
      <c r="D68" s="37">
        <v>45350</v>
      </c>
      <c r="E68" s="36">
        <v>25431.59</v>
      </c>
      <c r="F68" s="35" t="s">
        <v>131</v>
      </c>
      <c r="G68" s="14" t="str">
        <f t="shared" si="2"/>
        <v>C</v>
      </c>
      <c r="H68" s="15" t="str">
        <f t="shared" si="3"/>
        <v>The Commissioner &amp; Chief Constable are satisfied the spend represents VFM in accordance with the requirements of Category C</v>
      </c>
      <c r="I68" s="16"/>
      <c r="J68" s="16"/>
    </row>
    <row r="69" spans="1:10" x14ac:dyDescent="0.2">
      <c r="A69" s="10" t="s">
        <v>8</v>
      </c>
      <c r="B69" s="11" t="s">
        <v>9</v>
      </c>
      <c r="C69" s="40" t="s">
        <v>26</v>
      </c>
      <c r="D69" s="37">
        <v>45327</v>
      </c>
      <c r="E69" s="36">
        <v>25000</v>
      </c>
      <c r="F69" s="35" t="s">
        <v>27</v>
      </c>
      <c r="G69" s="14" t="str">
        <f t="shared" si="2"/>
        <v>B</v>
      </c>
      <c r="H69" s="15" t="str">
        <f t="shared" si="3"/>
        <v>The Commissioner &amp; Chief Constable are satisfied the spend represents VFM in accordance with the requirements of Category B</v>
      </c>
      <c r="I69" s="16"/>
      <c r="J69" s="16"/>
    </row>
    <row r="70" spans="1:10" x14ac:dyDescent="0.2">
      <c r="A70" s="10" t="s">
        <v>8</v>
      </c>
      <c r="B70" s="11" t="s">
        <v>9</v>
      </c>
      <c r="C70" s="40" t="s">
        <v>61</v>
      </c>
      <c r="D70" s="37">
        <v>45337</v>
      </c>
      <c r="E70" s="36">
        <v>23885.63</v>
      </c>
      <c r="F70" s="35" t="s">
        <v>62</v>
      </c>
      <c r="G70" s="14" t="str">
        <f t="shared" si="2"/>
        <v>B</v>
      </c>
      <c r="H70" s="15" t="str">
        <f t="shared" si="3"/>
        <v>The Commissioner &amp; Chief Constable are satisfied the spend represents VFM in accordance with the requirements of Category B</v>
      </c>
      <c r="I70" s="16"/>
      <c r="J70" s="16"/>
    </row>
    <row r="71" spans="1:10" x14ac:dyDescent="0.2">
      <c r="A71" s="10" t="s">
        <v>8</v>
      </c>
      <c r="B71" s="11" t="s">
        <v>9</v>
      </c>
      <c r="C71" s="35" t="s">
        <v>61</v>
      </c>
      <c r="D71" s="37">
        <v>45337</v>
      </c>
      <c r="E71" s="39">
        <v>55</v>
      </c>
      <c r="F71" s="38" t="s">
        <v>63</v>
      </c>
      <c r="G71" s="14" t="str">
        <f t="shared" si="2"/>
        <v>A</v>
      </c>
      <c r="H71" s="15" t="str">
        <f t="shared" si="3"/>
        <v>The Commissioner &amp; Chief Constable are satisfied the spend represents VFM in accordance with the requirements of Category A</v>
      </c>
      <c r="I71" s="16"/>
      <c r="J71" s="16"/>
    </row>
    <row r="72" spans="1:10" x14ac:dyDescent="0.2">
      <c r="A72" s="10" t="s">
        <v>8</v>
      </c>
      <c r="B72" s="11" t="s">
        <v>9</v>
      </c>
      <c r="C72" s="40" t="s">
        <v>78</v>
      </c>
      <c r="D72" s="37">
        <v>45337</v>
      </c>
      <c r="E72" s="36">
        <v>23885.63</v>
      </c>
      <c r="F72" s="35" t="s">
        <v>62</v>
      </c>
      <c r="G72" s="14" t="str">
        <f t="shared" si="2"/>
        <v>B</v>
      </c>
      <c r="H72" s="15" t="str">
        <f t="shared" si="3"/>
        <v>The Commissioner &amp; Chief Constable are satisfied the spend represents VFM in accordance with the requirements of Category B</v>
      </c>
      <c r="I72" s="16"/>
      <c r="J72" s="16"/>
    </row>
    <row r="73" spans="1:10" x14ac:dyDescent="0.2">
      <c r="A73" s="10" t="s">
        <v>8</v>
      </c>
      <c r="B73" s="11" t="s">
        <v>9</v>
      </c>
      <c r="C73" s="40" t="s">
        <v>78</v>
      </c>
      <c r="D73" s="37">
        <v>45337</v>
      </c>
      <c r="E73" s="39">
        <v>55</v>
      </c>
      <c r="F73" s="38" t="s">
        <v>63</v>
      </c>
      <c r="G73" s="14" t="str">
        <f t="shared" si="2"/>
        <v>A</v>
      </c>
      <c r="H73" s="15" t="str">
        <f t="shared" si="3"/>
        <v>The Commissioner &amp; Chief Constable are satisfied the spend represents VFM in accordance with the requirements of Category A</v>
      </c>
      <c r="I73" s="16"/>
      <c r="J73" s="16"/>
    </row>
    <row r="74" spans="1:10" x14ac:dyDescent="0.2">
      <c r="A74" s="10" t="s">
        <v>8</v>
      </c>
      <c r="B74" s="11" t="s">
        <v>9</v>
      </c>
      <c r="C74" s="35" t="s">
        <v>61</v>
      </c>
      <c r="D74" s="37">
        <v>45337</v>
      </c>
      <c r="E74" s="36">
        <v>23885.63</v>
      </c>
      <c r="F74" s="35" t="s">
        <v>62</v>
      </c>
      <c r="G74" s="14" t="str">
        <f t="shared" si="2"/>
        <v>B</v>
      </c>
      <c r="H74" s="15" t="str">
        <f t="shared" si="3"/>
        <v>The Commissioner &amp; Chief Constable are satisfied the spend represents VFM in accordance with the requirements of Category B</v>
      </c>
      <c r="I74" s="16"/>
      <c r="J74" s="16"/>
    </row>
    <row r="75" spans="1:10" x14ac:dyDescent="0.2">
      <c r="A75" s="10" t="s">
        <v>8</v>
      </c>
      <c r="B75" s="11" t="s">
        <v>9</v>
      </c>
      <c r="C75" s="40" t="s">
        <v>61</v>
      </c>
      <c r="D75" s="37">
        <v>45337</v>
      </c>
      <c r="E75" s="39">
        <v>55</v>
      </c>
      <c r="F75" s="38" t="s">
        <v>63</v>
      </c>
      <c r="G75" s="14" t="str">
        <f t="shared" si="2"/>
        <v>A</v>
      </c>
      <c r="H75" s="15" t="str">
        <f t="shared" si="3"/>
        <v>The Commissioner &amp; Chief Constable are satisfied the spend represents VFM in accordance with the requirements of Category A</v>
      </c>
      <c r="I75" s="16"/>
      <c r="J75" s="16"/>
    </row>
    <row r="76" spans="1:10" x14ac:dyDescent="0.2">
      <c r="A76" s="10" t="s">
        <v>8</v>
      </c>
      <c r="B76" s="11" t="s">
        <v>9</v>
      </c>
      <c r="C76" s="40" t="s">
        <v>78</v>
      </c>
      <c r="D76" s="37">
        <v>45337</v>
      </c>
      <c r="E76" s="36">
        <v>23885.63</v>
      </c>
      <c r="F76" s="35" t="s">
        <v>62</v>
      </c>
      <c r="G76" s="14" t="str">
        <f t="shared" si="2"/>
        <v>B</v>
      </c>
      <c r="H76" s="15" t="str">
        <f t="shared" si="3"/>
        <v>The Commissioner &amp; Chief Constable are satisfied the spend represents VFM in accordance with the requirements of Category B</v>
      </c>
      <c r="I76" s="16"/>
      <c r="J76" s="16"/>
    </row>
    <row r="77" spans="1:10" x14ac:dyDescent="0.2">
      <c r="A77" s="10" t="s">
        <v>8</v>
      </c>
      <c r="B77" s="11" t="s">
        <v>9</v>
      </c>
      <c r="C77" s="35" t="s">
        <v>78</v>
      </c>
      <c r="D77" s="37">
        <v>45337</v>
      </c>
      <c r="E77" s="39">
        <v>55</v>
      </c>
      <c r="F77" s="38" t="s">
        <v>63</v>
      </c>
      <c r="G77" s="14" t="str">
        <f t="shared" si="2"/>
        <v>A</v>
      </c>
      <c r="H77" s="15" t="str">
        <f t="shared" si="3"/>
        <v>The Commissioner &amp; Chief Constable are satisfied the spend represents VFM in accordance with the requirements of Category A</v>
      </c>
      <c r="I77" s="16"/>
      <c r="J77" s="16"/>
    </row>
    <row r="78" spans="1:10" x14ac:dyDescent="0.2">
      <c r="A78" s="10" t="s">
        <v>8</v>
      </c>
      <c r="B78" s="11" t="s">
        <v>9</v>
      </c>
      <c r="C78" s="40" t="s">
        <v>78</v>
      </c>
      <c r="D78" s="37">
        <v>45337</v>
      </c>
      <c r="E78" s="36">
        <v>23885.63</v>
      </c>
      <c r="F78" s="35" t="s">
        <v>62</v>
      </c>
      <c r="G78" s="14" t="str">
        <f t="shared" si="2"/>
        <v>B</v>
      </c>
      <c r="H78" s="15" t="str">
        <f t="shared" si="3"/>
        <v>The Commissioner &amp; Chief Constable are satisfied the spend represents VFM in accordance with the requirements of Category B</v>
      </c>
      <c r="I78" s="16"/>
      <c r="J78" s="16"/>
    </row>
    <row r="79" spans="1:10" x14ac:dyDescent="0.2">
      <c r="A79" s="10" t="s">
        <v>8</v>
      </c>
      <c r="B79" s="11" t="s">
        <v>9</v>
      </c>
      <c r="C79" s="40" t="s">
        <v>78</v>
      </c>
      <c r="D79" s="37">
        <v>45337</v>
      </c>
      <c r="E79" s="39">
        <v>55</v>
      </c>
      <c r="F79" s="38" t="s">
        <v>63</v>
      </c>
      <c r="G79" s="14" t="str">
        <f t="shared" si="2"/>
        <v>A</v>
      </c>
      <c r="H79" s="15" t="str">
        <f t="shared" si="3"/>
        <v>The Commissioner &amp; Chief Constable are satisfied the spend represents VFM in accordance with the requirements of Category A</v>
      </c>
      <c r="I79" s="16"/>
      <c r="J79" s="16"/>
    </row>
    <row r="80" spans="1:10" x14ac:dyDescent="0.2">
      <c r="A80" s="10" t="s">
        <v>8</v>
      </c>
      <c r="B80" s="11" t="s">
        <v>9</v>
      </c>
      <c r="C80" s="35" t="s">
        <v>74</v>
      </c>
      <c r="D80" s="37">
        <v>45344</v>
      </c>
      <c r="E80" s="36">
        <v>23483.08</v>
      </c>
      <c r="F80" s="35" t="s">
        <v>15</v>
      </c>
      <c r="G80" s="14" t="str">
        <f t="shared" si="2"/>
        <v>B</v>
      </c>
      <c r="H80" s="15" t="str">
        <f t="shared" si="3"/>
        <v>The Commissioner &amp; Chief Constable are satisfied the spend represents VFM in accordance with the requirements of Category B</v>
      </c>
      <c r="I80" s="16"/>
      <c r="J80" s="16"/>
    </row>
    <row r="81" spans="1:10" x14ac:dyDescent="0.2">
      <c r="A81" s="10" t="s">
        <v>8</v>
      </c>
      <c r="B81" s="11" t="s">
        <v>9</v>
      </c>
      <c r="C81" s="40" t="s">
        <v>558</v>
      </c>
      <c r="D81" s="37">
        <v>45341</v>
      </c>
      <c r="E81" s="36">
        <v>22616</v>
      </c>
      <c r="F81" s="35" t="s">
        <v>94</v>
      </c>
      <c r="G81" s="14" t="str">
        <f t="shared" si="2"/>
        <v>B</v>
      </c>
      <c r="H81" s="15" t="str">
        <f t="shared" si="3"/>
        <v>The Commissioner &amp; Chief Constable are satisfied the spend represents VFM in accordance with the requirements of Category B</v>
      </c>
      <c r="I81" s="16"/>
      <c r="J81" s="16"/>
    </row>
    <row r="82" spans="1:10" x14ac:dyDescent="0.2">
      <c r="A82" s="10" t="s">
        <v>8</v>
      </c>
      <c r="B82" s="11" t="s">
        <v>9</v>
      </c>
      <c r="C82" s="40" t="s">
        <v>44</v>
      </c>
      <c r="D82" s="37">
        <v>45327</v>
      </c>
      <c r="E82" s="36">
        <v>2072</v>
      </c>
      <c r="F82" s="35" t="s">
        <v>45</v>
      </c>
      <c r="G82" s="14" t="str">
        <f t="shared" si="2"/>
        <v>B</v>
      </c>
      <c r="H82" s="15" t="str">
        <f t="shared" si="3"/>
        <v>The Commissioner &amp; Chief Constable are satisfied the spend represents VFM in accordance with the requirements of Category B</v>
      </c>
      <c r="I82" s="16"/>
      <c r="J82" s="16"/>
    </row>
    <row r="83" spans="1:10" x14ac:dyDescent="0.2">
      <c r="A83" s="10" t="s">
        <v>8</v>
      </c>
      <c r="B83" s="11" t="s">
        <v>9</v>
      </c>
      <c r="C83" s="35" t="s">
        <v>44</v>
      </c>
      <c r="D83" s="37">
        <v>45327</v>
      </c>
      <c r="E83" s="39">
        <v>13897</v>
      </c>
      <c r="F83" s="38" t="s">
        <v>81</v>
      </c>
      <c r="G83" s="14" t="str">
        <f t="shared" si="2"/>
        <v>B</v>
      </c>
      <c r="H83" s="15" t="str">
        <f t="shared" si="3"/>
        <v>The Commissioner &amp; Chief Constable are satisfied the spend represents VFM in accordance with the requirements of Category B</v>
      </c>
      <c r="I83" s="16"/>
      <c r="J83" s="16"/>
    </row>
    <row r="84" spans="1:10" x14ac:dyDescent="0.2">
      <c r="A84" s="10" t="s">
        <v>8</v>
      </c>
      <c r="B84" s="11" t="s">
        <v>9</v>
      </c>
      <c r="C84" s="40" t="s">
        <v>44</v>
      </c>
      <c r="D84" s="37">
        <v>45327</v>
      </c>
      <c r="E84" s="39">
        <v>6344</v>
      </c>
      <c r="F84" s="38" t="s">
        <v>82</v>
      </c>
      <c r="G84" s="14" t="str">
        <f t="shared" si="2"/>
        <v>B</v>
      </c>
      <c r="H84" s="15" t="str">
        <f t="shared" si="3"/>
        <v>The Commissioner &amp; Chief Constable are satisfied the spend represents VFM in accordance with the requirements of Category B</v>
      </c>
      <c r="I84" s="16"/>
      <c r="J84" s="16"/>
    </row>
    <row r="85" spans="1:10" x14ac:dyDescent="0.2">
      <c r="A85" s="10" t="s">
        <v>8</v>
      </c>
      <c r="B85" s="11" t="s">
        <v>9</v>
      </c>
      <c r="C85" s="40" t="s">
        <v>585</v>
      </c>
      <c r="D85" s="37">
        <v>45323</v>
      </c>
      <c r="E85" s="36">
        <v>22076.19</v>
      </c>
      <c r="F85" s="35" t="s">
        <v>62</v>
      </c>
      <c r="G85" s="14" t="str">
        <f t="shared" si="2"/>
        <v>B</v>
      </c>
      <c r="H85" s="15" t="str">
        <f t="shared" si="3"/>
        <v>The Commissioner &amp; Chief Constable are satisfied the spend represents VFM in accordance with the requirements of Category B</v>
      </c>
      <c r="I85" s="16"/>
      <c r="J85" s="16"/>
    </row>
    <row r="86" spans="1:10" x14ac:dyDescent="0.2">
      <c r="A86" s="10" t="s">
        <v>8</v>
      </c>
      <c r="B86" s="11" t="s">
        <v>9</v>
      </c>
      <c r="C86" s="35" t="s">
        <v>585</v>
      </c>
      <c r="D86" s="37">
        <v>45323</v>
      </c>
      <c r="E86" s="39">
        <v>55</v>
      </c>
      <c r="F86" s="38" t="s">
        <v>63</v>
      </c>
      <c r="G86" s="14" t="str">
        <f t="shared" si="2"/>
        <v>A</v>
      </c>
      <c r="H86" s="15" t="str">
        <f t="shared" si="3"/>
        <v>The Commissioner &amp; Chief Constable are satisfied the spend represents VFM in accordance with the requirements of Category A</v>
      </c>
      <c r="I86" s="16"/>
      <c r="J86" s="16"/>
    </row>
    <row r="87" spans="1:10" x14ac:dyDescent="0.2">
      <c r="A87" s="10" t="s">
        <v>8</v>
      </c>
      <c r="B87" s="11" t="s">
        <v>9</v>
      </c>
      <c r="C87" s="40" t="s">
        <v>585</v>
      </c>
      <c r="D87" s="37">
        <v>45323</v>
      </c>
      <c r="E87" s="36">
        <v>22076.19</v>
      </c>
      <c r="F87" s="35" t="s">
        <v>62</v>
      </c>
      <c r="G87" s="14" t="str">
        <f t="shared" si="2"/>
        <v>B</v>
      </c>
      <c r="H87" s="15" t="str">
        <f t="shared" si="3"/>
        <v>The Commissioner &amp; Chief Constable are satisfied the spend represents VFM in accordance with the requirements of Category B</v>
      </c>
      <c r="I87" s="16"/>
      <c r="J87" s="16"/>
    </row>
    <row r="88" spans="1:10" x14ac:dyDescent="0.2">
      <c r="A88" s="10" t="s">
        <v>8</v>
      </c>
      <c r="B88" s="11" t="s">
        <v>9</v>
      </c>
      <c r="C88" s="40" t="s">
        <v>585</v>
      </c>
      <c r="D88" s="37">
        <v>45323</v>
      </c>
      <c r="E88" s="39">
        <v>55</v>
      </c>
      <c r="F88" s="38" t="s">
        <v>63</v>
      </c>
      <c r="G88" s="14" t="str">
        <f t="shared" si="2"/>
        <v>A</v>
      </c>
      <c r="H88" s="15" t="str">
        <f t="shared" si="3"/>
        <v>The Commissioner &amp; Chief Constable are satisfied the spend represents VFM in accordance with the requirements of Category A</v>
      </c>
      <c r="I88" s="16"/>
      <c r="J88" s="16"/>
    </row>
    <row r="89" spans="1:10" x14ac:dyDescent="0.2">
      <c r="A89" s="10" t="s">
        <v>8</v>
      </c>
      <c r="B89" s="11" t="s">
        <v>9</v>
      </c>
      <c r="C89" s="35" t="s">
        <v>267</v>
      </c>
      <c r="D89" s="37">
        <v>45337</v>
      </c>
      <c r="E89" s="36">
        <v>21684.01</v>
      </c>
      <c r="F89" s="35" t="s">
        <v>58</v>
      </c>
      <c r="G89" s="14" t="str">
        <f t="shared" si="2"/>
        <v>B</v>
      </c>
      <c r="H89" s="15" t="str">
        <f t="shared" si="3"/>
        <v>The Commissioner &amp; Chief Constable are satisfied the spend represents VFM in accordance with the requirements of Category B</v>
      </c>
      <c r="I89" s="16"/>
      <c r="J89" s="16"/>
    </row>
    <row r="90" spans="1:10" x14ac:dyDescent="0.2">
      <c r="A90" s="10" t="s">
        <v>8</v>
      </c>
      <c r="B90" s="11" t="s">
        <v>9</v>
      </c>
      <c r="C90" s="40" t="s">
        <v>536</v>
      </c>
      <c r="D90" s="37">
        <v>45343</v>
      </c>
      <c r="E90" s="36">
        <v>21577</v>
      </c>
      <c r="F90" s="35" t="s">
        <v>319</v>
      </c>
      <c r="G90" s="14" t="str">
        <f t="shared" si="2"/>
        <v>B</v>
      </c>
      <c r="H90" s="15" t="str">
        <f t="shared" si="3"/>
        <v>The Commissioner &amp; Chief Constable are satisfied the spend represents VFM in accordance with the requirements of Category B</v>
      </c>
      <c r="I90" s="16"/>
      <c r="J90" s="16"/>
    </row>
    <row r="91" spans="1:10" x14ac:dyDescent="0.2">
      <c r="A91" s="10" t="s">
        <v>8</v>
      </c>
      <c r="B91" s="11" t="s">
        <v>9</v>
      </c>
      <c r="C91" s="40" t="s">
        <v>584</v>
      </c>
      <c r="D91" s="37">
        <v>45334</v>
      </c>
      <c r="E91" s="36">
        <v>21562.27</v>
      </c>
      <c r="F91" s="35" t="s">
        <v>58</v>
      </c>
      <c r="G91" s="14" t="str">
        <f t="shared" si="2"/>
        <v>B</v>
      </c>
      <c r="H91" s="15" t="str">
        <f t="shared" si="3"/>
        <v>The Commissioner &amp; Chief Constable are satisfied the spend represents VFM in accordance with the requirements of Category B</v>
      </c>
      <c r="I91" s="16"/>
      <c r="J91" s="16"/>
    </row>
    <row r="92" spans="1:10" x14ac:dyDescent="0.2">
      <c r="A92" s="10" t="s">
        <v>8</v>
      </c>
      <c r="B92" s="11" t="s">
        <v>9</v>
      </c>
      <c r="C92" s="35" t="s">
        <v>26</v>
      </c>
      <c r="D92" s="37">
        <v>45343</v>
      </c>
      <c r="E92" s="36">
        <v>21140.41</v>
      </c>
      <c r="F92" s="35" t="s">
        <v>88</v>
      </c>
      <c r="G92" s="14" t="str">
        <f t="shared" si="2"/>
        <v>B</v>
      </c>
      <c r="H92" s="15" t="str">
        <f t="shared" si="3"/>
        <v>The Commissioner &amp; Chief Constable are satisfied the spend represents VFM in accordance with the requirements of Category B</v>
      </c>
      <c r="I92" s="16"/>
      <c r="J92" s="16"/>
    </row>
    <row r="93" spans="1:10" x14ac:dyDescent="0.2">
      <c r="A93" s="10" t="s">
        <v>8</v>
      </c>
      <c r="B93" s="11" t="s">
        <v>9</v>
      </c>
      <c r="C93" s="40" t="s">
        <v>52</v>
      </c>
      <c r="D93" s="37">
        <v>45327</v>
      </c>
      <c r="E93" s="36">
        <v>3539</v>
      </c>
      <c r="F93" s="35" t="s">
        <v>45</v>
      </c>
      <c r="G93" s="14" t="str">
        <f t="shared" si="2"/>
        <v>B</v>
      </c>
      <c r="H93" s="15" t="str">
        <f t="shared" si="3"/>
        <v>The Commissioner &amp; Chief Constable are satisfied the spend represents VFM in accordance with the requirements of Category B</v>
      </c>
      <c r="I93" s="16"/>
      <c r="J93" s="16"/>
    </row>
    <row r="94" spans="1:10" x14ac:dyDescent="0.2">
      <c r="A94" s="10" t="s">
        <v>8</v>
      </c>
      <c r="B94" s="11" t="s">
        <v>9</v>
      </c>
      <c r="C94" s="40" t="s">
        <v>52</v>
      </c>
      <c r="D94" s="37">
        <v>45327</v>
      </c>
      <c r="E94" s="39">
        <v>11786</v>
      </c>
      <c r="F94" s="38" t="s">
        <v>81</v>
      </c>
      <c r="G94" s="14" t="str">
        <f t="shared" si="2"/>
        <v>B</v>
      </c>
      <c r="H94" s="15" t="str">
        <f t="shared" si="3"/>
        <v>The Commissioner &amp; Chief Constable are satisfied the spend represents VFM in accordance with the requirements of Category B</v>
      </c>
      <c r="I94" s="16"/>
      <c r="J94" s="16"/>
    </row>
    <row r="95" spans="1:10" x14ac:dyDescent="0.2">
      <c r="A95" s="10" t="s">
        <v>8</v>
      </c>
      <c r="B95" s="11" t="s">
        <v>9</v>
      </c>
      <c r="C95" s="35" t="s">
        <v>52</v>
      </c>
      <c r="D95" s="37">
        <v>45327</v>
      </c>
      <c r="E95" s="39">
        <v>4748</v>
      </c>
      <c r="F95" s="38" t="s">
        <v>82</v>
      </c>
      <c r="G95" s="14" t="str">
        <f t="shared" si="2"/>
        <v>B</v>
      </c>
      <c r="H95" s="15" t="str">
        <f t="shared" si="3"/>
        <v>The Commissioner &amp; Chief Constable are satisfied the spend represents VFM in accordance with the requirements of Category B</v>
      </c>
      <c r="I95" s="16"/>
      <c r="J95" s="16"/>
    </row>
    <row r="96" spans="1:10" x14ac:dyDescent="0.2">
      <c r="A96" s="10" t="s">
        <v>8</v>
      </c>
      <c r="B96" s="11" t="s">
        <v>9</v>
      </c>
      <c r="C96" s="40" t="s">
        <v>583</v>
      </c>
      <c r="D96" s="37">
        <v>45338</v>
      </c>
      <c r="E96" s="36">
        <v>20000</v>
      </c>
      <c r="F96" s="35" t="s">
        <v>27</v>
      </c>
      <c r="G96" s="14" t="str">
        <f t="shared" si="2"/>
        <v>B</v>
      </c>
      <c r="H96" s="15" t="str">
        <f t="shared" si="3"/>
        <v>The Commissioner &amp; Chief Constable are satisfied the spend represents VFM in accordance with the requirements of Category B</v>
      </c>
      <c r="I96" s="16"/>
      <c r="J96" s="16"/>
    </row>
    <row r="97" spans="1:10" x14ac:dyDescent="0.2">
      <c r="A97" s="10" t="s">
        <v>8</v>
      </c>
      <c r="B97" s="11" t="s">
        <v>9</v>
      </c>
      <c r="C97" s="40" t="s">
        <v>26</v>
      </c>
      <c r="D97" s="37">
        <v>45343</v>
      </c>
      <c r="E97" s="36">
        <v>18484.93</v>
      </c>
      <c r="F97" s="35" t="s">
        <v>88</v>
      </c>
      <c r="G97" s="14" t="str">
        <f t="shared" si="2"/>
        <v>B</v>
      </c>
      <c r="H97" s="15" t="str">
        <f t="shared" si="3"/>
        <v>The Commissioner &amp; Chief Constable are satisfied the spend represents VFM in accordance with the requirements of Category B</v>
      </c>
      <c r="I97" s="16"/>
      <c r="J97" s="16"/>
    </row>
    <row r="98" spans="1:10" x14ac:dyDescent="0.2">
      <c r="A98" s="10" t="s">
        <v>8</v>
      </c>
      <c r="B98" s="11" t="s">
        <v>9</v>
      </c>
      <c r="C98" s="35" t="s">
        <v>107</v>
      </c>
      <c r="D98" s="37">
        <v>45329</v>
      </c>
      <c r="E98" s="36">
        <v>17595.86</v>
      </c>
      <c r="F98" s="35" t="s">
        <v>108</v>
      </c>
      <c r="G98" s="14" t="str">
        <f t="shared" si="2"/>
        <v>B</v>
      </c>
      <c r="H98" s="15" t="str">
        <f t="shared" si="3"/>
        <v>The Commissioner &amp; Chief Constable are satisfied the spend represents VFM in accordance with the requirements of Category B</v>
      </c>
      <c r="I98" s="16"/>
      <c r="J98" s="16"/>
    </row>
    <row r="99" spans="1:10" x14ac:dyDescent="0.2">
      <c r="A99" s="10" t="s">
        <v>8</v>
      </c>
      <c r="B99" s="11" t="s">
        <v>9</v>
      </c>
      <c r="C99" s="40" t="s">
        <v>26</v>
      </c>
      <c r="D99" s="37">
        <v>45335</v>
      </c>
      <c r="E99" s="36">
        <v>17505.71</v>
      </c>
      <c r="F99" s="35" t="s">
        <v>76</v>
      </c>
      <c r="G99" s="14" t="str">
        <f t="shared" si="2"/>
        <v>B</v>
      </c>
      <c r="H99" s="15" t="str">
        <f t="shared" si="3"/>
        <v>The Commissioner &amp; Chief Constable are satisfied the spend represents VFM in accordance with the requirements of Category B</v>
      </c>
      <c r="I99" s="16"/>
      <c r="J99" s="16"/>
    </row>
    <row r="100" spans="1:10" x14ac:dyDescent="0.2">
      <c r="A100" s="10" t="s">
        <v>8</v>
      </c>
      <c r="B100" s="11" t="s">
        <v>9</v>
      </c>
      <c r="C100" s="40" t="s">
        <v>163</v>
      </c>
      <c r="D100" s="37">
        <v>45327</v>
      </c>
      <c r="E100" s="36">
        <v>17460</v>
      </c>
      <c r="F100" s="35" t="s">
        <v>45</v>
      </c>
      <c r="G100" s="14" t="str">
        <f t="shared" si="2"/>
        <v>B</v>
      </c>
      <c r="H100" s="15" t="str">
        <f t="shared" si="3"/>
        <v>The Commissioner &amp; Chief Constable are satisfied the spend represents VFM in accordance with the requirements of Category B</v>
      </c>
      <c r="I100" s="16"/>
      <c r="J100" s="16"/>
    </row>
    <row r="101" spans="1:10" x14ac:dyDescent="0.2">
      <c r="A101" s="10" t="s">
        <v>8</v>
      </c>
      <c r="B101" s="11" t="s">
        <v>9</v>
      </c>
      <c r="C101" s="35" t="s">
        <v>100</v>
      </c>
      <c r="D101" s="37">
        <v>45337</v>
      </c>
      <c r="E101" s="36">
        <v>17363.27</v>
      </c>
      <c r="F101" s="35" t="s">
        <v>38</v>
      </c>
      <c r="G101" s="14" t="str">
        <f t="shared" si="2"/>
        <v>B</v>
      </c>
      <c r="H101" s="15" t="str">
        <f t="shared" si="3"/>
        <v>The Commissioner &amp; Chief Constable are satisfied the spend represents VFM in accordance with the requirements of Category B</v>
      </c>
      <c r="I101" s="16"/>
      <c r="J101" s="16"/>
    </row>
    <row r="102" spans="1:10" x14ac:dyDescent="0.2">
      <c r="A102" s="10" t="s">
        <v>8</v>
      </c>
      <c r="B102" s="11" t="s">
        <v>9</v>
      </c>
      <c r="C102" s="40" t="s">
        <v>26</v>
      </c>
      <c r="D102" s="37">
        <v>45331</v>
      </c>
      <c r="E102" s="36">
        <v>17102.39</v>
      </c>
      <c r="F102" s="35" t="s">
        <v>76</v>
      </c>
      <c r="G102" s="14" t="str">
        <f t="shared" si="2"/>
        <v>B</v>
      </c>
      <c r="H102" s="15" t="str">
        <f t="shared" si="3"/>
        <v>The Commissioner &amp; Chief Constable are satisfied the spend represents VFM in accordance with the requirements of Category B</v>
      </c>
      <c r="I102" s="16"/>
      <c r="J102" s="16"/>
    </row>
    <row r="103" spans="1:10" x14ac:dyDescent="0.2">
      <c r="A103" s="10" t="s">
        <v>8</v>
      </c>
      <c r="B103" s="11" t="s">
        <v>9</v>
      </c>
      <c r="C103" s="40" t="s">
        <v>115</v>
      </c>
      <c r="D103" s="37">
        <v>45343</v>
      </c>
      <c r="E103" s="36">
        <v>15416.86</v>
      </c>
      <c r="F103" s="35" t="s">
        <v>116</v>
      </c>
      <c r="G103" s="14" t="str">
        <f t="shared" si="2"/>
        <v>B</v>
      </c>
      <c r="H103" s="15" t="str">
        <f t="shared" si="3"/>
        <v>The Commissioner &amp; Chief Constable are satisfied the spend represents VFM in accordance with the requirements of Category B</v>
      </c>
      <c r="I103" s="16"/>
      <c r="J103" s="16"/>
    </row>
    <row r="104" spans="1:10" x14ac:dyDescent="0.2">
      <c r="A104" s="10" t="s">
        <v>8</v>
      </c>
      <c r="B104" s="11" t="s">
        <v>9</v>
      </c>
      <c r="C104" s="40" t="s">
        <v>26</v>
      </c>
      <c r="D104" s="37">
        <v>45343</v>
      </c>
      <c r="E104" s="36">
        <v>15341.769999999999</v>
      </c>
      <c r="F104" s="35" t="s">
        <v>76</v>
      </c>
      <c r="G104" s="14" t="str">
        <f t="shared" si="2"/>
        <v>B</v>
      </c>
      <c r="H104" s="15" t="str">
        <f t="shared" si="3"/>
        <v>The Commissioner &amp; Chief Constable are satisfied the spend represents VFM in accordance with the requirements of Category B</v>
      </c>
      <c r="I104" s="16"/>
      <c r="J104" s="16"/>
    </row>
    <row r="105" spans="1:10" x14ac:dyDescent="0.2">
      <c r="A105" s="10" t="s">
        <v>8</v>
      </c>
      <c r="B105" s="11" t="s">
        <v>9</v>
      </c>
      <c r="C105" s="35" t="s">
        <v>499</v>
      </c>
      <c r="D105" s="37">
        <v>45338</v>
      </c>
      <c r="E105" s="36">
        <v>15000</v>
      </c>
      <c r="F105" s="35" t="s">
        <v>27</v>
      </c>
      <c r="G105" s="14" t="str">
        <f t="shared" si="2"/>
        <v>B</v>
      </c>
      <c r="H105" s="15" t="str">
        <f t="shared" si="3"/>
        <v>The Commissioner &amp; Chief Constable are satisfied the spend represents VFM in accordance with the requirements of Category B</v>
      </c>
      <c r="I105" s="16"/>
      <c r="J105" s="16"/>
    </row>
    <row r="106" spans="1:10" x14ac:dyDescent="0.2">
      <c r="A106" s="10" t="s">
        <v>8</v>
      </c>
      <c r="B106" s="11" t="s">
        <v>9</v>
      </c>
      <c r="C106" s="35" t="s">
        <v>26</v>
      </c>
      <c r="D106" s="37">
        <v>45336</v>
      </c>
      <c r="E106" s="36">
        <v>14202.529999999999</v>
      </c>
      <c r="F106" s="35" t="s">
        <v>76</v>
      </c>
      <c r="G106" s="14" t="str">
        <f t="shared" si="2"/>
        <v>B</v>
      </c>
      <c r="H106" s="15" t="str">
        <f t="shared" si="3"/>
        <v>The Commissioner &amp; Chief Constable are satisfied the spend represents VFM in accordance with the requirements of Category B</v>
      </c>
      <c r="I106" s="16"/>
      <c r="J106" s="16"/>
    </row>
    <row r="107" spans="1:10" x14ac:dyDescent="0.2">
      <c r="A107" s="10" t="s">
        <v>8</v>
      </c>
      <c r="B107" s="11" t="s">
        <v>9</v>
      </c>
      <c r="C107" s="35" t="s">
        <v>137</v>
      </c>
      <c r="D107" s="37">
        <v>45334</v>
      </c>
      <c r="E107" s="36">
        <v>13829.79</v>
      </c>
      <c r="F107" s="35" t="s">
        <v>138</v>
      </c>
      <c r="G107" s="14" t="str">
        <f t="shared" si="2"/>
        <v>B</v>
      </c>
      <c r="H107" s="15" t="str">
        <f t="shared" si="3"/>
        <v>The Commissioner &amp; Chief Constable are satisfied the spend represents VFM in accordance with the requirements of Category B</v>
      </c>
      <c r="I107" s="16"/>
      <c r="J107" s="16"/>
    </row>
    <row r="108" spans="1:10" x14ac:dyDescent="0.2">
      <c r="A108" s="10" t="s">
        <v>8</v>
      </c>
      <c r="B108" s="11" t="s">
        <v>9</v>
      </c>
      <c r="C108" s="35" t="s">
        <v>99</v>
      </c>
      <c r="D108" s="37">
        <v>45337</v>
      </c>
      <c r="E108" s="36">
        <v>13756.6</v>
      </c>
      <c r="F108" s="35" t="s">
        <v>94</v>
      </c>
      <c r="G108" s="14" t="str">
        <f t="shared" si="2"/>
        <v>B</v>
      </c>
      <c r="H108" s="15" t="str">
        <f t="shared" si="3"/>
        <v>The Commissioner &amp; Chief Constable are satisfied the spend represents VFM in accordance with the requirements of Category B</v>
      </c>
      <c r="I108" s="16"/>
      <c r="J108" s="16"/>
    </row>
    <row r="109" spans="1:10" x14ac:dyDescent="0.2">
      <c r="A109" s="10" t="s">
        <v>8</v>
      </c>
      <c r="B109" s="11" t="s">
        <v>9</v>
      </c>
      <c r="C109" s="35" t="s">
        <v>26</v>
      </c>
      <c r="D109" s="37">
        <v>45348</v>
      </c>
      <c r="E109" s="36">
        <v>13687.73</v>
      </c>
      <c r="F109" s="35" t="s">
        <v>88</v>
      </c>
      <c r="G109" s="14" t="str">
        <f t="shared" si="2"/>
        <v>B</v>
      </c>
      <c r="H109" s="15" t="str">
        <f t="shared" si="3"/>
        <v>The Commissioner &amp; Chief Constable are satisfied the spend represents VFM in accordance with the requirements of Category B</v>
      </c>
      <c r="I109" s="16"/>
      <c r="J109" s="16"/>
    </row>
    <row r="110" spans="1:10" x14ac:dyDescent="0.2">
      <c r="A110" s="10" t="s">
        <v>8</v>
      </c>
      <c r="B110" s="11" t="s">
        <v>9</v>
      </c>
      <c r="C110" s="40" t="s">
        <v>582</v>
      </c>
      <c r="D110" s="37">
        <v>45334</v>
      </c>
      <c r="E110" s="36">
        <v>13500</v>
      </c>
      <c r="F110" s="35" t="s">
        <v>106</v>
      </c>
      <c r="G110" s="14" t="str">
        <f t="shared" si="2"/>
        <v>B</v>
      </c>
      <c r="H110" s="15" t="str">
        <f t="shared" si="3"/>
        <v>The Commissioner &amp; Chief Constable are satisfied the spend represents VFM in accordance with the requirements of Category B</v>
      </c>
      <c r="I110" s="16"/>
      <c r="J110" s="16"/>
    </row>
    <row r="111" spans="1:10" x14ac:dyDescent="0.2">
      <c r="A111" s="10" t="s">
        <v>8</v>
      </c>
      <c r="B111" s="11" t="s">
        <v>9</v>
      </c>
      <c r="C111" s="35" t="s">
        <v>266</v>
      </c>
      <c r="D111" s="37">
        <v>45337</v>
      </c>
      <c r="E111" s="36">
        <v>13357.17</v>
      </c>
      <c r="F111" s="35" t="s">
        <v>84</v>
      </c>
      <c r="G111" s="14" t="str">
        <f t="shared" si="2"/>
        <v>B</v>
      </c>
      <c r="H111" s="15" t="str">
        <f t="shared" si="3"/>
        <v>The Commissioner &amp; Chief Constable are satisfied the spend represents VFM in accordance with the requirements of Category B</v>
      </c>
      <c r="I111" s="16"/>
      <c r="J111" s="16"/>
    </row>
    <row r="112" spans="1:10" x14ac:dyDescent="0.2">
      <c r="A112" s="10" t="s">
        <v>8</v>
      </c>
      <c r="B112" s="11" t="s">
        <v>9</v>
      </c>
      <c r="C112" s="35" t="s">
        <v>419</v>
      </c>
      <c r="D112" s="37">
        <v>45345</v>
      </c>
      <c r="E112" s="36">
        <v>13207</v>
      </c>
      <c r="F112" s="35" t="s">
        <v>22</v>
      </c>
      <c r="G112" s="14" t="str">
        <f t="shared" si="2"/>
        <v>B</v>
      </c>
      <c r="H112" s="15" t="str">
        <f t="shared" si="3"/>
        <v>The Commissioner &amp; Chief Constable are satisfied the spend represents VFM in accordance with the requirements of Category B</v>
      </c>
      <c r="I112" s="16"/>
      <c r="J112" s="16"/>
    </row>
    <row r="113" spans="1:10" x14ac:dyDescent="0.2">
      <c r="A113" s="10" t="s">
        <v>8</v>
      </c>
      <c r="B113" s="11" t="s">
        <v>9</v>
      </c>
      <c r="C113" s="35" t="s">
        <v>581</v>
      </c>
      <c r="D113" s="37">
        <v>45341</v>
      </c>
      <c r="E113" s="36">
        <v>12953.25</v>
      </c>
      <c r="F113" s="35" t="s">
        <v>259</v>
      </c>
      <c r="G113" s="14" t="str">
        <f t="shared" si="2"/>
        <v>B</v>
      </c>
      <c r="H113" s="15" t="str">
        <f t="shared" si="3"/>
        <v>The Commissioner &amp; Chief Constable are satisfied the spend represents VFM in accordance with the requirements of Category B</v>
      </c>
      <c r="I113" s="16"/>
      <c r="J113" s="16"/>
    </row>
    <row r="114" spans="1:10" x14ac:dyDescent="0.2">
      <c r="A114" s="10" t="s">
        <v>8</v>
      </c>
      <c r="B114" s="11" t="s">
        <v>9</v>
      </c>
      <c r="C114" s="35" t="s">
        <v>104</v>
      </c>
      <c r="D114" s="37">
        <v>45335</v>
      </c>
      <c r="E114" s="36">
        <v>12925</v>
      </c>
      <c r="F114" s="35" t="s">
        <v>15</v>
      </c>
      <c r="G114" s="14" t="str">
        <f t="shared" si="2"/>
        <v>B</v>
      </c>
      <c r="H114" s="15" t="str">
        <f t="shared" si="3"/>
        <v>The Commissioner &amp; Chief Constable are satisfied the spend represents VFM in accordance with the requirements of Category B</v>
      </c>
      <c r="I114" s="16"/>
      <c r="J114" s="16"/>
    </row>
    <row r="115" spans="1:10" x14ac:dyDescent="0.2">
      <c r="A115" s="10" t="s">
        <v>8</v>
      </c>
      <c r="B115" s="11" t="s">
        <v>9</v>
      </c>
      <c r="C115" s="35" t="s">
        <v>104</v>
      </c>
      <c r="D115" s="37">
        <v>45350</v>
      </c>
      <c r="E115" s="36">
        <v>12925</v>
      </c>
      <c r="F115" s="35" t="s">
        <v>15</v>
      </c>
      <c r="G115" s="14" t="str">
        <f t="shared" si="2"/>
        <v>B</v>
      </c>
      <c r="H115" s="15" t="str">
        <f t="shared" si="3"/>
        <v>The Commissioner &amp; Chief Constable are satisfied the spend represents VFM in accordance with the requirements of Category B</v>
      </c>
      <c r="I115" s="16"/>
      <c r="J115" s="16"/>
    </row>
    <row r="116" spans="1:10" x14ac:dyDescent="0.2">
      <c r="A116" s="10" t="s">
        <v>8</v>
      </c>
      <c r="B116" s="11" t="s">
        <v>9</v>
      </c>
      <c r="C116" s="35" t="s">
        <v>26</v>
      </c>
      <c r="D116" s="37">
        <v>45343</v>
      </c>
      <c r="E116" s="36">
        <v>12858.580000000002</v>
      </c>
      <c r="F116" s="35" t="s">
        <v>76</v>
      </c>
      <c r="G116" s="14" t="str">
        <f t="shared" si="2"/>
        <v>B</v>
      </c>
      <c r="H116" s="15" t="str">
        <f t="shared" si="3"/>
        <v>The Commissioner &amp; Chief Constable are satisfied the spend represents VFM in accordance with the requirements of Category B</v>
      </c>
      <c r="I116" s="16"/>
      <c r="J116" s="16"/>
    </row>
    <row r="117" spans="1:10" x14ac:dyDescent="0.2">
      <c r="A117" s="10" t="s">
        <v>8</v>
      </c>
      <c r="B117" s="11" t="s">
        <v>9</v>
      </c>
      <c r="C117" s="35" t="s">
        <v>109</v>
      </c>
      <c r="D117" s="37">
        <v>45330</v>
      </c>
      <c r="E117" s="36">
        <v>12500</v>
      </c>
      <c r="F117" s="35" t="s">
        <v>27</v>
      </c>
      <c r="G117" s="14" t="str">
        <f t="shared" si="2"/>
        <v>B</v>
      </c>
      <c r="H117" s="15" t="str">
        <f t="shared" si="3"/>
        <v>The Commissioner &amp; Chief Constable are satisfied the spend represents VFM in accordance with the requirements of Category B</v>
      </c>
    </row>
    <row r="118" spans="1:10" x14ac:dyDescent="0.2">
      <c r="A118" s="10" t="s">
        <v>8</v>
      </c>
      <c r="B118" s="11" t="s">
        <v>9</v>
      </c>
      <c r="C118" s="35" t="s">
        <v>103</v>
      </c>
      <c r="D118" s="37">
        <v>45334</v>
      </c>
      <c r="E118" s="36">
        <v>12418</v>
      </c>
      <c r="F118" s="35" t="s">
        <v>91</v>
      </c>
      <c r="G118" s="14" t="str">
        <f t="shared" si="2"/>
        <v>B</v>
      </c>
      <c r="H118" s="15" t="str">
        <f t="shared" si="3"/>
        <v>The Commissioner &amp; Chief Constable are satisfied the spend represents VFM in accordance with the requirements of Category B</v>
      </c>
    </row>
    <row r="119" spans="1:10" x14ac:dyDescent="0.2">
      <c r="A119" s="10" t="s">
        <v>8</v>
      </c>
      <c r="B119" s="11" t="s">
        <v>9</v>
      </c>
      <c r="C119" s="40" t="s">
        <v>117</v>
      </c>
      <c r="D119" s="37">
        <v>45329</v>
      </c>
      <c r="E119" s="36">
        <v>12167.33</v>
      </c>
      <c r="F119" s="35" t="s">
        <v>118</v>
      </c>
      <c r="G119" s="14" t="str">
        <f t="shared" si="2"/>
        <v>B</v>
      </c>
      <c r="H119" s="15" t="str">
        <f t="shared" si="3"/>
        <v>The Commissioner &amp; Chief Constable are satisfied the spend represents VFM in accordance with the requirements of Category B</v>
      </c>
    </row>
    <row r="120" spans="1:10" x14ac:dyDescent="0.2">
      <c r="A120" s="10" t="s">
        <v>8</v>
      </c>
      <c r="B120" s="11" t="s">
        <v>9</v>
      </c>
      <c r="C120" s="35" t="s">
        <v>580</v>
      </c>
      <c r="D120" s="37">
        <v>45335</v>
      </c>
      <c r="E120" s="36">
        <v>12109.7</v>
      </c>
      <c r="F120" s="35" t="s">
        <v>579</v>
      </c>
      <c r="G120" s="14" t="str">
        <f t="shared" si="2"/>
        <v>B</v>
      </c>
      <c r="H120" s="15" t="str">
        <f t="shared" si="3"/>
        <v>The Commissioner &amp; Chief Constable are satisfied the spend represents VFM in accordance with the requirements of Category B</v>
      </c>
    </row>
    <row r="121" spans="1:10" x14ac:dyDescent="0.2">
      <c r="A121" s="10" t="s">
        <v>8</v>
      </c>
      <c r="B121" s="11" t="s">
        <v>9</v>
      </c>
      <c r="C121" s="35" t="s">
        <v>333</v>
      </c>
      <c r="D121" s="37">
        <v>45328</v>
      </c>
      <c r="E121" s="36">
        <v>12071</v>
      </c>
      <c r="F121" s="35" t="s">
        <v>112</v>
      </c>
      <c r="G121" s="14" t="str">
        <f t="shared" si="2"/>
        <v>B</v>
      </c>
      <c r="H121" s="15" t="str">
        <f t="shared" si="3"/>
        <v>The Commissioner &amp; Chief Constable are satisfied the spend represents VFM in accordance with the requirements of Category B</v>
      </c>
    </row>
    <row r="122" spans="1:10" x14ac:dyDescent="0.2">
      <c r="A122" s="10" t="s">
        <v>8</v>
      </c>
      <c r="B122" s="11" t="s">
        <v>9</v>
      </c>
      <c r="C122" s="35" t="s">
        <v>578</v>
      </c>
      <c r="D122" s="37">
        <v>45343</v>
      </c>
      <c r="E122" s="36">
        <v>12069</v>
      </c>
      <c r="F122" s="35" t="s">
        <v>133</v>
      </c>
      <c r="G122" s="14" t="str">
        <f t="shared" si="2"/>
        <v>B</v>
      </c>
      <c r="H122" s="15" t="str">
        <f t="shared" si="3"/>
        <v>The Commissioner &amp; Chief Constable are satisfied the spend represents VFM in accordance with the requirements of Category B</v>
      </c>
    </row>
    <row r="123" spans="1:10" x14ac:dyDescent="0.2">
      <c r="A123" s="10" t="s">
        <v>8</v>
      </c>
      <c r="B123" s="11" t="s">
        <v>9</v>
      </c>
      <c r="C123" s="35" t="s">
        <v>90</v>
      </c>
      <c r="D123" s="37">
        <v>45324</v>
      </c>
      <c r="E123" s="36">
        <v>11766.46</v>
      </c>
      <c r="F123" s="35" t="s">
        <v>91</v>
      </c>
      <c r="G123" s="14" t="str">
        <f t="shared" si="2"/>
        <v>B</v>
      </c>
      <c r="H123" s="15" t="str">
        <f t="shared" si="3"/>
        <v>The Commissioner &amp; Chief Constable are satisfied the spend represents VFM in accordance with the requirements of Category B</v>
      </c>
    </row>
    <row r="124" spans="1:10" x14ac:dyDescent="0.2">
      <c r="A124" s="10" t="s">
        <v>8</v>
      </c>
      <c r="B124" s="11" t="s">
        <v>9</v>
      </c>
      <c r="C124" s="35" t="s">
        <v>110</v>
      </c>
      <c r="D124" s="37">
        <v>45337</v>
      </c>
      <c r="E124" s="36">
        <v>11735.5</v>
      </c>
      <c r="F124" s="35" t="s">
        <v>49</v>
      </c>
      <c r="G124" s="14" t="str">
        <f t="shared" si="2"/>
        <v>B</v>
      </c>
      <c r="H124" s="15" t="str">
        <f t="shared" si="3"/>
        <v>The Commissioner &amp; Chief Constable are satisfied the spend represents VFM in accordance with the requirements of Category B</v>
      </c>
    </row>
    <row r="125" spans="1:10" x14ac:dyDescent="0.2">
      <c r="A125" s="10" t="s">
        <v>8</v>
      </c>
      <c r="B125" s="11" t="s">
        <v>9</v>
      </c>
      <c r="C125" s="35" t="s">
        <v>420</v>
      </c>
      <c r="D125" s="37">
        <v>45335</v>
      </c>
      <c r="E125" s="36">
        <v>11700</v>
      </c>
      <c r="F125" s="35" t="s">
        <v>106</v>
      </c>
      <c r="G125" s="14" t="str">
        <f t="shared" si="2"/>
        <v>B</v>
      </c>
      <c r="H125" s="15" t="str">
        <f t="shared" si="3"/>
        <v>The Commissioner &amp; Chief Constable are satisfied the spend represents VFM in accordance with the requirements of Category B</v>
      </c>
    </row>
    <row r="126" spans="1:10" x14ac:dyDescent="0.2">
      <c r="A126" s="10" t="s">
        <v>8</v>
      </c>
      <c r="B126" s="11" t="s">
        <v>9</v>
      </c>
      <c r="C126" s="35" t="s">
        <v>448</v>
      </c>
      <c r="D126" s="37">
        <v>45335</v>
      </c>
      <c r="E126" s="36">
        <v>11662.58</v>
      </c>
      <c r="F126" s="35" t="s">
        <v>27</v>
      </c>
      <c r="G126" s="14" t="str">
        <f t="shared" si="2"/>
        <v>B</v>
      </c>
      <c r="H126" s="15" t="str">
        <f t="shared" si="3"/>
        <v>The Commissioner &amp; Chief Constable are satisfied the spend represents VFM in accordance with the requirements of Category B</v>
      </c>
    </row>
    <row r="127" spans="1:10" x14ac:dyDescent="0.2">
      <c r="A127" s="10" t="s">
        <v>8</v>
      </c>
      <c r="B127" s="11" t="s">
        <v>9</v>
      </c>
      <c r="C127" s="35" t="s">
        <v>448</v>
      </c>
      <c r="D127" s="37">
        <v>45343</v>
      </c>
      <c r="E127" s="36">
        <v>11662.58</v>
      </c>
      <c r="F127" s="35" t="s">
        <v>27</v>
      </c>
      <c r="G127" s="14" t="str">
        <f t="shared" si="2"/>
        <v>B</v>
      </c>
      <c r="H127" s="15" t="str">
        <f t="shared" si="3"/>
        <v>The Commissioner &amp; Chief Constable are satisfied the spend represents VFM in accordance with the requirements of Category B</v>
      </c>
    </row>
    <row r="128" spans="1:10" x14ac:dyDescent="0.2">
      <c r="A128" s="10" t="s">
        <v>8</v>
      </c>
      <c r="B128" s="11" t="s">
        <v>9</v>
      </c>
      <c r="C128" s="35" t="s">
        <v>181</v>
      </c>
      <c r="D128" s="37">
        <v>45341</v>
      </c>
      <c r="E128" s="36">
        <v>11592</v>
      </c>
      <c r="F128" s="35" t="s">
        <v>98</v>
      </c>
      <c r="G128" s="14" t="str">
        <f t="shared" si="2"/>
        <v>B</v>
      </c>
      <c r="H128" s="15" t="str">
        <f t="shared" si="3"/>
        <v>The Commissioner &amp; Chief Constable are satisfied the spend represents VFM in accordance with the requirements of Category B</v>
      </c>
    </row>
    <row r="129" spans="1:12" x14ac:dyDescent="0.2">
      <c r="A129" s="10" t="s">
        <v>8</v>
      </c>
      <c r="B129" s="11" t="s">
        <v>9</v>
      </c>
      <c r="C129" s="35" t="s">
        <v>26</v>
      </c>
      <c r="D129" s="37">
        <v>45343</v>
      </c>
      <c r="E129" s="36">
        <v>11499.66</v>
      </c>
      <c r="F129" s="35" t="s">
        <v>88</v>
      </c>
      <c r="G129" s="14" t="str">
        <f t="shared" si="2"/>
        <v>B</v>
      </c>
      <c r="H129" s="15" t="str">
        <f t="shared" si="3"/>
        <v>The Commissioner &amp; Chief Constable are satisfied the spend represents VFM in accordance with the requirements of Category B</v>
      </c>
    </row>
    <row r="130" spans="1:12" x14ac:dyDescent="0.2">
      <c r="A130" s="10" t="s">
        <v>8</v>
      </c>
      <c r="B130" s="11" t="s">
        <v>9</v>
      </c>
      <c r="C130" s="35" t="s">
        <v>113</v>
      </c>
      <c r="D130" s="37">
        <v>45337</v>
      </c>
      <c r="E130" s="36">
        <v>11120.31</v>
      </c>
      <c r="F130" s="35" t="s">
        <v>114</v>
      </c>
      <c r="G130" s="14" t="str">
        <f t="shared" ref="G130:G193" si="4">IF(E130&gt;25000,"C",IF(E130&gt;1000,"B","A"))</f>
        <v>B</v>
      </c>
      <c r="H130" s="15" t="str">
        <f t="shared" ref="H130:H193" si="5">VLOOKUP(G130,$K$2:$L$4,2,FALSE)</f>
        <v>The Commissioner &amp; Chief Constable are satisfied the spend represents VFM in accordance with the requirements of Category B</v>
      </c>
    </row>
    <row r="131" spans="1:12" x14ac:dyDescent="0.2">
      <c r="A131" s="10" t="s">
        <v>8</v>
      </c>
      <c r="B131" s="11" t="s">
        <v>9</v>
      </c>
      <c r="C131" s="35" t="s">
        <v>127</v>
      </c>
      <c r="D131" s="37">
        <v>45324</v>
      </c>
      <c r="E131" s="36">
        <v>11097.619999999999</v>
      </c>
      <c r="F131" s="35" t="s">
        <v>49</v>
      </c>
      <c r="G131" s="14" t="str">
        <f t="shared" si="4"/>
        <v>B</v>
      </c>
      <c r="H131" s="15" t="str">
        <f t="shared" si="5"/>
        <v>The Commissioner &amp; Chief Constable are satisfied the spend represents VFM in accordance with the requirements of Category B</v>
      </c>
    </row>
    <row r="132" spans="1:12" x14ac:dyDescent="0.2">
      <c r="A132" s="10" t="s">
        <v>8</v>
      </c>
      <c r="B132" s="11" t="s">
        <v>9</v>
      </c>
      <c r="C132" s="35" t="s">
        <v>64</v>
      </c>
      <c r="D132" s="37">
        <v>45338</v>
      </c>
      <c r="E132" s="36">
        <v>10694.44</v>
      </c>
      <c r="F132" s="35" t="s">
        <v>27</v>
      </c>
      <c r="G132" s="14" t="str">
        <f t="shared" si="4"/>
        <v>B</v>
      </c>
      <c r="H132" s="15" t="str">
        <f t="shared" si="5"/>
        <v>The Commissioner &amp; Chief Constable are satisfied the spend represents VFM in accordance with the requirements of Category B</v>
      </c>
    </row>
    <row r="133" spans="1:12" x14ac:dyDescent="0.2">
      <c r="A133" s="10" t="s">
        <v>8</v>
      </c>
      <c r="B133" s="11" t="s">
        <v>9</v>
      </c>
      <c r="C133" s="40" t="s">
        <v>577</v>
      </c>
      <c r="D133" s="37">
        <v>45330</v>
      </c>
      <c r="E133" s="36">
        <v>10500</v>
      </c>
      <c r="F133" s="35" t="s">
        <v>22</v>
      </c>
      <c r="G133" s="14" t="str">
        <f t="shared" si="4"/>
        <v>B</v>
      </c>
      <c r="H133" s="15" t="str">
        <f t="shared" si="5"/>
        <v>The Commissioner &amp; Chief Constable are satisfied the spend represents VFM in accordance with the requirements of Category B</v>
      </c>
    </row>
    <row r="134" spans="1:12" x14ac:dyDescent="0.2">
      <c r="A134" s="10" t="s">
        <v>8</v>
      </c>
      <c r="B134" s="11" t="s">
        <v>9</v>
      </c>
      <c r="C134" s="40" t="s">
        <v>119</v>
      </c>
      <c r="D134" s="37">
        <v>45348</v>
      </c>
      <c r="E134" s="36">
        <v>10226.19</v>
      </c>
      <c r="F134" s="35" t="s">
        <v>120</v>
      </c>
      <c r="G134" s="14" t="str">
        <f t="shared" si="4"/>
        <v>B</v>
      </c>
      <c r="H134" s="15" t="str">
        <f t="shared" si="5"/>
        <v>The Commissioner &amp; Chief Constable are satisfied the spend represents VFM in accordance with the requirements of Category B</v>
      </c>
    </row>
    <row r="135" spans="1:12" x14ac:dyDescent="0.2">
      <c r="A135" s="10" t="s">
        <v>8</v>
      </c>
      <c r="B135" s="11" t="s">
        <v>9</v>
      </c>
      <c r="C135" s="35" t="s">
        <v>576</v>
      </c>
      <c r="D135" s="37">
        <v>45341</v>
      </c>
      <c r="E135" s="36">
        <v>10000</v>
      </c>
      <c r="F135" s="35" t="s">
        <v>133</v>
      </c>
      <c r="G135" s="14" t="str">
        <f t="shared" si="4"/>
        <v>B</v>
      </c>
      <c r="H135" s="15" t="str">
        <f t="shared" si="5"/>
        <v>The Commissioner &amp; Chief Constable are satisfied the spend represents VFM in accordance with the requirements of Category B</v>
      </c>
    </row>
    <row r="136" spans="1:12" s="20" customFormat="1" x14ac:dyDescent="0.2">
      <c r="A136" s="10" t="s">
        <v>8</v>
      </c>
      <c r="B136" s="11" t="s">
        <v>9</v>
      </c>
      <c r="C136" s="35" t="s">
        <v>107</v>
      </c>
      <c r="D136" s="37">
        <v>45329</v>
      </c>
      <c r="E136" s="36">
        <v>9963.61</v>
      </c>
      <c r="F136" s="35" t="s">
        <v>108</v>
      </c>
      <c r="G136" s="14" t="str">
        <f t="shared" si="4"/>
        <v>B</v>
      </c>
      <c r="H136" s="15" t="str">
        <f t="shared" si="5"/>
        <v>The Commissioner &amp; Chief Constable are satisfied the spend represents VFM in accordance with the requirements of Category B</v>
      </c>
      <c r="K136" s="17"/>
      <c r="L136" s="17"/>
    </row>
    <row r="137" spans="1:12" s="20" customFormat="1" x14ac:dyDescent="0.2">
      <c r="A137" s="10" t="s">
        <v>8</v>
      </c>
      <c r="B137" s="11" t="s">
        <v>9</v>
      </c>
      <c r="C137" s="35" t="s">
        <v>222</v>
      </c>
      <c r="D137" s="37">
        <v>45327</v>
      </c>
      <c r="E137" s="36">
        <v>9743</v>
      </c>
      <c r="F137" s="35" t="s">
        <v>22</v>
      </c>
      <c r="G137" s="14" t="str">
        <f t="shared" si="4"/>
        <v>B</v>
      </c>
      <c r="H137" s="15" t="str">
        <f t="shared" si="5"/>
        <v>The Commissioner &amp; Chief Constable are satisfied the spend represents VFM in accordance with the requirements of Category B</v>
      </c>
      <c r="K137" s="17"/>
      <c r="L137" s="17"/>
    </row>
    <row r="138" spans="1:12" s="20" customFormat="1" x14ac:dyDescent="0.2">
      <c r="A138" s="10" t="s">
        <v>8</v>
      </c>
      <c r="B138" s="11" t="s">
        <v>9</v>
      </c>
      <c r="C138" s="35" t="s">
        <v>152</v>
      </c>
      <c r="D138" s="37">
        <v>45348</v>
      </c>
      <c r="E138" s="36">
        <v>9475</v>
      </c>
      <c r="F138" s="35" t="s">
        <v>102</v>
      </c>
      <c r="G138" s="14" t="str">
        <f t="shared" si="4"/>
        <v>B</v>
      </c>
      <c r="H138" s="15" t="str">
        <f t="shared" si="5"/>
        <v>The Commissioner &amp; Chief Constable are satisfied the spend represents VFM in accordance with the requirements of Category B</v>
      </c>
      <c r="K138" s="17"/>
      <c r="L138" s="17"/>
    </row>
    <row r="139" spans="1:12" s="20" customFormat="1" x14ac:dyDescent="0.2">
      <c r="A139" s="10" t="s">
        <v>8</v>
      </c>
      <c r="B139" s="11" t="s">
        <v>9</v>
      </c>
      <c r="C139" s="35" t="s">
        <v>575</v>
      </c>
      <c r="D139" s="37">
        <v>45337</v>
      </c>
      <c r="E139" s="36">
        <v>9000</v>
      </c>
      <c r="F139" s="35" t="s">
        <v>574</v>
      </c>
      <c r="G139" s="14" t="str">
        <f t="shared" si="4"/>
        <v>B</v>
      </c>
      <c r="H139" s="15" t="str">
        <f t="shared" si="5"/>
        <v>The Commissioner &amp; Chief Constable are satisfied the spend represents VFM in accordance with the requirements of Category B</v>
      </c>
      <c r="K139" s="17"/>
      <c r="L139" s="17"/>
    </row>
    <row r="140" spans="1:12" s="20" customFormat="1" x14ac:dyDescent="0.2">
      <c r="A140" s="10" t="s">
        <v>8</v>
      </c>
      <c r="B140" s="11" t="s">
        <v>9</v>
      </c>
      <c r="C140" s="40" t="s">
        <v>26</v>
      </c>
      <c r="D140" s="37">
        <v>45336</v>
      </c>
      <c r="E140" s="36">
        <v>8901.6</v>
      </c>
      <c r="F140" s="35" t="s">
        <v>76</v>
      </c>
      <c r="G140" s="14" t="str">
        <f t="shared" si="4"/>
        <v>B</v>
      </c>
      <c r="H140" s="15" t="str">
        <f t="shared" si="5"/>
        <v>The Commissioner &amp; Chief Constable are satisfied the spend represents VFM in accordance with the requirements of Category B</v>
      </c>
      <c r="K140" s="17"/>
      <c r="L140" s="17"/>
    </row>
    <row r="141" spans="1:12" s="20" customFormat="1" x14ac:dyDescent="0.2">
      <c r="A141" s="10" t="s">
        <v>8</v>
      </c>
      <c r="B141" s="11" t="s">
        <v>9</v>
      </c>
      <c r="C141" s="35" t="s">
        <v>127</v>
      </c>
      <c r="D141" s="37">
        <v>45338</v>
      </c>
      <c r="E141" s="36">
        <v>8851.73</v>
      </c>
      <c r="F141" s="35" t="s">
        <v>49</v>
      </c>
      <c r="G141" s="14" t="str">
        <f t="shared" si="4"/>
        <v>B</v>
      </c>
      <c r="H141" s="15" t="str">
        <f t="shared" si="5"/>
        <v>The Commissioner &amp; Chief Constable are satisfied the spend represents VFM in accordance with the requirements of Category B</v>
      </c>
      <c r="K141" s="17"/>
      <c r="L141" s="17"/>
    </row>
    <row r="142" spans="1:12" s="20" customFormat="1" x14ac:dyDescent="0.2">
      <c r="A142" s="10" t="s">
        <v>8</v>
      </c>
      <c r="B142" s="11" t="s">
        <v>9</v>
      </c>
      <c r="C142" s="35" t="s">
        <v>121</v>
      </c>
      <c r="D142" s="37">
        <v>45331</v>
      </c>
      <c r="E142" s="36">
        <v>8639.4599999999991</v>
      </c>
      <c r="F142" s="35" t="s">
        <v>122</v>
      </c>
      <c r="G142" s="14" t="str">
        <f t="shared" si="4"/>
        <v>B</v>
      </c>
      <c r="H142" s="15" t="str">
        <f t="shared" si="5"/>
        <v>The Commissioner &amp; Chief Constable are satisfied the spend represents VFM in accordance with the requirements of Category B</v>
      </c>
      <c r="K142" s="17"/>
      <c r="L142" s="17"/>
    </row>
    <row r="143" spans="1:12" s="20" customFormat="1" x14ac:dyDescent="0.2">
      <c r="A143" s="10" t="s">
        <v>8</v>
      </c>
      <c r="B143" s="11" t="s">
        <v>9</v>
      </c>
      <c r="C143" s="35" t="s">
        <v>126</v>
      </c>
      <c r="D143" s="37">
        <v>45328</v>
      </c>
      <c r="E143" s="36">
        <v>8507.9500000000007</v>
      </c>
      <c r="F143" s="35" t="s">
        <v>41</v>
      </c>
      <c r="G143" s="14" t="str">
        <f t="shared" si="4"/>
        <v>B</v>
      </c>
      <c r="H143" s="15" t="str">
        <f t="shared" si="5"/>
        <v>The Commissioner &amp; Chief Constable are satisfied the spend represents VFM in accordance with the requirements of Category B</v>
      </c>
      <c r="K143" s="17"/>
      <c r="L143" s="17"/>
    </row>
    <row r="144" spans="1:12" s="20" customFormat="1" x14ac:dyDescent="0.2">
      <c r="A144" s="10" t="s">
        <v>8</v>
      </c>
      <c r="B144" s="11" t="s">
        <v>9</v>
      </c>
      <c r="C144" s="35" t="s">
        <v>109</v>
      </c>
      <c r="D144" s="37">
        <v>45330</v>
      </c>
      <c r="E144" s="36">
        <v>8371.92</v>
      </c>
      <c r="F144" s="35" t="s">
        <v>27</v>
      </c>
      <c r="G144" s="14" t="str">
        <f t="shared" si="4"/>
        <v>B</v>
      </c>
      <c r="H144" s="15" t="str">
        <f t="shared" si="5"/>
        <v>The Commissioner &amp; Chief Constable are satisfied the spend represents VFM in accordance with the requirements of Category B</v>
      </c>
      <c r="K144" s="17"/>
      <c r="L144" s="17"/>
    </row>
    <row r="145" spans="1:12" s="20" customFormat="1" x14ac:dyDescent="0.2">
      <c r="A145" s="10" t="s">
        <v>8</v>
      </c>
      <c r="B145" s="11" t="s">
        <v>9</v>
      </c>
      <c r="C145" s="35" t="s">
        <v>152</v>
      </c>
      <c r="D145" s="37">
        <v>45328</v>
      </c>
      <c r="E145" s="36">
        <v>8128</v>
      </c>
      <c r="F145" s="35" t="s">
        <v>102</v>
      </c>
      <c r="G145" s="14" t="str">
        <f t="shared" si="4"/>
        <v>B</v>
      </c>
      <c r="H145" s="15" t="str">
        <f t="shared" si="5"/>
        <v>The Commissioner &amp; Chief Constable are satisfied the spend represents VFM in accordance with the requirements of Category B</v>
      </c>
      <c r="K145" s="17"/>
      <c r="L145" s="17"/>
    </row>
    <row r="146" spans="1:12" s="20" customFormat="1" x14ac:dyDescent="0.2">
      <c r="A146" s="10" t="s">
        <v>8</v>
      </c>
      <c r="B146" s="11" t="s">
        <v>9</v>
      </c>
      <c r="C146" s="35" t="s">
        <v>74</v>
      </c>
      <c r="D146" s="37">
        <v>45348</v>
      </c>
      <c r="E146" s="36">
        <v>8071.66</v>
      </c>
      <c r="F146" s="35" t="s">
        <v>15</v>
      </c>
      <c r="G146" s="14" t="str">
        <f t="shared" si="4"/>
        <v>B</v>
      </c>
      <c r="H146" s="15" t="str">
        <f t="shared" si="5"/>
        <v>The Commissioner &amp; Chief Constable are satisfied the spend represents VFM in accordance with the requirements of Category B</v>
      </c>
      <c r="K146" s="17"/>
      <c r="L146" s="17"/>
    </row>
    <row r="147" spans="1:12" s="20" customFormat="1" x14ac:dyDescent="0.2">
      <c r="A147" s="10" t="s">
        <v>8</v>
      </c>
      <c r="B147" s="11" t="s">
        <v>9</v>
      </c>
      <c r="C147" s="35" t="s">
        <v>74</v>
      </c>
      <c r="D147" s="37">
        <v>45349</v>
      </c>
      <c r="E147" s="36">
        <v>7946</v>
      </c>
      <c r="F147" s="35" t="s">
        <v>75</v>
      </c>
      <c r="G147" s="14" t="str">
        <f t="shared" si="4"/>
        <v>B</v>
      </c>
      <c r="H147" s="15" t="str">
        <f t="shared" si="5"/>
        <v>The Commissioner &amp; Chief Constable are satisfied the spend represents VFM in accordance with the requirements of Category B</v>
      </c>
      <c r="K147" s="17"/>
      <c r="L147" s="17"/>
    </row>
    <row r="148" spans="1:12" s="20" customFormat="1" x14ac:dyDescent="0.2">
      <c r="A148" s="10" t="s">
        <v>8</v>
      </c>
      <c r="B148" s="11" t="s">
        <v>9</v>
      </c>
      <c r="C148" s="40" t="s">
        <v>573</v>
      </c>
      <c r="D148" s="37">
        <v>45348</v>
      </c>
      <c r="E148" s="36">
        <v>7870.79</v>
      </c>
      <c r="F148" s="35" t="s">
        <v>319</v>
      </c>
      <c r="G148" s="14" t="str">
        <f t="shared" si="4"/>
        <v>B</v>
      </c>
      <c r="H148" s="15" t="str">
        <f t="shared" si="5"/>
        <v>The Commissioner &amp; Chief Constable are satisfied the spend represents VFM in accordance with the requirements of Category B</v>
      </c>
      <c r="K148" s="17"/>
      <c r="L148" s="17"/>
    </row>
    <row r="149" spans="1:12" s="20" customFormat="1" x14ac:dyDescent="0.2">
      <c r="A149" s="10" t="s">
        <v>8</v>
      </c>
      <c r="B149" s="11" t="s">
        <v>9</v>
      </c>
      <c r="C149" s="35" t="s">
        <v>90</v>
      </c>
      <c r="D149" s="37">
        <v>45329</v>
      </c>
      <c r="E149" s="36">
        <v>7657.6</v>
      </c>
      <c r="F149" s="35" t="s">
        <v>91</v>
      </c>
      <c r="G149" s="14" t="str">
        <f t="shared" si="4"/>
        <v>B</v>
      </c>
      <c r="H149" s="15" t="str">
        <f t="shared" si="5"/>
        <v>The Commissioner &amp; Chief Constable are satisfied the spend represents VFM in accordance with the requirements of Category B</v>
      </c>
      <c r="K149" s="17"/>
      <c r="L149" s="17"/>
    </row>
    <row r="150" spans="1:12" s="20" customFormat="1" x14ac:dyDescent="0.2">
      <c r="A150" s="10" t="s">
        <v>8</v>
      </c>
      <c r="B150" s="11" t="s">
        <v>9</v>
      </c>
      <c r="C150" s="35" t="s">
        <v>572</v>
      </c>
      <c r="D150" s="37">
        <v>45348</v>
      </c>
      <c r="E150" s="36">
        <v>7500</v>
      </c>
      <c r="F150" s="35" t="s">
        <v>22</v>
      </c>
      <c r="G150" s="14" t="str">
        <f t="shared" si="4"/>
        <v>B</v>
      </c>
      <c r="H150" s="15" t="str">
        <f t="shared" si="5"/>
        <v>The Commissioner &amp; Chief Constable are satisfied the spend represents VFM in accordance with the requirements of Category B</v>
      </c>
      <c r="K150" s="17"/>
      <c r="L150" s="17"/>
    </row>
    <row r="151" spans="1:12" s="20" customFormat="1" x14ac:dyDescent="0.2">
      <c r="A151" s="10" t="s">
        <v>8</v>
      </c>
      <c r="B151" s="11" t="s">
        <v>9</v>
      </c>
      <c r="C151" s="40" t="s">
        <v>571</v>
      </c>
      <c r="D151" s="37">
        <v>45338</v>
      </c>
      <c r="E151" s="36">
        <v>7432</v>
      </c>
      <c r="F151" s="35" t="s">
        <v>106</v>
      </c>
      <c r="G151" s="14" t="str">
        <f t="shared" si="4"/>
        <v>B</v>
      </c>
      <c r="H151" s="15" t="str">
        <f t="shared" si="5"/>
        <v>The Commissioner &amp; Chief Constable are satisfied the spend represents VFM in accordance with the requirements of Category B</v>
      </c>
      <c r="K151" s="17"/>
      <c r="L151" s="17"/>
    </row>
    <row r="152" spans="1:12" s="20" customFormat="1" x14ac:dyDescent="0.2">
      <c r="A152" s="10" t="s">
        <v>8</v>
      </c>
      <c r="B152" s="11" t="s">
        <v>9</v>
      </c>
      <c r="C152" s="40" t="s">
        <v>142</v>
      </c>
      <c r="D152" s="37">
        <v>45348</v>
      </c>
      <c r="E152" s="36">
        <v>7031.4</v>
      </c>
      <c r="F152" s="35" t="s">
        <v>143</v>
      </c>
      <c r="G152" s="14" t="str">
        <f t="shared" si="4"/>
        <v>B</v>
      </c>
      <c r="H152" s="15" t="str">
        <f t="shared" si="5"/>
        <v>The Commissioner &amp; Chief Constable are satisfied the spend represents VFM in accordance with the requirements of Category B</v>
      </c>
      <c r="K152" s="17"/>
      <c r="L152" s="17"/>
    </row>
    <row r="153" spans="1:12" s="20" customFormat="1" x14ac:dyDescent="0.2">
      <c r="A153" s="10" t="s">
        <v>8</v>
      </c>
      <c r="B153" s="11" t="s">
        <v>9</v>
      </c>
      <c r="C153" s="35" t="s">
        <v>48</v>
      </c>
      <c r="D153" s="37">
        <v>45348</v>
      </c>
      <c r="E153" s="36">
        <v>6788.9</v>
      </c>
      <c r="F153" s="35" t="s">
        <v>58</v>
      </c>
      <c r="G153" s="14" t="str">
        <f t="shared" si="4"/>
        <v>B</v>
      </c>
      <c r="H153" s="15" t="str">
        <f t="shared" si="5"/>
        <v>The Commissioner &amp; Chief Constable are satisfied the spend represents VFM in accordance with the requirements of Category B</v>
      </c>
      <c r="K153" s="17"/>
      <c r="L153" s="17"/>
    </row>
    <row r="154" spans="1:12" s="20" customFormat="1" x14ac:dyDescent="0.2">
      <c r="A154" s="10" t="s">
        <v>8</v>
      </c>
      <c r="B154" s="11" t="s">
        <v>9</v>
      </c>
      <c r="C154" s="35" t="s">
        <v>14</v>
      </c>
      <c r="D154" s="37">
        <v>45334</v>
      </c>
      <c r="E154" s="36">
        <v>6705</v>
      </c>
      <c r="F154" s="35" t="s">
        <v>89</v>
      </c>
      <c r="G154" s="14" t="str">
        <f t="shared" si="4"/>
        <v>B</v>
      </c>
      <c r="H154" s="15" t="str">
        <f t="shared" si="5"/>
        <v>The Commissioner &amp; Chief Constable are satisfied the spend represents VFM in accordance with the requirements of Category B</v>
      </c>
      <c r="K154" s="17"/>
      <c r="L154" s="17"/>
    </row>
    <row r="155" spans="1:12" s="20" customFormat="1" x14ac:dyDescent="0.2">
      <c r="A155" s="10" t="s">
        <v>8</v>
      </c>
      <c r="B155" s="11" t="s">
        <v>9</v>
      </c>
      <c r="C155" s="35" t="s">
        <v>232</v>
      </c>
      <c r="D155" s="37">
        <v>45338</v>
      </c>
      <c r="E155" s="36">
        <v>6690</v>
      </c>
      <c r="F155" s="35" t="s">
        <v>94</v>
      </c>
      <c r="G155" s="14" t="str">
        <f t="shared" si="4"/>
        <v>B</v>
      </c>
      <c r="H155" s="15" t="str">
        <f t="shared" si="5"/>
        <v>The Commissioner &amp; Chief Constable are satisfied the spend represents VFM in accordance with the requirements of Category B</v>
      </c>
      <c r="K155" s="17"/>
      <c r="L155" s="17"/>
    </row>
    <row r="156" spans="1:12" s="20" customFormat="1" x14ac:dyDescent="0.2">
      <c r="A156" s="10" t="s">
        <v>8</v>
      </c>
      <c r="B156" s="11" t="s">
        <v>9</v>
      </c>
      <c r="C156" s="35" t="s">
        <v>70</v>
      </c>
      <c r="D156" s="37">
        <v>45343</v>
      </c>
      <c r="E156" s="36">
        <v>6377.82</v>
      </c>
      <c r="F156" s="35" t="s">
        <v>106</v>
      </c>
      <c r="G156" s="14" t="str">
        <f t="shared" si="4"/>
        <v>B</v>
      </c>
      <c r="H156" s="15" t="str">
        <f t="shared" si="5"/>
        <v>The Commissioner &amp; Chief Constable are satisfied the spend represents VFM in accordance with the requirements of Category B</v>
      </c>
      <c r="K156" s="17"/>
      <c r="L156" s="17"/>
    </row>
    <row r="157" spans="1:12" s="20" customFormat="1" x14ac:dyDescent="0.2">
      <c r="A157" s="10" t="s">
        <v>8</v>
      </c>
      <c r="B157" s="11" t="s">
        <v>9</v>
      </c>
      <c r="C157" s="35" t="s">
        <v>70</v>
      </c>
      <c r="D157" s="37">
        <v>45343</v>
      </c>
      <c r="E157" s="39">
        <v>274.5</v>
      </c>
      <c r="F157" s="38" t="s">
        <v>182</v>
      </c>
      <c r="G157" s="14" t="str">
        <f t="shared" si="4"/>
        <v>A</v>
      </c>
      <c r="H157" s="15" t="str">
        <f t="shared" si="5"/>
        <v>The Commissioner &amp; Chief Constable are satisfied the spend represents VFM in accordance with the requirements of Category A</v>
      </c>
      <c r="K157" s="17"/>
      <c r="L157" s="17"/>
    </row>
    <row r="158" spans="1:12" s="20" customFormat="1" x14ac:dyDescent="0.2">
      <c r="A158" s="10" t="s">
        <v>8</v>
      </c>
      <c r="B158" s="11" t="s">
        <v>9</v>
      </c>
      <c r="C158" s="35" t="s">
        <v>74</v>
      </c>
      <c r="D158" s="37">
        <v>45335</v>
      </c>
      <c r="E158" s="36">
        <v>6541.5</v>
      </c>
      <c r="F158" s="35" t="s">
        <v>148</v>
      </c>
      <c r="G158" s="14" t="str">
        <f t="shared" si="4"/>
        <v>B</v>
      </c>
      <c r="H158" s="15" t="str">
        <f t="shared" si="5"/>
        <v>The Commissioner &amp; Chief Constable are satisfied the spend represents VFM in accordance with the requirements of Category B</v>
      </c>
      <c r="K158" s="17"/>
      <c r="L158" s="17"/>
    </row>
    <row r="159" spans="1:12" s="20" customFormat="1" x14ac:dyDescent="0.2">
      <c r="A159" s="10" t="s">
        <v>8</v>
      </c>
      <c r="B159" s="11" t="s">
        <v>9</v>
      </c>
      <c r="C159" s="35" t="s">
        <v>26</v>
      </c>
      <c r="D159" s="37">
        <v>45342</v>
      </c>
      <c r="E159" s="36">
        <v>6307.03</v>
      </c>
      <c r="F159" s="35" t="s">
        <v>88</v>
      </c>
      <c r="G159" s="14" t="str">
        <f t="shared" si="4"/>
        <v>B</v>
      </c>
      <c r="H159" s="15" t="str">
        <f t="shared" si="5"/>
        <v>The Commissioner &amp; Chief Constable are satisfied the spend represents VFM in accordance with the requirements of Category B</v>
      </c>
      <c r="K159" s="17"/>
      <c r="L159" s="17"/>
    </row>
    <row r="160" spans="1:12" s="20" customFormat="1" x14ac:dyDescent="0.2">
      <c r="A160" s="10" t="s">
        <v>8</v>
      </c>
      <c r="B160" s="11" t="s">
        <v>9</v>
      </c>
      <c r="C160" s="35" t="s">
        <v>570</v>
      </c>
      <c r="D160" s="37">
        <v>45338</v>
      </c>
      <c r="E160" s="36">
        <v>6000</v>
      </c>
      <c r="F160" s="35" t="s">
        <v>27</v>
      </c>
      <c r="G160" s="14" t="str">
        <f t="shared" si="4"/>
        <v>B</v>
      </c>
      <c r="H160" s="15" t="str">
        <f t="shared" si="5"/>
        <v>The Commissioner &amp; Chief Constable are satisfied the spend represents VFM in accordance with the requirements of Category B</v>
      </c>
      <c r="K160" s="17"/>
      <c r="L160" s="17"/>
    </row>
    <row r="161" spans="1:12" s="20" customFormat="1" x14ac:dyDescent="0.2">
      <c r="A161" s="10" t="s">
        <v>8</v>
      </c>
      <c r="B161" s="11" t="s">
        <v>9</v>
      </c>
      <c r="C161" s="35" t="s">
        <v>280</v>
      </c>
      <c r="D161" s="37">
        <v>45345</v>
      </c>
      <c r="E161" s="36">
        <v>5979.2</v>
      </c>
      <c r="F161" s="35" t="s">
        <v>94</v>
      </c>
      <c r="G161" s="14" t="str">
        <f t="shared" si="4"/>
        <v>B</v>
      </c>
      <c r="H161" s="15" t="str">
        <f t="shared" si="5"/>
        <v>The Commissioner &amp; Chief Constable are satisfied the spend represents VFM in accordance with the requirements of Category B</v>
      </c>
      <c r="K161" s="17"/>
      <c r="L161" s="17"/>
    </row>
    <row r="162" spans="1:12" s="20" customFormat="1" x14ac:dyDescent="0.2">
      <c r="A162" s="10" t="s">
        <v>8</v>
      </c>
      <c r="B162" s="11" t="s">
        <v>9</v>
      </c>
      <c r="C162" s="35" t="s">
        <v>124</v>
      </c>
      <c r="D162" s="37">
        <v>45343</v>
      </c>
      <c r="E162" s="36">
        <v>5921.99</v>
      </c>
      <c r="F162" s="35" t="s">
        <v>91</v>
      </c>
      <c r="G162" s="14" t="str">
        <f t="shared" si="4"/>
        <v>B</v>
      </c>
      <c r="H162" s="15" t="str">
        <f t="shared" si="5"/>
        <v>The Commissioner &amp; Chief Constable are satisfied the spend represents VFM in accordance with the requirements of Category B</v>
      </c>
      <c r="K162" s="17"/>
      <c r="L162" s="17"/>
    </row>
    <row r="163" spans="1:12" s="20" customFormat="1" x14ac:dyDescent="0.2">
      <c r="A163" s="10" t="s">
        <v>8</v>
      </c>
      <c r="B163" s="11" t="s">
        <v>9</v>
      </c>
      <c r="C163" s="40" t="s">
        <v>149</v>
      </c>
      <c r="D163" s="37">
        <v>45330</v>
      </c>
      <c r="E163" s="36">
        <v>5907.51</v>
      </c>
      <c r="F163" s="35" t="s">
        <v>138</v>
      </c>
      <c r="G163" s="14" t="str">
        <f t="shared" si="4"/>
        <v>B</v>
      </c>
      <c r="H163" s="15" t="str">
        <f t="shared" si="5"/>
        <v>The Commissioner &amp; Chief Constable are satisfied the spend represents VFM in accordance with the requirements of Category B</v>
      </c>
      <c r="K163" s="17"/>
      <c r="L163" s="17"/>
    </row>
    <row r="164" spans="1:12" s="20" customFormat="1" x14ac:dyDescent="0.2">
      <c r="A164" s="10" t="s">
        <v>8</v>
      </c>
      <c r="B164" s="11" t="s">
        <v>9</v>
      </c>
      <c r="C164" s="35" t="s">
        <v>508</v>
      </c>
      <c r="D164" s="37">
        <v>45350</v>
      </c>
      <c r="E164" s="36">
        <v>5795</v>
      </c>
      <c r="F164" s="35" t="s">
        <v>345</v>
      </c>
      <c r="G164" s="14" t="str">
        <f t="shared" si="4"/>
        <v>B</v>
      </c>
      <c r="H164" s="15" t="str">
        <f t="shared" si="5"/>
        <v>The Commissioner &amp; Chief Constable are satisfied the spend represents VFM in accordance with the requirements of Category B</v>
      </c>
      <c r="K164" s="17"/>
      <c r="L164" s="17"/>
    </row>
    <row r="165" spans="1:12" s="20" customFormat="1" x14ac:dyDescent="0.2">
      <c r="A165" s="10" t="s">
        <v>8</v>
      </c>
      <c r="B165" s="11" t="s">
        <v>9</v>
      </c>
      <c r="C165" s="35" t="s">
        <v>569</v>
      </c>
      <c r="D165" s="37">
        <v>45351</v>
      </c>
      <c r="E165" s="36">
        <v>5735</v>
      </c>
      <c r="F165" s="35" t="s">
        <v>123</v>
      </c>
      <c r="G165" s="14" t="str">
        <f t="shared" si="4"/>
        <v>B</v>
      </c>
      <c r="H165" s="15" t="str">
        <f t="shared" si="5"/>
        <v>The Commissioner &amp; Chief Constable are satisfied the spend represents VFM in accordance with the requirements of Category B</v>
      </c>
      <c r="K165" s="17"/>
      <c r="L165" s="17"/>
    </row>
    <row r="166" spans="1:12" s="20" customFormat="1" x14ac:dyDescent="0.2">
      <c r="A166" s="10" t="s">
        <v>8</v>
      </c>
      <c r="B166" s="11" t="s">
        <v>9</v>
      </c>
      <c r="C166" s="35" t="s">
        <v>157</v>
      </c>
      <c r="D166" s="37">
        <v>45334</v>
      </c>
      <c r="E166" s="36">
        <v>5721.78</v>
      </c>
      <c r="F166" s="35" t="s">
        <v>43</v>
      </c>
      <c r="G166" s="14" t="str">
        <f t="shared" si="4"/>
        <v>B</v>
      </c>
      <c r="H166" s="15" t="str">
        <f t="shared" si="5"/>
        <v>The Commissioner &amp; Chief Constable are satisfied the spend represents VFM in accordance with the requirements of Category B</v>
      </c>
      <c r="K166" s="17"/>
      <c r="L166" s="17"/>
    </row>
    <row r="167" spans="1:12" s="20" customFormat="1" x14ac:dyDescent="0.2">
      <c r="A167" s="10" t="s">
        <v>8</v>
      </c>
      <c r="B167" s="11" t="s">
        <v>9</v>
      </c>
      <c r="C167" s="35" t="s">
        <v>157</v>
      </c>
      <c r="D167" s="37">
        <v>45350</v>
      </c>
      <c r="E167" s="36">
        <v>5699.9</v>
      </c>
      <c r="F167" s="35" t="s">
        <v>43</v>
      </c>
      <c r="G167" s="14" t="str">
        <f t="shared" si="4"/>
        <v>B</v>
      </c>
      <c r="H167" s="15" t="str">
        <f t="shared" si="5"/>
        <v>The Commissioner &amp; Chief Constable are satisfied the spend represents VFM in accordance with the requirements of Category B</v>
      </c>
      <c r="K167" s="17"/>
      <c r="L167" s="17"/>
    </row>
    <row r="168" spans="1:12" s="20" customFormat="1" x14ac:dyDescent="0.2">
      <c r="A168" s="10" t="s">
        <v>8</v>
      </c>
      <c r="B168" s="11" t="s">
        <v>9</v>
      </c>
      <c r="C168" s="35" t="s">
        <v>159</v>
      </c>
      <c r="D168" s="37">
        <v>45343</v>
      </c>
      <c r="E168" s="36">
        <v>5623.18</v>
      </c>
      <c r="F168" s="35" t="s">
        <v>22</v>
      </c>
      <c r="G168" s="14" t="str">
        <f t="shared" si="4"/>
        <v>B</v>
      </c>
      <c r="H168" s="15" t="str">
        <f t="shared" si="5"/>
        <v>The Commissioner &amp; Chief Constable are satisfied the spend represents VFM in accordance with the requirements of Category B</v>
      </c>
      <c r="K168" s="17"/>
      <c r="L168" s="17"/>
    </row>
    <row r="169" spans="1:12" s="20" customFormat="1" x14ac:dyDescent="0.2">
      <c r="A169" s="10" t="s">
        <v>8</v>
      </c>
      <c r="B169" s="11" t="s">
        <v>9</v>
      </c>
      <c r="C169" s="35" t="s">
        <v>90</v>
      </c>
      <c r="D169" s="37">
        <v>45335</v>
      </c>
      <c r="E169" s="36">
        <v>5610.48</v>
      </c>
      <c r="F169" s="35" t="s">
        <v>91</v>
      </c>
      <c r="G169" s="14" t="str">
        <f t="shared" si="4"/>
        <v>B</v>
      </c>
      <c r="H169" s="15" t="str">
        <f t="shared" si="5"/>
        <v>The Commissioner &amp; Chief Constable are satisfied the spend represents VFM in accordance with the requirements of Category B</v>
      </c>
      <c r="K169" s="17"/>
      <c r="L169" s="17"/>
    </row>
    <row r="170" spans="1:12" s="20" customFormat="1" x14ac:dyDescent="0.2">
      <c r="A170" s="10" t="s">
        <v>8</v>
      </c>
      <c r="B170" s="11" t="s">
        <v>9</v>
      </c>
      <c r="C170" s="35" t="s">
        <v>181</v>
      </c>
      <c r="D170" s="37">
        <v>45335</v>
      </c>
      <c r="E170" s="36">
        <v>5597.5</v>
      </c>
      <c r="F170" s="35" t="s">
        <v>106</v>
      </c>
      <c r="G170" s="14" t="str">
        <f t="shared" si="4"/>
        <v>B</v>
      </c>
      <c r="H170" s="15" t="str">
        <f t="shared" si="5"/>
        <v>The Commissioner &amp; Chief Constable are satisfied the spend represents VFM in accordance with the requirements of Category B</v>
      </c>
      <c r="K170" s="17"/>
      <c r="L170" s="17"/>
    </row>
    <row r="171" spans="1:12" s="20" customFormat="1" x14ac:dyDescent="0.2">
      <c r="A171" s="10" t="s">
        <v>8</v>
      </c>
      <c r="B171" s="11" t="s">
        <v>9</v>
      </c>
      <c r="C171" s="35" t="s">
        <v>352</v>
      </c>
      <c r="D171" s="37">
        <v>45336</v>
      </c>
      <c r="E171" s="36">
        <v>5583</v>
      </c>
      <c r="F171" s="35" t="s">
        <v>58</v>
      </c>
      <c r="G171" s="14" t="str">
        <f t="shared" si="4"/>
        <v>B</v>
      </c>
      <c r="H171" s="15" t="str">
        <f t="shared" si="5"/>
        <v>The Commissioner &amp; Chief Constable are satisfied the spend represents VFM in accordance with the requirements of Category B</v>
      </c>
      <c r="K171" s="17"/>
      <c r="L171" s="17"/>
    </row>
    <row r="172" spans="1:12" s="20" customFormat="1" x14ac:dyDescent="0.2">
      <c r="A172" s="10" t="s">
        <v>8</v>
      </c>
      <c r="B172" s="11" t="s">
        <v>9</v>
      </c>
      <c r="C172" s="35" t="s">
        <v>161</v>
      </c>
      <c r="D172" s="37">
        <v>45341</v>
      </c>
      <c r="E172" s="36">
        <v>5385.45</v>
      </c>
      <c r="F172" s="35" t="s">
        <v>15</v>
      </c>
      <c r="G172" s="14" t="str">
        <f t="shared" si="4"/>
        <v>B</v>
      </c>
      <c r="H172" s="15" t="str">
        <f t="shared" si="5"/>
        <v>The Commissioner &amp; Chief Constable are satisfied the spend represents VFM in accordance with the requirements of Category B</v>
      </c>
      <c r="K172" s="17"/>
      <c r="L172" s="17"/>
    </row>
    <row r="173" spans="1:12" s="20" customFormat="1" x14ac:dyDescent="0.2">
      <c r="A173" s="10" t="s">
        <v>8</v>
      </c>
      <c r="B173" s="11" t="s">
        <v>9</v>
      </c>
      <c r="C173" s="35" t="s">
        <v>48</v>
      </c>
      <c r="D173" s="37">
        <v>45323</v>
      </c>
      <c r="E173" s="36">
        <v>5344.91</v>
      </c>
      <c r="F173" s="35" t="s">
        <v>22</v>
      </c>
      <c r="G173" s="14" t="str">
        <f t="shared" si="4"/>
        <v>B</v>
      </c>
      <c r="H173" s="15" t="str">
        <f t="shared" si="5"/>
        <v>The Commissioner &amp; Chief Constable are satisfied the spend represents VFM in accordance with the requirements of Category B</v>
      </c>
      <c r="K173" s="17"/>
      <c r="L173" s="17"/>
    </row>
    <row r="174" spans="1:12" s="20" customFormat="1" x14ac:dyDescent="0.2">
      <c r="A174" s="10" t="s">
        <v>8</v>
      </c>
      <c r="B174" s="11" t="s">
        <v>9</v>
      </c>
      <c r="C174" s="35" t="s">
        <v>568</v>
      </c>
      <c r="D174" s="37">
        <v>45323</v>
      </c>
      <c r="E174" s="36">
        <v>5135.5</v>
      </c>
      <c r="F174" s="35" t="s">
        <v>123</v>
      </c>
      <c r="G174" s="14" t="str">
        <f t="shared" si="4"/>
        <v>B</v>
      </c>
      <c r="H174" s="15" t="str">
        <f t="shared" si="5"/>
        <v>The Commissioner &amp; Chief Constable are satisfied the spend represents VFM in accordance with the requirements of Category B</v>
      </c>
      <c r="K174" s="17"/>
      <c r="L174" s="17"/>
    </row>
    <row r="175" spans="1:12" s="20" customFormat="1" x14ac:dyDescent="0.2">
      <c r="A175" s="10" t="s">
        <v>8</v>
      </c>
      <c r="B175" s="11" t="s">
        <v>9</v>
      </c>
      <c r="C175" s="35" t="s">
        <v>475</v>
      </c>
      <c r="D175" s="37">
        <v>45350</v>
      </c>
      <c r="E175" s="36">
        <v>5002.5600000000004</v>
      </c>
      <c r="F175" s="35" t="s">
        <v>133</v>
      </c>
      <c r="G175" s="14" t="str">
        <f t="shared" si="4"/>
        <v>B</v>
      </c>
      <c r="H175" s="15" t="str">
        <f t="shared" si="5"/>
        <v>The Commissioner &amp; Chief Constable are satisfied the spend represents VFM in accordance with the requirements of Category B</v>
      </c>
      <c r="K175" s="17"/>
      <c r="L175" s="17"/>
    </row>
    <row r="176" spans="1:12" s="20" customFormat="1" x14ac:dyDescent="0.2">
      <c r="A176" s="10" t="s">
        <v>8</v>
      </c>
      <c r="B176" s="11" t="s">
        <v>9</v>
      </c>
      <c r="C176" s="35" t="s">
        <v>168</v>
      </c>
      <c r="D176" s="37">
        <v>45327</v>
      </c>
      <c r="E176" s="36">
        <v>5000</v>
      </c>
      <c r="F176" s="35" t="s">
        <v>169</v>
      </c>
      <c r="G176" s="14" t="str">
        <f t="shared" si="4"/>
        <v>B</v>
      </c>
      <c r="H176" s="15" t="str">
        <f t="shared" si="5"/>
        <v>The Commissioner &amp; Chief Constable are satisfied the spend represents VFM in accordance with the requirements of Category B</v>
      </c>
      <c r="K176" s="17"/>
      <c r="L176" s="17"/>
    </row>
    <row r="177" spans="1:12" s="20" customFormat="1" x14ac:dyDescent="0.2">
      <c r="A177" s="10" t="s">
        <v>8</v>
      </c>
      <c r="B177" s="11" t="s">
        <v>9</v>
      </c>
      <c r="C177" s="35" t="s">
        <v>448</v>
      </c>
      <c r="D177" s="37">
        <v>45343</v>
      </c>
      <c r="E177" s="36">
        <v>5000</v>
      </c>
      <c r="F177" s="35" t="s">
        <v>27</v>
      </c>
      <c r="G177" s="14" t="str">
        <f t="shared" si="4"/>
        <v>B</v>
      </c>
      <c r="H177" s="15" t="str">
        <f t="shared" si="5"/>
        <v>The Commissioner &amp; Chief Constable are satisfied the spend represents VFM in accordance with the requirements of Category B</v>
      </c>
      <c r="K177" s="17"/>
      <c r="L177" s="17"/>
    </row>
    <row r="178" spans="1:12" s="20" customFormat="1" x14ac:dyDescent="0.2">
      <c r="A178" s="10" t="s">
        <v>8</v>
      </c>
      <c r="B178" s="11" t="s">
        <v>9</v>
      </c>
      <c r="C178" s="35" t="s">
        <v>445</v>
      </c>
      <c r="D178" s="37">
        <v>45338</v>
      </c>
      <c r="E178" s="36">
        <v>5000</v>
      </c>
      <c r="F178" s="35" t="s">
        <v>27</v>
      </c>
      <c r="G178" s="14" t="str">
        <f t="shared" si="4"/>
        <v>B</v>
      </c>
      <c r="H178" s="15" t="str">
        <f t="shared" si="5"/>
        <v>The Commissioner &amp; Chief Constable are satisfied the spend represents VFM in accordance with the requirements of Category B</v>
      </c>
      <c r="K178" s="17"/>
      <c r="L178" s="17"/>
    </row>
    <row r="179" spans="1:12" s="20" customFormat="1" x14ac:dyDescent="0.2">
      <c r="A179" s="10" t="s">
        <v>8</v>
      </c>
      <c r="B179" s="11" t="s">
        <v>9</v>
      </c>
      <c r="C179" s="35" t="s">
        <v>166</v>
      </c>
      <c r="D179" s="37">
        <v>45350</v>
      </c>
      <c r="E179" s="36">
        <v>5000</v>
      </c>
      <c r="F179" s="35" t="s">
        <v>27</v>
      </c>
      <c r="G179" s="14" t="str">
        <f t="shared" si="4"/>
        <v>B</v>
      </c>
      <c r="H179" s="15" t="str">
        <f t="shared" si="5"/>
        <v>The Commissioner &amp; Chief Constable are satisfied the spend represents VFM in accordance with the requirements of Category B</v>
      </c>
      <c r="K179" s="17"/>
      <c r="L179" s="17"/>
    </row>
    <row r="180" spans="1:12" s="20" customFormat="1" x14ac:dyDescent="0.2">
      <c r="A180" s="10" t="s">
        <v>8</v>
      </c>
      <c r="B180" s="11" t="s">
        <v>9</v>
      </c>
      <c r="C180" s="35" t="s">
        <v>448</v>
      </c>
      <c r="D180" s="37">
        <v>45335</v>
      </c>
      <c r="E180" s="36">
        <v>5000</v>
      </c>
      <c r="F180" s="35" t="s">
        <v>27</v>
      </c>
      <c r="G180" s="14" t="str">
        <f t="shared" si="4"/>
        <v>B</v>
      </c>
      <c r="H180" s="15" t="str">
        <f t="shared" si="5"/>
        <v>The Commissioner &amp; Chief Constable are satisfied the spend represents VFM in accordance with the requirements of Category B</v>
      </c>
      <c r="K180" s="17"/>
      <c r="L180" s="17"/>
    </row>
    <row r="181" spans="1:12" s="20" customFormat="1" x14ac:dyDescent="0.2">
      <c r="A181" s="10" t="s">
        <v>8</v>
      </c>
      <c r="B181" s="11" t="s">
        <v>9</v>
      </c>
      <c r="C181" s="35" t="s">
        <v>168</v>
      </c>
      <c r="D181" s="37">
        <v>45337</v>
      </c>
      <c r="E181" s="36">
        <v>5000</v>
      </c>
      <c r="F181" s="35" t="s">
        <v>169</v>
      </c>
      <c r="G181" s="14" t="str">
        <f t="shared" si="4"/>
        <v>B</v>
      </c>
      <c r="H181" s="15" t="str">
        <f t="shared" si="5"/>
        <v>The Commissioner &amp; Chief Constable are satisfied the spend represents VFM in accordance with the requirements of Category B</v>
      </c>
      <c r="K181" s="17"/>
      <c r="L181" s="17"/>
    </row>
    <row r="182" spans="1:12" s="20" customFormat="1" x14ac:dyDescent="0.2">
      <c r="A182" s="10" t="s">
        <v>8</v>
      </c>
      <c r="B182" s="11" t="s">
        <v>9</v>
      </c>
      <c r="C182" s="35" t="s">
        <v>374</v>
      </c>
      <c r="D182" s="37">
        <v>45343</v>
      </c>
      <c r="E182" s="36">
        <v>4900</v>
      </c>
      <c r="F182" s="35" t="s">
        <v>373</v>
      </c>
      <c r="G182" s="14" t="str">
        <f t="shared" si="4"/>
        <v>B</v>
      </c>
      <c r="H182" s="15" t="str">
        <f t="shared" si="5"/>
        <v>The Commissioner &amp; Chief Constable are satisfied the spend represents VFM in accordance with the requirements of Category B</v>
      </c>
      <c r="K182" s="17"/>
      <c r="L182" s="17"/>
    </row>
    <row r="183" spans="1:12" s="20" customFormat="1" x14ac:dyDescent="0.2">
      <c r="A183" s="10" t="s">
        <v>8</v>
      </c>
      <c r="B183" s="11" t="s">
        <v>9</v>
      </c>
      <c r="C183" s="35" t="s">
        <v>149</v>
      </c>
      <c r="D183" s="37">
        <v>45345</v>
      </c>
      <c r="E183" s="36">
        <v>4893.57</v>
      </c>
      <c r="F183" s="35" t="s">
        <v>138</v>
      </c>
      <c r="G183" s="14" t="str">
        <f t="shared" si="4"/>
        <v>B</v>
      </c>
      <c r="H183" s="15" t="str">
        <f t="shared" si="5"/>
        <v>The Commissioner &amp; Chief Constable are satisfied the spend represents VFM in accordance with the requirements of Category B</v>
      </c>
      <c r="K183" s="17"/>
      <c r="L183" s="17"/>
    </row>
    <row r="184" spans="1:12" s="20" customFormat="1" x14ac:dyDescent="0.2">
      <c r="A184" s="10" t="s">
        <v>8</v>
      </c>
      <c r="B184" s="11" t="s">
        <v>9</v>
      </c>
      <c r="C184" s="35" t="s">
        <v>149</v>
      </c>
      <c r="D184" s="37">
        <v>45338</v>
      </c>
      <c r="E184" s="36">
        <v>4872.41</v>
      </c>
      <c r="F184" s="35" t="s">
        <v>138</v>
      </c>
      <c r="G184" s="14" t="str">
        <f t="shared" si="4"/>
        <v>B</v>
      </c>
      <c r="H184" s="15" t="str">
        <f t="shared" si="5"/>
        <v>The Commissioner &amp; Chief Constable are satisfied the spend represents VFM in accordance with the requirements of Category B</v>
      </c>
      <c r="K184" s="17"/>
      <c r="L184" s="17"/>
    </row>
    <row r="185" spans="1:12" s="20" customFormat="1" x14ac:dyDescent="0.2">
      <c r="A185" s="10" t="s">
        <v>8</v>
      </c>
      <c r="B185" s="11" t="s">
        <v>9</v>
      </c>
      <c r="C185" s="35" t="s">
        <v>183</v>
      </c>
      <c r="D185" s="37">
        <v>45343</v>
      </c>
      <c r="E185" s="36">
        <v>4850</v>
      </c>
      <c r="F185" s="35" t="s">
        <v>131</v>
      </c>
      <c r="G185" s="14" t="str">
        <f t="shared" si="4"/>
        <v>B</v>
      </c>
      <c r="H185" s="15" t="str">
        <f t="shared" si="5"/>
        <v>The Commissioner &amp; Chief Constable are satisfied the spend represents VFM in accordance with the requirements of Category B</v>
      </c>
      <c r="K185" s="17"/>
      <c r="L185" s="17"/>
    </row>
    <row r="186" spans="1:12" s="20" customFormat="1" x14ac:dyDescent="0.2">
      <c r="A186" s="10" t="s">
        <v>8</v>
      </c>
      <c r="B186" s="11" t="s">
        <v>9</v>
      </c>
      <c r="C186" s="35" t="s">
        <v>428</v>
      </c>
      <c r="D186" s="37">
        <v>45349</v>
      </c>
      <c r="E186" s="36">
        <v>4825.09</v>
      </c>
      <c r="F186" s="35" t="s">
        <v>131</v>
      </c>
      <c r="G186" s="14" t="str">
        <f t="shared" si="4"/>
        <v>B</v>
      </c>
      <c r="H186" s="15" t="str">
        <f t="shared" si="5"/>
        <v>The Commissioner &amp; Chief Constable are satisfied the spend represents VFM in accordance with the requirements of Category B</v>
      </c>
      <c r="K186" s="17"/>
      <c r="L186" s="17"/>
    </row>
    <row r="187" spans="1:12" s="20" customFormat="1" x14ac:dyDescent="0.2">
      <c r="A187" s="10" t="s">
        <v>8</v>
      </c>
      <c r="B187" s="11" t="s">
        <v>9</v>
      </c>
      <c r="C187" s="35" t="s">
        <v>567</v>
      </c>
      <c r="D187" s="37">
        <v>45340</v>
      </c>
      <c r="E187" s="36">
        <v>4800</v>
      </c>
      <c r="F187" s="35" t="s">
        <v>15</v>
      </c>
      <c r="G187" s="14" t="str">
        <f t="shared" si="4"/>
        <v>B</v>
      </c>
      <c r="H187" s="15" t="str">
        <f t="shared" si="5"/>
        <v>The Commissioner &amp; Chief Constable are satisfied the spend represents VFM in accordance with the requirements of Category B</v>
      </c>
      <c r="K187" s="17"/>
      <c r="L187" s="17"/>
    </row>
    <row r="188" spans="1:12" s="20" customFormat="1" x14ac:dyDescent="0.2">
      <c r="A188" s="10" t="s">
        <v>8</v>
      </c>
      <c r="B188" s="11" t="s">
        <v>9</v>
      </c>
      <c r="C188" s="35" t="s">
        <v>566</v>
      </c>
      <c r="D188" s="37">
        <v>45330</v>
      </c>
      <c r="E188" s="36">
        <v>4773</v>
      </c>
      <c r="F188" s="35" t="s">
        <v>155</v>
      </c>
      <c r="G188" s="14" t="str">
        <f t="shared" si="4"/>
        <v>B</v>
      </c>
      <c r="H188" s="15" t="str">
        <f t="shared" si="5"/>
        <v>The Commissioner &amp; Chief Constable are satisfied the spend represents VFM in accordance with the requirements of Category B</v>
      </c>
      <c r="K188" s="17"/>
      <c r="L188" s="17"/>
    </row>
    <row r="189" spans="1:12" s="20" customFormat="1" x14ac:dyDescent="0.2">
      <c r="A189" s="10" t="s">
        <v>8</v>
      </c>
      <c r="B189" s="11" t="s">
        <v>9</v>
      </c>
      <c r="C189" s="35" t="s">
        <v>565</v>
      </c>
      <c r="D189" s="37">
        <v>45328</v>
      </c>
      <c r="E189" s="36">
        <v>4763.57</v>
      </c>
      <c r="F189" s="35" t="s">
        <v>22</v>
      </c>
      <c r="G189" s="14" t="str">
        <f t="shared" si="4"/>
        <v>B</v>
      </c>
      <c r="H189" s="15" t="str">
        <f t="shared" si="5"/>
        <v>The Commissioner &amp; Chief Constable are satisfied the spend represents VFM in accordance with the requirements of Category B</v>
      </c>
      <c r="K189" s="17"/>
      <c r="L189" s="17"/>
    </row>
    <row r="190" spans="1:12" s="20" customFormat="1" x14ac:dyDescent="0.2">
      <c r="A190" s="10" t="s">
        <v>8</v>
      </c>
      <c r="B190" s="11" t="s">
        <v>9</v>
      </c>
      <c r="C190" s="35" t="s">
        <v>142</v>
      </c>
      <c r="D190" s="37">
        <v>45327</v>
      </c>
      <c r="E190" s="36">
        <v>4690.2</v>
      </c>
      <c r="F190" s="35" t="s">
        <v>143</v>
      </c>
      <c r="G190" s="14" t="str">
        <f t="shared" si="4"/>
        <v>B</v>
      </c>
      <c r="H190" s="15" t="str">
        <f t="shared" si="5"/>
        <v>The Commissioner &amp; Chief Constable are satisfied the spend represents VFM in accordance with the requirements of Category B</v>
      </c>
      <c r="K190" s="17"/>
      <c r="L190" s="17"/>
    </row>
    <row r="191" spans="1:12" s="20" customFormat="1" x14ac:dyDescent="0.2">
      <c r="A191" s="10" t="s">
        <v>8</v>
      </c>
      <c r="B191" s="11" t="s">
        <v>9</v>
      </c>
      <c r="C191" s="35" t="s">
        <v>153</v>
      </c>
      <c r="D191" s="37">
        <v>45328</v>
      </c>
      <c r="E191" s="36">
        <v>4594.8100000000004</v>
      </c>
      <c r="F191" s="35" t="s">
        <v>39</v>
      </c>
      <c r="G191" s="14" t="str">
        <f t="shared" si="4"/>
        <v>B</v>
      </c>
      <c r="H191" s="15" t="str">
        <f t="shared" si="5"/>
        <v>The Commissioner &amp; Chief Constable are satisfied the spend represents VFM in accordance with the requirements of Category B</v>
      </c>
      <c r="K191" s="17"/>
      <c r="L191" s="17"/>
    </row>
    <row r="192" spans="1:12" s="20" customFormat="1" x14ac:dyDescent="0.2">
      <c r="A192" s="10" t="s">
        <v>8</v>
      </c>
      <c r="B192" s="11" t="s">
        <v>9</v>
      </c>
      <c r="C192" s="35" t="s">
        <v>173</v>
      </c>
      <c r="D192" s="37">
        <v>45330</v>
      </c>
      <c r="E192" s="36">
        <v>4586.67</v>
      </c>
      <c r="F192" s="35" t="s">
        <v>80</v>
      </c>
      <c r="G192" s="14" t="str">
        <f t="shared" si="4"/>
        <v>B</v>
      </c>
      <c r="H192" s="15" t="str">
        <f t="shared" si="5"/>
        <v>The Commissioner &amp; Chief Constable are satisfied the spend represents VFM in accordance with the requirements of Category B</v>
      </c>
      <c r="K192" s="17"/>
      <c r="L192" s="17"/>
    </row>
    <row r="193" spans="1:12" s="20" customFormat="1" x14ac:dyDescent="0.2">
      <c r="A193" s="10" t="s">
        <v>8</v>
      </c>
      <c r="B193" s="11" t="s">
        <v>9</v>
      </c>
      <c r="C193" s="35" t="s">
        <v>564</v>
      </c>
      <c r="D193" s="37">
        <v>45351</v>
      </c>
      <c r="E193" s="36">
        <v>4500</v>
      </c>
      <c r="F193" s="35" t="s">
        <v>22</v>
      </c>
      <c r="G193" s="14" t="str">
        <f t="shared" si="4"/>
        <v>B</v>
      </c>
      <c r="H193" s="15" t="str">
        <f t="shared" si="5"/>
        <v>The Commissioner &amp; Chief Constable are satisfied the spend represents VFM in accordance with the requirements of Category B</v>
      </c>
      <c r="K193" s="17"/>
      <c r="L193" s="17"/>
    </row>
    <row r="194" spans="1:12" s="20" customFormat="1" x14ac:dyDescent="0.2">
      <c r="A194" s="10" t="s">
        <v>8</v>
      </c>
      <c r="B194" s="11" t="s">
        <v>9</v>
      </c>
      <c r="C194" s="35" t="s">
        <v>139</v>
      </c>
      <c r="D194" s="37">
        <v>45350</v>
      </c>
      <c r="E194" s="36">
        <v>4476.66</v>
      </c>
      <c r="F194" s="35" t="s">
        <v>39</v>
      </c>
      <c r="G194" s="14" t="str">
        <f t="shared" ref="G194:G257" si="6">IF(E194&gt;25000,"C",IF(E194&gt;1000,"B","A"))</f>
        <v>B</v>
      </c>
      <c r="H194" s="15" t="str">
        <f t="shared" ref="H194:H257" si="7">VLOOKUP(G194,$K$2:$L$4,2,FALSE)</f>
        <v>The Commissioner &amp; Chief Constable are satisfied the spend represents VFM in accordance with the requirements of Category B</v>
      </c>
      <c r="K194" s="17"/>
      <c r="L194" s="17"/>
    </row>
    <row r="195" spans="1:12" s="20" customFormat="1" x14ac:dyDescent="0.2">
      <c r="A195" s="10" t="s">
        <v>8</v>
      </c>
      <c r="B195" s="11" t="s">
        <v>9</v>
      </c>
      <c r="C195" s="35" t="s">
        <v>282</v>
      </c>
      <c r="D195" s="37">
        <v>45345</v>
      </c>
      <c r="E195" s="36">
        <v>4473.33</v>
      </c>
      <c r="F195" s="35" t="s">
        <v>131</v>
      </c>
      <c r="G195" s="14" t="str">
        <f t="shared" si="6"/>
        <v>B</v>
      </c>
      <c r="H195" s="15" t="str">
        <f t="shared" si="7"/>
        <v>The Commissioner &amp; Chief Constable are satisfied the spend represents VFM in accordance with the requirements of Category B</v>
      </c>
      <c r="K195" s="17"/>
      <c r="L195" s="17"/>
    </row>
    <row r="196" spans="1:12" s="20" customFormat="1" x14ac:dyDescent="0.2">
      <c r="A196" s="10" t="s">
        <v>8</v>
      </c>
      <c r="B196" s="11" t="s">
        <v>9</v>
      </c>
      <c r="C196" s="35" t="s">
        <v>128</v>
      </c>
      <c r="D196" s="37">
        <v>45328</v>
      </c>
      <c r="E196" s="36">
        <v>4413.47</v>
      </c>
      <c r="F196" s="35" t="s">
        <v>129</v>
      </c>
      <c r="G196" s="14" t="str">
        <f t="shared" si="6"/>
        <v>B</v>
      </c>
      <c r="H196" s="15" t="str">
        <f t="shared" si="7"/>
        <v>The Commissioner &amp; Chief Constable are satisfied the spend represents VFM in accordance with the requirements of Category B</v>
      </c>
      <c r="K196" s="17"/>
      <c r="L196" s="17"/>
    </row>
    <row r="197" spans="1:12" s="20" customFormat="1" x14ac:dyDescent="0.2">
      <c r="A197" s="10" t="s">
        <v>8</v>
      </c>
      <c r="B197" s="11" t="s">
        <v>9</v>
      </c>
      <c r="C197" s="35" t="s">
        <v>103</v>
      </c>
      <c r="D197" s="37">
        <v>45335</v>
      </c>
      <c r="E197" s="36">
        <v>4330</v>
      </c>
      <c r="F197" s="35" t="s">
        <v>91</v>
      </c>
      <c r="G197" s="14" t="str">
        <f t="shared" si="6"/>
        <v>B</v>
      </c>
      <c r="H197" s="15" t="str">
        <f t="shared" si="7"/>
        <v>The Commissioner &amp; Chief Constable are satisfied the spend represents VFM in accordance with the requirements of Category B</v>
      </c>
      <c r="K197" s="17"/>
      <c r="L197" s="17"/>
    </row>
    <row r="198" spans="1:12" s="20" customFormat="1" x14ac:dyDescent="0.2">
      <c r="A198" s="10" t="s">
        <v>8</v>
      </c>
      <c r="B198" s="11" t="s">
        <v>9</v>
      </c>
      <c r="C198" s="35" t="s">
        <v>563</v>
      </c>
      <c r="D198" s="37">
        <v>45348</v>
      </c>
      <c r="E198" s="36">
        <v>4290</v>
      </c>
      <c r="F198" s="35" t="s">
        <v>177</v>
      </c>
      <c r="G198" s="14" t="str">
        <f t="shared" si="6"/>
        <v>B</v>
      </c>
      <c r="H198" s="15" t="str">
        <f t="shared" si="7"/>
        <v>The Commissioner &amp; Chief Constable are satisfied the spend represents VFM in accordance with the requirements of Category B</v>
      </c>
      <c r="K198" s="17"/>
      <c r="L198" s="17"/>
    </row>
    <row r="199" spans="1:12" s="20" customFormat="1" x14ac:dyDescent="0.2">
      <c r="A199" s="10" t="s">
        <v>8</v>
      </c>
      <c r="B199" s="11" t="s">
        <v>9</v>
      </c>
      <c r="C199" s="35" t="s">
        <v>545</v>
      </c>
      <c r="D199" s="37">
        <v>45328</v>
      </c>
      <c r="E199" s="36">
        <v>4250</v>
      </c>
      <c r="F199" s="35" t="s">
        <v>22</v>
      </c>
      <c r="G199" s="14" t="str">
        <f t="shared" si="6"/>
        <v>B</v>
      </c>
      <c r="H199" s="15" t="str">
        <f t="shared" si="7"/>
        <v>The Commissioner &amp; Chief Constable are satisfied the spend represents VFM in accordance with the requirements of Category B</v>
      </c>
      <c r="K199" s="17"/>
      <c r="L199" s="17"/>
    </row>
    <row r="200" spans="1:12" s="20" customFormat="1" x14ac:dyDescent="0.2">
      <c r="A200" s="10" t="s">
        <v>8</v>
      </c>
      <c r="B200" s="11" t="s">
        <v>9</v>
      </c>
      <c r="C200" s="35" t="s">
        <v>100</v>
      </c>
      <c r="D200" s="37">
        <v>45329</v>
      </c>
      <c r="E200" s="36">
        <v>4219</v>
      </c>
      <c r="F200" s="35" t="s">
        <v>38</v>
      </c>
      <c r="G200" s="14" t="str">
        <f t="shared" si="6"/>
        <v>B</v>
      </c>
      <c r="H200" s="15" t="str">
        <f t="shared" si="7"/>
        <v>The Commissioner &amp; Chief Constable are satisfied the spend represents VFM in accordance with the requirements of Category B</v>
      </c>
      <c r="K200" s="17"/>
      <c r="L200" s="17"/>
    </row>
    <row r="201" spans="1:12" s="20" customFormat="1" x14ac:dyDescent="0.2">
      <c r="A201" s="10" t="s">
        <v>8</v>
      </c>
      <c r="B201" s="11" t="s">
        <v>9</v>
      </c>
      <c r="C201" s="35" t="s">
        <v>525</v>
      </c>
      <c r="D201" s="37">
        <v>45324</v>
      </c>
      <c r="E201" s="36">
        <v>4077</v>
      </c>
      <c r="F201" s="35" t="s">
        <v>524</v>
      </c>
      <c r="G201" s="14" t="str">
        <f t="shared" si="6"/>
        <v>B</v>
      </c>
      <c r="H201" s="15" t="str">
        <f t="shared" si="7"/>
        <v>The Commissioner &amp; Chief Constable are satisfied the spend represents VFM in accordance with the requirements of Category B</v>
      </c>
      <c r="K201" s="17"/>
      <c r="L201" s="17"/>
    </row>
    <row r="202" spans="1:12" s="20" customFormat="1" x14ac:dyDescent="0.2">
      <c r="A202" s="10" t="s">
        <v>8</v>
      </c>
      <c r="B202" s="11" t="s">
        <v>9</v>
      </c>
      <c r="C202" s="35" t="s">
        <v>119</v>
      </c>
      <c r="D202" s="37">
        <v>45348</v>
      </c>
      <c r="E202" s="36">
        <v>4040.13</v>
      </c>
      <c r="F202" s="35" t="s">
        <v>120</v>
      </c>
      <c r="G202" s="14" t="str">
        <f t="shared" si="6"/>
        <v>B</v>
      </c>
      <c r="H202" s="15" t="str">
        <f t="shared" si="7"/>
        <v>The Commissioner &amp; Chief Constable are satisfied the spend represents VFM in accordance with the requirements of Category B</v>
      </c>
      <c r="K202" s="17"/>
      <c r="L202" s="17"/>
    </row>
    <row r="203" spans="1:12" s="20" customFormat="1" x14ac:dyDescent="0.2">
      <c r="A203" s="10" t="s">
        <v>8</v>
      </c>
      <c r="B203" s="11" t="s">
        <v>9</v>
      </c>
      <c r="C203" s="35" t="s">
        <v>562</v>
      </c>
      <c r="D203" s="37">
        <v>45338</v>
      </c>
      <c r="E203" s="36">
        <v>4000</v>
      </c>
      <c r="F203" s="35" t="s">
        <v>27</v>
      </c>
      <c r="G203" s="14" t="str">
        <f t="shared" si="6"/>
        <v>B</v>
      </c>
      <c r="H203" s="15" t="str">
        <f t="shared" si="7"/>
        <v>The Commissioner &amp; Chief Constable are satisfied the spend represents VFM in accordance with the requirements of Category B</v>
      </c>
      <c r="K203" s="17"/>
      <c r="L203" s="17"/>
    </row>
    <row r="204" spans="1:12" s="20" customFormat="1" x14ac:dyDescent="0.2">
      <c r="A204" s="10" t="s">
        <v>8</v>
      </c>
      <c r="B204" s="11" t="s">
        <v>9</v>
      </c>
      <c r="C204" s="35" t="s">
        <v>561</v>
      </c>
      <c r="D204" s="37">
        <v>45334</v>
      </c>
      <c r="E204" s="36">
        <v>3961.44</v>
      </c>
      <c r="F204" s="35" t="s">
        <v>148</v>
      </c>
      <c r="G204" s="14" t="str">
        <f t="shared" si="6"/>
        <v>B</v>
      </c>
      <c r="H204" s="15" t="str">
        <f t="shared" si="7"/>
        <v>The Commissioner &amp; Chief Constable are satisfied the spend represents VFM in accordance with the requirements of Category B</v>
      </c>
      <c r="K204" s="17"/>
      <c r="L204" s="17"/>
    </row>
    <row r="205" spans="1:12" s="20" customFormat="1" x14ac:dyDescent="0.2">
      <c r="A205" s="10" t="s">
        <v>8</v>
      </c>
      <c r="B205" s="11" t="s">
        <v>9</v>
      </c>
      <c r="C205" s="35" t="s">
        <v>374</v>
      </c>
      <c r="D205" s="37">
        <v>45334</v>
      </c>
      <c r="E205" s="36">
        <v>3950</v>
      </c>
      <c r="F205" s="35" t="s">
        <v>373</v>
      </c>
      <c r="G205" s="14" t="str">
        <f t="shared" si="6"/>
        <v>B</v>
      </c>
      <c r="H205" s="15" t="str">
        <f t="shared" si="7"/>
        <v>The Commissioner &amp; Chief Constable are satisfied the spend represents VFM in accordance with the requirements of Category B</v>
      </c>
      <c r="K205" s="17"/>
      <c r="L205" s="17"/>
    </row>
    <row r="206" spans="1:12" s="20" customFormat="1" x14ac:dyDescent="0.2">
      <c r="A206" s="10" t="s">
        <v>8</v>
      </c>
      <c r="B206" s="11" t="s">
        <v>9</v>
      </c>
      <c r="C206" s="35" t="s">
        <v>26</v>
      </c>
      <c r="D206" s="37">
        <v>45342</v>
      </c>
      <c r="E206" s="36">
        <v>3939.74</v>
      </c>
      <c r="F206" s="35" t="s">
        <v>88</v>
      </c>
      <c r="G206" s="14" t="str">
        <f t="shared" si="6"/>
        <v>B</v>
      </c>
      <c r="H206" s="15" t="str">
        <f t="shared" si="7"/>
        <v>The Commissioner &amp; Chief Constable are satisfied the spend represents VFM in accordance with the requirements of Category B</v>
      </c>
      <c r="K206" s="17"/>
      <c r="L206" s="17"/>
    </row>
    <row r="207" spans="1:12" s="20" customFormat="1" x14ac:dyDescent="0.2">
      <c r="A207" s="10" t="s">
        <v>8</v>
      </c>
      <c r="B207" s="11" t="s">
        <v>9</v>
      </c>
      <c r="C207" s="35" t="s">
        <v>560</v>
      </c>
      <c r="D207" s="37">
        <v>45334</v>
      </c>
      <c r="E207" s="36">
        <v>3909.5</v>
      </c>
      <c r="F207" s="35" t="s">
        <v>148</v>
      </c>
      <c r="G207" s="14" t="str">
        <f t="shared" si="6"/>
        <v>B</v>
      </c>
      <c r="H207" s="15" t="str">
        <f t="shared" si="7"/>
        <v>The Commissioner &amp; Chief Constable are satisfied the spend represents VFM in accordance with the requirements of Category B</v>
      </c>
      <c r="K207" s="17"/>
      <c r="L207" s="17"/>
    </row>
    <row r="208" spans="1:12" s="20" customFormat="1" x14ac:dyDescent="0.2">
      <c r="A208" s="10" t="s">
        <v>8</v>
      </c>
      <c r="B208" s="11" t="s">
        <v>9</v>
      </c>
      <c r="C208" s="35" t="s">
        <v>222</v>
      </c>
      <c r="D208" s="37">
        <v>45337</v>
      </c>
      <c r="E208" s="36">
        <v>3897.2</v>
      </c>
      <c r="F208" s="35" t="s">
        <v>22</v>
      </c>
      <c r="G208" s="14" t="str">
        <f t="shared" si="6"/>
        <v>B</v>
      </c>
      <c r="H208" s="15" t="str">
        <f t="shared" si="7"/>
        <v>The Commissioner &amp; Chief Constable are satisfied the spend represents VFM in accordance with the requirements of Category B</v>
      </c>
      <c r="K208" s="17"/>
      <c r="L208" s="17"/>
    </row>
    <row r="209" spans="1:12" s="20" customFormat="1" x14ac:dyDescent="0.2">
      <c r="A209" s="10" t="s">
        <v>8</v>
      </c>
      <c r="B209" s="11" t="s">
        <v>9</v>
      </c>
      <c r="C209" s="35" t="s">
        <v>333</v>
      </c>
      <c r="D209" s="37">
        <v>45328</v>
      </c>
      <c r="E209" s="36">
        <v>3864</v>
      </c>
      <c r="F209" s="35" t="s">
        <v>39</v>
      </c>
      <c r="G209" s="14" t="str">
        <f t="shared" si="6"/>
        <v>B</v>
      </c>
      <c r="H209" s="15" t="str">
        <f t="shared" si="7"/>
        <v>The Commissioner &amp; Chief Constable are satisfied the spend represents VFM in accordance with the requirements of Category B</v>
      </c>
      <c r="K209" s="17"/>
      <c r="L209" s="17"/>
    </row>
    <row r="210" spans="1:12" s="20" customFormat="1" x14ac:dyDescent="0.2">
      <c r="A210" s="10" t="s">
        <v>8</v>
      </c>
      <c r="B210" s="11" t="s">
        <v>9</v>
      </c>
      <c r="C210" s="35" t="s">
        <v>374</v>
      </c>
      <c r="D210" s="37">
        <v>45334</v>
      </c>
      <c r="E210" s="36">
        <v>3750</v>
      </c>
      <c r="F210" s="35" t="s">
        <v>373</v>
      </c>
      <c r="G210" s="14" t="str">
        <f t="shared" si="6"/>
        <v>B</v>
      </c>
      <c r="H210" s="15" t="str">
        <f t="shared" si="7"/>
        <v>The Commissioner &amp; Chief Constable are satisfied the spend represents VFM in accordance with the requirements of Category B</v>
      </c>
      <c r="K210" s="17"/>
      <c r="L210" s="17"/>
    </row>
    <row r="211" spans="1:12" s="20" customFormat="1" x14ac:dyDescent="0.2">
      <c r="A211" s="10" t="s">
        <v>8</v>
      </c>
      <c r="B211" s="11" t="s">
        <v>9</v>
      </c>
      <c r="C211" s="35" t="s">
        <v>559</v>
      </c>
      <c r="D211" s="37">
        <v>45338</v>
      </c>
      <c r="E211" s="36">
        <v>3726.47</v>
      </c>
      <c r="F211" s="35" t="s">
        <v>27</v>
      </c>
      <c r="G211" s="14" t="str">
        <f t="shared" si="6"/>
        <v>B</v>
      </c>
      <c r="H211" s="15" t="str">
        <f t="shared" si="7"/>
        <v>The Commissioner &amp; Chief Constable are satisfied the spend represents VFM in accordance with the requirements of Category B</v>
      </c>
      <c r="K211" s="17"/>
      <c r="L211" s="17"/>
    </row>
    <row r="212" spans="1:12" s="20" customFormat="1" x14ac:dyDescent="0.2">
      <c r="A212" s="10" t="s">
        <v>8</v>
      </c>
      <c r="B212" s="11" t="s">
        <v>9</v>
      </c>
      <c r="C212" s="35" t="s">
        <v>333</v>
      </c>
      <c r="D212" s="37">
        <v>45338</v>
      </c>
      <c r="E212" s="36">
        <v>3715</v>
      </c>
      <c r="F212" s="35" t="s">
        <v>39</v>
      </c>
      <c r="G212" s="14" t="str">
        <f t="shared" si="6"/>
        <v>B</v>
      </c>
      <c r="H212" s="15" t="str">
        <f t="shared" si="7"/>
        <v>The Commissioner &amp; Chief Constable are satisfied the spend represents VFM in accordance with the requirements of Category B</v>
      </c>
      <c r="K212" s="17"/>
      <c r="L212" s="17"/>
    </row>
    <row r="213" spans="1:12" s="20" customFormat="1" x14ac:dyDescent="0.2">
      <c r="A213" s="10" t="s">
        <v>8</v>
      </c>
      <c r="B213" s="11" t="s">
        <v>9</v>
      </c>
      <c r="C213" s="35" t="s">
        <v>331</v>
      </c>
      <c r="D213" s="37">
        <v>45343</v>
      </c>
      <c r="E213" s="36">
        <v>3700</v>
      </c>
      <c r="F213" s="35" t="s">
        <v>131</v>
      </c>
      <c r="G213" s="14" t="str">
        <f t="shared" si="6"/>
        <v>B</v>
      </c>
      <c r="H213" s="15" t="str">
        <f t="shared" si="7"/>
        <v>The Commissioner &amp; Chief Constable are satisfied the spend represents VFM in accordance with the requirements of Category B</v>
      </c>
      <c r="K213" s="17"/>
      <c r="L213" s="17"/>
    </row>
    <row r="214" spans="1:12" s="20" customFormat="1" x14ac:dyDescent="0.2">
      <c r="A214" s="10" t="s">
        <v>8</v>
      </c>
      <c r="B214" s="11" t="s">
        <v>9</v>
      </c>
      <c r="C214" s="35" t="s">
        <v>232</v>
      </c>
      <c r="D214" s="37">
        <v>45342</v>
      </c>
      <c r="E214" s="36">
        <v>3616.6</v>
      </c>
      <c r="F214" s="35" t="s">
        <v>94</v>
      </c>
      <c r="G214" s="14" t="str">
        <f t="shared" si="6"/>
        <v>B</v>
      </c>
      <c r="H214" s="15" t="str">
        <f t="shared" si="7"/>
        <v>The Commissioner &amp; Chief Constable are satisfied the spend represents VFM in accordance with the requirements of Category B</v>
      </c>
      <c r="K214" s="17"/>
      <c r="L214" s="17"/>
    </row>
    <row r="215" spans="1:12" s="20" customFormat="1" x14ac:dyDescent="0.2">
      <c r="A215" s="10" t="s">
        <v>8</v>
      </c>
      <c r="B215" s="11" t="s">
        <v>9</v>
      </c>
      <c r="C215" s="35" t="s">
        <v>152</v>
      </c>
      <c r="D215" s="37">
        <v>45328</v>
      </c>
      <c r="E215" s="36">
        <v>3600</v>
      </c>
      <c r="F215" s="35" t="s">
        <v>102</v>
      </c>
      <c r="G215" s="14" t="str">
        <f t="shared" si="6"/>
        <v>B</v>
      </c>
      <c r="H215" s="15" t="str">
        <f t="shared" si="7"/>
        <v>The Commissioner &amp; Chief Constable are satisfied the spend represents VFM in accordance with the requirements of Category B</v>
      </c>
      <c r="K215" s="17"/>
      <c r="L215" s="17"/>
    </row>
    <row r="216" spans="1:12" s="20" customFormat="1" x14ac:dyDescent="0.2">
      <c r="A216" s="10" t="s">
        <v>8</v>
      </c>
      <c r="B216" s="11" t="s">
        <v>9</v>
      </c>
      <c r="C216" s="35" t="s">
        <v>332</v>
      </c>
      <c r="D216" s="37">
        <v>45334</v>
      </c>
      <c r="E216" s="36">
        <v>3563.74</v>
      </c>
      <c r="F216" s="35" t="s">
        <v>131</v>
      </c>
      <c r="G216" s="14" t="str">
        <f t="shared" si="6"/>
        <v>B</v>
      </c>
      <c r="H216" s="15" t="str">
        <f t="shared" si="7"/>
        <v>The Commissioner &amp; Chief Constable are satisfied the spend represents VFM in accordance with the requirements of Category B</v>
      </c>
      <c r="K216" s="17"/>
      <c r="L216" s="17"/>
    </row>
    <row r="217" spans="1:12" s="20" customFormat="1" x14ac:dyDescent="0.2">
      <c r="A217" s="10" t="s">
        <v>8</v>
      </c>
      <c r="B217" s="11" t="s">
        <v>9</v>
      </c>
      <c r="C217" s="35" t="s">
        <v>450</v>
      </c>
      <c r="D217" s="37">
        <v>45350</v>
      </c>
      <c r="E217" s="36">
        <v>3515</v>
      </c>
      <c r="F217" s="35" t="s">
        <v>89</v>
      </c>
      <c r="G217" s="14" t="str">
        <f t="shared" si="6"/>
        <v>B</v>
      </c>
      <c r="H217" s="15" t="str">
        <f t="shared" si="7"/>
        <v>The Commissioner &amp; Chief Constable are satisfied the spend represents VFM in accordance with the requirements of Category B</v>
      </c>
      <c r="K217" s="17"/>
      <c r="L217" s="17"/>
    </row>
    <row r="218" spans="1:12" s="20" customFormat="1" x14ac:dyDescent="0.2">
      <c r="A218" s="10" t="s">
        <v>8</v>
      </c>
      <c r="B218" s="11" t="s">
        <v>9</v>
      </c>
      <c r="C218" s="35" t="s">
        <v>450</v>
      </c>
      <c r="D218" s="37">
        <v>45336</v>
      </c>
      <c r="E218" s="36">
        <v>3515</v>
      </c>
      <c r="F218" s="35" t="s">
        <v>89</v>
      </c>
      <c r="G218" s="14" t="str">
        <f t="shared" si="6"/>
        <v>B</v>
      </c>
      <c r="H218" s="15" t="str">
        <f t="shared" si="7"/>
        <v>The Commissioner &amp; Chief Constable are satisfied the spend represents VFM in accordance with the requirements of Category B</v>
      </c>
      <c r="K218" s="17"/>
      <c r="L218" s="17"/>
    </row>
    <row r="219" spans="1:12" s="20" customFormat="1" x14ac:dyDescent="0.2">
      <c r="A219" s="10" t="s">
        <v>8</v>
      </c>
      <c r="B219" s="11" t="s">
        <v>9</v>
      </c>
      <c r="C219" s="35" t="s">
        <v>558</v>
      </c>
      <c r="D219" s="37">
        <v>45343</v>
      </c>
      <c r="E219" s="36">
        <v>3486.89</v>
      </c>
      <c r="F219" s="35" t="s">
        <v>94</v>
      </c>
      <c r="G219" s="14" t="str">
        <f t="shared" si="6"/>
        <v>B</v>
      </c>
      <c r="H219" s="15" t="str">
        <f t="shared" si="7"/>
        <v>The Commissioner &amp; Chief Constable are satisfied the spend represents VFM in accordance with the requirements of Category B</v>
      </c>
      <c r="K219" s="17"/>
      <c r="L219" s="17"/>
    </row>
    <row r="220" spans="1:12" s="20" customFormat="1" x14ac:dyDescent="0.2">
      <c r="A220" s="10" t="s">
        <v>8</v>
      </c>
      <c r="B220" s="11" t="s">
        <v>9</v>
      </c>
      <c r="C220" s="35" t="s">
        <v>152</v>
      </c>
      <c r="D220" s="37">
        <v>45331</v>
      </c>
      <c r="E220" s="36">
        <v>3480</v>
      </c>
      <c r="F220" s="35" t="s">
        <v>102</v>
      </c>
      <c r="G220" s="14" t="str">
        <f t="shared" si="6"/>
        <v>B</v>
      </c>
      <c r="H220" s="15" t="str">
        <f t="shared" si="7"/>
        <v>The Commissioner &amp; Chief Constable are satisfied the spend represents VFM in accordance with the requirements of Category B</v>
      </c>
      <c r="K220" s="17"/>
      <c r="L220" s="17"/>
    </row>
    <row r="221" spans="1:12" s="20" customFormat="1" x14ac:dyDescent="0.2">
      <c r="A221" s="10" t="s">
        <v>8</v>
      </c>
      <c r="B221" s="11" t="s">
        <v>9</v>
      </c>
      <c r="C221" s="35" t="s">
        <v>202</v>
      </c>
      <c r="D221" s="37">
        <v>45348</v>
      </c>
      <c r="E221" s="36">
        <v>3459.5</v>
      </c>
      <c r="F221" s="35" t="s">
        <v>203</v>
      </c>
      <c r="G221" s="14" t="str">
        <f t="shared" si="6"/>
        <v>B</v>
      </c>
      <c r="H221" s="15" t="str">
        <f t="shared" si="7"/>
        <v>The Commissioner &amp; Chief Constable are satisfied the spend represents VFM in accordance with the requirements of Category B</v>
      </c>
      <c r="K221" s="17"/>
      <c r="L221" s="17"/>
    </row>
    <row r="222" spans="1:12" s="20" customFormat="1" x14ac:dyDescent="0.2">
      <c r="A222" s="10" t="s">
        <v>8</v>
      </c>
      <c r="B222" s="11" t="s">
        <v>9</v>
      </c>
      <c r="C222" s="35" t="s">
        <v>149</v>
      </c>
      <c r="D222" s="37">
        <v>45330</v>
      </c>
      <c r="E222" s="36">
        <v>3458.9900000000002</v>
      </c>
      <c r="F222" s="35" t="s">
        <v>138</v>
      </c>
      <c r="G222" s="14" t="str">
        <f t="shared" si="6"/>
        <v>B</v>
      </c>
      <c r="H222" s="15" t="str">
        <f t="shared" si="7"/>
        <v>The Commissioner &amp; Chief Constable are satisfied the spend represents VFM in accordance with the requirements of Category B</v>
      </c>
      <c r="K222" s="17"/>
      <c r="L222" s="17"/>
    </row>
    <row r="223" spans="1:12" s="20" customFormat="1" x14ac:dyDescent="0.2">
      <c r="A223" s="10" t="s">
        <v>8</v>
      </c>
      <c r="B223" s="11" t="s">
        <v>9</v>
      </c>
      <c r="C223" s="35" t="s">
        <v>119</v>
      </c>
      <c r="D223" s="37">
        <v>45348</v>
      </c>
      <c r="E223" s="36">
        <v>3391.86</v>
      </c>
      <c r="F223" s="35" t="s">
        <v>120</v>
      </c>
      <c r="G223" s="14" t="str">
        <f t="shared" si="6"/>
        <v>B</v>
      </c>
      <c r="H223" s="15" t="str">
        <f t="shared" si="7"/>
        <v>The Commissioner &amp; Chief Constable are satisfied the spend represents VFM in accordance with the requirements of Category B</v>
      </c>
      <c r="K223" s="17"/>
      <c r="L223" s="17"/>
    </row>
    <row r="224" spans="1:12" s="20" customFormat="1" x14ac:dyDescent="0.2">
      <c r="A224" s="10" t="s">
        <v>8</v>
      </c>
      <c r="B224" s="11" t="s">
        <v>9</v>
      </c>
      <c r="C224" s="35" t="s">
        <v>448</v>
      </c>
      <c r="D224" s="37">
        <v>45343</v>
      </c>
      <c r="E224" s="36">
        <v>3325</v>
      </c>
      <c r="F224" s="35" t="s">
        <v>27</v>
      </c>
      <c r="G224" s="14" t="str">
        <f t="shared" si="6"/>
        <v>B</v>
      </c>
      <c r="H224" s="15" t="str">
        <f t="shared" si="7"/>
        <v>The Commissioner &amp; Chief Constable are satisfied the spend represents VFM in accordance with the requirements of Category B</v>
      </c>
      <c r="K224" s="17"/>
      <c r="L224" s="17"/>
    </row>
    <row r="225" spans="1:12" s="20" customFormat="1" x14ac:dyDescent="0.2">
      <c r="A225" s="10" t="s">
        <v>8</v>
      </c>
      <c r="B225" s="11" t="s">
        <v>9</v>
      </c>
      <c r="C225" s="35" t="s">
        <v>448</v>
      </c>
      <c r="D225" s="37">
        <v>45335</v>
      </c>
      <c r="E225" s="36">
        <v>3325</v>
      </c>
      <c r="F225" s="35" t="s">
        <v>27</v>
      </c>
      <c r="G225" s="14" t="str">
        <f t="shared" si="6"/>
        <v>B</v>
      </c>
      <c r="H225" s="15" t="str">
        <f t="shared" si="7"/>
        <v>The Commissioner &amp; Chief Constable are satisfied the spend represents VFM in accordance with the requirements of Category B</v>
      </c>
      <c r="K225" s="17"/>
      <c r="L225" s="17"/>
    </row>
    <row r="226" spans="1:12" s="20" customFormat="1" x14ac:dyDescent="0.2">
      <c r="A226" s="10" t="s">
        <v>8</v>
      </c>
      <c r="B226" s="11" t="s">
        <v>9</v>
      </c>
      <c r="C226" s="35" t="s">
        <v>557</v>
      </c>
      <c r="D226" s="37">
        <v>45348</v>
      </c>
      <c r="E226" s="36">
        <v>3300</v>
      </c>
      <c r="F226" s="35" t="s">
        <v>15</v>
      </c>
      <c r="G226" s="14" t="str">
        <f t="shared" si="6"/>
        <v>B</v>
      </c>
      <c r="H226" s="15" t="str">
        <f t="shared" si="7"/>
        <v>The Commissioner &amp; Chief Constable are satisfied the spend represents VFM in accordance with the requirements of Category B</v>
      </c>
      <c r="K226" s="17"/>
      <c r="L226" s="17"/>
    </row>
    <row r="227" spans="1:12" s="20" customFormat="1" x14ac:dyDescent="0.2">
      <c r="A227" s="10" t="s">
        <v>8</v>
      </c>
      <c r="B227" s="11" t="s">
        <v>9</v>
      </c>
      <c r="C227" s="35" t="s">
        <v>556</v>
      </c>
      <c r="D227" s="37">
        <v>45331</v>
      </c>
      <c r="E227" s="36">
        <v>3271.92</v>
      </c>
      <c r="F227" s="35" t="s">
        <v>22</v>
      </c>
      <c r="G227" s="14" t="str">
        <f t="shared" si="6"/>
        <v>B</v>
      </c>
      <c r="H227" s="15" t="str">
        <f t="shared" si="7"/>
        <v>The Commissioner &amp; Chief Constable are satisfied the spend represents VFM in accordance with the requirements of Category B</v>
      </c>
      <c r="K227" s="17"/>
      <c r="L227" s="17"/>
    </row>
    <row r="228" spans="1:12" s="20" customFormat="1" x14ac:dyDescent="0.2">
      <c r="A228" s="10" t="s">
        <v>8</v>
      </c>
      <c r="B228" s="11" t="s">
        <v>9</v>
      </c>
      <c r="C228" s="35" t="s">
        <v>555</v>
      </c>
      <c r="D228" s="37">
        <v>45342</v>
      </c>
      <c r="E228" s="36">
        <v>3201</v>
      </c>
      <c r="F228" s="35" t="s">
        <v>131</v>
      </c>
      <c r="G228" s="14" t="str">
        <f t="shared" si="6"/>
        <v>B</v>
      </c>
      <c r="H228" s="15" t="str">
        <f t="shared" si="7"/>
        <v>The Commissioner &amp; Chief Constable are satisfied the spend represents VFM in accordance with the requirements of Category B</v>
      </c>
      <c r="K228" s="17"/>
      <c r="L228" s="17"/>
    </row>
    <row r="229" spans="1:12" s="20" customFormat="1" x14ac:dyDescent="0.2">
      <c r="A229" s="10" t="s">
        <v>8</v>
      </c>
      <c r="B229" s="11" t="s">
        <v>9</v>
      </c>
      <c r="C229" s="35" t="s">
        <v>124</v>
      </c>
      <c r="D229" s="37">
        <v>45323</v>
      </c>
      <c r="E229" s="36">
        <v>3195.93</v>
      </c>
      <c r="F229" s="35" t="s">
        <v>91</v>
      </c>
      <c r="G229" s="14" t="str">
        <f t="shared" si="6"/>
        <v>B</v>
      </c>
      <c r="H229" s="15" t="str">
        <f t="shared" si="7"/>
        <v>The Commissioner &amp; Chief Constable are satisfied the spend represents VFM in accordance with the requirements of Category B</v>
      </c>
      <c r="K229" s="17"/>
      <c r="L229" s="17"/>
    </row>
    <row r="230" spans="1:12" s="20" customFormat="1" x14ac:dyDescent="0.2">
      <c r="A230" s="10" t="s">
        <v>8</v>
      </c>
      <c r="B230" s="11" t="s">
        <v>9</v>
      </c>
      <c r="C230" s="35" t="s">
        <v>100</v>
      </c>
      <c r="D230" s="37">
        <v>45337</v>
      </c>
      <c r="E230" s="36">
        <v>3155</v>
      </c>
      <c r="F230" s="35" t="s">
        <v>38</v>
      </c>
      <c r="G230" s="14" t="str">
        <f t="shared" si="6"/>
        <v>B</v>
      </c>
      <c r="H230" s="15" t="str">
        <f t="shared" si="7"/>
        <v>The Commissioner &amp; Chief Constable are satisfied the spend represents VFM in accordance with the requirements of Category B</v>
      </c>
      <c r="K230" s="17"/>
      <c r="L230" s="17"/>
    </row>
    <row r="231" spans="1:12" s="20" customFormat="1" x14ac:dyDescent="0.2">
      <c r="A231" s="10" t="s">
        <v>8</v>
      </c>
      <c r="B231" s="11" t="s">
        <v>9</v>
      </c>
      <c r="C231" s="35" t="s">
        <v>413</v>
      </c>
      <c r="D231" s="37">
        <v>45323</v>
      </c>
      <c r="E231" s="36">
        <v>3145</v>
      </c>
      <c r="F231" s="35" t="s">
        <v>22</v>
      </c>
      <c r="G231" s="14" t="str">
        <f t="shared" si="6"/>
        <v>B</v>
      </c>
      <c r="H231" s="15" t="str">
        <f t="shared" si="7"/>
        <v>The Commissioner &amp; Chief Constable are satisfied the spend represents VFM in accordance with the requirements of Category B</v>
      </c>
      <c r="K231" s="17"/>
      <c r="L231" s="17"/>
    </row>
    <row r="232" spans="1:12" s="20" customFormat="1" x14ac:dyDescent="0.2">
      <c r="A232" s="10" t="s">
        <v>8</v>
      </c>
      <c r="B232" s="11" t="s">
        <v>9</v>
      </c>
      <c r="C232" s="35" t="s">
        <v>510</v>
      </c>
      <c r="D232" s="37">
        <v>45331</v>
      </c>
      <c r="E232" s="36">
        <v>3143.4</v>
      </c>
      <c r="F232" s="35" t="s">
        <v>94</v>
      </c>
      <c r="G232" s="14" t="str">
        <f t="shared" si="6"/>
        <v>B</v>
      </c>
      <c r="H232" s="15" t="str">
        <f t="shared" si="7"/>
        <v>The Commissioner &amp; Chief Constable are satisfied the spend represents VFM in accordance with the requirements of Category B</v>
      </c>
      <c r="K232" s="17"/>
      <c r="L232" s="17"/>
    </row>
    <row r="233" spans="1:12" s="20" customFormat="1" x14ac:dyDescent="0.2">
      <c r="A233" s="10" t="s">
        <v>8</v>
      </c>
      <c r="B233" s="11" t="s">
        <v>9</v>
      </c>
      <c r="C233" s="35" t="s">
        <v>232</v>
      </c>
      <c r="D233" s="37">
        <v>45338</v>
      </c>
      <c r="E233" s="36">
        <v>3060.2</v>
      </c>
      <c r="F233" s="35" t="s">
        <v>94</v>
      </c>
      <c r="G233" s="14" t="str">
        <f t="shared" si="6"/>
        <v>B</v>
      </c>
      <c r="H233" s="15" t="str">
        <f t="shared" si="7"/>
        <v>The Commissioner &amp; Chief Constable are satisfied the spend represents VFM in accordance with the requirements of Category B</v>
      </c>
      <c r="K233" s="17"/>
      <c r="L233" s="17"/>
    </row>
    <row r="234" spans="1:12" s="20" customFormat="1" x14ac:dyDescent="0.2">
      <c r="A234" s="10" t="s">
        <v>8</v>
      </c>
      <c r="B234" s="11" t="s">
        <v>9</v>
      </c>
      <c r="C234" s="40" t="s">
        <v>554</v>
      </c>
      <c r="D234" s="37">
        <v>45343</v>
      </c>
      <c r="E234" s="36">
        <v>2993.02</v>
      </c>
      <c r="F234" s="35" t="s">
        <v>188</v>
      </c>
      <c r="G234" s="14" t="str">
        <f t="shared" si="6"/>
        <v>B</v>
      </c>
      <c r="H234" s="15" t="str">
        <f t="shared" si="7"/>
        <v>The Commissioner &amp; Chief Constable are satisfied the spend represents VFM in accordance with the requirements of Category B</v>
      </c>
      <c r="K234" s="17"/>
      <c r="L234" s="17"/>
    </row>
    <row r="235" spans="1:12" s="20" customFormat="1" x14ac:dyDescent="0.2">
      <c r="A235" s="10" t="s">
        <v>8</v>
      </c>
      <c r="B235" s="11" t="s">
        <v>9</v>
      </c>
      <c r="C235" s="35" t="s">
        <v>193</v>
      </c>
      <c r="D235" s="37">
        <v>45329</v>
      </c>
      <c r="E235" s="36">
        <v>2991.94</v>
      </c>
      <c r="F235" s="35" t="s">
        <v>194</v>
      </c>
      <c r="G235" s="14" t="str">
        <f t="shared" si="6"/>
        <v>B</v>
      </c>
      <c r="H235" s="15" t="str">
        <f t="shared" si="7"/>
        <v>The Commissioner &amp; Chief Constable are satisfied the spend represents VFM in accordance with the requirements of Category B</v>
      </c>
      <c r="K235" s="17"/>
      <c r="L235" s="17"/>
    </row>
    <row r="236" spans="1:12" s="20" customFormat="1" x14ac:dyDescent="0.2">
      <c r="A236" s="10" t="s">
        <v>8</v>
      </c>
      <c r="B236" s="11" t="s">
        <v>9</v>
      </c>
      <c r="C236" s="35" t="s">
        <v>193</v>
      </c>
      <c r="D236" s="37">
        <v>45329</v>
      </c>
      <c r="E236" s="36">
        <v>2991.94</v>
      </c>
      <c r="F236" s="35" t="s">
        <v>194</v>
      </c>
      <c r="G236" s="14" t="str">
        <f t="shared" si="6"/>
        <v>B</v>
      </c>
      <c r="H236" s="15" t="str">
        <f t="shared" si="7"/>
        <v>The Commissioner &amp; Chief Constable are satisfied the spend represents VFM in accordance with the requirements of Category B</v>
      </c>
      <c r="K236" s="17"/>
      <c r="L236" s="17"/>
    </row>
    <row r="237" spans="1:12" s="20" customFormat="1" x14ac:dyDescent="0.2">
      <c r="A237" s="10" t="s">
        <v>8</v>
      </c>
      <c r="B237" s="11" t="s">
        <v>9</v>
      </c>
      <c r="C237" s="35" t="s">
        <v>193</v>
      </c>
      <c r="D237" s="37">
        <v>45329</v>
      </c>
      <c r="E237" s="36">
        <v>2991.94</v>
      </c>
      <c r="F237" s="35" t="s">
        <v>194</v>
      </c>
      <c r="G237" s="14" t="str">
        <f t="shared" si="6"/>
        <v>B</v>
      </c>
      <c r="H237" s="15" t="str">
        <f t="shared" si="7"/>
        <v>The Commissioner &amp; Chief Constable are satisfied the spend represents VFM in accordance with the requirements of Category B</v>
      </c>
      <c r="K237" s="17"/>
      <c r="L237" s="17"/>
    </row>
    <row r="238" spans="1:12" s="20" customFormat="1" x14ac:dyDescent="0.2">
      <c r="A238" s="10" t="s">
        <v>8</v>
      </c>
      <c r="B238" s="11" t="s">
        <v>9</v>
      </c>
      <c r="C238" s="35" t="s">
        <v>193</v>
      </c>
      <c r="D238" s="37">
        <v>45329</v>
      </c>
      <c r="E238" s="36">
        <v>2991.94</v>
      </c>
      <c r="F238" s="35" t="s">
        <v>194</v>
      </c>
      <c r="G238" s="14" t="str">
        <f t="shared" si="6"/>
        <v>B</v>
      </c>
      <c r="H238" s="15" t="str">
        <f t="shared" si="7"/>
        <v>The Commissioner &amp; Chief Constable are satisfied the spend represents VFM in accordance with the requirements of Category B</v>
      </c>
      <c r="K238" s="17"/>
      <c r="L238" s="17"/>
    </row>
    <row r="239" spans="1:12" s="20" customFormat="1" x14ac:dyDescent="0.2">
      <c r="A239" s="10" t="s">
        <v>8</v>
      </c>
      <c r="B239" s="11" t="s">
        <v>9</v>
      </c>
      <c r="C239" s="35" t="s">
        <v>193</v>
      </c>
      <c r="D239" s="37">
        <v>45329</v>
      </c>
      <c r="E239" s="36">
        <v>2991.94</v>
      </c>
      <c r="F239" s="35" t="s">
        <v>194</v>
      </c>
      <c r="G239" s="14" t="str">
        <f t="shared" si="6"/>
        <v>B</v>
      </c>
      <c r="H239" s="15" t="str">
        <f t="shared" si="7"/>
        <v>The Commissioner &amp; Chief Constable are satisfied the spend represents VFM in accordance with the requirements of Category B</v>
      </c>
      <c r="K239" s="17"/>
      <c r="L239" s="17"/>
    </row>
    <row r="240" spans="1:12" s="20" customFormat="1" x14ac:dyDescent="0.2">
      <c r="A240" s="10" t="s">
        <v>8</v>
      </c>
      <c r="B240" s="11" t="s">
        <v>9</v>
      </c>
      <c r="C240" s="35" t="s">
        <v>181</v>
      </c>
      <c r="D240" s="37">
        <v>45349</v>
      </c>
      <c r="E240" s="36">
        <v>2968.5</v>
      </c>
      <c r="F240" s="35" t="s">
        <v>106</v>
      </c>
      <c r="G240" s="14" t="str">
        <f t="shared" si="6"/>
        <v>B</v>
      </c>
      <c r="H240" s="15" t="str">
        <f t="shared" si="7"/>
        <v>The Commissioner &amp; Chief Constable are satisfied the spend represents VFM in accordance with the requirements of Category B</v>
      </c>
      <c r="K240" s="17"/>
      <c r="L240" s="17"/>
    </row>
    <row r="241" spans="1:12" s="20" customFormat="1" x14ac:dyDescent="0.2">
      <c r="A241" s="10" t="s">
        <v>8</v>
      </c>
      <c r="B241" s="11" t="s">
        <v>9</v>
      </c>
      <c r="C241" s="35" t="s">
        <v>308</v>
      </c>
      <c r="D241" s="37">
        <v>45335</v>
      </c>
      <c r="E241" s="36">
        <v>2966.25</v>
      </c>
      <c r="F241" s="35" t="s">
        <v>160</v>
      </c>
      <c r="G241" s="14" t="str">
        <f t="shared" si="6"/>
        <v>B</v>
      </c>
      <c r="H241" s="15" t="str">
        <f t="shared" si="7"/>
        <v>The Commissioner &amp; Chief Constable are satisfied the spend represents VFM in accordance with the requirements of Category B</v>
      </c>
      <c r="K241" s="17"/>
      <c r="L241" s="17"/>
    </row>
    <row r="242" spans="1:12" s="20" customFormat="1" x14ac:dyDescent="0.2">
      <c r="A242" s="10" t="s">
        <v>8</v>
      </c>
      <c r="B242" s="11" t="s">
        <v>9</v>
      </c>
      <c r="C242" s="35" t="s">
        <v>172</v>
      </c>
      <c r="D242" s="37">
        <v>45348</v>
      </c>
      <c r="E242" s="36">
        <v>2941.66</v>
      </c>
      <c r="F242" s="35" t="s">
        <v>39</v>
      </c>
      <c r="G242" s="14" t="str">
        <f t="shared" si="6"/>
        <v>B</v>
      </c>
      <c r="H242" s="15" t="str">
        <f t="shared" si="7"/>
        <v>The Commissioner &amp; Chief Constable are satisfied the spend represents VFM in accordance with the requirements of Category B</v>
      </c>
      <c r="K242" s="17"/>
      <c r="L242" s="17"/>
    </row>
    <row r="243" spans="1:12" s="20" customFormat="1" x14ac:dyDescent="0.2">
      <c r="A243" s="10" t="s">
        <v>8</v>
      </c>
      <c r="B243" s="11" t="s">
        <v>9</v>
      </c>
      <c r="C243" s="35" t="s">
        <v>162</v>
      </c>
      <c r="D243" s="37">
        <v>45351</v>
      </c>
      <c r="E243" s="36">
        <v>2925</v>
      </c>
      <c r="F243" s="35" t="s">
        <v>39</v>
      </c>
      <c r="G243" s="14" t="str">
        <f t="shared" si="6"/>
        <v>B</v>
      </c>
      <c r="H243" s="15" t="str">
        <f t="shared" si="7"/>
        <v>The Commissioner &amp; Chief Constable are satisfied the spend represents VFM in accordance with the requirements of Category B</v>
      </c>
      <c r="K243" s="17"/>
      <c r="L243" s="17"/>
    </row>
    <row r="244" spans="1:12" s="20" customFormat="1" x14ac:dyDescent="0.2">
      <c r="A244" s="10" t="s">
        <v>8</v>
      </c>
      <c r="B244" s="11" t="s">
        <v>9</v>
      </c>
      <c r="C244" s="35" t="s">
        <v>432</v>
      </c>
      <c r="D244" s="37">
        <v>45348</v>
      </c>
      <c r="E244" s="36">
        <v>2900</v>
      </c>
      <c r="F244" s="35" t="s">
        <v>22</v>
      </c>
      <c r="G244" s="14" t="str">
        <f t="shared" si="6"/>
        <v>B</v>
      </c>
      <c r="H244" s="15" t="str">
        <f t="shared" si="7"/>
        <v>The Commissioner &amp; Chief Constable are satisfied the spend represents VFM in accordance with the requirements of Category B</v>
      </c>
      <c r="K244" s="17"/>
      <c r="L244" s="17"/>
    </row>
    <row r="245" spans="1:12" s="20" customFormat="1" x14ac:dyDescent="0.2">
      <c r="A245" s="10" t="s">
        <v>8</v>
      </c>
      <c r="B245" s="11" t="s">
        <v>9</v>
      </c>
      <c r="C245" s="35" t="s">
        <v>553</v>
      </c>
      <c r="D245" s="37">
        <v>45328</v>
      </c>
      <c r="E245" s="36">
        <v>2847.5</v>
      </c>
      <c r="F245" s="35" t="s">
        <v>49</v>
      </c>
      <c r="G245" s="14" t="str">
        <f t="shared" si="6"/>
        <v>B</v>
      </c>
      <c r="H245" s="15" t="str">
        <f t="shared" si="7"/>
        <v>The Commissioner &amp; Chief Constable are satisfied the spend represents VFM in accordance with the requirements of Category B</v>
      </c>
      <c r="K245" s="17"/>
      <c r="L245" s="17"/>
    </row>
    <row r="246" spans="1:12" s="20" customFormat="1" x14ac:dyDescent="0.2">
      <c r="A246" s="10" t="s">
        <v>8</v>
      </c>
      <c r="B246" s="11" t="s">
        <v>9</v>
      </c>
      <c r="C246" s="35" t="s">
        <v>74</v>
      </c>
      <c r="D246" s="37">
        <v>45327</v>
      </c>
      <c r="E246" s="36">
        <v>2841.6</v>
      </c>
      <c r="F246" s="35" t="s">
        <v>177</v>
      </c>
      <c r="G246" s="14" t="str">
        <f t="shared" si="6"/>
        <v>B</v>
      </c>
      <c r="H246" s="15" t="str">
        <f t="shared" si="7"/>
        <v>The Commissioner &amp; Chief Constable are satisfied the spend represents VFM in accordance with the requirements of Category B</v>
      </c>
      <c r="K246" s="17"/>
      <c r="L246" s="17"/>
    </row>
    <row r="247" spans="1:12" s="20" customFormat="1" x14ac:dyDescent="0.2">
      <c r="A247" s="10" t="s">
        <v>8</v>
      </c>
      <c r="B247" s="11" t="s">
        <v>9</v>
      </c>
      <c r="C247" s="35" t="s">
        <v>124</v>
      </c>
      <c r="D247" s="37">
        <v>45328</v>
      </c>
      <c r="E247" s="36">
        <v>2839.97</v>
      </c>
      <c r="F247" s="35" t="s">
        <v>91</v>
      </c>
      <c r="G247" s="14" t="str">
        <f t="shared" si="6"/>
        <v>B</v>
      </c>
      <c r="H247" s="15" t="str">
        <f t="shared" si="7"/>
        <v>The Commissioner &amp; Chief Constable are satisfied the spend represents VFM in accordance with the requirements of Category B</v>
      </c>
      <c r="K247" s="17"/>
      <c r="L247" s="17"/>
    </row>
    <row r="248" spans="1:12" s="20" customFormat="1" x14ac:dyDescent="0.2">
      <c r="A248" s="10" t="s">
        <v>8</v>
      </c>
      <c r="B248" s="11" t="s">
        <v>9</v>
      </c>
      <c r="C248" s="35" t="s">
        <v>26</v>
      </c>
      <c r="D248" s="37">
        <v>45342</v>
      </c>
      <c r="E248" s="36">
        <v>2836.34</v>
      </c>
      <c r="F248" s="35" t="s">
        <v>88</v>
      </c>
      <c r="G248" s="14" t="str">
        <f t="shared" si="6"/>
        <v>B</v>
      </c>
      <c r="H248" s="15" t="str">
        <f t="shared" si="7"/>
        <v>The Commissioner &amp; Chief Constable are satisfied the spend represents VFM in accordance with the requirements of Category B</v>
      </c>
      <c r="K248" s="17"/>
      <c r="L248" s="17"/>
    </row>
    <row r="249" spans="1:12" s="20" customFormat="1" x14ac:dyDescent="0.2">
      <c r="A249" s="10" t="s">
        <v>8</v>
      </c>
      <c r="B249" s="11" t="s">
        <v>9</v>
      </c>
      <c r="C249" s="35" t="s">
        <v>196</v>
      </c>
      <c r="D249" s="37">
        <v>45329</v>
      </c>
      <c r="E249" s="36">
        <v>2832.35</v>
      </c>
      <c r="F249" s="35" t="s">
        <v>169</v>
      </c>
      <c r="G249" s="14" t="str">
        <f t="shared" si="6"/>
        <v>B</v>
      </c>
      <c r="H249" s="15" t="str">
        <f t="shared" si="7"/>
        <v>The Commissioner &amp; Chief Constable are satisfied the spend represents VFM in accordance with the requirements of Category B</v>
      </c>
      <c r="K249" s="17"/>
      <c r="L249" s="17"/>
    </row>
    <row r="250" spans="1:12" s="20" customFormat="1" x14ac:dyDescent="0.2">
      <c r="A250" s="10" t="s">
        <v>8</v>
      </c>
      <c r="B250" s="11" t="s">
        <v>9</v>
      </c>
      <c r="C250" s="40" t="s">
        <v>139</v>
      </c>
      <c r="D250" s="37">
        <v>45335</v>
      </c>
      <c r="E250" s="36">
        <v>2795.85</v>
      </c>
      <c r="F250" s="35" t="s">
        <v>39</v>
      </c>
      <c r="G250" s="14" t="str">
        <f t="shared" si="6"/>
        <v>B</v>
      </c>
      <c r="H250" s="15" t="str">
        <f t="shared" si="7"/>
        <v>The Commissioner &amp; Chief Constable are satisfied the spend represents VFM in accordance with the requirements of Category B</v>
      </c>
      <c r="K250" s="17"/>
      <c r="L250" s="17"/>
    </row>
    <row r="251" spans="1:12" s="20" customFormat="1" x14ac:dyDescent="0.2">
      <c r="A251" s="10" t="s">
        <v>8</v>
      </c>
      <c r="B251" s="11" t="s">
        <v>9</v>
      </c>
      <c r="C251" s="35" t="s">
        <v>196</v>
      </c>
      <c r="D251" s="37">
        <v>45342</v>
      </c>
      <c r="E251" s="36">
        <v>2773.1800000000003</v>
      </c>
      <c r="F251" s="35" t="s">
        <v>169</v>
      </c>
      <c r="G251" s="14" t="str">
        <f t="shared" si="6"/>
        <v>B</v>
      </c>
      <c r="H251" s="15" t="str">
        <f t="shared" si="7"/>
        <v>The Commissioner &amp; Chief Constable are satisfied the spend represents VFM in accordance with the requirements of Category B</v>
      </c>
      <c r="K251" s="17"/>
      <c r="L251" s="17"/>
    </row>
    <row r="252" spans="1:12" s="20" customFormat="1" x14ac:dyDescent="0.2">
      <c r="A252" s="10" t="s">
        <v>8</v>
      </c>
      <c r="B252" s="11" t="s">
        <v>9</v>
      </c>
      <c r="C252" s="35" t="s">
        <v>196</v>
      </c>
      <c r="D252" s="37">
        <v>45349</v>
      </c>
      <c r="E252" s="36">
        <v>2730.4500000000003</v>
      </c>
      <c r="F252" s="35" t="s">
        <v>169</v>
      </c>
      <c r="G252" s="14" t="str">
        <f t="shared" si="6"/>
        <v>B</v>
      </c>
      <c r="H252" s="15" t="str">
        <f t="shared" si="7"/>
        <v>The Commissioner &amp; Chief Constable are satisfied the spend represents VFM in accordance with the requirements of Category B</v>
      </c>
      <c r="K252" s="17"/>
      <c r="L252" s="17"/>
    </row>
    <row r="253" spans="1:12" s="20" customFormat="1" x14ac:dyDescent="0.2">
      <c r="A253" s="10" t="s">
        <v>8</v>
      </c>
      <c r="B253" s="11" t="s">
        <v>9</v>
      </c>
      <c r="C253" s="35" t="s">
        <v>211</v>
      </c>
      <c r="D253" s="37">
        <v>45327</v>
      </c>
      <c r="E253" s="36">
        <v>2691.96</v>
      </c>
      <c r="F253" s="35" t="s">
        <v>131</v>
      </c>
      <c r="G253" s="14" t="str">
        <f t="shared" si="6"/>
        <v>B</v>
      </c>
      <c r="H253" s="15" t="str">
        <f t="shared" si="7"/>
        <v>The Commissioner &amp; Chief Constable are satisfied the spend represents VFM in accordance with the requirements of Category B</v>
      </c>
      <c r="K253" s="17"/>
      <c r="L253" s="17"/>
    </row>
    <row r="254" spans="1:12" s="20" customFormat="1" x14ac:dyDescent="0.2">
      <c r="A254" s="10" t="s">
        <v>8</v>
      </c>
      <c r="B254" s="11" t="s">
        <v>9</v>
      </c>
      <c r="C254" s="35" t="s">
        <v>389</v>
      </c>
      <c r="D254" s="37">
        <v>45324</v>
      </c>
      <c r="E254" s="36">
        <v>2662</v>
      </c>
      <c r="F254" s="35" t="s">
        <v>131</v>
      </c>
      <c r="G254" s="14" t="str">
        <f t="shared" si="6"/>
        <v>B</v>
      </c>
      <c r="H254" s="15" t="str">
        <f t="shared" si="7"/>
        <v>The Commissioner &amp; Chief Constable are satisfied the spend represents VFM in accordance with the requirements of Category B</v>
      </c>
      <c r="K254" s="17"/>
      <c r="L254" s="17"/>
    </row>
    <row r="255" spans="1:12" s="20" customFormat="1" x14ac:dyDescent="0.2">
      <c r="A255" s="10" t="s">
        <v>8</v>
      </c>
      <c r="B255" s="11" t="s">
        <v>9</v>
      </c>
      <c r="C255" s="35" t="s">
        <v>181</v>
      </c>
      <c r="D255" s="37">
        <v>45330</v>
      </c>
      <c r="E255" s="36">
        <v>2644.5</v>
      </c>
      <c r="F255" s="35" t="s">
        <v>106</v>
      </c>
      <c r="G255" s="14" t="str">
        <f t="shared" si="6"/>
        <v>B</v>
      </c>
      <c r="H255" s="15" t="str">
        <f t="shared" si="7"/>
        <v>The Commissioner &amp; Chief Constable are satisfied the spend represents VFM in accordance with the requirements of Category B</v>
      </c>
      <c r="K255" s="17"/>
      <c r="L255" s="17"/>
    </row>
    <row r="256" spans="1:12" s="20" customFormat="1" x14ac:dyDescent="0.2">
      <c r="A256" s="10" t="s">
        <v>8</v>
      </c>
      <c r="B256" s="11" t="s">
        <v>9</v>
      </c>
      <c r="C256" s="35" t="s">
        <v>413</v>
      </c>
      <c r="D256" s="37">
        <v>45324</v>
      </c>
      <c r="E256" s="36">
        <v>2643</v>
      </c>
      <c r="F256" s="35" t="s">
        <v>22</v>
      </c>
      <c r="G256" s="14" t="str">
        <f t="shared" si="6"/>
        <v>B</v>
      </c>
      <c r="H256" s="15" t="str">
        <f t="shared" si="7"/>
        <v>The Commissioner &amp; Chief Constable are satisfied the spend represents VFM in accordance with the requirements of Category B</v>
      </c>
      <c r="K256" s="17"/>
      <c r="L256" s="17"/>
    </row>
    <row r="257" spans="1:12" s="20" customFormat="1" x14ac:dyDescent="0.2">
      <c r="A257" s="10" t="s">
        <v>8</v>
      </c>
      <c r="B257" s="11" t="s">
        <v>9</v>
      </c>
      <c r="C257" s="35" t="s">
        <v>356</v>
      </c>
      <c r="D257" s="37">
        <v>45343</v>
      </c>
      <c r="E257" s="36">
        <v>2625</v>
      </c>
      <c r="F257" s="35" t="s">
        <v>54</v>
      </c>
      <c r="G257" s="14" t="str">
        <f t="shared" si="6"/>
        <v>B</v>
      </c>
      <c r="H257" s="15" t="str">
        <f t="shared" si="7"/>
        <v>The Commissioner &amp; Chief Constable are satisfied the spend represents VFM in accordance with the requirements of Category B</v>
      </c>
      <c r="K257" s="17"/>
      <c r="L257" s="17"/>
    </row>
    <row r="258" spans="1:12" s="20" customFormat="1" x14ac:dyDescent="0.2">
      <c r="A258" s="10" t="s">
        <v>8</v>
      </c>
      <c r="B258" s="11" t="s">
        <v>9</v>
      </c>
      <c r="C258" s="35" t="s">
        <v>186</v>
      </c>
      <c r="D258" s="37">
        <v>45349</v>
      </c>
      <c r="E258" s="36">
        <v>2600</v>
      </c>
      <c r="F258" s="35" t="s">
        <v>106</v>
      </c>
      <c r="G258" s="14" t="str">
        <f t="shared" ref="G258:G321" si="8">IF(E258&gt;25000,"C",IF(E258&gt;1000,"B","A"))</f>
        <v>B</v>
      </c>
      <c r="H258" s="15" t="str">
        <f t="shared" ref="H258:H321" si="9">VLOOKUP(G258,$K$2:$L$4,2,FALSE)</f>
        <v>The Commissioner &amp; Chief Constable are satisfied the spend represents VFM in accordance with the requirements of Category B</v>
      </c>
      <c r="K258" s="17"/>
      <c r="L258" s="17"/>
    </row>
    <row r="259" spans="1:12" s="20" customFormat="1" x14ac:dyDescent="0.2">
      <c r="A259" s="10" t="s">
        <v>8</v>
      </c>
      <c r="B259" s="11" t="s">
        <v>9</v>
      </c>
      <c r="C259" s="35" t="s">
        <v>552</v>
      </c>
      <c r="D259" s="37">
        <v>45334</v>
      </c>
      <c r="E259" s="36">
        <v>2565</v>
      </c>
      <c r="F259" s="35" t="s">
        <v>106</v>
      </c>
      <c r="G259" s="14" t="str">
        <f t="shared" si="8"/>
        <v>B</v>
      </c>
      <c r="H259" s="15" t="str">
        <f t="shared" si="9"/>
        <v>The Commissioner &amp; Chief Constable are satisfied the spend represents VFM in accordance with the requirements of Category B</v>
      </c>
      <c r="K259" s="17"/>
      <c r="L259" s="17"/>
    </row>
    <row r="260" spans="1:12" s="20" customFormat="1" x14ac:dyDescent="0.2">
      <c r="A260" s="10" t="s">
        <v>8</v>
      </c>
      <c r="B260" s="11" t="s">
        <v>9</v>
      </c>
      <c r="C260" s="35" t="s">
        <v>551</v>
      </c>
      <c r="D260" s="37">
        <v>45338</v>
      </c>
      <c r="E260" s="36">
        <v>2500</v>
      </c>
      <c r="F260" s="35" t="s">
        <v>27</v>
      </c>
      <c r="G260" s="14" t="str">
        <f t="shared" si="8"/>
        <v>B</v>
      </c>
      <c r="H260" s="15" t="str">
        <f t="shared" si="9"/>
        <v>The Commissioner &amp; Chief Constable are satisfied the spend represents VFM in accordance with the requirements of Category B</v>
      </c>
      <c r="K260" s="17"/>
      <c r="L260" s="17"/>
    </row>
    <row r="261" spans="1:12" s="20" customFormat="1" x14ac:dyDescent="0.2">
      <c r="A261" s="10" t="s">
        <v>8</v>
      </c>
      <c r="B261" s="11" t="s">
        <v>9</v>
      </c>
      <c r="C261" s="35" t="s">
        <v>550</v>
      </c>
      <c r="D261" s="37">
        <v>45324</v>
      </c>
      <c r="E261" s="36">
        <v>2500</v>
      </c>
      <c r="F261" s="35" t="s">
        <v>80</v>
      </c>
      <c r="G261" s="14" t="str">
        <f t="shared" si="8"/>
        <v>B</v>
      </c>
      <c r="H261" s="15" t="str">
        <f t="shared" si="9"/>
        <v>The Commissioner &amp; Chief Constable are satisfied the spend represents VFM in accordance with the requirements of Category B</v>
      </c>
      <c r="K261" s="17"/>
      <c r="L261" s="17"/>
    </row>
    <row r="262" spans="1:12" s="20" customFormat="1" x14ac:dyDescent="0.2">
      <c r="A262" s="10" t="s">
        <v>8</v>
      </c>
      <c r="B262" s="11" t="s">
        <v>9</v>
      </c>
      <c r="C262" s="35" t="s">
        <v>549</v>
      </c>
      <c r="D262" s="37">
        <v>45331</v>
      </c>
      <c r="E262" s="36">
        <v>2500</v>
      </c>
      <c r="F262" s="35" t="s">
        <v>133</v>
      </c>
      <c r="G262" s="14" t="str">
        <f t="shared" si="8"/>
        <v>B</v>
      </c>
      <c r="H262" s="15" t="str">
        <f t="shared" si="9"/>
        <v>The Commissioner &amp; Chief Constable are satisfied the spend represents VFM in accordance with the requirements of Category B</v>
      </c>
      <c r="K262" s="17"/>
      <c r="L262" s="17"/>
    </row>
    <row r="263" spans="1:12" s="20" customFormat="1" x14ac:dyDescent="0.2">
      <c r="A263" s="10" t="s">
        <v>8</v>
      </c>
      <c r="B263" s="11" t="s">
        <v>9</v>
      </c>
      <c r="C263" s="35" t="s">
        <v>548</v>
      </c>
      <c r="D263" s="37">
        <v>45338</v>
      </c>
      <c r="E263" s="36">
        <v>2500</v>
      </c>
      <c r="F263" s="35" t="s">
        <v>27</v>
      </c>
      <c r="G263" s="14" t="str">
        <f t="shared" si="8"/>
        <v>B</v>
      </c>
      <c r="H263" s="15" t="str">
        <f t="shared" si="9"/>
        <v>The Commissioner &amp; Chief Constable are satisfied the spend represents VFM in accordance with the requirements of Category B</v>
      </c>
      <c r="K263" s="17"/>
      <c r="L263" s="17"/>
    </row>
    <row r="264" spans="1:12" s="20" customFormat="1" x14ac:dyDescent="0.2">
      <c r="A264" s="10" t="s">
        <v>8</v>
      </c>
      <c r="B264" s="11" t="s">
        <v>9</v>
      </c>
      <c r="C264" s="35" t="s">
        <v>208</v>
      </c>
      <c r="D264" s="37">
        <v>45334</v>
      </c>
      <c r="E264" s="36">
        <v>2487.5700000000002</v>
      </c>
      <c r="F264" s="35" t="s">
        <v>209</v>
      </c>
      <c r="G264" s="14" t="str">
        <f t="shared" si="8"/>
        <v>B</v>
      </c>
      <c r="H264" s="15" t="str">
        <f t="shared" si="9"/>
        <v>The Commissioner &amp; Chief Constable are satisfied the spend represents VFM in accordance with the requirements of Category B</v>
      </c>
      <c r="K264" s="17"/>
      <c r="L264" s="17"/>
    </row>
    <row r="265" spans="1:12" s="20" customFormat="1" x14ac:dyDescent="0.2">
      <c r="A265" s="10" t="s">
        <v>8</v>
      </c>
      <c r="B265" s="11" t="s">
        <v>9</v>
      </c>
      <c r="C265" s="35" t="s">
        <v>547</v>
      </c>
      <c r="D265" s="37">
        <v>45338</v>
      </c>
      <c r="E265" s="36">
        <v>2455</v>
      </c>
      <c r="F265" s="35" t="s">
        <v>27</v>
      </c>
      <c r="G265" s="14" t="str">
        <f t="shared" si="8"/>
        <v>B</v>
      </c>
      <c r="H265" s="15" t="str">
        <f t="shared" si="9"/>
        <v>The Commissioner &amp; Chief Constable are satisfied the spend represents VFM in accordance with the requirements of Category B</v>
      </c>
      <c r="K265" s="17"/>
      <c r="L265" s="17"/>
    </row>
    <row r="266" spans="1:12" s="20" customFormat="1" x14ac:dyDescent="0.2">
      <c r="A266" s="10" t="s">
        <v>8</v>
      </c>
      <c r="B266" s="11" t="s">
        <v>9</v>
      </c>
      <c r="C266" s="35" t="s">
        <v>242</v>
      </c>
      <c r="D266" s="37">
        <v>45344</v>
      </c>
      <c r="E266" s="36">
        <v>2431</v>
      </c>
      <c r="F266" s="35" t="s">
        <v>94</v>
      </c>
      <c r="G266" s="14" t="str">
        <f t="shared" si="8"/>
        <v>B</v>
      </c>
      <c r="H266" s="15" t="str">
        <f t="shared" si="9"/>
        <v>The Commissioner &amp; Chief Constable are satisfied the spend represents VFM in accordance with the requirements of Category B</v>
      </c>
      <c r="K266" s="17"/>
      <c r="L266" s="17"/>
    </row>
    <row r="267" spans="1:12" s="20" customFormat="1" x14ac:dyDescent="0.2">
      <c r="A267" s="10" t="s">
        <v>8</v>
      </c>
      <c r="B267" s="11" t="s">
        <v>9</v>
      </c>
      <c r="C267" s="35" t="s">
        <v>74</v>
      </c>
      <c r="D267" s="37">
        <v>45330</v>
      </c>
      <c r="E267" s="36">
        <v>2424.52</v>
      </c>
      <c r="F267" s="35" t="s">
        <v>22</v>
      </c>
      <c r="G267" s="14" t="str">
        <f t="shared" si="8"/>
        <v>B</v>
      </c>
      <c r="H267" s="15" t="str">
        <f t="shared" si="9"/>
        <v>The Commissioner &amp; Chief Constable are satisfied the spend represents VFM in accordance with the requirements of Category B</v>
      </c>
      <c r="K267" s="17"/>
      <c r="L267" s="17"/>
    </row>
    <row r="268" spans="1:12" s="20" customFormat="1" x14ac:dyDescent="0.2">
      <c r="A268" s="10" t="s">
        <v>8</v>
      </c>
      <c r="B268" s="11" t="s">
        <v>9</v>
      </c>
      <c r="C268" s="35" t="s">
        <v>547</v>
      </c>
      <c r="D268" s="37">
        <v>45338</v>
      </c>
      <c r="E268" s="36">
        <v>2420</v>
      </c>
      <c r="F268" s="35" t="s">
        <v>27</v>
      </c>
      <c r="G268" s="14" t="str">
        <f t="shared" si="8"/>
        <v>B</v>
      </c>
      <c r="H268" s="15" t="str">
        <f t="shared" si="9"/>
        <v>The Commissioner &amp; Chief Constable are satisfied the spend represents VFM in accordance with the requirements of Category B</v>
      </c>
      <c r="K268" s="17"/>
      <c r="L268" s="17"/>
    </row>
    <row r="269" spans="1:12" s="20" customFormat="1" x14ac:dyDescent="0.2">
      <c r="A269" s="10" t="s">
        <v>8</v>
      </c>
      <c r="B269" s="11" t="s">
        <v>9</v>
      </c>
      <c r="C269" s="35" t="s">
        <v>435</v>
      </c>
      <c r="D269" s="37">
        <v>45338</v>
      </c>
      <c r="E269" s="36">
        <v>2400</v>
      </c>
      <c r="F269" s="35" t="s">
        <v>27</v>
      </c>
      <c r="G269" s="14" t="str">
        <f t="shared" si="8"/>
        <v>B</v>
      </c>
      <c r="H269" s="15" t="str">
        <f t="shared" si="9"/>
        <v>The Commissioner &amp; Chief Constable are satisfied the spend represents VFM in accordance with the requirements of Category B</v>
      </c>
      <c r="K269" s="17"/>
      <c r="L269" s="17"/>
    </row>
    <row r="270" spans="1:12" s="20" customFormat="1" x14ac:dyDescent="0.2">
      <c r="A270" s="10" t="s">
        <v>8</v>
      </c>
      <c r="B270" s="11" t="s">
        <v>9</v>
      </c>
      <c r="C270" s="35" t="s">
        <v>196</v>
      </c>
      <c r="D270" s="37">
        <v>45335</v>
      </c>
      <c r="E270" s="36">
        <v>2343.44</v>
      </c>
      <c r="F270" s="35" t="s">
        <v>169</v>
      </c>
      <c r="G270" s="14" t="str">
        <f t="shared" si="8"/>
        <v>B</v>
      </c>
      <c r="H270" s="15" t="str">
        <f t="shared" si="9"/>
        <v>The Commissioner &amp; Chief Constable are satisfied the spend represents VFM in accordance with the requirements of Category B</v>
      </c>
      <c r="K270" s="17"/>
      <c r="L270" s="17"/>
    </row>
    <row r="271" spans="1:12" s="20" customFormat="1" x14ac:dyDescent="0.2">
      <c r="A271" s="10" t="s">
        <v>8</v>
      </c>
      <c r="B271" s="11" t="s">
        <v>9</v>
      </c>
      <c r="C271" s="35" t="s">
        <v>207</v>
      </c>
      <c r="D271" s="37">
        <v>45328</v>
      </c>
      <c r="E271" s="36">
        <v>2335.7600000000002</v>
      </c>
      <c r="F271" s="35" t="s">
        <v>114</v>
      </c>
      <c r="G271" s="14" t="str">
        <f t="shared" si="8"/>
        <v>B</v>
      </c>
      <c r="H271" s="15" t="str">
        <f t="shared" si="9"/>
        <v>The Commissioner &amp; Chief Constable are satisfied the spend represents VFM in accordance with the requirements of Category B</v>
      </c>
      <c r="K271" s="17"/>
      <c r="L271" s="17"/>
    </row>
    <row r="272" spans="1:12" s="20" customFormat="1" x14ac:dyDescent="0.2">
      <c r="A272" s="10" t="s">
        <v>8</v>
      </c>
      <c r="B272" s="11" t="s">
        <v>9</v>
      </c>
      <c r="C272" s="35" t="s">
        <v>103</v>
      </c>
      <c r="D272" s="37">
        <v>45335</v>
      </c>
      <c r="E272" s="36">
        <v>2313</v>
      </c>
      <c r="F272" s="35" t="s">
        <v>91</v>
      </c>
      <c r="G272" s="14" t="str">
        <f t="shared" si="8"/>
        <v>B</v>
      </c>
      <c r="H272" s="15" t="str">
        <f t="shared" si="9"/>
        <v>The Commissioner &amp; Chief Constable are satisfied the spend represents VFM in accordance with the requirements of Category B</v>
      </c>
      <c r="K272" s="17"/>
      <c r="L272" s="17"/>
    </row>
    <row r="273" spans="1:12" s="20" customFormat="1" x14ac:dyDescent="0.2">
      <c r="A273" s="10" t="s">
        <v>8</v>
      </c>
      <c r="B273" s="11" t="s">
        <v>9</v>
      </c>
      <c r="C273" s="35" t="s">
        <v>249</v>
      </c>
      <c r="D273" s="37">
        <v>45351</v>
      </c>
      <c r="E273" s="36">
        <v>2272</v>
      </c>
      <c r="F273" s="35" t="s">
        <v>138</v>
      </c>
      <c r="G273" s="14" t="str">
        <f t="shared" si="8"/>
        <v>B</v>
      </c>
      <c r="H273" s="15" t="str">
        <f t="shared" si="9"/>
        <v>The Commissioner &amp; Chief Constable are satisfied the spend represents VFM in accordance with the requirements of Category B</v>
      </c>
      <c r="K273" s="17"/>
      <c r="L273" s="17"/>
    </row>
    <row r="274" spans="1:12" s="20" customFormat="1" x14ac:dyDescent="0.2">
      <c r="A274" s="10" t="s">
        <v>8</v>
      </c>
      <c r="B274" s="11" t="s">
        <v>9</v>
      </c>
      <c r="C274" s="35" t="s">
        <v>64</v>
      </c>
      <c r="D274" s="37">
        <v>45338</v>
      </c>
      <c r="E274" s="36">
        <v>2200</v>
      </c>
      <c r="F274" s="35" t="s">
        <v>27</v>
      </c>
      <c r="G274" s="14" t="str">
        <f t="shared" si="8"/>
        <v>B</v>
      </c>
      <c r="H274" s="15" t="str">
        <f t="shared" si="9"/>
        <v>The Commissioner &amp; Chief Constable are satisfied the spend represents VFM in accordance with the requirements of Category B</v>
      </c>
      <c r="K274" s="17"/>
      <c r="L274" s="17"/>
    </row>
    <row r="275" spans="1:12" s="20" customFormat="1" x14ac:dyDescent="0.2">
      <c r="A275" s="10" t="s">
        <v>8</v>
      </c>
      <c r="B275" s="11" t="s">
        <v>9</v>
      </c>
      <c r="C275" s="35" t="s">
        <v>419</v>
      </c>
      <c r="D275" s="37">
        <v>45345</v>
      </c>
      <c r="E275" s="36">
        <v>2138</v>
      </c>
      <c r="F275" s="35" t="s">
        <v>22</v>
      </c>
      <c r="G275" s="14" t="str">
        <f t="shared" si="8"/>
        <v>B</v>
      </c>
      <c r="H275" s="15" t="str">
        <f t="shared" si="9"/>
        <v>The Commissioner &amp; Chief Constable are satisfied the spend represents VFM in accordance with the requirements of Category B</v>
      </c>
      <c r="K275" s="17"/>
      <c r="L275" s="17"/>
    </row>
    <row r="276" spans="1:12" s="20" customFormat="1" x14ac:dyDescent="0.2">
      <c r="A276" s="10" t="s">
        <v>8</v>
      </c>
      <c r="B276" s="11" t="s">
        <v>9</v>
      </c>
      <c r="C276" s="35" t="s">
        <v>289</v>
      </c>
      <c r="D276" s="37">
        <v>45336</v>
      </c>
      <c r="E276" s="36">
        <v>2137.86</v>
      </c>
      <c r="F276" s="35" t="s">
        <v>75</v>
      </c>
      <c r="G276" s="14" t="str">
        <f t="shared" si="8"/>
        <v>B</v>
      </c>
      <c r="H276" s="15" t="str">
        <f t="shared" si="9"/>
        <v>The Commissioner &amp; Chief Constable are satisfied the spend represents VFM in accordance with the requirements of Category B</v>
      </c>
      <c r="K276" s="17"/>
      <c r="L276" s="17"/>
    </row>
    <row r="277" spans="1:12" s="20" customFormat="1" x14ac:dyDescent="0.2">
      <c r="A277" s="10" t="s">
        <v>8</v>
      </c>
      <c r="B277" s="11" t="s">
        <v>9</v>
      </c>
      <c r="C277" s="35" t="s">
        <v>546</v>
      </c>
      <c r="D277" s="37">
        <v>45338</v>
      </c>
      <c r="E277" s="36">
        <v>2130</v>
      </c>
      <c r="F277" s="35" t="s">
        <v>27</v>
      </c>
      <c r="G277" s="14" t="str">
        <f t="shared" si="8"/>
        <v>B</v>
      </c>
      <c r="H277" s="15" t="str">
        <f t="shared" si="9"/>
        <v>The Commissioner &amp; Chief Constable are satisfied the spend represents VFM in accordance with the requirements of Category B</v>
      </c>
      <c r="K277" s="17"/>
      <c r="L277" s="17"/>
    </row>
    <row r="278" spans="1:12" s="20" customFormat="1" x14ac:dyDescent="0.2">
      <c r="A278" s="10" t="s">
        <v>8</v>
      </c>
      <c r="B278" s="11" t="s">
        <v>9</v>
      </c>
      <c r="C278" s="35" t="s">
        <v>224</v>
      </c>
      <c r="D278" s="37">
        <v>45329</v>
      </c>
      <c r="E278" s="36">
        <v>1275</v>
      </c>
      <c r="F278" s="35" t="s">
        <v>106</v>
      </c>
      <c r="G278" s="14" t="str">
        <f t="shared" si="8"/>
        <v>B</v>
      </c>
      <c r="H278" s="15" t="str">
        <f t="shared" si="9"/>
        <v>The Commissioner &amp; Chief Constable are satisfied the spend represents VFM in accordance with the requirements of Category B</v>
      </c>
      <c r="K278" s="17"/>
      <c r="L278" s="17"/>
    </row>
    <row r="279" spans="1:12" s="20" customFormat="1" x14ac:dyDescent="0.2">
      <c r="A279" s="10" t="s">
        <v>8</v>
      </c>
      <c r="B279" s="11" t="s">
        <v>9</v>
      </c>
      <c r="C279" s="35" t="s">
        <v>224</v>
      </c>
      <c r="D279" s="37">
        <v>45329</v>
      </c>
      <c r="E279" s="39">
        <v>817</v>
      </c>
      <c r="F279" s="38" t="s">
        <v>182</v>
      </c>
      <c r="G279" s="14" t="str">
        <f t="shared" si="8"/>
        <v>A</v>
      </c>
      <c r="H279" s="15" t="str">
        <f t="shared" si="9"/>
        <v>The Commissioner &amp; Chief Constable are satisfied the spend represents VFM in accordance with the requirements of Category A</v>
      </c>
      <c r="K279" s="17"/>
      <c r="L279" s="17"/>
    </row>
    <row r="280" spans="1:12" s="20" customFormat="1" x14ac:dyDescent="0.2">
      <c r="A280" s="10" t="s">
        <v>8</v>
      </c>
      <c r="B280" s="11" t="s">
        <v>9</v>
      </c>
      <c r="C280" s="35" t="s">
        <v>161</v>
      </c>
      <c r="D280" s="37">
        <v>45348</v>
      </c>
      <c r="E280" s="36">
        <v>2061</v>
      </c>
      <c r="F280" s="35" t="s">
        <v>75</v>
      </c>
      <c r="G280" s="14" t="str">
        <f t="shared" si="8"/>
        <v>B</v>
      </c>
      <c r="H280" s="15" t="str">
        <f t="shared" si="9"/>
        <v>The Commissioner &amp; Chief Constable are satisfied the spend represents VFM in accordance with the requirements of Category B</v>
      </c>
      <c r="K280" s="17"/>
      <c r="L280" s="17"/>
    </row>
    <row r="281" spans="1:12" s="20" customFormat="1" x14ac:dyDescent="0.2">
      <c r="A281" s="10" t="s">
        <v>8</v>
      </c>
      <c r="B281" s="11" t="s">
        <v>9</v>
      </c>
      <c r="C281" s="35" t="s">
        <v>545</v>
      </c>
      <c r="D281" s="37">
        <v>45327</v>
      </c>
      <c r="E281" s="36">
        <v>2050</v>
      </c>
      <c r="F281" s="35" t="s">
        <v>22</v>
      </c>
      <c r="G281" s="14" t="str">
        <f t="shared" si="8"/>
        <v>B</v>
      </c>
      <c r="H281" s="15" t="str">
        <f t="shared" si="9"/>
        <v>The Commissioner &amp; Chief Constable are satisfied the spend represents VFM in accordance with the requirements of Category B</v>
      </c>
      <c r="K281" s="17"/>
      <c r="L281" s="17"/>
    </row>
    <row r="282" spans="1:12" s="20" customFormat="1" x14ac:dyDescent="0.2">
      <c r="A282" s="10" t="s">
        <v>8</v>
      </c>
      <c r="B282" s="11" t="s">
        <v>9</v>
      </c>
      <c r="C282" s="35" t="s">
        <v>277</v>
      </c>
      <c r="D282" s="37">
        <v>45327</v>
      </c>
      <c r="E282" s="36">
        <v>2040</v>
      </c>
      <c r="F282" s="35" t="s">
        <v>131</v>
      </c>
      <c r="G282" s="14" t="str">
        <f t="shared" si="8"/>
        <v>B</v>
      </c>
      <c r="H282" s="15" t="str">
        <f t="shared" si="9"/>
        <v>The Commissioner &amp; Chief Constable are satisfied the spend represents VFM in accordance with the requirements of Category B</v>
      </c>
      <c r="K282" s="17"/>
      <c r="L282" s="17"/>
    </row>
    <row r="283" spans="1:12" s="20" customFormat="1" x14ac:dyDescent="0.2">
      <c r="A283" s="10" t="s">
        <v>8</v>
      </c>
      <c r="B283" s="11" t="s">
        <v>9</v>
      </c>
      <c r="C283" s="35" t="s">
        <v>501</v>
      </c>
      <c r="D283" s="37">
        <v>45335</v>
      </c>
      <c r="E283" s="36">
        <v>1989.45</v>
      </c>
      <c r="F283" s="35" t="s">
        <v>94</v>
      </c>
      <c r="G283" s="14" t="str">
        <f t="shared" si="8"/>
        <v>B</v>
      </c>
      <c r="H283" s="15" t="str">
        <f t="shared" si="9"/>
        <v>The Commissioner &amp; Chief Constable are satisfied the spend represents VFM in accordance with the requirements of Category B</v>
      </c>
      <c r="K283" s="17"/>
      <c r="L283" s="17"/>
    </row>
    <row r="284" spans="1:12" s="20" customFormat="1" x14ac:dyDescent="0.2">
      <c r="A284" s="10" t="s">
        <v>8</v>
      </c>
      <c r="B284" s="11" t="s">
        <v>9</v>
      </c>
      <c r="C284" s="35" t="s">
        <v>544</v>
      </c>
      <c r="D284" s="37">
        <v>45341</v>
      </c>
      <c r="E284" s="36">
        <v>1970</v>
      </c>
      <c r="F284" s="35" t="s">
        <v>345</v>
      </c>
      <c r="G284" s="14" t="str">
        <f t="shared" si="8"/>
        <v>B</v>
      </c>
      <c r="H284" s="15" t="str">
        <f t="shared" si="9"/>
        <v>The Commissioner &amp; Chief Constable are satisfied the spend represents VFM in accordance with the requirements of Category B</v>
      </c>
      <c r="K284" s="17"/>
      <c r="L284" s="17"/>
    </row>
    <row r="285" spans="1:12" s="20" customFormat="1" x14ac:dyDescent="0.2">
      <c r="A285" s="10" t="s">
        <v>8</v>
      </c>
      <c r="B285" s="11" t="s">
        <v>9</v>
      </c>
      <c r="C285" s="35" t="s">
        <v>543</v>
      </c>
      <c r="D285" s="37">
        <v>45345</v>
      </c>
      <c r="E285" s="36">
        <v>1960</v>
      </c>
      <c r="F285" s="35" t="s">
        <v>131</v>
      </c>
      <c r="G285" s="14" t="str">
        <f t="shared" si="8"/>
        <v>B</v>
      </c>
      <c r="H285" s="15" t="str">
        <f t="shared" si="9"/>
        <v>The Commissioner &amp; Chief Constable are satisfied the spend represents VFM in accordance with the requirements of Category B</v>
      </c>
      <c r="K285" s="17"/>
      <c r="L285" s="17"/>
    </row>
    <row r="286" spans="1:12" s="20" customFormat="1" x14ac:dyDescent="0.2">
      <c r="A286" s="10" t="s">
        <v>8</v>
      </c>
      <c r="B286" s="11" t="s">
        <v>9</v>
      </c>
      <c r="C286" s="35" t="s">
        <v>181</v>
      </c>
      <c r="D286" s="37">
        <v>45328</v>
      </c>
      <c r="E286" s="36">
        <v>1954.4</v>
      </c>
      <c r="F286" s="35" t="s">
        <v>106</v>
      </c>
      <c r="G286" s="14" t="str">
        <f t="shared" si="8"/>
        <v>B</v>
      </c>
      <c r="H286" s="15" t="str">
        <f t="shared" si="9"/>
        <v>The Commissioner &amp; Chief Constable are satisfied the spend represents VFM in accordance with the requirements of Category B</v>
      </c>
      <c r="K286" s="17"/>
      <c r="L286" s="17"/>
    </row>
    <row r="287" spans="1:12" s="20" customFormat="1" x14ac:dyDescent="0.2">
      <c r="A287" s="10" t="s">
        <v>8</v>
      </c>
      <c r="B287" s="11" t="s">
        <v>9</v>
      </c>
      <c r="C287" s="35" t="s">
        <v>231</v>
      </c>
      <c r="D287" s="37">
        <v>45329</v>
      </c>
      <c r="E287" s="36">
        <v>1950</v>
      </c>
      <c r="F287" s="35" t="s">
        <v>22</v>
      </c>
      <c r="G287" s="14" t="str">
        <f t="shared" si="8"/>
        <v>B</v>
      </c>
      <c r="H287" s="15" t="str">
        <f t="shared" si="9"/>
        <v>The Commissioner &amp; Chief Constable are satisfied the spend represents VFM in accordance with the requirements of Category B</v>
      </c>
      <c r="K287" s="17"/>
      <c r="L287" s="17"/>
    </row>
    <row r="288" spans="1:12" s="20" customFormat="1" x14ac:dyDescent="0.2">
      <c r="A288" s="10" t="s">
        <v>8</v>
      </c>
      <c r="B288" s="11" t="s">
        <v>9</v>
      </c>
      <c r="C288" s="35" t="s">
        <v>542</v>
      </c>
      <c r="D288" s="37">
        <v>45338</v>
      </c>
      <c r="E288" s="36">
        <v>1942</v>
      </c>
      <c r="F288" s="35" t="s">
        <v>27</v>
      </c>
      <c r="G288" s="14" t="str">
        <f t="shared" si="8"/>
        <v>B</v>
      </c>
      <c r="H288" s="15" t="str">
        <f t="shared" si="9"/>
        <v>The Commissioner &amp; Chief Constable are satisfied the spend represents VFM in accordance with the requirements of Category B</v>
      </c>
      <c r="K288" s="17"/>
      <c r="L288" s="17"/>
    </row>
    <row r="289" spans="1:12" s="20" customFormat="1" x14ac:dyDescent="0.2">
      <c r="A289" s="10" t="s">
        <v>8</v>
      </c>
      <c r="B289" s="11" t="s">
        <v>9</v>
      </c>
      <c r="C289" s="35" t="s">
        <v>541</v>
      </c>
      <c r="D289" s="37">
        <v>45338</v>
      </c>
      <c r="E289" s="36">
        <v>1932.65</v>
      </c>
      <c r="F289" s="35" t="s">
        <v>27</v>
      </c>
      <c r="G289" s="14" t="str">
        <f t="shared" si="8"/>
        <v>B</v>
      </c>
      <c r="H289" s="15" t="str">
        <f t="shared" si="9"/>
        <v>The Commissioner &amp; Chief Constable are satisfied the spend represents VFM in accordance with the requirements of Category B</v>
      </c>
      <c r="K289" s="17"/>
      <c r="L289" s="17"/>
    </row>
    <row r="290" spans="1:12" s="20" customFormat="1" x14ac:dyDescent="0.2">
      <c r="A290" s="10" t="s">
        <v>8</v>
      </c>
      <c r="B290" s="11" t="s">
        <v>9</v>
      </c>
      <c r="C290" s="35" t="s">
        <v>30</v>
      </c>
      <c r="D290" s="37">
        <v>45327</v>
      </c>
      <c r="E290" s="36">
        <v>1923.52</v>
      </c>
      <c r="F290" s="35" t="s">
        <v>31</v>
      </c>
      <c r="G290" s="14" t="str">
        <f t="shared" si="8"/>
        <v>B</v>
      </c>
      <c r="H290" s="15" t="str">
        <f t="shared" si="9"/>
        <v>The Commissioner &amp; Chief Constable are satisfied the spend represents VFM in accordance with the requirements of Category B</v>
      </c>
      <c r="K290" s="17"/>
      <c r="L290" s="17"/>
    </row>
    <row r="291" spans="1:12" s="20" customFormat="1" x14ac:dyDescent="0.2">
      <c r="A291" s="10" t="s">
        <v>8</v>
      </c>
      <c r="B291" s="11" t="s">
        <v>9</v>
      </c>
      <c r="C291" s="35" t="s">
        <v>249</v>
      </c>
      <c r="D291" s="37">
        <v>45327</v>
      </c>
      <c r="E291" s="36">
        <v>1919.55</v>
      </c>
      <c r="F291" s="35" t="s">
        <v>138</v>
      </c>
      <c r="G291" s="14" t="str">
        <f t="shared" si="8"/>
        <v>B</v>
      </c>
      <c r="H291" s="15" t="str">
        <f t="shared" si="9"/>
        <v>The Commissioner &amp; Chief Constable are satisfied the spend represents VFM in accordance with the requirements of Category B</v>
      </c>
      <c r="K291" s="17"/>
      <c r="L291" s="17"/>
    </row>
    <row r="292" spans="1:12" s="20" customFormat="1" x14ac:dyDescent="0.2">
      <c r="A292" s="10" t="s">
        <v>8</v>
      </c>
      <c r="B292" s="11" t="s">
        <v>9</v>
      </c>
      <c r="C292" s="35" t="s">
        <v>124</v>
      </c>
      <c r="D292" s="37">
        <v>45335</v>
      </c>
      <c r="E292" s="36">
        <v>1908.61</v>
      </c>
      <c r="F292" s="35" t="s">
        <v>91</v>
      </c>
      <c r="G292" s="14" t="str">
        <f t="shared" si="8"/>
        <v>B</v>
      </c>
      <c r="H292" s="15" t="str">
        <f t="shared" si="9"/>
        <v>The Commissioner &amp; Chief Constable are satisfied the spend represents VFM in accordance with the requirements of Category B</v>
      </c>
      <c r="K292" s="17"/>
      <c r="L292" s="17"/>
    </row>
    <row r="293" spans="1:12" s="20" customFormat="1" x14ac:dyDescent="0.2">
      <c r="A293" s="10" t="s">
        <v>8</v>
      </c>
      <c r="B293" s="11" t="s">
        <v>9</v>
      </c>
      <c r="C293" s="35" t="s">
        <v>267</v>
      </c>
      <c r="D293" s="37">
        <v>45351</v>
      </c>
      <c r="E293" s="36">
        <v>1906.37</v>
      </c>
      <c r="F293" s="35" t="s">
        <v>58</v>
      </c>
      <c r="G293" s="14" t="str">
        <f t="shared" si="8"/>
        <v>B</v>
      </c>
      <c r="H293" s="15" t="str">
        <f t="shared" si="9"/>
        <v>The Commissioner &amp; Chief Constable are satisfied the spend represents VFM in accordance with the requirements of Category B</v>
      </c>
      <c r="K293" s="17"/>
      <c r="L293" s="17"/>
    </row>
    <row r="294" spans="1:12" s="20" customFormat="1" x14ac:dyDescent="0.2">
      <c r="A294" s="10" t="s">
        <v>8</v>
      </c>
      <c r="B294" s="11" t="s">
        <v>9</v>
      </c>
      <c r="C294" s="35" t="s">
        <v>135</v>
      </c>
      <c r="D294" s="37">
        <v>45331</v>
      </c>
      <c r="E294" s="36">
        <v>1898</v>
      </c>
      <c r="F294" s="35" t="s">
        <v>40</v>
      </c>
      <c r="G294" s="14" t="str">
        <f t="shared" si="8"/>
        <v>B</v>
      </c>
      <c r="H294" s="15" t="str">
        <f t="shared" si="9"/>
        <v>The Commissioner &amp; Chief Constable are satisfied the spend represents VFM in accordance with the requirements of Category B</v>
      </c>
      <c r="K294" s="17"/>
      <c r="L294" s="17"/>
    </row>
    <row r="295" spans="1:12" s="20" customFormat="1" x14ac:dyDescent="0.2">
      <c r="A295" s="10" t="s">
        <v>8</v>
      </c>
      <c r="B295" s="11" t="s">
        <v>9</v>
      </c>
      <c r="C295" s="35" t="s">
        <v>202</v>
      </c>
      <c r="D295" s="37">
        <v>45335</v>
      </c>
      <c r="E295" s="36">
        <v>1885.5</v>
      </c>
      <c r="F295" s="35" t="s">
        <v>203</v>
      </c>
      <c r="G295" s="14" t="str">
        <f t="shared" si="8"/>
        <v>B</v>
      </c>
      <c r="H295" s="15" t="str">
        <f t="shared" si="9"/>
        <v>The Commissioner &amp; Chief Constable are satisfied the spend represents VFM in accordance with the requirements of Category B</v>
      </c>
      <c r="K295" s="17"/>
      <c r="L295" s="17"/>
    </row>
    <row r="296" spans="1:12" s="20" customFormat="1" x14ac:dyDescent="0.2">
      <c r="A296" s="10" t="s">
        <v>8</v>
      </c>
      <c r="B296" s="11" t="s">
        <v>9</v>
      </c>
      <c r="C296" s="35" t="s">
        <v>451</v>
      </c>
      <c r="D296" s="37">
        <v>45324</v>
      </c>
      <c r="E296" s="36">
        <v>1850.9</v>
      </c>
      <c r="F296" s="35" t="s">
        <v>75</v>
      </c>
      <c r="G296" s="14" t="str">
        <f t="shared" si="8"/>
        <v>B</v>
      </c>
      <c r="H296" s="15" t="str">
        <f t="shared" si="9"/>
        <v>The Commissioner &amp; Chief Constable are satisfied the spend represents VFM in accordance with the requirements of Category B</v>
      </c>
      <c r="K296" s="17"/>
      <c r="L296" s="17"/>
    </row>
    <row r="297" spans="1:12" s="20" customFormat="1" x14ac:dyDescent="0.2">
      <c r="A297" s="10" t="s">
        <v>8</v>
      </c>
      <c r="B297" s="11" t="s">
        <v>9</v>
      </c>
      <c r="C297" s="35" t="s">
        <v>238</v>
      </c>
      <c r="D297" s="37">
        <v>45337</v>
      </c>
      <c r="E297" s="36">
        <v>1850</v>
      </c>
      <c r="F297" s="35" t="s">
        <v>106</v>
      </c>
      <c r="G297" s="14" t="str">
        <f t="shared" si="8"/>
        <v>B</v>
      </c>
      <c r="H297" s="15" t="str">
        <f t="shared" si="9"/>
        <v>The Commissioner &amp; Chief Constable are satisfied the spend represents VFM in accordance with the requirements of Category B</v>
      </c>
      <c r="K297" s="17"/>
      <c r="L297" s="17"/>
    </row>
    <row r="298" spans="1:12" s="20" customFormat="1" x14ac:dyDescent="0.2">
      <c r="A298" s="10" t="s">
        <v>8</v>
      </c>
      <c r="B298" s="11" t="s">
        <v>9</v>
      </c>
      <c r="C298" s="35" t="s">
        <v>509</v>
      </c>
      <c r="D298" s="37">
        <v>45338</v>
      </c>
      <c r="E298" s="36">
        <v>1845</v>
      </c>
      <c r="F298" s="35" t="s">
        <v>22</v>
      </c>
      <c r="G298" s="14" t="str">
        <f t="shared" si="8"/>
        <v>B</v>
      </c>
      <c r="H298" s="15" t="str">
        <f t="shared" si="9"/>
        <v>The Commissioner &amp; Chief Constable are satisfied the spend represents VFM in accordance with the requirements of Category B</v>
      </c>
      <c r="K298" s="17"/>
      <c r="L298" s="17"/>
    </row>
    <row r="299" spans="1:12" s="20" customFormat="1" x14ac:dyDescent="0.2">
      <c r="A299" s="10" t="s">
        <v>8</v>
      </c>
      <c r="B299" s="11" t="s">
        <v>9</v>
      </c>
      <c r="C299" s="35" t="s">
        <v>70</v>
      </c>
      <c r="D299" s="37">
        <v>45349</v>
      </c>
      <c r="E299" s="36">
        <v>1835</v>
      </c>
      <c r="F299" s="35" t="s">
        <v>106</v>
      </c>
      <c r="G299" s="14" t="str">
        <f t="shared" si="8"/>
        <v>B</v>
      </c>
      <c r="H299" s="15" t="str">
        <f t="shared" si="9"/>
        <v>The Commissioner &amp; Chief Constable are satisfied the spend represents VFM in accordance with the requirements of Category B</v>
      </c>
      <c r="K299" s="17"/>
      <c r="L299" s="17"/>
    </row>
    <row r="300" spans="1:12" s="20" customFormat="1" x14ac:dyDescent="0.2">
      <c r="A300" s="10" t="s">
        <v>8</v>
      </c>
      <c r="B300" s="11" t="s">
        <v>9</v>
      </c>
      <c r="C300" s="35" t="s">
        <v>540</v>
      </c>
      <c r="D300" s="37">
        <v>45335</v>
      </c>
      <c r="E300" s="36">
        <v>1834.13</v>
      </c>
      <c r="F300" s="35" t="s">
        <v>58</v>
      </c>
      <c r="G300" s="14" t="str">
        <f t="shared" si="8"/>
        <v>B</v>
      </c>
      <c r="H300" s="15" t="str">
        <f t="shared" si="9"/>
        <v>The Commissioner &amp; Chief Constable are satisfied the spend represents VFM in accordance with the requirements of Category B</v>
      </c>
      <c r="K300" s="17"/>
      <c r="L300" s="17"/>
    </row>
    <row r="301" spans="1:12" s="20" customFormat="1" x14ac:dyDescent="0.2">
      <c r="A301" s="10" t="s">
        <v>8</v>
      </c>
      <c r="B301" s="11" t="s">
        <v>9</v>
      </c>
      <c r="C301" s="35" t="s">
        <v>240</v>
      </c>
      <c r="D301" s="37">
        <v>45343</v>
      </c>
      <c r="E301" s="36">
        <v>1830.08</v>
      </c>
      <c r="F301" s="35" t="s">
        <v>241</v>
      </c>
      <c r="G301" s="14" t="str">
        <f t="shared" si="8"/>
        <v>B</v>
      </c>
      <c r="H301" s="15" t="str">
        <f t="shared" si="9"/>
        <v>The Commissioner &amp; Chief Constable are satisfied the spend represents VFM in accordance with the requirements of Category B</v>
      </c>
      <c r="K301" s="17"/>
      <c r="L301" s="17"/>
    </row>
    <row r="302" spans="1:12" s="20" customFormat="1" x14ac:dyDescent="0.2">
      <c r="A302" s="10" t="s">
        <v>8</v>
      </c>
      <c r="B302" s="11" t="s">
        <v>9</v>
      </c>
      <c r="C302" s="35" t="s">
        <v>539</v>
      </c>
      <c r="D302" s="37">
        <v>45334</v>
      </c>
      <c r="E302" s="36">
        <v>1825</v>
      </c>
      <c r="F302" s="35" t="s">
        <v>106</v>
      </c>
      <c r="G302" s="14" t="str">
        <f t="shared" si="8"/>
        <v>B</v>
      </c>
      <c r="H302" s="15" t="str">
        <f t="shared" si="9"/>
        <v>The Commissioner &amp; Chief Constable are satisfied the spend represents VFM in accordance with the requirements of Category B</v>
      </c>
      <c r="K302" s="17"/>
      <c r="L302" s="17"/>
    </row>
    <row r="303" spans="1:12" s="20" customFormat="1" x14ac:dyDescent="0.2">
      <c r="A303" s="10" t="s">
        <v>8</v>
      </c>
      <c r="B303" s="11" t="s">
        <v>9</v>
      </c>
      <c r="C303" s="35" t="s">
        <v>332</v>
      </c>
      <c r="D303" s="37">
        <v>45335</v>
      </c>
      <c r="E303" s="36">
        <v>1818</v>
      </c>
      <c r="F303" s="35" t="s">
        <v>155</v>
      </c>
      <c r="G303" s="14" t="str">
        <f t="shared" si="8"/>
        <v>B</v>
      </c>
      <c r="H303" s="15" t="str">
        <f t="shared" si="9"/>
        <v>The Commissioner &amp; Chief Constable are satisfied the spend represents VFM in accordance with the requirements of Category B</v>
      </c>
      <c r="K303" s="17"/>
      <c r="L303" s="17"/>
    </row>
    <row r="304" spans="1:12" s="20" customFormat="1" x14ac:dyDescent="0.2">
      <c r="A304" s="10" t="s">
        <v>8</v>
      </c>
      <c r="B304" s="11" t="s">
        <v>9</v>
      </c>
      <c r="C304" s="35" t="s">
        <v>423</v>
      </c>
      <c r="D304" s="37">
        <v>45323</v>
      </c>
      <c r="E304" s="36">
        <v>1814.6000000000001</v>
      </c>
      <c r="F304" s="35" t="s">
        <v>390</v>
      </c>
      <c r="G304" s="14" t="str">
        <f t="shared" si="8"/>
        <v>B</v>
      </c>
      <c r="H304" s="15" t="str">
        <f t="shared" si="9"/>
        <v>The Commissioner &amp; Chief Constable are satisfied the spend represents VFM in accordance with the requirements of Category B</v>
      </c>
      <c r="K304" s="17"/>
      <c r="L304" s="17"/>
    </row>
    <row r="305" spans="1:12" s="20" customFormat="1" x14ac:dyDescent="0.2">
      <c r="A305" s="10" t="s">
        <v>8</v>
      </c>
      <c r="B305" s="11" t="s">
        <v>9</v>
      </c>
      <c r="C305" s="35" t="s">
        <v>249</v>
      </c>
      <c r="D305" s="37">
        <v>45340</v>
      </c>
      <c r="E305" s="36">
        <v>1804.5</v>
      </c>
      <c r="F305" s="35" t="s">
        <v>138</v>
      </c>
      <c r="G305" s="14" t="str">
        <f t="shared" si="8"/>
        <v>B</v>
      </c>
      <c r="H305" s="15" t="str">
        <f t="shared" si="9"/>
        <v>The Commissioner &amp; Chief Constable are satisfied the spend represents VFM in accordance with the requirements of Category B</v>
      </c>
      <c r="K305" s="17"/>
      <c r="L305" s="17"/>
    </row>
    <row r="306" spans="1:12" s="20" customFormat="1" x14ac:dyDescent="0.2">
      <c r="A306" s="10" t="s">
        <v>8</v>
      </c>
      <c r="B306" s="11" t="s">
        <v>9</v>
      </c>
      <c r="C306" s="35" t="s">
        <v>124</v>
      </c>
      <c r="D306" s="37">
        <v>45348</v>
      </c>
      <c r="E306" s="36">
        <v>1801.48</v>
      </c>
      <c r="F306" s="35" t="s">
        <v>91</v>
      </c>
      <c r="G306" s="14" t="str">
        <f t="shared" si="8"/>
        <v>B</v>
      </c>
      <c r="H306" s="15" t="str">
        <f t="shared" si="9"/>
        <v>The Commissioner &amp; Chief Constable are satisfied the spend represents VFM in accordance with the requirements of Category B</v>
      </c>
      <c r="K306" s="17"/>
      <c r="L306" s="17"/>
    </row>
    <row r="307" spans="1:12" x14ac:dyDescent="0.2">
      <c r="A307" s="10" t="s">
        <v>8</v>
      </c>
      <c r="B307" s="11" t="s">
        <v>9</v>
      </c>
      <c r="C307" s="35" t="s">
        <v>219</v>
      </c>
      <c r="D307" s="37">
        <v>45348</v>
      </c>
      <c r="E307" s="36">
        <v>1800.15</v>
      </c>
      <c r="F307" s="35" t="s">
        <v>220</v>
      </c>
      <c r="G307" s="14" t="str">
        <f t="shared" si="8"/>
        <v>B</v>
      </c>
      <c r="H307" s="15" t="str">
        <f t="shared" si="9"/>
        <v>The Commissioner &amp; Chief Constable are satisfied the spend represents VFM in accordance with the requirements of Category B</v>
      </c>
    </row>
    <row r="308" spans="1:12" x14ac:dyDescent="0.2">
      <c r="A308" s="10" t="s">
        <v>8</v>
      </c>
      <c r="B308" s="11" t="s">
        <v>9</v>
      </c>
      <c r="C308" s="35" t="s">
        <v>386</v>
      </c>
      <c r="D308" s="37">
        <v>45335</v>
      </c>
      <c r="E308" s="36">
        <v>1800</v>
      </c>
      <c r="F308" s="35" t="s">
        <v>106</v>
      </c>
      <c r="G308" s="14" t="str">
        <f t="shared" si="8"/>
        <v>B</v>
      </c>
      <c r="H308" s="15" t="str">
        <f t="shared" si="9"/>
        <v>The Commissioner &amp; Chief Constable are satisfied the spend represents VFM in accordance with the requirements of Category B</v>
      </c>
    </row>
    <row r="309" spans="1:12" x14ac:dyDescent="0.2">
      <c r="A309" s="10" t="s">
        <v>8</v>
      </c>
      <c r="B309" s="11" t="s">
        <v>9</v>
      </c>
      <c r="C309" s="35" t="s">
        <v>249</v>
      </c>
      <c r="D309" s="37">
        <v>45337</v>
      </c>
      <c r="E309" s="36">
        <v>1796</v>
      </c>
      <c r="F309" s="35" t="s">
        <v>138</v>
      </c>
      <c r="G309" s="14" t="str">
        <f t="shared" si="8"/>
        <v>B</v>
      </c>
      <c r="H309" s="15" t="str">
        <f t="shared" si="9"/>
        <v>The Commissioner &amp; Chief Constable are satisfied the spend represents VFM in accordance with the requirements of Category B</v>
      </c>
    </row>
    <row r="310" spans="1:12" x14ac:dyDescent="0.2">
      <c r="A310" s="10" t="s">
        <v>8</v>
      </c>
      <c r="B310" s="11" t="s">
        <v>9</v>
      </c>
      <c r="C310" s="35" t="s">
        <v>260</v>
      </c>
      <c r="D310" s="37">
        <v>45334</v>
      </c>
      <c r="E310" s="36">
        <v>1776.55</v>
      </c>
      <c r="F310" s="35" t="s">
        <v>261</v>
      </c>
      <c r="G310" s="14" t="str">
        <f t="shared" si="8"/>
        <v>B</v>
      </c>
      <c r="H310" s="15" t="str">
        <f t="shared" si="9"/>
        <v>The Commissioner &amp; Chief Constable are satisfied the spend represents VFM in accordance with the requirements of Category B</v>
      </c>
    </row>
    <row r="311" spans="1:12" x14ac:dyDescent="0.2">
      <c r="A311" s="10" t="s">
        <v>8</v>
      </c>
      <c r="B311" s="11" t="s">
        <v>9</v>
      </c>
      <c r="C311" s="35" t="s">
        <v>107</v>
      </c>
      <c r="D311" s="37">
        <v>45329</v>
      </c>
      <c r="E311" s="36">
        <v>1754.16</v>
      </c>
      <c r="F311" s="35" t="s">
        <v>108</v>
      </c>
      <c r="G311" s="14" t="str">
        <f t="shared" si="8"/>
        <v>B</v>
      </c>
      <c r="H311" s="15" t="str">
        <f t="shared" si="9"/>
        <v>The Commissioner &amp; Chief Constable are satisfied the spend represents VFM in accordance with the requirements of Category B</v>
      </c>
    </row>
    <row r="312" spans="1:12" x14ac:dyDescent="0.2">
      <c r="A312" s="10" t="s">
        <v>8</v>
      </c>
      <c r="B312" s="11" t="s">
        <v>9</v>
      </c>
      <c r="C312" s="35" t="s">
        <v>248</v>
      </c>
      <c r="D312" s="37">
        <v>45349</v>
      </c>
      <c r="E312" s="36">
        <v>1750</v>
      </c>
      <c r="F312" s="35" t="s">
        <v>138</v>
      </c>
      <c r="G312" s="14" t="str">
        <f t="shared" si="8"/>
        <v>B</v>
      </c>
      <c r="H312" s="15" t="str">
        <f t="shared" si="9"/>
        <v>The Commissioner &amp; Chief Constable are satisfied the spend represents VFM in accordance with the requirements of Category B</v>
      </c>
    </row>
    <row r="313" spans="1:12" x14ac:dyDescent="0.2">
      <c r="A313" s="10" t="s">
        <v>8</v>
      </c>
      <c r="B313" s="11" t="s">
        <v>9</v>
      </c>
      <c r="C313" s="35" t="s">
        <v>248</v>
      </c>
      <c r="D313" s="37">
        <v>45336</v>
      </c>
      <c r="E313" s="36">
        <v>1750</v>
      </c>
      <c r="F313" s="35" t="s">
        <v>138</v>
      </c>
      <c r="G313" s="14" t="str">
        <f t="shared" si="8"/>
        <v>B</v>
      </c>
      <c r="H313" s="15" t="str">
        <f t="shared" si="9"/>
        <v>The Commissioner &amp; Chief Constable are satisfied the spend represents VFM in accordance with the requirements of Category B</v>
      </c>
    </row>
    <row r="314" spans="1:12" x14ac:dyDescent="0.2">
      <c r="A314" s="10" t="s">
        <v>8</v>
      </c>
      <c r="B314" s="11" t="s">
        <v>9</v>
      </c>
      <c r="C314" s="35" t="s">
        <v>513</v>
      </c>
      <c r="D314" s="37">
        <v>45335</v>
      </c>
      <c r="E314" s="36">
        <v>1740</v>
      </c>
      <c r="F314" s="35" t="s">
        <v>106</v>
      </c>
      <c r="G314" s="14" t="str">
        <f t="shared" si="8"/>
        <v>B</v>
      </c>
      <c r="H314" s="15" t="str">
        <f t="shared" si="9"/>
        <v>The Commissioner &amp; Chief Constable are satisfied the spend represents VFM in accordance with the requirements of Category B</v>
      </c>
    </row>
    <row r="315" spans="1:12" x14ac:dyDescent="0.2">
      <c r="A315" s="10" t="s">
        <v>8</v>
      </c>
      <c r="B315" s="11" t="s">
        <v>9</v>
      </c>
      <c r="C315" s="35" t="s">
        <v>385</v>
      </c>
      <c r="D315" s="37">
        <v>45327</v>
      </c>
      <c r="E315" s="36">
        <v>1738.46</v>
      </c>
      <c r="F315" s="35" t="s">
        <v>112</v>
      </c>
      <c r="G315" s="14" t="str">
        <f t="shared" si="8"/>
        <v>B</v>
      </c>
      <c r="H315" s="15" t="str">
        <f t="shared" si="9"/>
        <v>The Commissioner &amp; Chief Constable are satisfied the spend represents VFM in accordance with the requirements of Category B</v>
      </c>
    </row>
    <row r="316" spans="1:12" x14ac:dyDescent="0.2">
      <c r="A316" s="10" t="s">
        <v>8</v>
      </c>
      <c r="B316" s="11" t="s">
        <v>9</v>
      </c>
      <c r="C316" s="35" t="s">
        <v>433</v>
      </c>
      <c r="D316" s="37">
        <v>45345</v>
      </c>
      <c r="E316" s="36">
        <v>1712.7</v>
      </c>
      <c r="F316" s="35" t="s">
        <v>94</v>
      </c>
      <c r="G316" s="14" t="str">
        <f t="shared" si="8"/>
        <v>B</v>
      </c>
      <c r="H316" s="15" t="str">
        <f t="shared" si="9"/>
        <v>The Commissioner &amp; Chief Constable are satisfied the spend represents VFM in accordance with the requirements of Category B</v>
      </c>
    </row>
    <row r="317" spans="1:12" x14ac:dyDescent="0.2">
      <c r="A317" s="10" t="s">
        <v>8</v>
      </c>
      <c r="B317" s="11" t="s">
        <v>9</v>
      </c>
      <c r="C317" s="35" t="s">
        <v>538</v>
      </c>
      <c r="D317" s="37">
        <v>45336</v>
      </c>
      <c r="E317" s="36">
        <v>1690.35</v>
      </c>
      <c r="F317" s="35" t="s">
        <v>24</v>
      </c>
      <c r="G317" s="14" t="str">
        <f t="shared" si="8"/>
        <v>B</v>
      </c>
      <c r="H317" s="15" t="str">
        <f t="shared" si="9"/>
        <v>The Commissioner &amp; Chief Constable are satisfied the spend represents VFM in accordance with the requirements of Category B</v>
      </c>
    </row>
    <row r="318" spans="1:12" x14ac:dyDescent="0.2">
      <c r="A318" s="10" t="s">
        <v>8</v>
      </c>
      <c r="B318" s="11" t="s">
        <v>9</v>
      </c>
      <c r="C318" s="35" t="s">
        <v>366</v>
      </c>
      <c r="D318" s="37">
        <v>45334</v>
      </c>
      <c r="E318" s="36">
        <v>1661.85</v>
      </c>
      <c r="F318" s="35" t="s">
        <v>155</v>
      </c>
      <c r="G318" s="14" t="str">
        <f t="shared" si="8"/>
        <v>B</v>
      </c>
      <c r="H318" s="15" t="str">
        <f t="shared" si="9"/>
        <v>The Commissioner &amp; Chief Constable are satisfied the spend represents VFM in accordance with the requirements of Category B</v>
      </c>
    </row>
    <row r="319" spans="1:12" x14ac:dyDescent="0.2">
      <c r="A319" s="10" t="s">
        <v>8</v>
      </c>
      <c r="B319" s="11" t="s">
        <v>9</v>
      </c>
      <c r="C319" s="35" t="s">
        <v>172</v>
      </c>
      <c r="D319" s="37">
        <v>45351</v>
      </c>
      <c r="E319" s="36">
        <v>1661.26</v>
      </c>
      <c r="F319" s="35" t="s">
        <v>39</v>
      </c>
      <c r="G319" s="14" t="str">
        <f t="shared" si="8"/>
        <v>B</v>
      </c>
      <c r="H319" s="15" t="str">
        <f t="shared" si="9"/>
        <v>The Commissioner &amp; Chief Constable are satisfied the spend represents VFM in accordance with the requirements of Category B</v>
      </c>
    </row>
    <row r="320" spans="1:12" x14ac:dyDescent="0.2">
      <c r="A320" s="10" t="s">
        <v>8</v>
      </c>
      <c r="B320" s="11" t="s">
        <v>9</v>
      </c>
      <c r="C320" s="35" t="s">
        <v>252</v>
      </c>
      <c r="D320" s="37">
        <v>45334</v>
      </c>
      <c r="E320" s="36">
        <v>1660</v>
      </c>
      <c r="F320" s="35" t="s">
        <v>148</v>
      </c>
      <c r="G320" s="14" t="str">
        <f t="shared" si="8"/>
        <v>B</v>
      </c>
      <c r="H320" s="15" t="str">
        <f t="shared" si="9"/>
        <v>The Commissioner &amp; Chief Constable are satisfied the spend represents VFM in accordance with the requirements of Category B</v>
      </c>
    </row>
    <row r="321" spans="1:8" x14ac:dyDescent="0.2">
      <c r="A321" s="10" t="s">
        <v>8</v>
      </c>
      <c r="B321" s="11" t="s">
        <v>9</v>
      </c>
      <c r="C321" s="35" t="s">
        <v>107</v>
      </c>
      <c r="D321" s="37">
        <v>45329</v>
      </c>
      <c r="E321" s="36">
        <v>1658.8</v>
      </c>
      <c r="F321" s="35" t="s">
        <v>108</v>
      </c>
      <c r="G321" s="14" t="str">
        <f t="shared" si="8"/>
        <v>B</v>
      </c>
      <c r="H321" s="15" t="str">
        <f t="shared" si="9"/>
        <v>The Commissioner &amp; Chief Constable are satisfied the spend represents VFM in accordance with the requirements of Category B</v>
      </c>
    </row>
    <row r="322" spans="1:8" x14ac:dyDescent="0.2">
      <c r="A322" s="10" t="s">
        <v>8</v>
      </c>
      <c r="B322" s="11" t="s">
        <v>9</v>
      </c>
      <c r="C322" s="35" t="s">
        <v>537</v>
      </c>
      <c r="D322" s="37">
        <v>45335</v>
      </c>
      <c r="E322" s="36">
        <v>1632.1</v>
      </c>
      <c r="F322" s="35" t="s">
        <v>131</v>
      </c>
      <c r="G322" s="14" t="str">
        <f t="shared" ref="G322:G385" si="10">IF(E322&gt;25000,"C",IF(E322&gt;1000,"B","A"))</f>
        <v>B</v>
      </c>
      <c r="H322" s="15" t="str">
        <f t="shared" ref="H322:H385" si="11">VLOOKUP(G322,$K$2:$L$4,2,FALSE)</f>
        <v>The Commissioner &amp; Chief Constable are satisfied the spend represents VFM in accordance with the requirements of Category B</v>
      </c>
    </row>
    <row r="323" spans="1:8" x14ac:dyDescent="0.2">
      <c r="A323" s="10" t="s">
        <v>8</v>
      </c>
      <c r="B323" s="11" t="s">
        <v>9</v>
      </c>
      <c r="C323" s="35" t="s">
        <v>276</v>
      </c>
      <c r="D323" s="37">
        <v>45331</v>
      </c>
      <c r="E323" s="36">
        <v>1623.35</v>
      </c>
      <c r="F323" s="35" t="s">
        <v>40</v>
      </c>
      <c r="G323" s="14" t="str">
        <f t="shared" si="10"/>
        <v>B</v>
      </c>
      <c r="H323" s="15" t="str">
        <f t="shared" si="11"/>
        <v>The Commissioner &amp; Chief Constable are satisfied the spend represents VFM in accordance with the requirements of Category B</v>
      </c>
    </row>
    <row r="324" spans="1:8" x14ac:dyDescent="0.2">
      <c r="A324" s="10" t="s">
        <v>8</v>
      </c>
      <c r="B324" s="11" t="s">
        <v>9</v>
      </c>
      <c r="C324" s="35" t="s">
        <v>276</v>
      </c>
      <c r="D324" s="37">
        <v>45334</v>
      </c>
      <c r="E324" s="36">
        <v>1623.35</v>
      </c>
      <c r="F324" s="35" t="s">
        <v>40</v>
      </c>
      <c r="G324" s="14" t="str">
        <f t="shared" si="10"/>
        <v>B</v>
      </c>
      <c r="H324" s="15" t="str">
        <f t="shared" si="11"/>
        <v>The Commissioner &amp; Chief Constable are satisfied the spend represents VFM in accordance with the requirements of Category B</v>
      </c>
    </row>
    <row r="325" spans="1:8" x14ac:dyDescent="0.2">
      <c r="A325" s="10" t="s">
        <v>8</v>
      </c>
      <c r="B325" s="11" t="s">
        <v>9</v>
      </c>
      <c r="C325" s="35" t="s">
        <v>99</v>
      </c>
      <c r="D325" s="37">
        <v>45338</v>
      </c>
      <c r="E325" s="36">
        <v>1611.2</v>
      </c>
      <c r="F325" s="35" t="s">
        <v>94</v>
      </c>
      <c r="G325" s="14" t="str">
        <f t="shared" si="10"/>
        <v>B</v>
      </c>
      <c r="H325" s="15" t="str">
        <f t="shared" si="11"/>
        <v>The Commissioner &amp; Chief Constable are satisfied the spend represents VFM in accordance with the requirements of Category B</v>
      </c>
    </row>
    <row r="326" spans="1:8" x14ac:dyDescent="0.2">
      <c r="A326" s="10" t="s">
        <v>8</v>
      </c>
      <c r="B326" s="11" t="s">
        <v>9</v>
      </c>
      <c r="C326" s="35" t="s">
        <v>119</v>
      </c>
      <c r="D326" s="37">
        <v>45348</v>
      </c>
      <c r="E326" s="36">
        <v>1609.71</v>
      </c>
      <c r="F326" s="35" t="s">
        <v>120</v>
      </c>
      <c r="G326" s="14" t="str">
        <f t="shared" si="10"/>
        <v>B</v>
      </c>
      <c r="H326" s="15" t="str">
        <f t="shared" si="11"/>
        <v>The Commissioner &amp; Chief Constable are satisfied the spend represents VFM in accordance with the requirements of Category B</v>
      </c>
    </row>
    <row r="327" spans="1:8" x14ac:dyDescent="0.2">
      <c r="A327" s="10" t="s">
        <v>8</v>
      </c>
      <c r="B327" s="11" t="s">
        <v>9</v>
      </c>
      <c r="C327" s="35" t="s">
        <v>536</v>
      </c>
      <c r="D327" s="37">
        <v>45349</v>
      </c>
      <c r="E327" s="36">
        <v>1601</v>
      </c>
      <c r="F327" s="35" t="s">
        <v>319</v>
      </c>
      <c r="G327" s="14" t="str">
        <f t="shared" si="10"/>
        <v>B</v>
      </c>
      <c r="H327" s="15" t="str">
        <f t="shared" si="11"/>
        <v>The Commissioner &amp; Chief Constable are satisfied the spend represents VFM in accordance with the requirements of Category B</v>
      </c>
    </row>
    <row r="328" spans="1:8" x14ac:dyDescent="0.2">
      <c r="A328" s="10" t="s">
        <v>8</v>
      </c>
      <c r="B328" s="11" t="s">
        <v>9</v>
      </c>
      <c r="C328" s="35" t="s">
        <v>142</v>
      </c>
      <c r="D328" s="37">
        <v>45327</v>
      </c>
      <c r="E328" s="36">
        <v>1576.41</v>
      </c>
      <c r="F328" s="35" t="s">
        <v>143</v>
      </c>
      <c r="G328" s="14" t="str">
        <f t="shared" si="10"/>
        <v>B</v>
      </c>
      <c r="H328" s="15" t="str">
        <f t="shared" si="11"/>
        <v>The Commissioner &amp; Chief Constable are satisfied the spend represents VFM in accordance with the requirements of Category B</v>
      </c>
    </row>
    <row r="329" spans="1:8" x14ac:dyDescent="0.2">
      <c r="A329" s="10" t="s">
        <v>8</v>
      </c>
      <c r="B329" s="11" t="s">
        <v>9</v>
      </c>
      <c r="C329" s="35" t="s">
        <v>93</v>
      </c>
      <c r="D329" s="37">
        <v>45338</v>
      </c>
      <c r="E329" s="36">
        <v>1561</v>
      </c>
      <c r="F329" s="35" t="s">
        <v>94</v>
      </c>
      <c r="G329" s="14" t="str">
        <f t="shared" si="10"/>
        <v>B</v>
      </c>
      <c r="H329" s="15" t="str">
        <f t="shared" si="11"/>
        <v>The Commissioner &amp; Chief Constable are satisfied the spend represents VFM in accordance with the requirements of Category B</v>
      </c>
    </row>
    <row r="330" spans="1:8" x14ac:dyDescent="0.2">
      <c r="A330" s="10" t="s">
        <v>8</v>
      </c>
      <c r="B330" s="11" t="s">
        <v>9</v>
      </c>
      <c r="C330" s="35" t="s">
        <v>535</v>
      </c>
      <c r="D330" s="37">
        <v>45330</v>
      </c>
      <c r="E330" s="36">
        <v>1540</v>
      </c>
      <c r="F330" s="35" t="s">
        <v>39</v>
      </c>
      <c r="G330" s="14" t="str">
        <f t="shared" si="10"/>
        <v>B</v>
      </c>
      <c r="H330" s="15" t="str">
        <f t="shared" si="11"/>
        <v>The Commissioner &amp; Chief Constable are satisfied the spend represents VFM in accordance with the requirements of Category B</v>
      </c>
    </row>
    <row r="331" spans="1:8" x14ac:dyDescent="0.2">
      <c r="A331" s="10" t="s">
        <v>8</v>
      </c>
      <c r="B331" s="11" t="s">
        <v>9</v>
      </c>
      <c r="C331" s="35" t="s">
        <v>74</v>
      </c>
      <c r="D331" s="37">
        <v>45328</v>
      </c>
      <c r="E331" s="36">
        <v>1533.24</v>
      </c>
      <c r="F331" s="35" t="s">
        <v>131</v>
      </c>
      <c r="G331" s="14" t="str">
        <f t="shared" si="10"/>
        <v>B</v>
      </c>
      <c r="H331" s="15" t="str">
        <f t="shared" si="11"/>
        <v>The Commissioner &amp; Chief Constable are satisfied the spend represents VFM in accordance with the requirements of Category B</v>
      </c>
    </row>
    <row r="332" spans="1:8" x14ac:dyDescent="0.2">
      <c r="A332" s="10" t="s">
        <v>8</v>
      </c>
      <c r="B332" s="11" t="s">
        <v>9</v>
      </c>
      <c r="C332" s="35" t="s">
        <v>266</v>
      </c>
      <c r="D332" s="37">
        <v>45337</v>
      </c>
      <c r="E332" s="36">
        <v>1524.57</v>
      </c>
      <c r="F332" s="35" t="s">
        <v>209</v>
      </c>
      <c r="G332" s="14" t="str">
        <f t="shared" si="10"/>
        <v>B</v>
      </c>
      <c r="H332" s="15" t="str">
        <f t="shared" si="11"/>
        <v>The Commissioner &amp; Chief Constable are satisfied the spend represents VFM in accordance with the requirements of Category B</v>
      </c>
    </row>
    <row r="333" spans="1:8" x14ac:dyDescent="0.2">
      <c r="A333" s="10" t="s">
        <v>8</v>
      </c>
      <c r="B333" s="11" t="s">
        <v>9</v>
      </c>
      <c r="C333" s="35" t="s">
        <v>309</v>
      </c>
      <c r="D333" s="37">
        <v>45330</v>
      </c>
      <c r="E333" s="36">
        <v>1516</v>
      </c>
      <c r="F333" s="35" t="s">
        <v>39</v>
      </c>
      <c r="G333" s="14" t="str">
        <f t="shared" si="10"/>
        <v>B</v>
      </c>
      <c r="H333" s="15" t="str">
        <f t="shared" si="11"/>
        <v>The Commissioner &amp; Chief Constable are satisfied the spend represents VFM in accordance with the requirements of Category B</v>
      </c>
    </row>
    <row r="334" spans="1:8" x14ac:dyDescent="0.2">
      <c r="A334" s="10" t="s">
        <v>8</v>
      </c>
      <c r="B334" s="11" t="s">
        <v>9</v>
      </c>
      <c r="C334" s="35" t="s">
        <v>332</v>
      </c>
      <c r="D334" s="37">
        <v>45329</v>
      </c>
      <c r="E334" s="36">
        <v>1505.7</v>
      </c>
      <c r="F334" s="35" t="s">
        <v>319</v>
      </c>
      <c r="G334" s="14" t="str">
        <f t="shared" si="10"/>
        <v>B</v>
      </c>
      <c r="H334" s="15" t="str">
        <f t="shared" si="11"/>
        <v>The Commissioner &amp; Chief Constable are satisfied the spend represents VFM in accordance with the requirements of Category B</v>
      </c>
    </row>
    <row r="335" spans="1:8" x14ac:dyDescent="0.2">
      <c r="A335" s="10" t="s">
        <v>8</v>
      </c>
      <c r="B335" s="11" t="s">
        <v>9</v>
      </c>
      <c r="C335" s="35" t="s">
        <v>267</v>
      </c>
      <c r="D335" s="37">
        <v>45335</v>
      </c>
      <c r="E335" s="36">
        <v>1500</v>
      </c>
      <c r="F335" s="35" t="s">
        <v>106</v>
      </c>
      <c r="G335" s="14" t="str">
        <f t="shared" si="10"/>
        <v>B</v>
      </c>
      <c r="H335" s="15" t="str">
        <f t="shared" si="11"/>
        <v>The Commissioner &amp; Chief Constable are satisfied the spend represents VFM in accordance with the requirements of Category B</v>
      </c>
    </row>
    <row r="336" spans="1:8" x14ac:dyDescent="0.2">
      <c r="A336" s="10" t="s">
        <v>8</v>
      </c>
      <c r="B336" s="11" t="s">
        <v>9</v>
      </c>
      <c r="C336" s="35" t="s">
        <v>354</v>
      </c>
      <c r="D336" s="37">
        <v>45338</v>
      </c>
      <c r="E336" s="36">
        <v>1500</v>
      </c>
      <c r="F336" s="35" t="s">
        <v>27</v>
      </c>
      <c r="G336" s="14" t="str">
        <f t="shared" si="10"/>
        <v>B</v>
      </c>
      <c r="H336" s="15" t="str">
        <f t="shared" si="11"/>
        <v>The Commissioner &amp; Chief Constable are satisfied the spend represents VFM in accordance with the requirements of Category B</v>
      </c>
    </row>
    <row r="337" spans="1:8" x14ac:dyDescent="0.2">
      <c r="A337" s="10" t="s">
        <v>8</v>
      </c>
      <c r="B337" s="11" t="s">
        <v>9</v>
      </c>
      <c r="C337" s="35" t="s">
        <v>534</v>
      </c>
      <c r="D337" s="37">
        <v>45334</v>
      </c>
      <c r="E337" s="36">
        <v>1495.83</v>
      </c>
      <c r="F337" s="35" t="s">
        <v>319</v>
      </c>
      <c r="G337" s="14" t="str">
        <f t="shared" si="10"/>
        <v>B</v>
      </c>
      <c r="H337" s="15" t="str">
        <f t="shared" si="11"/>
        <v>The Commissioner &amp; Chief Constable are satisfied the spend represents VFM in accordance with the requirements of Category B</v>
      </c>
    </row>
    <row r="338" spans="1:8" x14ac:dyDescent="0.2">
      <c r="A338" s="10" t="s">
        <v>8</v>
      </c>
      <c r="B338" s="11" t="s">
        <v>9</v>
      </c>
      <c r="C338" s="35" t="s">
        <v>309</v>
      </c>
      <c r="D338" s="37">
        <v>45348</v>
      </c>
      <c r="E338" s="36">
        <v>1490</v>
      </c>
      <c r="F338" s="35" t="s">
        <v>38</v>
      </c>
      <c r="G338" s="14" t="str">
        <f t="shared" si="10"/>
        <v>B</v>
      </c>
      <c r="H338" s="15" t="str">
        <f t="shared" si="11"/>
        <v>The Commissioner &amp; Chief Constable are satisfied the spend represents VFM in accordance with the requirements of Category B</v>
      </c>
    </row>
    <row r="339" spans="1:8" x14ac:dyDescent="0.2">
      <c r="A339" s="10" t="s">
        <v>8</v>
      </c>
      <c r="B339" s="11" t="s">
        <v>9</v>
      </c>
      <c r="C339" s="35" t="s">
        <v>201</v>
      </c>
      <c r="D339" s="37">
        <v>45345</v>
      </c>
      <c r="E339" s="36">
        <v>1477.13</v>
      </c>
      <c r="F339" s="35" t="s">
        <v>94</v>
      </c>
      <c r="G339" s="14" t="str">
        <f t="shared" si="10"/>
        <v>B</v>
      </c>
      <c r="H339" s="15" t="str">
        <f t="shared" si="11"/>
        <v>The Commissioner &amp; Chief Constable are satisfied the spend represents VFM in accordance with the requirements of Category B</v>
      </c>
    </row>
    <row r="340" spans="1:8" x14ac:dyDescent="0.2">
      <c r="A340" s="10" t="s">
        <v>8</v>
      </c>
      <c r="B340" s="11" t="s">
        <v>9</v>
      </c>
      <c r="C340" s="35" t="s">
        <v>256</v>
      </c>
      <c r="D340" s="37">
        <v>45335</v>
      </c>
      <c r="E340" s="36">
        <v>1476.7</v>
      </c>
      <c r="F340" s="35" t="s">
        <v>131</v>
      </c>
      <c r="G340" s="14" t="str">
        <f t="shared" si="10"/>
        <v>B</v>
      </c>
      <c r="H340" s="15" t="str">
        <f t="shared" si="11"/>
        <v>The Commissioner &amp; Chief Constable are satisfied the spend represents VFM in accordance with the requirements of Category B</v>
      </c>
    </row>
    <row r="341" spans="1:8" x14ac:dyDescent="0.2">
      <c r="A341" s="10" t="s">
        <v>8</v>
      </c>
      <c r="B341" s="11" t="s">
        <v>9</v>
      </c>
      <c r="C341" s="35" t="s">
        <v>533</v>
      </c>
      <c r="D341" s="37">
        <v>45331</v>
      </c>
      <c r="E341" s="36">
        <v>1470</v>
      </c>
      <c r="F341" s="35" t="s">
        <v>390</v>
      </c>
      <c r="G341" s="14" t="str">
        <f t="shared" si="10"/>
        <v>B</v>
      </c>
      <c r="H341" s="15" t="str">
        <f t="shared" si="11"/>
        <v>The Commissioner &amp; Chief Constable are satisfied the spend represents VFM in accordance with the requirements of Category B</v>
      </c>
    </row>
    <row r="342" spans="1:8" x14ac:dyDescent="0.2">
      <c r="A342" s="10" t="s">
        <v>8</v>
      </c>
      <c r="B342" s="11" t="s">
        <v>9</v>
      </c>
      <c r="C342" s="35" t="s">
        <v>256</v>
      </c>
      <c r="D342" s="37">
        <v>45343</v>
      </c>
      <c r="E342" s="36">
        <v>1464.3</v>
      </c>
      <c r="F342" s="35" t="s">
        <v>203</v>
      </c>
      <c r="G342" s="14" t="str">
        <f t="shared" si="10"/>
        <v>B</v>
      </c>
      <c r="H342" s="15" t="str">
        <f t="shared" si="11"/>
        <v>The Commissioner &amp; Chief Constable are satisfied the spend represents VFM in accordance with the requirements of Category B</v>
      </c>
    </row>
    <row r="343" spans="1:8" x14ac:dyDescent="0.2">
      <c r="A343" s="10" t="s">
        <v>8</v>
      </c>
      <c r="B343" s="11" t="s">
        <v>9</v>
      </c>
      <c r="C343" s="35" t="s">
        <v>342</v>
      </c>
      <c r="D343" s="37">
        <v>45350</v>
      </c>
      <c r="E343" s="36">
        <v>1461</v>
      </c>
      <c r="F343" s="35" t="s">
        <v>38</v>
      </c>
      <c r="G343" s="14" t="str">
        <f t="shared" si="10"/>
        <v>B</v>
      </c>
      <c r="H343" s="15" t="str">
        <f t="shared" si="11"/>
        <v>The Commissioner &amp; Chief Constable are satisfied the spend represents VFM in accordance with the requirements of Category B</v>
      </c>
    </row>
    <row r="344" spans="1:8" x14ac:dyDescent="0.2">
      <c r="A344" s="10" t="s">
        <v>8</v>
      </c>
      <c r="B344" s="11" t="s">
        <v>9</v>
      </c>
      <c r="C344" s="40" t="s">
        <v>124</v>
      </c>
      <c r="D344" s="37">
        <v>45323</v>
      </c>
      <c r="E344" s="36">
        <v>1454.59</v>
      </c>
      <c r="F344" s="35" t="s">
        <v>91</v>
      </c>
      <c r="G344" s="14" t="str">
        <f t="shared" si="10"/>
        <v>B</v>
      </c>
      <c r="H344" s="15" t="str">
        <f t="shared" si="11"/>
        <v>The Commissioner &amp; Chief Constable are satisfied the spend represents VFM in accordance with the requirements of Category B</v>
      </c>
    </row>
    <row r="345" spans="1:8" x14ac:dyDescent="0.2">
      <c r="A345" s="10" t="s">
        <v>8</v>
      </c>
      <c r="B345" s="11" t="s">
        <v>9</v>
      </c>
      <c r="C345" s="35" t="s">
        <v>295</v>
      </c>
      <c r="D345" s="37">
        <v>45350</v>
      </c>
      <c r="E345" s="36">
        <v>1453.4</v>
      </c>
      <c r="F345" s="35" t="s">
        <v>296</v>
      </c>
      <c r="G345" s="14" t="str">
        <f t="shared" si="10"/>
        <v>B</v>
      </c>
      <c r="H345" s="15" t="str">
        <f t="shared" si="11"/>
        <v>The Commissioner &amp; Chief Constable are satisfied the spend represents VFM in accordance with the requirements of Category B</v>
      </c>
    </row>
    <row r="346" spans="1:8" x14ac:dyDescent="0.2">
      <c r="A346" s="10" t="s">
        <v>8</v>
      </c>
      <c r="B346" s="11" t="s">
        <v>9</v>
      </c>
      <c r="C346" s="35" t="s">
        <v>139</v>
      </c>
      <c r="D346" s="37">
        <v>45335</v>
      </c>
      <c r="E346" s="36">
        <v>1445.97</v>
      </c>
      <c r="F346" s="35" t="s">
        <v>39</v>
      </c>
      <c r="G346" s="14" t="str">
        <f t="shared" si="10"/>
        <v>B</v>
      </c>
      <c r="H346" s="15" t="str">
        <f t="shared" si="11"/>
        <v>The Commissioner &amp; Chief Constable are satisfied the spend represents VFM in accordance with the requirements of Category B</v>
      </c>
    </row>
    <row r="347" spans="1:8" x14ac:dyDescent="0.2">
      <c r="A347" s="10" t="s">
        <v>8</v>
      </c>
      <c r="B347" s="11" t="s">
        <v>9</v>
      </c>
      <c r="C347" s="35" t="s">
        <v>532</v>
      </c>
      <c r="D347" s="37">
        <v>45342</v>
      </c>
      <c r="E347" s="36">
        <v>1400</v>
      </c>
      <c r="F347" s="35" t="s">
        <v>138</v>
      </c>
      <c r="G347" s="14" t="str">
        <f t="shared" si="10"/>
        <v>B</v>
      </c>
      <c r="H347" s="15" t="str">
        <f t="shared" si="11"/>
        <v>The Commissioner &amp; Chief Constable are satisfied the spend represents VFM in accordance with the requirements of Category B</v>
      </c>
    </row>
    <row r="348" spans="1:8" x14ac:dyDescent="0.2">
      <c r="A348" s="10" t="s">
        <v>8</v>
      </c>
      <c r="B348" s="11" t="s">
        <v>9</v>
      </c>
      <c r="C348" s="35" t="s">
        <v>172</v>
      </c>
      <c r="D348" s="37">
        <v>45341</v>
      </c>
      <c r="E348" s="36">
        <v>1400</v>
      </c>
      <c r="F348" s="35" t="s">
        <v>112</v>
      </c>
      <c r="G348" s="14" t="str">
        <f t="shared" si="10"/>
        <v>B</v>
      </c>
      <c r="H348" s="15" t="str">
        <f t="shared" si="11"/>
        <v>The Commissioner &amp; Chief Constable are satisfied the spend represents VFM in accordance with the requirements of Category B</v>
      </c>
    </row>
    <row r="349" spans="1:8" x14ac:dyDescent="0.2">
      <c r="A349" s="10" t="s">
        <v>8</v>
      </c>
      <c r="B349" s="11" t="s">
        <v>9</v>
      </c>
      <c r="C349" s="35" t="s">
        <v>243</v>
      </c>
      <c r="D349" s="37">
        <v>45348</v>
      </c>
      <c r="E349" s="36">
        <v>1400</v>
      </c>
      <c r="F349" s="35" t="s">
        <v>22</v>
      </c>
      <c r="G349" s="14" t="str">
        <f t="shared" si="10"/>
        <v>B</v>
      </c>
      <c r="H349" s="15" t="str">
        <f t="shared" si="11"/>
        <v>The Commissioner &amp; Chief Constable are satisfied the spend represents VFM in accordance with the requirements of Category B</v>
      </c>
    </row>
    <row r="350" spans="1:8" x14ac:dyDescent="0.2">
      <c r="A350" s="10" t="s">
        <v>8</v>
      </c>
      <c r="B350" s="11" t="s">
        <v>9</v>
      </c>
      <c r="C350" s="35" t="s">
        <v>531</v>
      </c>
      <c r="D350" s="37">
        <v>45341</v>
      </c>
      <c r="E350" s="36">
        <v>1394.4</v>
      </c>
      <c r="F350" s="35" t="s">
        <v>94</v>
      </c>
      <c r="G350" s="14" t="str">
        <f t="shared" si="10"/>
        <v>B</v>
      </c>
      <c r="H350" s="15" t="str">
        <f t="shared" si="11"/>
        <v>The Commissioner &amp; Chief Constable are satisfied the spend represents VFM in accordance with the requirements of Category B</v>
      </c>
    </row>
    <row r="351" spans="1:8" x14ac:dyDescent="0.2">
      <c r="A351" s="10" t="s">
        <v>8</v>
      </c>
      <c r="B351" s="11" t="s">
        <v>9</v>
      </c>
      <c r="C351" s="35" t="s">
        <v>294</v>
      </c>
      <c r="D351" s="37">
        <v>45343</v>
      </c>
      <c r="E351" s="36">
        <v>1328</v>
      </c>
      <c r="F351" s="35" t="s">
        <v>203</v>
      </c>
      <c r="G351" s="14" t="str">
        <f t="shared" si="10"/>
        <v>B</v>
      </c>
      <c r="H351" s="15" t="str">
        <f t="shared" si="11"/>
        <v>The Commissioner &amp; Chief Constable are satisfied the spend represents VFM in accordance with the requirements of Category B</v>
      </c>
    </row>
    <row r="352" spans="1:8" x14ac:dyDescent="0.2">
      <c r="A352" s="10" t="s">
        <v>8</v>
      </c>
      <c r="B352" s="11" t="s">
        <v>9</v>
      </c>
      <c r="C352" s="35" t="s">
        <v>256</v>
      </c>
      <c r="D352" s="37">
        <v>45328</v>
      </c>
      <c r="E352" s="36">
        <v>1327.24</v>
      </c>
      <c r="F352" s="35" t="s">
        <v>155</v>
      </c>
      <c r="G352" s="14" t="str">
        <f t="shared" si="10"/>
        <v>B</v>
      </c>
      <c r="H352" s="15" t="str">
        <f t="shared" si="11"/>
        <v>The Commissioner &amp; Chief Constable are satisfied the spend represents VFM in accordance with the requirements of Category B</v>
      </c>
    </row>
    <row r="353" spans="1:8" x14ac:dyDescent="0.2">
      <c r="A353" s="10" t="s">
        <v>8</v>
      </c>
      <c r="B353" s="11" t="s">
        <v>9</v>
      </c>
      <c r="C353" s="35" t="s">
        <v>163</v>
      </c>
      <c r="D353" s="37">
        <v>45327</v>
      </c>
      <c r="E353" s="36">
        <v>70</v>
      </c>
      <c r="F353" s="35" t="s">
        <v>45</v>
      </c>
      <c r="G353" s="14" t="str">
        <f t="shared" si="10"/>
        <v>A</v>
      </c>
      <c r="H353" s="15" t="str">
        <f t="shared" si="11"/>
        <v>The Commissioner &amp; Chief Constable are satisfied the spend represents VFM in accordance with the requirements of Category A</v>
      </c>
    </row>
    <row r="354" spans="1:8" x14ac:dyDescent="0.2">
      <c r="A354" s="10" t="s">
        <v>8</v>
      </c>
      <c r="B354" s="11" t="s">
        <v>9</v>
      </c>
      <c r="C354" s="35" t="s">
        <v>163</v>
      </c>
      <c r="D354" s="37">
        <v>45327</v>
      </c>
      <c r="E354" s="39">
        <v>1105</v>
      </c>
      <c r="F354" s="38" t="s">
        <v>81</v>
      </c>
      <c r="G354" s="14" t="str">
        <f t="shared" si="10"/>
        <v>B</v>
      </c>
      <c r="H354" s="15" t="str">
        <f t="shared" si="11"/>
        <v>The Commissioner &amp; Chief Constable are satisfied the spend represents VFM in accordance with the requirements of Category B</v>
      </c>
    </row>
    <row r="355" spans="1:8" x14ac:dyDescent="0.2">
      <c r="A355" s="10" t="s">
        <v>8</v>
      </c>
      <c r="B355" s="11" t="s">
        <v>9</v>
      </c>
      <c r="C355" s="35" t="s">
        <v>163</v>
      </c>
      <c r="D355" s="37">
        <v>45327</v>
      </c>
      <c r="E355" s="39">
        <v>142</v>
      </c>
      <c r="F355" s="38" t="s">
        <v>82</v>
      </c>
      <c r="G355" s="14" t="str">
        <f t="shared" si="10"/>
        <v>A</v>
      </c>
      <c r="H355" s="15" t="str">
        <f t="shared" si="11"/>
        <v>The Commissioner &amp; Chief Constable are satisfied the spend represents VFM in accordance with the requirements of Category A</v>
      </c>
    </row>
    <row r="356" spans="1:8" x14ac:dyDescent="0.2">
      <c r="A356" s="10" t="s">
        <v>8</v>
      </c>
      <c r="B356" s="11" t="s">
        <v>9</v>
      </c>
      <c r="C356" s="35" t="s">
        <v>530</v>
      </c>
      <c r="D356" s="37">
        <v>45351</v>
      </c>
      <c r="E356" s="36">
        <v>1300</v>
      </c>
      <c r="F356" s="35" t="s">
        <v>529</v>
      </c>
      <c r="G356" s="14" t="str">
        <f t="shared" si="10"/>
        <v>B</v>
      </c>
      <c r="H356" s="15" t="str">
        <f t="shared" si="11"/>
        <v>The Commissioner &amp; Chief Constable are satisfied the spend represents VFM in accordance with the requirements of Category B</v>
      </c>
    </row>
    <row r="357" spans="1:8" x14ac:dyDescent="0.2">
      <c r="A357" s="10" t="s">
        <v>8</v>
      </c>
      <c r="B357" s="11" t="s">
        <v>9</v>
      </c>
      <c r="C357" s="35" t="s">
        <v>385</v>
      </c>
      <c r="D357" s="37">
        <v>45327</v>
      </c>
      <c r="E357" s="36">
        <v>1292.47</v>
      </c>
      <c r="F357" s="35" t="s">
        <v>112</v>
      </c>
      <c r="G357" s="14" t="str">
        <f t="shared" si="10"/>
        <v>B</v>
      </c>
      <c r="H357" s="15" t="str">
        <f t="shared" si="11"/>
        <v>The Commissioner &amp; Chief Constable are satisfied the spend represents VFM in accordance with the requirements of Category B</v>
      </c>
    </row>
    <row r="358" spans="1:8" x14ac:dyDescent="0.2">
      <c r="A358" s="10" t="s">
        <v>8</v>
      </c>
      <c r="B358" s="11" t="s">
        <v>9</v>
      </c>
      <c r="C358" s="35" t="s">
        <v>242</v>
      </c>
      <c r="D358" s="37">
        <v>45338</v>
      </c>
      <c r="E358" s="36">
        <v>1286.2</v>
      </c>
      <c r="F358" s="35" t="s">
        <v>94</v>
      </c>
      <c r="G358" s="14" t="str">
        <f t="shared" si="10"/>
        <v>B</v>
      </c>
      <c r="H358" s="15" t="str">
        <f t="shared" si="11"/>
        <v>The Commissioner &amp; Chief Constable are satisfied the spend represents VFM in accordance with the requirements of Category B</v>
      </c>
    </row>
    <row r="359" spans="1:8" x14ac:dyDescent="0.2">
      <c r="A359" s="10" t="s">
        <v>8</v>
      </c>
      <c r="B359" s="11" t="s">
        <v>9</v>
      </c>
      <c r="C359" s="35" t="s">
        <v>111</v>
      </c>
      <c r="D359" s="37">
        <v>45342</v>
      </c>
      <c r="E359" s="36">
        <v>1278.67</v>
      </c>
      <c r="F359" s="35" t="s">
        <v>112</v>
      </c>
      <c r="G359" s="14" t="str">
        <f t="shared" si="10"/>
        <v>B</v>
      </c>
      <c r="H359" s="15" t="str">
        <f t="shared" si="11"/>
        <v>The Commissioner &amp; Chief Constable are satisfied the spend represents VFM in accordance with the requirements of Category B</v>
      </c>
    </row>
    <row r="360" spans="1:8" x14ac:dyDescent="0.2">
      <c r="A360" s="10" t="s">
        <v>8</v>
      </c>
      <c r="B360" s="11" t="s">
        <v>9</v>
      </c>
      <c r="C360" s="35" t="s">
        <v>528</v>
      </c>
      <c r="D360" s="37">
        <v>45340</v>
      </c>
      <c r="E360" s="36">
        <v>1260</v>
      </c>
      <c r="F360" s="35" t="s">
        <v>22</v>
      </c>
      <c r="G360" s="14" t="str">
        <f t="shared" si="10"/>
        <v>B</v>
      </c>
      <c r="H360" s="15" t="str">
        <f t="shared" si="11"/>
        <v>The Commissioner &amp; Chief Constable are satisfied the spend represents VFM in accordance with the requirements of Category B</v>
      </c>
    </row>
    <row r="361" spans="1:8" x14ac:dyDescent="0.2">
      <c r="A361" s="10" t="s">
        <v>8</v>
      </c>
      <c r="B361" s="11" t="s">
        <v>9</v>
      </c>
      <c r="C361" s="35" t="s">
        <v>352</v>
      </c>
      <c r="D361" s="37">
        <v>45327</v>
      </c>
      <c r="E361" s="36">
        <v>1250</v>
      </c>
      <c r="F361" s="35" t="s">
        <v>106</v>
      </c>
      <c r="G361" s="14" t="str">
        <f t="shared" si="10"/>
        <v>B</v>
      </c>
      <c r="H361" s="15" t="str">
        <f t="shared" si="11"/>
        <v>The Commissioner &amp; Chief Constable are satisfied the spend represents VFM in accordance with the requirements of Category B</v>
      </c>
    </row>
    <row r="362" spans="1:8" x14ac:dyDescent="0.2">
      <c r="A362" s="10" t="s">
        <v>8</v>
      </c>
      <c r="B362" s="11" t="s">
        <v>9</v>
      </c>
      <c r="C362" s="35" t="s">
        <v>14</v>
      </c>
      <c r="D362" s="37">
        <v>45334</v>
      </c>
      <c r="E362" s="36">
        <v>1241</v>
      </c>
      <c r="F362" s="35" t="s">
        <v>15</v>
      </c>
      <c r="G362" s="14" t="str">
        <f t="shared" si="10"/>
        <v>B</v>
      </c>
      <c r="H362" s="15" t="str">
        <f t="shared" si="11"/>
        <v>The Commissioner &amp; Chief Constable are satisfied the spend represents VFM in accordance with the requirements of Category B</v>
      </c>
    </row>
    <row r="363" spans="1:8" x14ac:dyDescent="0.2">
      <c r="A363" s="10" t="s">
        <v>8</v>
      </c>
      <c r="B363" s="11" t="s">
        <v>9</v>
      </c>
      <c r="C363" s="35" t="s">
        <v>260</v>
      </c>
      <c r="D363" s="37">
        <v>45345</v>
      </c>
      <c r="E363" s="36">
        <v>1239.3</v>
      </c>
      <c r="F363" s="35" t="s">
        <v>261</v>
      </c>
      <c r="G363" s="14" t="str">
        <f t="shared" si="10"/>
        <v>B</v>
      </c>
      <c r="H363" s="15" t="str">
        <f t="shared" si="11"/>
        <v>The Commissioner &amp; Chief Constable are satisfied the spend represents VFM in accordance with the requirements of Category B</v>
      </c>
    </row>
    <row r="364" spans="1:8" x14ac:dyDescent="0.2">
      <c r="A364" s="10" t="s">
        <v>8</v>
      </c>
      <c r="B364" s="11" t="s">
        <v>9</v>
      </c>
      <c r="C364" s="35" t="s">
        <v>411</v>
      </c>
      <c r="D364" s="37">
        <v>45351</v>
      </c>
      <c r="E364" s="36">
        <v>1239</v>
      </c>
      <c r="F364" s="35" t="s">
        <v>131</v>
      </c>
      <c r="G364" s="14" t="str">
        <f t="shared" si="10"/>
        <v>B</v>
      </c>
      <c r="H364" s="15" t="str">
        <f t="shared" si="11"/>
        <v>The Commissioner &amp; Chief Constable are satisfied the spend represents VFM in accordance with the requirements of Category B</v>
      </c>
    </row>
    <row r="365" spans="1:8" x14ac:dyDescent="0.2">
      <c r="A365" s="10" t="s">
        <v>8</v>
      </c>
      <c r="B365" s="11" t="s">
        <v>9</v>
      </c>
      <c r="C365" s="35" t="s">
        <v>305</v>
      </c>
      <c r="D365" s="37">
        <v>45342</v>
      </c>
      <c r="E365" s="36">
        <v>1234.22</v>
      </c>
      <c r="F365" s="35" t="s">
        <v>306</v>
      </c>
      <c r="G365" s="14" t="str">
        <f t="shared" si="10"/>
        <v>B</v>
      </c>
      <c r="H365" s="15" t="str">
        <f t="shared" si="11"/>
        <v>The Commissioner &amp; Chief Constable are satisfied the spend represents VFM in accordance with the requirements of Category B</v>
      </c>
    </row>
    <row r="366" spans="1:8" x14ac:dyDescent="0.2">
      <c r="A366" s="10" t="s">
        <v>8</v>
      </c>
      <c r="B366" s="11" t="s">
        <v>9</v>
      </c>
      <c r="C366" s="35" t="s">
        <v>260</v>
      </c>
      <c r="D366" s="37">
        <v>45344</v>
      </c>
      <c r="E366" s="36">
        <v>1231.4499999999998</v>
      </c>
      <c r="F366" s="35" t="s">
        <v>261</v>
      </c>
      <c r="G366" s="14" t="str">
        <f t="shared" si="10"/>
        <v>B</v>
      </c>
      <c r="H366" s="15" t="str">
        <f t="shared" si="11"/>
        <v>The Commissioner &amp; Chief Constable are satisfied the spend represents VFM in accordance with the requirements of Category B</v>
      </c>
    </row>
    <row r="367" spans="1:8" x14ac:dyDescent="0.2">
      <c r="A367" s="10" t="s">
        <v>8</v>
      </c>
      <c r="B367" s="11" t="s">
        <v>9</v>
      </c>
      <c r="C367" s="35" t="s">
        <v>103</v>
      </c>
      <c r="D367" s="37">
        <v>45335</v>
      </c>
      <c r="E367" s="36">
        <v>1224</v>
      </c>
      <c r="F367" s="35" t="s">
        <v>91</v>
      </c>
      <c r="G367" s="14" t="str">
        <f t="shared" si="10"/>
        <v>B</v>
      </c>
      <c r="H367" s="15" t="str">
        <f t="shared" si="11"/>
        <v>The Commissioner &amp; Chief Constable are satisfied the spend represents VFM in accordance with the requirements of Category B</v>
      </c>
    </row>
    <row r="368" spans="1:8" x14ac:dyDescent="0.2">
      <c r="A368" s="10" t="s">
        <v>8</v>
      </c>
      <c r="B368" s="11" t="s">
        <v>9</v>
      </c>
      <c r="C368" s="35" t="s">
        <v>527</v>
      </c>
      <c r="D368" s="37">
        <v>45349</v>
      </c>
      <c r="E368" s="36">
        <v>1210.82</v>
      </c>
      <c r="F368" s="35" t="s">
        <v>296</v>
      </c>
      <c r="G368" s="14" t="str">
        <f t="shared" si="10"/>
        <v>B</v>
      </c>
      <c r="H368" s="15" t="str">
        <f t="shared" si="11"/>
        <v>The Commissioner &amp; Chief Constable are satisfied the spend represents VFM in accordance with the requirements of Category B</v>
      </c>
    </row>
    <row r="369" spans="1:12" x14ac:dyDescent="0.2">
      <c r="A369" s="10" t="s">
        <v>8</v>
      </c>
      <c r="B369" s="11" t="s">
        <v>9</v>
      </c>
      <c r="C369" s="35" t="s">
        <v>260</v>
      </c>
      <c r="D369" s="37">
        <v>45351</v>
      </c>
      <c r="E369" s="36">
        <v>1193.04</v>
      </c>
      <c r="F369" s="35" t="s">
        <v>261</v>
      </c>
      <c r="G369" s="14" t="str">
        <f t="shared" si="10"/>
        <v>B</v>
      </c>
      <c r="H369" s="15" t="str">
        <f t="shared" si="11"/>
        <v>The Commissioner &amp; Chief Constable are satisfied the spend represents VFM in accordance with the requirements of Category B</v>
      </c>
    </row>
    <row r="370" spans="1:12" x14ac:dyDescent="0.2">
      <c r="A370" s="10" t="s">
        <v>8</v>
      </c>
      <c r="B370" s="11" t="s">
        <v>9</v>
      </c>
      <c r="C370" s="35" t="s">
        <v>256</v>
      </c>
      <c r="D370" s="37">
        <v>45328</v>
      </c>
      <c r="E370" s="36">
        <v>1180</v>
      </c>
      <c r="F370" s="35" t="s">
        <v>131</v>
      </c>
      <c r="G370" s="14" t="str">
        <f t="shared" si="10"/>
        <v>B</v>
      </c>
      <c r="H370" s="15" t="str">
        <f t="shared" si="11"/>
        <v>The Commissioner &amp; Chief Constable are satisfied the spend represents VFM in accordance with the requirements of Category B</v>
      </c>
    </row>
    <row r="371" spans="1:12" x14ac:dyDescent="0.2">
      <c r="A371" s="10" t="s">
        <v>8</v>
      </c>
      <c r="B371" s="11" t="s">
        <v>9</v>
      </c>
      <c r="C371" s="35" t="s">
        <v>526</v>
      </c>
      <c r="D371" s="37">
        <v>45323</v>
      </c>
      <c r="E371" s="36">
        <v>1178</v>
      </c>
      <c r="F371" s="35" t="s">
        <v>151</v>
      </c>
      <c r="G371" s="14" t="str">
        <f t="shared" si="10"/>
        <v>B</v>
      </c>
      <c r="H371" s="15" t="str">
        <f t="shared" si="11"/>
        <v>The Commissioner &amp; Chief Constable are satisfied the spend represents VFM in accordance with the requirements of Category B</v>
      </c>
    </row>
    <row r="372" spans="1:12" x14ac:dyDescent="0.2">
      <c r="A372" s="10" t="s">
        <v>8</v>
      </c>
      <c r="B372" s="11" t="s">
        <v>9</v>
      </c>
      <c r="C372" s="35" t="s">
        <v>283</v>
      </c>
      <c r="D372" s="37">
        <v>45331</v>
      </c>
      <c r="E372" s="36">
        <v>1175.8</v>
      </c>
      <c r="F372" s="35" t="s">
        <v>40</v>
      </c>
      <c r="G372" s="14" t="str">
        <f t="shared" si="10"/>
        <v>B</v>
      </c>
      <c r="H372" s="15" t="str">
        <f t="shared" si="11"/>
        <v>The Commissioner &amp; Chief Constable are satisfied the spend represents VFM in accordance with the requirements of Category B</v>
      </c>
    </row>
    <row r="373" spans="1:12" x14ac:dyDescent="0.2">
      <c r="A373" s="10" t="s">
        <v>8</v>
      </c>
      <c r="B373" s="11" t="s">
        <v>9</v>
      </c>
      <c r="C373" s="35" t="s">
        <v>153</v>
      </c>
      <c r="D373" s="37">
        <v>45338</v>
      </c>
      <c r="E373" s="36">
        <v>1175</v>
      </c>
      <c r="F373" s="35" t="s">
        <v>39</v>
      </c>
      <c r="G373" s="14" t="str">
        <f t="shared" si="10"/>
        <v>B</v>
      </c>
      <c r="H373" s="15" t="str">
        <f t="shared" si="11"/>
        <v>The Commissioner &amp; Chief Constable are satisfied the spend represents VFM in accordance with the requirements of Category B</v>
      </c>
    </row>
    <row r="374" spans="1:12" x14ac:dyDescent="0.2">
      <c r="A374" s="10" t="s">
        <v>8</v>
      </c>
      <c r="B374" s="11" t="s">
        <v>9</v>
      </c>
      <c r="C374" s="35" t="s">
        <v>525</v>
      </c>
      <c r="D374" s="37">
        <v>45324</v>
      </c>
      <c r="E374" s="36">
        <v>1174</v>
      </c>
      <c r="F374" s="35" t="s">
        <v>524</v>
      </c>
      <c r="G374" s="14" t="str">
        <f t="shared" si="10"/>
        <v>B</v>
      </c>
      <c r="H374" s="15" t="str">
        <f t="shared" si="11"/>
        <v>The Commissioner &amp; Chief Constable are satisfied the spend represents VFM in accordance with the requirements of Category B</v>
      </c>
    </row>
    <row r="375" spans="1:12" x14ac:dyDescent="0.2">
      <c r="A375" s="10" t="s">
        <v>8</v>
      </c>
      <c r="B375" s="11" t="s">
        <v>9</v>
      </c>
      <c r="C375" s="35" t="s">
        <v>272</v>
      </c>
      <c r="D375" s="37">
        <v>45328</v>
      </c>
      <c r="E375" s="36">
        <v>1172</v>
      </c>
      <c r="F375" s="35" t="s">
        <v>106</v>
      </c>
      <c r="G375" s="14" t="str">
        <f t="shared" si="10"/>
        <v>B</v>
      </c>
      <c r="H375" s="15" t="str">
        <f t="shared" si="11"/>
        <v>The Commissioner &amp; Chief Constable are satisfied the spend represents VFM in accordance with the requirements of Category B</v>
      </c>
    </row>
    <row r="376" spans="1:12" x14ac:dyDescent="0.2">
      <c r="A376" s="10" t="s">
        <v>8</v>
      </c>
      <c r="B376" s="11" t="s">
        <v>9</v>
      </c>
      <c r="C376" s="35" t="s">
        <v>242</v>
      </c>
      <c r="D376" s="37">
        <v>45336</v>
      </c>
      <c r="E376" s="36">
        <v>1167.32</v>
      </c>
      <c r="F376" s="35" t="s">
        <v>94</v>
      </c>
      <c r="G376" s="14" t="str">
        <f t="shared" si="10"/>
        <v>B</v>
      </c>
      <c r="H376" s="15" t="str">
        <f t="shared" si="11"/>
        <v>The Commissioner &amp; Chief Constable are satisfied the spend represents VFM in accordance with the requirements of Category B</v>
      </c>
    </row>
    <row r="377" spans="1:12" x14ac:dyDescent="0.2">
      <c r="A377" s="10" t="s">
        <v>8</v>
      </c>
      <c r="B377" s="11" t="s">
        <v>9</v>
      </c>
      <c r="C377" s="35" t="s">
        <v>243</v>
      </c>
      <c r="D377" s="37">
        <v>45345</v>
      </c>
      <c r="E377" s="36">
        <v>1160</v>
      </c>
      <c r="F377" s="35" t="s">
        <v>22</v>
      </c>
      <c r="G377" s="14" t="str">
        <f t="shared" si="10"/>
        <v>B</v>
      </c>
      <c r="H377" s="15" t="str">
        <f t="shared" si="11"/>
        <v>The Commissioner &amp; Chief Constable are satisfied the spend represents VFM in accordance with the requirements of Category B</v>
      </c>
    </row>
    <row r="378" spans="1:12" x14ac:dyDescent="0.2">
      <c r="A378" s="10" t="s">
        <v>8</v>
      </c>
      <c r="B378" s="11" t="s">
        <v>9</v>
      </c>
      <c r="C378" s="35" t="s">
        <v>74</v>
      </c>
      <c r="D378" s="37">
        <v>45349</v>
      </c>
      <c r="E378" s="36">
        <v>1158.3</v>
      </c>
      <c r="F378" s="35" t="s">
        <v>84</v>
      </c>
      <c r="G378" s="14" t="str">
        <f t="shared" si="10"/>
        <v>B</v>
      </c>
      <c r="H378" s="15" t="str">
        <f t="shared" si="11"/>
        <v>The Commissioner &amp; Chief Constable are satisfied the spend represents VFM in accordance with the requirements of Category B</v>
      </c>
    </row>
    <row r="379" spans="1:12" x14ac:dyDescent="0.2">
      <c r="A379" s="10" t="s">
        <v>8</v>
      </c>
      <c r="B379" s="11" t="s">
        <v>9</v>
      </c>
      <c r="C379" s="35" t="s">
        <v>223</v>
      </c>
      <c r="D379" s="37">
        <v>45335</v>
      </c>
      <c r="E379" s="36">
        <v>1125</v>
      </c>
      <c r="F379" s="35" t="s">
        <v>22</v>
      </c>
      <c r="G379" s="14" t="str">
        <f t="shared" si="10"/>
        <v>B</v>
      </c>
      <c r="H379" s="15" t="str">
        <f t="shared" si="11"/>
        <v>The Commissioner &amp; Chief Constable are satisfied the spend represents VFM in accordance with the requirements of Category B</v>
      </c>
    </row>
    <row r="380" spans="1:12" x14ac:dyDescent="0.2">
      <c r="A380" s="10" t="s">
        <v>8</v>
      </c>
      <c r="B380" s="11" t="s">
        <v>9</v>
      </c>
      <c r="C380" s="35" t="s">
        <v>281</v>
      </c>
      <c r="D380" s="37">
        <v>45334</v>
      </c>
      <c r="E380" s="36">
        <v>1113.3</v>
      </c>
      <c r="F380" s="35" t="s">
        <v>209</v>
      </c>
      <c r="G380" s="14" t="str">
        <f t="shared" si="10"/>
        <v>B</v>
      </c>
      <c r="H380" s="15" t="str">
        <f t="shared" si="11"/>
        <v>The Commissioner &amp; Chief Constable are satisfied the spend represents VFM in accordance with the requirements of Category B</v>
      </c>
    </row>
    <row r="381" spans="1:12" x14ac:dyDescent="0.2">
      <c r="A381" s="10" t="s">
        <v>8</v>
      </c>
      <c r="B381" s="11" t="s">
        <v>9</v>
      </c>
      <c r="C381" s="35" t="s">
        <v>172</v>
      </c>
      <c r="D381" s="37">
        <v>45341</v>
      </c>
      <c r="E381" s="36">
        <v>1111.26</v>
      </c>
      <c r="F381" s="35" t="s">
        <v>39</v>
      </c>
      <c r="G381" s="14" t="str">
        <f t="shared" si="10"/>
        <v>B</v>
      </c>
      <c r="H381" s="15" t="str">
        <f t="shared" si="11"/>
        <v>The Commissioner &amp; Chief Constable are satisfied the spend represents VFM in accordance with the requirements of Category B</v>
      </c>
    </row>
    <row r="382" spans="1:12" s="20" customFormat="1" x14ac:dyDescent="0.2">
      <c r="A382" s="10" t="s">
        <v>8</v>
      </c>
      <c r="B382" s="11" t="s">
        <v>9</v>
      </c>
      <c r="C382" s="35" t="s">
        <v>309</v>
      </c>
      <c r="D382" s="37">
        <v>45344</v>
      </c>
      <c r="E382" s="36">
        <v>1109.6500000000001</v>
      </c>
      <c r="F382" s="35" t="s">
        <v>39</v>
      </c>
      <c r="G382" s="14" t="str">
        <f t="shared" si="10"/>
        <v>B</v>
      </c>
      <c r="H382" s="15" t="str">
        <f t="shared" si="11"/>
        <v>The Commissioner &amp; Chief Constable are satisfied the spend represents VFM in accordance with the requirements of Category B</v>
      </c>
      <c r="K382" s="17"/>
      <c r="L382" s="17"/>
    </row>
    <row r="383" spans="1:12" s="20" customFormat="1" x14ac:dyDescent="0.2">
      <c r="A383" s="10" t="s">
        <v>8</v>
      </c>
      <c r="B383" s="11" t="s">
        <v>9</v>
      </c>
      <c r="C383" s="35" t="s">
        <v>74</v>
      </c>
      <c r="D383" s="37">
        <v>45328</v>
      </c>
      <c r="E383" s="36">
        <v>1091.4000000000001</v>
      </c>
      <c r="F383" s="35" t="s">
        <v>177</v>
      </c>
      <c r="G383" s="14" t="str">
        <f t="shared" si="10"/>
        <v>B</v>
      </c>
      <c r="H383" s="15" t="str">
        <f t="shared" si="11"/>
        <v>The Commissioner &amp; Chief Constable are satisfied the spend represents VFM in accordance with the requirements of Category B</v>
      </c>
      <c r="K383" s="17"/>
      <c r="L383" s="17"/>
    </row>
    <row r="384" spans="1:12" s="20" customFormat="1" x14ac:dyDescent="0.2">
      <c r="A384" s="10" t="s">
        <v>8</v>
      </c>
      <c r="B384" s="11" t="s">
        <v>9</v>
      </c>
      <c r="C384" s="35" t="s">
        <v>256</v>
      </c>
      <c r="D384" s="37">
        <v>45343</v>
      </c>
      <c r="E384" s="36">
        <v>1084.71</v>
      </c>
      <c r="F384" s="35" t="s">
        <v>155</v>
      </c>
      <c r="G384" s="14" t="str">
        <f t="shared" si="10"/>
        <v>B</v>
      </c>
      <c r="H384" s="15" t="str">
        <f t="shared" si="11"/>
        <v>The Commissioner &amp; Chief Constable are satisfied the spend represents VFM in accordance with the requirements of Category B</v>
      </c>
      <c r="K384" s="17"/>
      <c r="L384" s="17"/>
    </row>
    <row r="385" spans="1:12" s="20" customFormat="1" x14ac:dyDescent="0.2">
      <c r="A385" s="10" t="s">
        <v>8</v>
      </c>
      <c r="B385" s="11" t="s">
        <v>9</v>
      </c>
      <c r="C385" s="35" t="s">
        <v>33</v>
      </c>
      <c r="D385" s="37">
        <v>45350</v>
      </c>
      <c r="E385" s="36">
        <v>1076.92</v>
      </c>
      <c r="F385" s="35" t="s">
        <v>106</v>
      </c>
      <c r="G385" s="14" t="str">
        <f t="shared" si="10"/>
        <v>B</v>
      </c>
      <c r="H385" s="15" t="str">
        <f t="shared" si="11"/>
        <v>The Commissioner &amp; Chief Constable are satisfied the spend represents VFM in accordance with the requirements of Category B</v>
      </c>
      <c r="K385" s="17"/>
      <c r="L385" s="17"/>
    </row>
    <row r="386" spans="1:12" s="20" customFormat="1" x14ac:dyDescent="0.2">
      <c r="A386" s="10" t="s">
        <v>8</v>
      </c>
      <c r="B386" s="11" t="s">
        <v>9</v>
      </c>
      <c r="C386" s="35" t="s">
        <v>419</v>
      </c>
      <c r="D386" s="37">
        <v>45345</v>
      </c>
      <c r="E386" s="36">
        <v>1069</v>
      </c>
      <c r="F386" s="35" t="s">
        <v>22</v>
      </c>
      <c r="G386" s="14" t="str">
        <f t="shared" ref="G386:G449" si="12">IF(E386&gt;25000,"C",IF(E386&gt;1000,"B","A"))</f>
        <v>B</v>
      </c>
      <c r="H386" s="15" t="str">
        <f t="shared" ref="H386:H449" si="13">VLOOKUP(G386,$K$2:$L$4,2,FALSE)</f>
        <v>The Commissioner &amp; Chief Constable are satisfied the spend represents VFM in accordance with the requirements of Category B</v>
      </c>
      <c r="K386" s="17"/>
      <c r="L386" s="17"/>
    </row>
    <row r="387" spans="1:12" s="20" customFormat="1" x14ac:dyDescent="0.2">
      <c r="A387" s="10" t="s">
        <v>8</v>
      </c>
      <c r="B387" s="11" t="s">
        <v>9</v>
      </c>
      <c r="C387" s="35" t="s">
        <v>248</v>
      </c>
      <c r="D387" s="37">
        <v>45330</v>
      </c>
      <c r="E387" s="36">
        <v>1050</v>
      </c>
      <c r="F387" s="35" t="s">
        <v>138</v>
      </c>
      <c r="G387" s="14" t="str">
        <f t="shared" si="12"/>
        <v>B</v>
      </c>
      <c r="H387" s="15" t="str">
        <f t="shared" si="13"/>
        <v>The Commissioner &amp; Chief Constable are satisfied the spend represents VFM in accordance with the requirements of Category B</v>
      </c>
      <c r="K387" s="17"/>
      <c r="L387" s="17"/>
    </row>
    <row r="388" spans="1:12" s="20" customFormat="1" x14ac:dyDescent="0.2">
      <c r="A388" s="10" t="s">
        <v>8</v>
      </c>
      <c r="B388" s="11" t="s">
        <v>9</v>
      </c>
      <c r="C388" s="35" t="s">
        <v>302</v>
      </c>
      <c r="D388" s="37">
        <v>45329</v>
      </c>
      <c r="E388" s="36">
        <v>1047.74</v>
      </c>
      <c r="F388" s="35" t="s">
        <v>131</v>
      </c>
      <c r="G388" s="14" t="str">
        <f t="shared" si="12"/>
        <v>B</v>
      </c>
      <c r="H388" s="15" t="str">
        <f t="shared" si="13"/>
        <v>The Commissioner &amp; Chief Constable are satisfied the spend represents VFM in accordance with the requirements of Category B</v>
      </c>
      <c r="K388" s="17"/>
      <c r="L388" s="17"/>
    </row>
    <row r="389" spans="1:12" s="20" customFormat="1" x14ac:dyDescent="0.2">
      <c r="A389" s="10" t="s">
        <v>8</v>
      </c>
      <c r="B389" s="11" t="s">
        <v>9</v>
      </c>
      <c r="C389" s="35" t="s">
        <v>523</v>
      </c>
      <c r="D389" s="37">
        <v>45330</v>
      </c>
      <c r="E389" s="36">
        <v>1000</v>
      </c>
      <c r="F389" s="35" t="s">
        <v>133</v>
      </c>
      <c r="G389" s="14" t="str">
        <f t="shared" si="12"/>
        <v>A</v>
      </c>
      <c r="H389" s="15" t="str">
        <f t="shared" si="13"/>
        <v>The Commissioner &amp; Chief Constable are satisfied the spend represents VFM in accordance with the requirements of Category A</v>
      </c>
      <c r="K389" s="17"/>
      <c r="L389" s="17"/>
    </row>
    <row r="390" spans="1:12" s="20" customFormat="1" x14ac:dyDescent="0.2">
      <c r="A390" s="10" t="s">
        <v>8</v>
      </c>
      <c r="B390" s="11" t="s">
        <v>9</v>
      </c>
      <c r="C390" s="35" t="s">
        <v>223</v>
      </c>
      <c r="D390" s="37">
        <v>45337</v>
      </c>
      <c r="E390" s="36">
        <v>1000</v>
      </c>
      <c r="F390" s="35" t="s">
        <v>22</v>
      </c>
      <c r="G390" s="14" t="str">
        <f t="shared" si="12"/>
        <v>A</v>
      </c>
      <c r="H390" s="15" t="str">
        <f t="shared" si="13"/>
        <v>The Commissioner &amp; Chief Constable are satisfied the spend represents VFM in accordance with the requirements of Category A</v>
      </c>
      <c r="K390" s="17"/>
      <c r="L390" s="17"/>
    </row>
    <row r="391" spans="1:12" s="20" customFormat="1" x14ac:dyDescent="0.2">
      <c r="A391" s="10" t="s">
        <v>8</v>
      </c>
      <c r="B391" s="11" t="s">
        <v>9</v>
      </c>
      <c r="C391" s="35" t="s">
        <v>223</v>
      </c>
      <c r="D391" s="37">
        <v>45337</v>
      </c>
      <c r="E391" s="36">
        <v>1000</v>
      </c>
      <c r="F391" s="35" t="s">
        <v>22</v>
      </c>
      <c r="G391" s="14" t="str">
        <f t="shared" si="12"/>
        <v>A</v>
      </c>
      <c r="H391" s="15" t="str">
        <f t="shared" si="13"/>
        <v>The Commissioner &amp; Chief Constable are satisfied the spend represents VFM in accordance with the requirements of Category A</v>
      </c>
      <c r="K391" s="17"/>
      <c r="L391" s="17"/>
    </row>
    <row r="392" spans="1:12" s="20" customFormat="1" x14ac:dyDescent="0.2">
      <c r="A392" s="10" t="s">
        <v>8</v>
      </c>
      <c r="B392" s="11" t="s">
        <v>9</v>
      </c>
      <c r="C392" s="35" t="s">
        <v>522</v>
      </c>
      <c r="D392" s="37">
        <v>45338</v>
      </c>
      <c r="E392" s="36">
        <v>992</v>
      </c>
      <c r="F392" s="35" t="s">
        <v>27</v>
      </c>
      <c r="G392" s="14" t="str">
        <f t="shared" si="12"/>
        <v>A</v>
      </c>
      <c r="H392" s="15" t="str">
        <f t="shared" si="13"/>
        <v>The Commissioner &amp; Chief Constable are satisfied the spend represents VFM in accordance with the requirements of Category A</v>
      </c>
      <c r="K392" s="17"/>
      <c r="L392" s="17"/>
    </row>
    <row r="393" spans="1:12" s="20" customFormat="1" x14ac:dyDescent="0.2">
      <c r="A393" s="10" t="s">
        <v>8</v>
      </c>
      <c r="B393" s="11" t="s">
        <v>9</v>
      </c>
      <c r="C393" s="35" t="s">
        <v>161</v>
      </c>
      <c r="D393" s="37">
        <v>45348</v>
      </c>
      <c r="E393" s="36">
        <v>990</v>
      </c>
      <c r="F393" s="35" t="s">
        <v>75</v>
      </c>
      <c r="G393" s="14" t="str">
        <f t="shared" si="12"/>
        <v>A</v>
      </c>
      <c r="H393" s="15" t="str">
        <f t="shared" si="13"/>
        <v>The Commissioner &amp; Chief Constable are satisfied the spend represents VFM in accordance with the requirements of Category A</v>
      </c>
      <c r="K393" s="17"/>
      <c r="L393" s="17"/>
    </row>
    <row r="394" spans="1:12" s="20" customFormat="1" x14ac:dyDescent="0.2">
      <c r="A394" s="10" t="s">
        <v>8</v>
      </c>
      <c r="B394" s="11" t="s">
        <v>9</v>
      </c>
      <c r="C394" s="35" t="s">
        <v>172</v>
      </c>
      <c r="D394" s="37">
        <v>45323</v>
      </c>
      <c r="E394" s="36">
        <v>955.1</v>
      </c>
      <c r="F394" s="35" t="s">
        <v>39</v>
      </c>
      <c r="G394" s="14" t="str">
        <f t="shared" si="12"/>
        <v>A</v>
      </c>
      <c r="H394" s="15" t="str">
        <f t="shared" si="13"/>
        <v>The Commissioner &amp; Chief Constable are satisfied the spend represents VFM in accordance with the requirements of Category A</v>
      </c>
      <c r="K394" s="17"/>
      <c r="L394" s="17"/>
    </row>
    <row r="395" spans="1:12" s="20" customFormat="1" x14ac:dyDescent="0.2">
      <c r="A395" s="10" t="s">
        <v>8</v>
      </c>
      <c r="B395" s="11" t="s">
        <v>9</v>
      </c>
      <c r="C395" s="35" t="s">
        <v>181</v>
      </c>
      <c r="D395" s="37">
        <v>45336</v>
      </c>
      <c r="E395" s="36">
        <v>950</v>
      </c>
      <c r="F395" s="35" t="s">
        <v>106</v>
      </c>
      <c r="G395" s="14" t="str">
        <f t="shared" si="12"/>
        <v>A</v>
      </c>
      <c r="H395" s="15" t="str">
        <f t="shared" si="13"/>
        <v>The Commissioner &amp; Chief Constable are satisfied the spend represents VFM in accordance with the requirements of Category A</v>
      </c>
      <c r="K395" s="17"/>
      <c r="L395" s="17"/>
    </row>
    <row r="396" spans="1:12" s="20" customFormat="1" x14ac:dyDescent="0.2">
      <c r="A396" s="10" t="s">
        <v>8</v>
      </c>
      <c r="B396" s="11" t="s">
        <v>9</v>
      </c>
      <c r="C396" s="35" t="s">
        <v>521</v>
      </c>
      <c r="D396" s="37">
        <v>45324</v>
      </c>
      <c r="E396" s="36">
        <v>950</v>
      </c>
      <c r="F396" s="35" t="s">
        <v>106</v>
      </c>
      <c r="G396" s="14" t="str">
        <f t="shared" si="12"/>
        <v>A</v>
      </c>
      <c r="H396" s="15" t="str">
        <f t="shared" si="13"/>
        <v>The Commissioner &amp; Chief Constable are satisfied the spend represents VFM in accordance with the requirements of Category A</v>
      </c>
      <c r="K396" s="17"/>
      <c r="L396" s="17"/>
    </row>
    <row r="397" spans="1:12" s="20" customFormat="1" x14ac:dyDescent="0.2">
      <c r="A397" s="10" t="s">
        <v>8</v>
      </c>
      <c r="B397" s="11" t="s">
        <v>9</v>
      </c>
      <c r="C397" s="35" t="s">
        <v>396</v>
      </c>
      <c r="D397" s="37">
        <v>45327</v>
      </c>
      <c r="E397" s="36">
        <v>950</v>
      </c>
      <c r="F397" s="35" t="s">
        <v>22</v>
      </c>
      <c r="G397" s="14" t="str">
        <f t="shared" si="12"/>
        <v>A</v>
      </c>
      <c r="H397" s="15" t="str">
        <f t="shared" si="13"/>
        <v>The Commissioner &amp; Chief Constable are satisfied the spend represents VFM in accordance with the requirements of Category A</v>
      </c>
      <c r="K397" s="17"/>
      <c r="L397" s="17"/>
    </row>
    <row r="398" spans="1:12" x14ac:dyDescent="0.2">
      <c r="A398" s="10" t="s">
        <v>8</v>
      </c>
      <c r="B398" s="11" t="s">
        <v>9</v>
      </c>
      <c r="C398" s="35" t="s">
        <v>396</v>
      </c>
      <c r="D398" s="37">
        <v>45327</v>
      </c>
      <c r="E398" s="36">
        <v>950</v>
      </c>
      <c r="F398" s="35" t="s">
        <v>22</v>
      </c>
      <c r="G398" s="14" t="str">
        <f t="shared" si="12"/>
        <v>A</v>
      </c>
      <c r="H398" s="15" t="str">
        <f t="shared" si="13"/>
        <v>The Commissioner &amp; Chief Constable are satisfied the spend represents VFM in accordance with the requirements of Category A</v>
      </c>
    </row>
    <row r="399" spans="1:12" x14ac:dyDescent="0.2">
      <c r="A399" s="10" t="s">
        <v>8</v>
      </c>
      <c r="B399" s="11" t="s">
        <v>9</v>
      </c>
      <c r="C399" s="35" t="s">
        <v>385</v>
      </c>
      <c r="D399" s="37">
        <v>45338</v>
      </c>
      <c r="E399" s="36">
        <v>945.08</v>
      </c>
      <c r="F399" s="35" t="s">
        <v>91</v>
      </c>
      <c r="G399" s="14" t="str">
        <f t="shared" si="12"/>
        <v>A</v>
      </c>
      <c r="H399" s="15" t="str">
        <f t="shared" si="13"/>
        <v>The Commissioner &amp; Chief Constable are satisfied the spend represents VFM in accordance with the requirements of Category A</v>
      </c>
    </row>
    <row r="400" spans="1:12" x14ac:dyDescent="0.2">
      <c r="A400" s="10" t="s">
        <v>8</v>
      </c>
      <c r="B400" s="11" t="s">
        <v>9</v>
      </c>
      <c r="C400" s="35" t="s">
        <v>124</v>
      </c>
      <c r="D400" s="37">
        <v>45338</v>
      </c>
      <c r="E400" s="36">
        <v>942.54</v>
      </c>
      <c r="F400" s="35" t="s">
        <v>91</v>
      </c>
      <c r="G400" s="14" t="str">
        <f t="shared" si="12"/>
        <v>A</v>
      </c>
      <c r="H400" s="15" t="str">
        <f t="shared" si="13"/>
        <v>The Commissioner &amp; Chief Constable are satisfied the spend represents VFM in accordance with the requirements of Category A</v>
      </c>
    </row>
    <row r="401" spans="1:12" x14ac:dyDescent="0.2">
      <c r="A401" s="10" t="s">
        <v>8</v>
      </c>
      <c r="B401" s="11" t="s">
        <v>9</v>
      </c>
      <c r="C401" s="35" t="s">
        <v>520</v>
      </c>
      <c r="D401" s="37">
        <v>45350</v>
      </c>
      <c r="E401" s="36">
        <v>940.5</v>
      </c>
      <c r="F401" s="35" t="s">
        <v>106</v>
      </c>
      <c r="G401" s="14" t="str">
        <f t="shared" si="12"/>
        <v>A</v>
      </c>
      <c r="H401" s="15" t="str">
        <f t="shared" si="13"/>
        <v>The Commissioner &amp; Chief Constable are satisfied the spend represents VFM in accordance with the requirements of Category A</v>
      </c>
    </row>
    <row r="402" spans="1:12" x14ac:dyDescent="0.2">
      <c r="A402" s="10" t="s">
        <v>8</v>
      </c>
      <c r="B402" s="11" t="s">
        <v>9</v>
      </c>
      <c r="C402" s="35" t="s">
        <v>294</v>
      </c>
      <c r="D402" s="37">
        <v>45350</v>
      </c>
      <c r="E402" s="36">
        <v>929.6</v>
      </c>
      <c r="F402" s="35" t="s">
        <v>131</v>
      </c>
      <c r="G402" s="14" t="str">
        <f t="shared" si="12"/>
        <v>A</v>
      </c>
      <c r="H402" s="15" t="str">
        <f t="shared" si="13"/>
        <v>The Commissioner &amp; Chief Constable are satisfied the spend represents VFM in accordance with the requirements of Category A</v>
      </c>
    </row>
    <row r="403" spans="1:12" x14ac:dyDescent="0.2">
      <c r="A403" s="10" t="s">
        <v>8</v>
      </c>
      <c r="B403" s="11" t="s">
        <v>9</v>
      </c>
      <c r="C403" s="35" t="s">
        <v>519</v>
      </c>
      <c r="D403" s="37">
        <v>45337</v>
      </c>
      <c r="E403" s="36">
        <v>907.44</v>
      </c>
      <c r="F403" s="35" t="s">
        <v>131</v>
      </c>
      <c r="G403" s="14" t="str">
        <f t="shared" si="12"/>
        <v>A</v>
      </c>
      <c r="H403" s="15" t="str">
        <f t="shared" si="13"/>
        <v>The Commissioner &amp; Chief Constable are satisfied the spend represents VFM in accordance with the requirements of Category A</v>
      </c>
    </row>
    <row r="404" spans="1:12" x14ac:dyDescent="0.2">
      <c r="A404" s="10" t="s">
        <v>8</v>
      </c>
      <c r="B404" s="11" t="s">
        <v>9</v>
      </c>
      <c r="C404" s="35" t="s">
        <v>284</v>
      </c>
      <c r="D404" s="37">
        <v>45345</v>
      </c>
      <c r="E404" s="36">
        <v>906.9</v>
      </c>
      <c r="F404" s="35" t="s">
        <v>131</v>
      </c>
      <c r="G404" s="14" t="str">
        <f t="shared" si="12"/>
        <v>A</v>
      </c>
      <c r="H404" s="15" t="str">
        <f t="shared" si="13"/>
        <v>The Commissioner &amp; Chief Constable are satisfied the spend represents VFM in accordance with the requirements of Category A</v>
      </c>
    </row>
    <row r="405" spans="1:12" x14ac:dyDescent="0.2">
      <c r="A405" s="10" t="s">
        <v>8</v>
      </c>
      <c r="B405" s="11" t="s">
        <v>9</v>
      </c>
      <c r="C405" s="35" t="s">
        <v>292</v>
      </c>
      <c r="D405" s="37">
        <v>45351</v>
      </c>
      <c r="E405" s="36">
        <v>900</v>
      </c>
      <c r="F405" s="35" t="s">
        <v>84</v>
      </c>
      <c r="G405" s="14" t="str">
        <f t="shared" si="12"/>
        <v>A</v>
      </c>
      <c r="H405" s="15" t="str">
        <f t="shared" si="13"/>
        <v>The Commissioner &amp; Chief Constable are satisfied the spend represents VFM in accordance with the requirements of Category A</v>
      </c>
    </row>
    <row r="406" spans="1:12" x14ac:dyDescent="0.2">
      <c r="A406" s="10" t="s">
        <v>8</v>
      </c>
      <c r="B406" s="11" t="s">
        <v>9</v>
      </c>
      <c r="C406" s="35" t="s">
        <v>172</v>
      </c>
      <c r="D406" s="37">
        <v>45351</v>
      </c>
      <c r="E406" s="36">
        <v>900</v>
      </c>
      <c r="F406" s="35" t="s">
        <v>39</v>
      </c>
      <c r="G406" s="14" t="str">
        <f t="shared" si="12"/>
        <v>A</v>
      </c>
      <c r="H406" s="15" t="str">
        <f t="shared" si="13"/>
        <v>The Commissioner &amp; Chief Constable are satisfied the spend represents VFM in accordance with the requirements of Category A</v>
      </c>
    </row>
    <row r="407" spans="1:12" x14ac:dyDescent="0.2">
      <c r="A407" s="10" t="s">
        <v>8</v>
      </c>
      <c r="B407" s="11" t="s">
        <v>9</v>
      </c>
      <c r="C407" s="35" t="s">
        <v>518</v>
      </c>
      <c r="D407" s="37">
        <v>45351</v>
      </c>
      <c r="E407" s="36">
        <v>894.95</v>
      </c>
      <c r="F407" s="35" t="s">
        <v>94</v>
      </c>
      <c r="G407" s="14" t="str">
        <f t="shared" si="12"/>
        <v>A</v>
      </c>
      <c r="H407" s="15" t="str">
        <f t="shared" si="13"/>
        <v>The Commissioner &amp; Chief Constable are satisfied the spend represents VFM in accordance with the requirements of Category A</v>
      </c>
    </row>
    <row r="408" spans="1:12" x14ac:dyDescent="0.2">
      <c r="A408" s="10" t="s">
        <v>8</v>
      </c>
      <c r="B408" s="11" t="s">
        <v>9</v>
      </c>
      <c r="C408" s="35" t="s">
        <v>335</v>
      </c>
      <c r="D408" s="37">
        <v>45349</v>
      </c>
      <c r="E408" s="36">
        <v>893.25</v>
      </c>
      <c r="F408" s="35" t="s">
        <v>94</v>
      </c>
      <c r="G408" s="14" t="str">
        <f t="shared" si="12"/>
        <v>A</v>
      </c>
      <c r="H408" s="15" t="str">
        <f t="shared" si="13"/>
        <v>The Commissioner &amp; Chief Constable are satisfied the spend represents VFM in accordance with the requirements of Category A</v>
      </c>
    </row>
    <row r="409" spans="1:12" x14ac:dyDescent="0.2">
      <c r="A409" s="10" t="s">
        <v>8</v>
      </c>
      <c r="B409" s="11" t="s">
        <v>9</v>
      </c>
      <c r="C409" s="35" t="s">
        <v>256</v>
      </c>
      <c r="D409" s="37">
        <v>45328</v>
      </c>
      <c r="E409" s="36">
        <v>892.74</v>
      </c>
      <c r="F409" s="35" t="s">
        <v>203</v>
      </c>
      <c r="G409" s="14" t="str">
        <f t="shared" si="12"/>
        <v>A</v>
      </c>
      <c r="H409" s="15" t="str">
        <f t="shared" si="13"/>
        <v>The Commissioner &amp; Chief Constable are satisfied the spend represents VFM in accordance with the requirements of Category A</v>
      </c>
    </row>
    <row r="410" spans="1:12" s="20" customFormat="1" x14ac:dyDescent="0.2">
      <c r="A410" s="10" t="s">
        <v>8</v>
      </c>
      <c r="B410" s="11" t="s">
        <v>9</v>
      </c>
      <c r="C410" s="35" t="s">
        <v>223</v>
      </c>
      <c r="D410" s="37">
        <v>45335</v>
      </c>
      <c r="E410" s="36">
        <v>875</v>
      </c>
      <c r="F410" s="35" t="s">
        <v>22</v>
      </c>
      <c r="G410" s="14" t="str">
        <f t="shared" si="12"/>
        <v>A</v>
      </c>
      <c r="H410" s="15" t="str">
        <f t="shared" si="13"/>
        <v>The Commissioner &amp; Chief Constable are satisfied the spend represents VFM in accordance with the requirements of Category A</v>
      </c>
      <c r="K410" s="17"/>
      <c r="L410" s="17"/>
    </row>
    <row r="411" spans="1:12" s="20" customFormat="1" x14ac:dyDescent="0.2">
      <c r="A411" s="10" t="s">
        <v>8</v>
      </c>
      <c r="B411" s="11" t="s">
        <v>9</v>
      </c>
      <c r="C411" s="35" t="s">
        <v>181</v>
      </c>
      <c r="D411" s="37">
        <v>45343</v>
      </c>
      <c r="E411" s="36">
        <v>870.09</v>
      </c>
      <c r="F411" s="35" t="s">
        <v>98</v>
      </c>
      <c r="G411" s="14" t="str">
        <f t="shared" si="12"/>
        <v>A</v>
      </c>
      <c r="H411" s="15" t="str">
        <f t="shared" si="13"/>
        <v>The Commissioner &amp; Chief Constable are satisfied the spend represents VFM in accordance with the requirements of Category A</v>
      </c>
      <c r="K411" s="17"/>
      <c r="L411" s="17"/>
    </row>
    <row r="412" spans="1:12" s="20" customFormat="1" x14ac:dyDescent="0.2">
      <c r="A412" s="10" t="s">
        <v>8</v>
      </c>
      <c r="B412" s="11" t="s">
        <v>9</v>
      </c>
      <c r="C412" s="40" t="s">
        <v>304</v>
      </c>
      <c r="D412" s="37">
        <v>45329</v>
      </c>
      <c r="E412" s="36">
        <v>859.5</v>
      </c>
      <c r="F412" s="35" t="s">
        <v>155</v>
      </c>
      <c r="G412" s="14" t="str">
        <f t="shared" si="12"/>
        <v>A</v>
      </c>
      <c r="H412" s="15" t="str">
        <f t="shared" si="13"/>
        <v>The Commissioner &amp; Chief Constable are satisfied the spend represents VFM in accordance with the requirements of Category A</v>
      </c>
      <c r="K412" s="17"/>
      <c r="L412" s="17"/>
    </row>
    <row r="413" spans="1:12" s="20" customFormat="1" x14ac:dyDescent="0.2">
      <c r="A413" s="10" t="s">
        <v>8</v>
      </c>
      <c r="B413" s="11" t="s">
        <v>9</v>
      </c>
      <c r="C413" s="35" t="s">
        <v>304</v>
      </c>
      <c r="D413" s="37">
        <v>45329</v>
      </c>
      <c r="E413" s="36">
        <v>859.5</v>
      </c>
      <c r="F413" s="35" t="s">
        <v>155</v>
      </c>
      <c r="G413" s="14" t="str">
        <f t="shared" si="12"/>
        <v>A</v>
      </c>
      <c r="H413" s="15" t="str">
        <f t="shared" si="13"/>
        <v>The Commissioner &amp; Chief Constable are satisfied the spend represents VFM in accordance with the requirements of Category A</v>
      </c>
      <c r="K413" s="17"/>
      <c r="L413" s="17"/>
    </row>
    <row r="414" spans="1:12" s="20" customFormat="1" x14ac:dyDescent="0.2">
      <c r="A414" s="10" t="s">
        <v>8</v>
      </c>
      <c r="B414" s="11" t="s">
        <v>9</v>
      </c>
      <c r="C414" s="35" t="s">
        <v>304</v>
      </c>
      <c r="D414" s="37">
        <v>45337</v>
      </c>
      <c r="E414" s="36">
        <v>857</v>
      </c>
      <c r="F414" s="35" t="s">
        <v>155</v>
      </c>
      <c r="G414" s="14" t="str">
        <f t="shared" si="12"/>
        <v>A</v>
      </c>
      <c r="H414" s="15" t="str">
        <f t="shared" si="13"/>
        <v>The Commissioner &amp; Chief Constable are satisfied the spend represents VFM in accordance with the requirements of Category A</v>
      </c>
      <c r="K414" s="17"/>
      <c r="L414" s="17"/>
    </row>
    <row r="415" spans="1:12" s="20" customFormat="1" x14ac:dyDescent="0.2">
      <c r="A415" s="10" t="s">
        <v>8</v>
      </c>
      <c r="B415" s="11" t="s">
        <v>9</v>
      </c>
      <c r="C415" s="35" t="s">
        <v>71</v>
      </c>
      <c r="D415" s="37">
        <v>45348</v>
      </c>
      <c r="E415" s="36">
        <v>850.7</v>
      </c>
      <c r="F415" s="35" t="s">
        <v>148</v>
      </c>
      <c r="G415" s="14" t="str">
        <f t="shared" si="12"/>
        <v>A</v>
      </c>
      <c r="H415" s="15" t="str">
        <f t="shared" si="13"/>
        <v>The Commissioner &amp; Chief Constable are satisfied the spend represents VFM in accordance with the requirements of Category A</v>
      </c>
      <c r="K415" s="17"/>
      <c r="L415" s="17"/>
    </row>
    <row r="416" spans="1:12" s="20" customFormat="1" x14ac:dyDescent="0.2">
      <c r="A416" s="10" t="s">
        <v>8</v>
      </c>
      <c r="B416" s="11" t="s">
        <v>9</v>
      </c>
      <c r="C416" s="35" t="s">
        <v>161</v>
      </c>
      <c r="D416" s="37">
        <v>45348</v>
      </c>
      <c r="E416" s="36">
        <v>849.79</v>
      </c>
      <c r="F416" s="35" t="s">
        <v>75</v>
      </c>
      <c r="G416" s="14" t="str">
        <f t="shared" si="12"/>
        <v>A</v>
      </c>
      <c r="H416" s="15" t="str">
        <f t="shared" si="13"/>
        <v>The Commissioner &amp; Chief Constable are satisfied the spend represents VFM in accordance with the requirements of Category A</v>
      </c>
      <c r="K416" s="17"/>
      <c r="L416" s="17"/>
    </row>
    <row r="417" spans="1:12" s="20" customFormat="1" x14ac:dyDescent="0.2">
      <c r="A417" s="10" t="s">
        <v>8</v>
      </c>
      <c r="B417" s="11" t="s">
        <v>9</v>
      </c>
      <c r="C417" s="35" t="s">
        <v>517</v>
      </c>
      <c r="D417" s="37">
        <v>45338</v>
      </c>
      <c r="E417" s="36">
        <v>840</v>
      </c>
      <c r="F417" s="35" t="s">
        <v>106</v>
      </c>
      <c r="G417" s="14" t="str">
        <f t="shared" si="12"/>
        <v>A</v>
      </c>
      <c r="H417" s="15" t="str">
        <f t="shared" si="13"/>
        <v>The Commissioner &amp; Chief Constable are satisfied the spend represents VFM in accordance with the requirements of Category A</v>
      </c>
      <c r="K417" s="17"/>
      <c r="L417" s="17"/>
    </row>
    <row r="418" spans="1:12" s="20" customFormat="1" x14ac:dyDescent="0.2">
      <c r="A418" s="10" t="s">
        <v>8</v>
      </c>
      <c r="B418" s="11" t="s">
        <v>9</v>
      </c>
      <c r="C418" s="35" t="s">
        <v>516</v>
      </c>
      <c r="D418" s="37">
        <v>45330</v>
      </c>
      <c r="E418" s="36">
        <v>827.35</v>
      </c>
      <c r="F418" s="35" t="s">
        <v>155</v>
      </c>
      <c r="G418" s="14" t="str">
        <f t="shared" si="12"/>
        <v>A</v>
      </c>
      <c r="H418" s="15" t="str">
        <f t="shared" si="13"/>
        <v>The Commissioner &amp; Chief Constable are satisfied the spend represents VFM in accordance with the requirements of Category A</v>
      </c>
      <c r="K418" s="17"/>
      <c r="L418" s="17"/>
    </row>
    <row r="419" spans="1:12" s="20" customFormat="1" x14ac:dyDescent="0.2">
      <c r="A419" s="10" t="s">
        <v>8</v>
      </c>
      <c r="B419" s="11" t="s">
        <v>9</v>
      </c>
      <c r="C419" s="35" t="s">
        <v>124</v>
      </c>
      <c r="D419" s="37">
        <v>45350</v>
      </c>
      <c r="E419" s="36">
        <v>814.13</v>
      </c>
      <c r="F419" s="35" t="s">
        <v>91</v>
      </c>
      <c r="G419" s="14" t="str">
        <f t="shared" si="12"/>
        <v>A</v>
      </c>
      <c r="H419" s="15" t="str">
        <f t="shared" si="13"/>
        <v>The Commissioner &amp; Chief Constable are satisfied the spend represents VFM in accordance with the requirements of Category A</v>
      </c>
      <c r="K419" s="17"/>
      <c r="L419" s="17"/>
    </row>
    <row r="420" spans="1:12" s="20" customFormat="1" x14ac:dyDescent="0.2">
      <c r="A420" s="10" t="s">
        <v>8</v>
      </c>
      <c r="B420" s="11" t="s">
        <v>9</v>
      </c>
      <c r="C420" s="40" t="s">
        <v>411</v>
      </c>
      <c r="D420" s="37">
        <v>45334</v>
      </c>
      <c r="E420" s="36">
        <v>810.6</v>
      </c>
      <c r="F420" s="35" t="s">
        <v>42</v>
      </c>
      <c r="G420" s="14" t="str">
        <f t="shared" si="12"/>
        <v>A</v>
      </c>
      <c r="H420" s="15" t="str">
        <f t="shared" si="13"/>
        <v>The Commissioner &amp; Chief Constable are satisfied the spend represents VFM in accordance with the requirements of Category A</v>
      </c>
      <c r="K420" s="17"/>
      <c r="L420" s="17"/>
    </row>
    <row r="421" spans="1:12" s="20" customFormat="1" x14ac:dyDescent="0.2">
      <c r="A421" s="10" t="s">
        <v>8</v>
      </c>
      <c r="B421" s="11" t="s">
        <v>9</v>
      </c>
      <c r="C421" s="35" t="s">
        <v>162</v>
      </c>
      <c r="D421" s="37">
        <v>45337</v>
      </c>
      <c r="E421" s="36">
        <v>810</v>
      </c>
      <c r="F421" s="35" t="s">
        <v>39</v>
      </c>
      <c r="G421" s="14" t="str">
        <f t="shared" si="12"/>
        <v>A</v>
      </c>
      <c r="H421" s="15" t="str">
        <f t="shared" si="13"/>
        <v>The Commissioner &amp; Chief Constable are satisfied the spend represents VFM in accordance with the requirements of Category A</v>
      </c>
      <c r="K421" s="17"/>
      <c r="L421" s="17"/>
    </row>
    <row r="422" spans="1:12" s="20" customFormat="1" x14ac:dyDescent="0.2">
      <c r="A422" s="10" t="s">
        <v>8</v>
      </c>
      <c r="B422" s="11" t="s">
        <v>9</v>
      </c>
      <c r="C422" s="35" t="s">
        <v>433</v>
      </c>
      <c r="D422" s="37">
        <v>45345</v>
      </c>
      <c r="E422" s="36">
        <v>797.37</v>
      </c>
      <c r="F422" s="35" t="s">
        <v>94</v>
      </c>
      <c r="G422" s="14" t="str">
        <f t="shared" si="12"/>
        <v>A</v>
      </c>
      <c r="H422" s="15" t="str">
        <f t="shared" si="13"/>
        <v>The Commissioner &amp; Chief Constable are satisfied the spend represents VFM in accordance with the requirements of Category A</v>
      </c>
      <c r="K422" s="17"/>
      <c r="L422" s="17"/>
    </row>
    <row r="423" spans="1:12" s="20" customFormat="1" x14ac:dyDescent="0.2">
      <c r="A423" s="10" t="s">
        <v>8</v>
      </c>
      <c r="B423" s="11" t="s">
        <v>9</v>
      </c>
      <c r="C423" s="35" t="s">
        <v>219</v>
      </c>
      <c r="D423" s="37">
        <v>45348</v>
      </c>
      <c r="E423" s="36">
        <v>784.05</v>
      </c>
      <c r="F423" s="35" t="s">
        <v>220</v>
      </c>
      <c r="G423" s="14" t="str">
        <f t="shared" si="12"/>
        <v>A</v>
      </c>
      <c r="H423" s="15" t="str">
        <f t="shared" si="13"/>
        <v>The Commissioner &amp; Chief Constable are satisfied the spend represents VFM in accordance with the requirements of Category A</v>
      </c>
      <c r="K423" s="17"/>
      <c r="L423" s="17"/>
    </row>
    <row r="424" spans="1:12" s="20" customFormat="1" x14ac:dyDescent="0.2">
      <c r="A424" s="10" t="s">
        <v>8</v>
      </c>
      <c r="B424" s="11" t="s">
        <v>9</v>
      </c>
      <c r="C424" s="35" t="s">
        <v>316</v>
      </c>
      <c r="D424" s="37">
        <v>45349</v>
      </c>
      <c r="E424" s="36">
        <v>783</v>
      </c>
      <c r="F424" s="35" t="s">
        <v>241</v>
      </c>
      <c r="G424" s="14" t="str">
        <f t="shared" si="12"/>
        <v>A</v>
      </c>
      <c r="H424" s="15" t="str">
        <f t="shared" si="13"/>
        <v>The Commissioner &amp; Chief Constable are satisfied the spend represents VFM in accordance with the requirements of Category A</v>
      </c>
      <c r="K424" s="17"/>
      <c r="L424" s="17"/>
    </row>
    <row r="425" spans="1:12" s="20" customFormat="1" x14ac:dyDescent="0.2">
      <c r="A425" s="10" t="s">
        <v>8</v>
      </c>
      <c r="B425" s="11" t="s">
        <v>9</v>
      </c>
      <c r="C425" s="35" t="s">
        <v>385</v>
      </c>
      <c r="D425" s="37">
        <v>45327</v>
      </c>
      <c r="E425" s="36">
        <v>782.55</v>
      </c>
      <c r="F425" s="35" t="s">
        <v>112</v>
      </c>
      <c r="G425" s="14" t="str">
        <f t="shared" si="12"/>
        <v>A</v>
      </c>
      <c r="H425" s="15" t="str">
        <f t="shared" si="13"/>
        <v>The Commissioner &amp; Chief Constable are satisfied the spend represents VFM in accordance with the requirements of Category A</v>
      </c>
      <c r="K425" s="17"/>
      <c r="L425" s="17"/>
    </row>
    <row r="426" spans="1:12" s="20" customFormat="1" x14ac:dyDescent="0.2">
      <c r="A426" s="10" t="s">
        <v>8</v>
      </c>
      <c r="B426" s="11" t="s">
        <v>9</v>
      </c>
      <c r="C426" s="35" t="s">
        <v>515</v>
      </c>
      <c r="D426" s="37">
        <v>45334</v>
      </c>
      <c r="E426" s="36">
        <v>765</v>
      </c>
      <c r="F426" s="35" t="s">
        <v>131</v>
      </c>
      <c r="G426" s="14" t="str">
        <f t="shared" si="12"/>
        <v>A</v>
      </c>
      <c r="H426" s="15" t="str">
        <f t="shared" si="13"/>
        <v>The Commissioner &amp; Chief Constable are satisfied the spend represents VFM in accordance with the requirements of Category A</v>
      </c>
      <c r="K426" s="17"/>
      <c r="L426" s="17"/>
    </row>
    <row r="427" spans="1:12" s="20" customFormat="1" x14ac:dyDescent="0.2">
      <c r="A427" s="10" t="s">
        <v>8</v>
      </c>
      <c r="B427" s="11" t="s">
        <v>9</v>
      </c>
      <c r="C427" s="35" t="s">
        <v>74</v>
      </c>
      <c r="D427" s="37">
        <v>45341</v>
      </c>
      <c r="E427" s="36">
        <v>759.44</v>
      </c>
      <c r="F427" s="35" t="s">
        <v>177</v>
      </c>
      <c r="G427" s="14" t="str">
        <f t="shared" si="12"/>
        <v>A</v>
      </c>
      <c r="H427" s="15" t="str">
        <f t="shared" si="13"/>
        <v>The Commissioner &amp; Chief Constable are satisfied the spend represents VFM in accordance with the requirements of Category A</v>
      </c>
      <c r="K427" s="17"/>
      <c r="L427" s="17"/>
    </row>
    <row r="428" spans="1:12" s="20" customFormat="1" x14ac:dyDescent="0.2">
      <c r="A428" s="10" t="s">
        <v>8</v>
      </c>
      <c r="B428" s="11" t="s">
        <v>9</v>
      </c>
      <c r="C428" s="35" t="s">
        <v>514</v>
      </c>
      <c r="D428" s="37">
        <v>45329</v>
      </c>
      <c r="E428" s="36">
        <v>752.7</v>
      </c>
      <c r="F428" s="35" t="s">
        <v>151</v>
      </c>
      <c r="G428" s="14" t="str">
        <f t="shared" si="12"/>
        <v>A</v>
      </c>
      <c r="H428" s="15" t="str">
        <f t="shared" si="13"/>
        <v>The Commissioner &amp; Chief Constable are satisfied the spend represents VFM in accordance with the requirements of Category A</v>
      </c>
      <c r="K428" s="17"/>
      <c r="L428" s="17"/>
    </row>
    <row r="429" spans="1:12" s="20" customFormat="1" x14ac:dyDescent="0.2">
      <c r="A429" s="10" t="s">
        <v>8</v>
      </c>
      <c r="B429" s="11" t="s">
        <v>9</v>
      </c>
      <c r="C429" s="35" t="s">
        <v>385</v>
      </c>
      <c r="D429" s="37">
        <v>45327</v>
      </c>
      <c r="E429" s="36">
        <v>750.04</v>
      </c>
      <c r="F429" s="35" t="s">
        <v>112</v>
      </c>
      <c r="G429" s="14" t="str">
        <f t="shared" si="12"/>
        <v>A</v>
      </c>
      <c r="H429" s="15" t="str">
        <f t="shared" si="13"/>
        <v>The Commissioner &amp; Chief Constable are satisfied the spend represents VFM in accordance with the requirements of Category A</v>
      </c>
      <c r="K429" s="17"/>
      <c r="L429" s="17"/>
    </row>
    <row r="430" spans="1:12" s="20" customFormat="1" x14ac:dyDescent="0.2">
      <c r="A430" s="10" t="s">
        <v>8</v>
      </c>
      <c r="B430" s="11" t="s">
        <v>9</v>
      </c>
      <c r="C430" s="35" t="s">
        <v>222</v>
      </c>
      <c r="D430" s="37">
        <v>45334</v>
      </c>
      <c r="E430" s="36">
        <v>749</v>
      </c>
      <c r="F430" s="35" t="s">
        <v>259</v>
      </c>
      <c r="G430" s="14" t="str">
        <f t="shared" si="12"/>
        <v>A</v>
      </c>
      <c r="H430" s="15" t="str">
        <f t="shared" si="13"/>
        <v>The Commissioner &amp; Chief Constable are satisfied the spend represents VFM in accordance with the requirements of Category A</v>
      </c>
      <c r="K430" s="17"/>
      <c r="L430" s="17"/>
    </row>
    <row r="431" spans="1:12" s="20" customFormat="1" x14ac:dyDescent="0.2">
      <c r="A431" s="10" t="s">
        <v>8</v>
      </c>
      <c r="B431" s="11" t="s">
        <v>9</v>
      </c>
      <c r="C431" s="35" t="s">
        <v>135</v>
      </c>
      <c r="D431" s="37">
        <v>45348</v>
      </c>
      <c r="E431" s="36">
        <v>746.2</v>
      </c>
      <c r="F431" s="35" t="s">
        <v>40</v>
      </c>
      <c r="G431" s="14" t="str">
        <f t="shared" si="12"/>
        <v>A</v>
      </c>
      <c r="H431" s="15" t="str">
        <f t="shared" si="13"/>
        <v>The Commissioner &amp; Chief Constable are satisfied the spend represents VFM in accordance with the requirements of Category A</v>
      </c>
      <c r="K431" s="17"/>
      <c r="L431" s="17"/>
    </row>
    <row r="432" spans="1:12" s="20" customFormat="1" x14ac:dyDescent="0.2">
      <c r="A432" s="10" t="s">
        <v>8</v>
      </c>
      <c r="B432" s="11" t="s">
        <v>9</v>
      </c>
      <c r="C432" s="35" t="s">
        <v>513</v>
      </c>
      <c r="D432" s="37">
        <v>45335</v>
      </c>
      <c r="E432" s="36">
        <v>745</v>
      </c>
      <c r="F432" s="35" t="s">
        <v>106</v>
      </c>
      <c r="G432" s="14" t="str">
        <f t="shared" si="12"/>
        <v>A</v>
      </c>
      <c r="H432" s="15" t="str">
        <f t="shared" si="13"/>
        <v>The Commissioner &amp; Chief Constable are satisfied the spend represents VFM in accordance with the requirements of Category A</v>
      </c>
      <c r="K432" s="17"/>
      <c r="L432" s="17"/>
    </row>
    <row r="433" spans="1:12" s="20" customFormat="1" x14ac:dyDescent="0.2">
      <c r="A433" s="10" t="s">
        <v>8</v>
      </c>
      <c r="B433" s="11" t="s">
        <v>9</v>
      </c>
      <c r="C433" s="35" t="s">
        <v>419</v>
      </c>
      <c r="D433" s="37">
        <v>45342</v>
      </c>
      <c r="E433" s="36">
        <v>743.5</v>
      </c>
      <c r="F433" s="35" t="s">
        <v>131</v>
      </c>
      <c r="G433" s="14" t="str">
        <f t="shared" si="12"/>
        <v>A</v>
      </c>
      <c r="H433" s="15" t="str">
        <f t="shared" si="13"/>
        <v>The Commissioner &amp; Chief Constable are satisfied the spend represents VFM in accordance with the requirements of Category A</v>
      </c>
      <c r="K433" s="17"/>
      <c r="L433" s="17"/>
    </row>
    <row r="434" spans="1:12" s="20" customFormat="1" x14ac:dyDescent="0.2">
      <c r="A434" s="10" t="s">
        <v>8</v>
      </c>
      <c r="B434" s="11" t="s">
        <v>9</v>
      </c>
      <c r="C434" s="35" t="s">
        <v>202</v>
      </c>
      <c r="D434" s="37">
        <v>45338</v>
      </c>
      <c r="E434" s="36">
        <v>740.8</v>
      </c>
      <c r="F434" s="35" t="s">
        <v>203</v>
      </c>
      <c r="G434" s="14" t="str">
        <f t="shared" si="12"/>
        <v>A</v>
      </c>
      <c r="H434" s="15" t="str">
        <f t="shared" si="13"/>
        <v>The Commissioner &amp; Chief Constable are satisfied the spend represents VFM in accordance with the requirements of Category A</v>
      </c>
      <c r="K434" s="17"/>
      <c r="L434" s="17"/>
    </row>
    <row r="435" spans="1:12" s="20" customFormat="1" x14ac:dyDescent="0.2">
      <c r="A435" s="10" t="s">
        <v>8</v>
      </c>
      <c r="B435" s="11" t="s">
        <v>9</v>
      </c>
      <c r="C435" s="35" t="s">
        <v>292</v>
      </c>
      <c r="D435" s="37">
        <v>45331</v>
      </c>
      <c r="E435" s="36">
        <v>730</v>
      </c>
      <c r="F435" s="35" t="s">
        <v>84</v>
      </c>
      <c r="G435" s="14" t="str">
        <f t="shared" si="12"/>
        <v>A</v>
      </c>
      <c r="H435" s="15" t="str">
        <f t="shared" si="13"/>
        <v>The Commissioner &amp; Chief Constable are satisfied the spend represents VFM in accordance with the requirements of Category A</v>
      </c>
      <c r="K435" s="17"/>
      <c r="L435" s="17"/>
    </row>
    <row r="436" spans="1:12" s="20" customFormat="1" x14ac:dyDescent="0.2">
      <c r="A436" s="10" t="s">
        <v>8</v>
      </c>
      <c r="B436" s="11" t="s">
        <v>9</v>
      </c>
      <c r="C436" s="35" t="s">
        <v>512</v>
      </c>
      <c r="D436" s="37">
        <v>45323</v>
      </c>
      <c r="E436" s="36">
        <v>724.8</v>
      </c>
      <c r="F436" s="35" t="s">
        <v>203</v>
      </c>
      <c r="G436" s="14" t="str">
        <f t="shared" si="12"/>
        <v>A</v>
      </c>
      <c r="H436" s="15" t="str">
        <f t="shared" si="13"/>
        <v>The Commissioner &amp; Chief Constable are satisfied the spend represents VFM in accordance with the requirements of Category A</v>
      </c>
      <c r="K436" s="17"/>
      <c r="L436" s="17"/>
    </row>
    <row r="437" spans="1:12" s="20" customFormat="1" x14ac:dyDescent="0.2">
      <c r="A437" s="10" t="s">
        <v>8</v>
      </c>
      <c r="B437" s="11" t="s">
        <v>9</v>
      </c>
      <c r="C437" s="35" t="s">
        <v>309</v>
      </c>
      <c r="D437" s="37">
        <v>45344</v>
      </c>
      <c r="E437" s="36">
        <v>720</v>
      </c>
      <c r="F437" s="35" t="s">
        <v>39</v>
      </c>
      <c r="G437" s="14" t="str">
        <f t="shared" si="12"/>
        <v>A</v>
      </c>
      <c r="H437" s="15" t="str">
        <f t="shared" si="13"/>
        <v>The Commissioner &amp; Chief Constable are satisfied the spend represents VFM in accordance with the requirements of Category A</v>
      </c>
      <c r="K437" s="17"/>
      <c r="L437" s="17"/>
    </row>
    <row r="438" spans="1:12" s="20" customFormat="1" x14ac:dyDescent="0.2">
      <c r="A438" s="10" t="s">
        <v>8</v>
      </c>
      <c r="B438" s="11" t="s">
        <v>9</v>
      </c>
      <c r="C438" s="35" t="s">
        <v>260</v>
      </c>
      <c r="D438" s="37">
        <v>45324</v>
      </c>
      <c r="E438" s="36">
        <v>709.51</v>
      </c>
      <c r="F438" s="35" t="s">
        <v>261</v>
      </c>
      <c r="G438" s="14" t="str">
        <f t="shared" si="12"/>
        <v>A</v>
      </c>
      <c r="H438" s="15" t="str">
        <f t="shared" si="13"/>
        <v>The Commissioner &amp; Chief Constable are satisfied the spend represents VFM in accordance with the requirements of Category A</v>
      </c>
      <c r="K438" s="17"/>
      <c r="L438" s="17"/>
    </row>
    <row r="439" spans="1:12" s="20" customFormat="1" x14ac:dyDescent="0.2">
      <c r="A439" s="10" t="s">
        <v>8</v>
      </c>
      <c r="B439" s="11" t="s">
        <v>9</v>
      </c>
      <c r="C439" s="35" t="s">
        <v>256</v>
      </c>
      <c r="D439" s="37">
        <v>45341</v>
      </c>
      <c r="E439" s="36">
        <v>701.88</v>
      </c>
      <c r="F439" s="35" t="s">
        <v>155</v>
      </c>
      <c r="G439" s="14" t="str">
        <f t="shared" si="12"/>
        <v>A</v>
      </c>
      <c r="H439" s="15" t="str">
        <f t="shared" si="13"/>
        <v>The Commissioner &amp; Chief Constable are satisfied the spend represents VFM in accordance with the requirements of Category A</v>
      </c>
      <c r="K439" s="17"/>
      <c r="L439" s="17"/>
    </row>
    <row r="440" spans="1:12" s="20" customFormat="1" x14ac:dyDescent="0.2">
      <c r="A440" s="10" t="s">
        <v>8</v>
      </c>
      <c r="B440" s="11" t="s">
        <v>9</v>
      </c>
      <c r="C440" s="35" t="s">
        <v>248</v>
      </c>
      <c r="D440" s="37">
        <v>45330</v>
      </c>
      <c r="E440" s="36">
        <v>700</v>
      </c>
      <c r="F440" s="35" t="s">
        <v>138</v>
      </c>
      <c r="G440" s="14" t="str">
        <f t="shared" si="12"/>
        <v>A</v>
      </c>
      <c r="H440" s="15" t="str">
        <f t="shared" si="13"/>
        <v>The Commissioner &amp; Chief Constable are satisfied the spend represents VFM in accordance with the requirements of Category A</v>
      </c>
      <c r="K440" s="17"/>
      <c r="L440" s="17"/>
    </row>
    <row r="441" spans="1:12" s="20" customFormat="1" x14ac:dyDescent="0.2">
      <c r="A441" s="10" t="s">
        <v>8</v>
      </c>
      <c r="B441" s="11" t="s">
        <v>9</v>
      </c>
      <c r="C441" s="35" t="s">
        <v>334</v>
      </c>
      <c r="D441" s="37">
        <v>45350</v>
      </c>
      <c r="E441" s="36">
        <v>692.5</v>
      </c>
      <c r="F441" s="35" t="s">
        <v>91</v>
      </c>
      <c r="G441" s="14" t="str">
        <f t="shared" si="12"/>
        <v>A</v>
      </c>
      <c r="H441" s="15" t="str">
        <f t="shared" si="13"/>
        <v>The Commissioner &amp; Chief Constable are satisfied the spend represents VFM in accordance with the requirements of Category A</v>
      </c>
      <c r="K441" s="17"/>
      <c r="L441" s="17"/>
    </row>
    <row r="442" spans="1:12" s="20" customFormat="1" x14ac:dyDescent="0.2">
      <c r="A442" s="10" t="s">
        <v>8</v>
      </c>
      <c r="B442" s="11" t="s">
        <v>9</v>
      </c>
      <c r="C442" s="35" t="s">
        <v>272</v>
      </c>
      <c r="D442" s="37">
        <v>45327</v>
      </c>
      <c r="E442" s="36">
        <v>690</v>
      </c>
      <c r="F442" s="35" t="s">
        <v>106</v>
      </c>
      <c r="G442" s="14" t="str">
        <f t="shared" si="12"/>
        <v>A</v>
      </c>
      <c r="H442" s="15" t="str">
        <f t="shared" si="13"/>
        <v>The Commissioner &amp; Chief Constable are satisfied the spend represents VFM in accordance with the requirements of Category A</v>
      </c>
      <c r="K442" s="17"/>
      <c r="L442" s="17"/>
    </row>
    <row r="443" spans="1:12" s="20" customFormat="1" x14ac:dyDescent="0.2">
      <c r="A443" s="10" t="s">
        <v>8</v>
      </c>
      <c r="B443" s="11" t="s">
        <v>9</v>
      </c>
      <c r="C443" s="35" t="s">
        <v>256</v>
      </c>
      <c r="D443" s="37">
        <v>45327</v>
      </c>
      <c r="E443" s="36">
        <v>690</v>
      </c>
      <c r="F443" s="35" t="s">
        <v>203</v>
      </c>
      <c r="G443" s="14" t="str">
        <f t="shared" si="12"/>
        <v>A</v>
      </c>
      <c r="H443" s="15" t="str">
        <f t="shared" si="13"/>
        <v>The Commissioner &amp; Chief Constable are satisfied the spend represents VFM in accordance with the requirements of Category A</v>
      </c>
      <c r="K443" s="17"/>
      <c r="L443" s="17"/>
    </row>
    <row r="444" spans="1:12" s="20" customFormat="1" x14ac:dyDescent="0.2">
      <c r="A444" s="10" t="s">
        <v>8</v>
      </c>
      <c r="B444" s="11" t="s">
        <v>9</v>
      </c>
      <c r="C444" s="35" t="s">
        <v>328</v>
      </c>
      <c r="D444" s="37">
        <v>45348</v>
      </c>
      <c r="E444" s="36">
        <v>675</v>
      </c>
      <c r="F444" s="35" t="s">
        <v>131</v>
      </c>
      <c r="G444" s="14" t="str">
        <f t="shared" si="12"/>
        <v>A</v>
      </c>
      <c r="H444" s="15" t="str">
        <f t="shared" si="13"/>
        <v>The Commissioner &amp; Chief Constable are satisfied the spend represents VFM in accordance with the requirements of Category A</v>
      </c>
      <c r="K444" s="17"/>
      <c r="L444" s="17"/>
    </row>
    <row r="445" spans="1:12" s="20" customFormat="1" x14ac:dyDescent="0.2">
      <c r="A445" s="10" t="s">
        <v>8</v>
      </c>
      <c r="B445" s="11" t="s">
        <v>9</v>
      </c>
      <c r="C445" s="35" t="s">
        <v>200</v>
      </c>
      <c r="D445" s="37">
        <v>45331</v>
      </c>
      <c r="E445" s="36">
        <v>675</v>
      </c>
      <c r="F445" s="35" t="s">
        <v>38</v>
      </c>
      <c r="G445" s="14" t="str">
        <f t="shared" si="12"/>
        <v>A</v>
      </c>
      <c r="H445" s="15" t="str">
        <f t="shared" si="13"/>
        <v>The Commissioner &amp; Chief Constable are satisfied the spend represents VFM in accordance with the requirements of Category A</v>
      </c>
      <c r="K445" s="17"/>
      <c r="L445" s="17"/>
    </row>
    <row r="446" spans="1:12" s="20" customFormat="1" x14ac:dyDescent="0.2">
      <c r="A446" s="10" t="s">
        <v>8</v>
      </c>
      <c r="B446" s="11" t="s">
        <v>9</v>
      </c>
      <c r="C446" s="35" t="s">
        <v>511</v>
      </c>
      <c r="D446" s="37">
        <v>45349</v>
      </c>
      <c r="E446" s="36">
        <v>670</v>
      </c>
      <c r="F446" s="35" t="s">
        <v>319</v>
      </c>
      <c r="G446" s="14" t="str">
        <f t="shared" si="12"/>
        <v>A</v>
      </c>
      <c r="H446" s="15" t="str">
        <f t="shared" si="13"/>
        <v>The Commissioner &amp; Chief Constable are satisfied the spend represents VFM in accordance with the requirements of Category A</v>
      </c>
      <c r="K446" s="17"/>
      <c r="L446" s="17"/>
    </row>
    <row r="447" spans="1:12" s="20" customFormat="1" x14ac:dyDescent="0.2">
      <c r="A447" s="10" t="s">
        <v>8</v>
      </c>
      <c r="B447" s="11" t="s">
        <v>9</v>
      </c>
      <c r="C447" s="35" t="s">
        <v>297</v>
      </c>
      <c r="D447" s="37">
        <v>45323</v>
      </c>
      <c r="E447" s="36">
        <v>654.33000000000004</v>
      </c>
      <c r="F447" s="35" t="s">
        <v>131</v>
      </c>
      <c r="G447" s="14" t="str">
        <f t="shared" si="12"/>
        <v>A</v>
      </c>
      <c r="H447" s="15" t="str">
        <f t="shared" si="13"/>
        <v>The Commissioner &amp; Chief Constable are satisfied the spend represents VFM in accordance with the requirements of Category A</v>
      </c>
      <c r="K447" s="17"/>
      <c r="L447" s="17"/>
    </row>
    <row r="448" spans="1:12" s="20" customFormat="1" x14ac:dyDescent="0.2">
      <c r="A448" s="10" t="s">
        <v>8</v>
      </c>
      <c r="B448" s="11" t="s">
        <v>9</v>
      </c>
      <c r="C448" s="35" t="s">
        <v>510</v>
      </c>
      <c r="D448" s="37">
        <v>45348</v>
      </c>
      <c r="E448" s="36">
        <v>653.20000000000005</v>
      </c>
      <c r="F448" s="35" t="s">
        <v>94</v>
      </c>
      <c r="G448" s="14" t="str">
        <f t="shared" si="12"/>
        <v>A</v>
      </c>
      <c r="H448" s="15" t="str">
        <f t="shared" si="13"/>
        <v>The Commissioner &amp; Chief Constable are satisfied the spend represents VFM in accordance with the requirements of Category A</v>
      </c>
      <c r="K448" s="17"/>
      <c r="L448" s="17"/>
    </row>
    <row r="449" spans="1:12" s="20" customFormat="1" x14ac:dyDescent="0.2">
      <c r="A449" s="10" t="s">
        <v>8</v>
      </c>
      <c r="B449" s="11" t="s">
        <v>9</v>
      </c>
      <c r="C449" s="35" t="s">
        <v>366</v>
      </c>
      <c r="D449" s="37">
        <v>45342</v>
      </c>
      <c r="E449" s="36">
        <v>652.63</v>
      </c>
      <c r="F449" s="35" t="s">
        <v>155</v>
      </c>
      <c r="G449" s="14" t="str">
        <f t="shared" si="12"/>
        <v>A</v>
      </c>
      <c r="H449" s="15" t="str">
        <f t="shared" si="13"/>
        <v>The Commissioner &amp; Chief Constable are satisfied the spend represents VFM in accordance with the requirements of Category A</v>
      </c>
      <c r="K449" s="17"/>
      <c r="L449" s="17"/>
    </row>
    <row r="450" spans="1:12" s="20" customFormat="1" x14ac:dyDescent="0.2">
      <c r="A450" s="10" t="s">
        <v>8</v>
      </c>
      <c r="B450" s="11" t="s">
        <v>9</v>
      </c>
      <c r="C450" s="35" t="s">
        <v>74</v>
      </c>
      <c r="D450" s="37">
        <v>45329</v>
      </c>
      <c r="E450" s="36">
        <v>640.99</v>
      </c>
      <c r="F450" s="35" t="s">
        <v>131</v>
      </c>
      <c r="G450" s="14" t="str">
        <f t="shared" ref="G450:G508" si="14">IF(E450&gt;25000,"C",IF(E450&gt;1000,"B","A"))</f>
        <v>A</v>
      </c>
      <c r="H450" s="15" t="str">
        <f t="shared" ref="H450:H508" si="15">VLOOKUP(G450,$K$2:$L$4,2,FALSE)</f>
        <v>The Commissioner &amp; Chief Constable are satisfied the spend represents VFM in accordance with the requirements of Category A</v>
      </c>
      <c r="K450" s="17"/>
      <c r="L450" s="17"/>
    </row>
    <row r="451" spans="1:12" s="20" customFormat="1" x14ac:dyDescent="0.2">
      <c r="A451" s="10" t="s">
        <v>8</v>
      </c>
      <c r="B451" s="11" t="s">
        <v>9</v>
      </c>
      <c r="C451" s="35" t="s">
        <v>509</v>
      </c>
      <c r="D451" s="37">
        <v>45324</v>
      </c>
      <c r="E451" s="36">
        <v>630</v>
      </c>
      <c r="F451" s="35" t="s">
        <v>22</v>
      </c>
      <c r="G451" s="14" t="str">
        <f t="shared" si="14"/>
        <v>A</v>
      </c>
      <c r="H451" s="15" t="str">
        <f t="shared" si="15"/>
        <v>The Commissioner &amp; Chief Constable are satisfied the spend represents VFM in accordance with the requirements of Category A</v>
      </c>
      <c r="K451" s="17"/>
      <c r="L451" s="17"/>
    </row>
    <row r="452" spans="1:12" s="20" customFormat="1" x14ac:dyDescent="0.2">
      <c r="A452" s="10" t="s">
        <v>8</v>
      </c>
      <c r="B452" s="11" t="s">
        <v>9</v>
      </c>
      <c r="C452" s="35" t="s">
        <v>334</v>
      </c>
      <c r="D452" s="37">
        <v>45348</v>
      </c>
      <c r="E452" s="36">
        <v>630</v>
      </c>
      <c r="F452" s="35" t="s">
        <v>91</v>
      </c>
      <c r="G452" s="14" t="str">
        <f t="shared" si="14"/>
        <v>A</v>
      </c>
      <c r="H452" s="15" t="str">
        <f t="shared" si="15"/>
        <v>The Commissioner &amp; Chief Constable are satisfied the spend represents VFM in accordance with the requirements of Category A</v>
      </c>
      <c r="K452" s="17"/>
      <c r="L452" s="17"/>
    </row>
    <row r="453" spans="1:12" s="20" customFormat="1" x14ac:dyDescent="0.2">
      <c r="A453" s="10" t="s">
        <v>8</v>
      </c>
      <c r="B453" s="11" t="s">
        <v>9</v>
      </c>
      <c r="C453" s="35" t="s">
        <v>423</v>
      </c>
      <c r="D453" s="37">
        <v>45348</v>
      </c>
      <c r="E453" s="36">
        <v>628.1</v>
      </c>
      <c r="F453" s="35" t="s">
        <v>390</v>
      </c>
      <c r="G453" s="14" t="str">
        <f t="shared" si="14"/>
        <v>A</v>
      </c>
      <c r="H453" s="15" t="str">
        <f t="shared" si="15"/>
        <v>The Commissioner &amp; Chief Constable are satisfied the spend represents VFM in accordance with the requirements of Category A</v>
      </c>
      <c r="K453" s="17"/>
      <c r="L453" s="17"/>
    </row>
    <row r="454" spans="1:12" s="20" customFormat="1" x14ac:dyDescent="0.2">
      <c r="A454" s="10" t="s">
        <v>8</v>
      </c>
      <c r="B454" s="11" t="s">
        <v>9</v>
      </c>
      <c r="C454" s="35" t="s">
        <v>505</v>
      </c>
      <c r="D454" s="37">
        <v>45331</v>
      </c>
      <c r="E454" s="36">
        <v>625.83000000000004</v>
      </c>
      <c r="F454" s="35" t="s">
        <v>177</v>
      </c>
      <c r="G454" s="14" t="str">
        <f t="shared" si="14"/>
        <v>A</v>
      </c>
      <c r="H454" s="15" t="str">
        <f t="shared" si="15"/>
        <v>The Commissioner &amp; Chief Constable are satisfied the spend represents VFM in accordance with the requirements of Category A</v>
      </c>
      <c r="K454" s="17"/>
      <c r="L454" s="17"/>
    </row>
    <row r="455" spans="1:12" s="20" customFormat="1" x14ac:dyDescent="0.2">
      <c r="A455" s="10" t="s">
        <v>8</v>
      </c>
      <c r="B455" s="11" t="s">
        <v>9</v>
      </c>
      <c r="C455" s="35" t="s">
        <v>223</v>
      </c>
      <c r="D455" s="37">
        <v>45335</v>
      </c>
      <c r="E455" s="36">
        <v>625</v>
      </c>
      <c r="F455" s="35" t="s">
        <v>22</v>
      </c>
      <c r="G455" s="14" t="str">
        <f t="shared" si="14"/>
        <v>A</v>
      </c>
      <c r="H455" s="15" t="str">
        <f t="shared" si="15"/>
        <v>The Commissioner &amp; Chief Constable are satisfied the spend represents VFM in accordance with the requirements of Category A</v>
      </c>
      <c r="K455" s="17"/>
      <c r="L455" s="17"/>
    </row>
    <row r="456" spans="1:12" s="20" customFormat="1" x14ac:dyDescent="0.2">
      <c r="A456" s="10" t="s">
        <v>8</v>
      </c>
      <c r="B456" s="11" t="s">
        <v>9</v>
      </c>
      <c r="C456" s="35" t="s">
        <v>501</v>
      </c>
      <c r="D456" s="37">
        <v>45337</v>
      </c>
      <c r="E456" s="36">
        <v>618.23</v>
      </c>
      <c r="F456" s="35" t="s">
        <v>390</v>
      </c>
      <c r="G456" s="14" t="str">
        <f t="shared" si="14"/>
        <v>A</v>
      </c>
      <c r="H456" s="15" t="str">
        <f t="shared" si="15"/>
        <v>The Commissioner &amp; Chief Constable are satisfied the spend represents VFM in accordance with the requirements of Category A</v>
      </c>
      <c r="K456" s="17"/>
      <c r="L456" s="17"/>
    </row>
    <row r="457" spans="1:12" x14ac:dyDescent="0.2">
      <c r="A457" s="10" t="s">
        <v>8</v>
      </c>
      <c r="B457" s="11" t="s">
        <v>9</v>
      </c>
      <c r="C457" s="35" t="s">
        <v>414</v>
      </c>
      <c r="D457" s="37">
        <v>45329</v>
      </c>
      <c r="E457" s="36">
        <v>618</v>
      </c>
      <c r="F457" s="35" t="s">
        <v>106</v>
      </c>
      <c r="G457" s="14" t="str">
        <f t="shared" si="14"/>
        <v>A</v>
      </c>
      <c r="H457" s="15" t="str">
        <f t="shared" si="15"/>
        <v>The Commissioner &amp; Chief Constable are satisfied the spend represents VFM in accordance with the requirements of Category A</v>
      </c>
    </row>
    <row r="458" spans="1:12" x14ac:dyDescent="0.2">
      <c r="A458" s="10" t="s">
        <v>8</v>
      </c>
      <c r="B458" s="11" t="s">
        <v>9</v>
      </c>
      <c r="C458" s="35" t="s">
        <v>479</v>
      </c>
      <c r="D458" s="37">
        <v>45334</v>
      </c>
      <c r="E458" s="36">
        <v>609</v>
      </c>
      <c r="F458" s="35" t="s">
        <v>148</v>
      </c>
      <c r="G458" s="14" t="str">
        <f t="shared" si="14"/>
        <v>A</v>
      </c>
      <c r="H458" s="15" t="str">
        <f t="shared" si="15"/>
        <v>The Commissioner &amp; Chief Constable are satisfied the spend represents VFM in accordance with the requirements of Category A</v>
      </c>
    </row>
    <row r="459" spans="1:12" x14ac:dyDescent="0.2">
      <c r="A459" s="10" t="s">
        <v>8</v>
      </c>
      <c r="B459" s="11" t="s">
        <v>9</v>
      </c>
      <c r="C459" s="35" t="s">
        <v>508</v>
      </c>
      <c r="D459" s="37">
        <v>45331</v>
      </c>
      <c r="E459" s="36">
        <v>600</v>
      </c>
      <c r="F459" s="35" t="s">
        <v>80</v>
      </c>
      <c r="G459" s="14" t="str">
        <f t="shared" si="14"/>
        <v>A</v>
      </c>
      <c r="H459" s="15" t="str">
        <f t="shared" si="15"/>
        <v>The Commissioner &amp; Chief Constable are satisfied the spend represents VFM in accordance with the requirements of Category A</v>
      </c>
    </row>
    <row r="460" spans="1:12" x14ac:dyDescent="0.2">
      <c r="A460" s="10" t="s">
        <v>8</v>
      </c>
      <c r="B460" s="11" t="s">
        <v>9</v>
      </c>
      <c r="C460" s="35" t="s">
        <v>124</v>
      </c>
      <c r="D460" s="37">
        <v>45323</v>
      </c>
      <c r="E460" s="36">
        <v>596.26</v>
      </c>
      <c r="F460" s="35" t="s">
        <v>91</v>
      </c>
      <c r="G460" s="14" t="str">
        <f t="shared" si="14"/>
        <v>A</v>
      </c>
      <c r="H460" s="15" t="str">
        <f t="shared" si="15"/>
        <v>The Commissioner &amp; Chief Constable are satisfied the spend represents VFM in accordance with the requirements of Category A</v>
      </c>
    </row>
    <row r="461" spans="1:12" x14ac:dyDescent="0.2">
      <c r="A461" s="10" t="s">
        <v>8</v>
      </c>
      <c r="B461" s="11" t="s">
        <v>9</v>
      </c>
      <c r="C461" s="35" t="s">
        <v>507</v>
      </c>
      <c r="D461" s="37">
        <v>45327</v>
      </c>
      <c r="E461" s="36">
        <v>595</v>
      </c>
      <c r="F461" s="35" t="s">
        <v>38</v>
      </c>
      <c r="G461" s="14" t="str">
        <f t="shared" si="14"/>
        <v>A</v>
      </c>
      <c r="H461" s="15" t="str">
        <f t="shared" si="15"/>
        <v>The Commissioner &amp; Chief Constable are satisfied the spend represents VFM in accordance with the requirements of Category A</v>
      </c>
    </row>
    <row r="462" spans="1:12" x14ac:dyDescent="0.2">
      <c r="A462" s="10" t="s">
        <v>8</v>
      </c>
      <c r="B462" s="11" t="s">
        <v>9</v>
      </c>
      <c r="C462" s="35" t="s">
        <v>113</v>
      </c>
      <c r="D462" s="37">
        <v>45337</v>
      </c>
      <c r="E462" s="36">
        <v>588.23</v>
      </c>
      <c r="F462" s="35" t="s">
        <v>114</v>
      </c>
      <c r="G462" s="14" t="str">
        <f t="shared" si="14"/>
        <v>A</v>
      </c>
      <c r="H462" s="15" t="str">
        <f t="shared" si="15"/>
        <v>The Commissioner &amp; Chief Constable are satisfied the spend represents VFM in accordance with the requirements of Category A</v>
      </c>
    </row>
    <row r="463" spans="1:12" x14ac:dyDescent="0.2">
      <c r="A463" s="10" t="s">
        <v>8</v>
      </c>
      <c r="B463" s="11" t="s">
        <v>9</v>
      </c>
      <c r="C463" s="35" t="s">
        <v>506</v>
      </c>
      <c r="D463" s="37">
        <v>45324</v>
      </c>
      <c r="E463" s="36">
        <v>585.11</v>
      </c>
      <c r="F463" s="35" t="s">
        <v>131</v>
      </c>
      <c r="G463" s="14" t="str">
        <f t="shared" si="14"/>
        <v>A</v>
      </c>
      <c r="H463" s="15" t="str">
        <f t="shared" si="15"/>
        <v>The Commissioner &amp; Chief Constable are satisfied the spend represents VFM in accordance with the requirements of Category A</v>
      </c>
    </row>
    <row r="464" spans="1:12" x14ac:dyDescent="0.2">
      <c r="A464" s="10" t="s">
        <v>8</v>
      </c>
      <c r="B464" s="11" t="s">
        <v>9</v>
      </c>
      <c r="C464" s="35" t="s">
        <v>223</v>
      </c>
      <c r="D464" s="37">
        <v>45349</v>
      </c>
      <c r="E464" s="36">
        <v>585</v>
      </c>
      <c r="F464" s="35" t="s">
        <v>22</v>
      </c>
      <c r="G464" s="14" t="str">
        <f t="shared" si="14"/>
        <v>A</v>
      </c>
      <c r="H464" s="15" t="str">
        <f t="shared" si="15"/>
        <v>The Commissioner &amp; Chief Constable are satisfied the spend represents VFM in accordance with the requirements of Category A</v>
      </c>
    </row>
    <row r="465" spans="1:8" x14ac:dyDescent="0.2">
      <c r="A465" s="10" t="s">
        <v>8</v>
      </c>
      <c r="B465" s="11" t="s">
        <v>9</v>
      </c>
      <c r="C465" s="35" t="s">
        <v>338</v>
      </c>
      <c r="D465" s="37">
        <v>45331</v>
      </c>
      <c r="E465" s="36">
        <v>584.99</v>
      </c>
      <c r="F465" s="35" t="s">
        <v>131</v>
      </c>
      <c r="G465" s="14" t="str">
        <f t="shared" si="14"/>
        <v>A</v>
      </c>
      <c r="H465" s="15" t="str">
        <f t="shared" si="15"/>
        <v>The Commissioner &amp; Chief Constable are satisfied the spend represents VFM in accordance with the requirements of Category A</v>
      </c>
    </row>
    <row r="466" spans="1:8" x14ac:dyDescent="0.2">
      <c r="A466" s="10" t="s">
        <v>8</v>
      </c>
      <c r="B466" s="11" t="s">
        <v>9</v>
      </c>
      <c r="C466" s="35" t="s">
        <v>505</v>
      </c>
      <c r="D466" s="37">
        <v>45331</v>
      </c>
      <c r="E466" s="36">
        <v>582.5</v>
      </c>
      <c r="F466" s="35" t="s">
        <v>177</v>
      </c>
      <c r="G466" s="14" t="str">
        <f t="shared" si="14"/>
        <v>A</v>
      </c>
      <c r="H466" s="15" t="str">
        <f t="shared" si="15"/>
        <v>The Commissioner &amp; Chief Constable are satisfied the spend represents VFM in accordance with the requirements of Category A</v>
      </c>
    </row>
    <row r="467" spans="1:8" x14ac:dyDescent="0.2">
      <c r="A467" s="10" t="s">
        <v>8</v>
      </c>
      <c r="B467" s="11" t="s">
        <v>9</v>
      </c>
      <c r="C467" s="35" t="s">
        <v>272</v>
      </c>
      <c r="D467" s="37">
        <v>45337</v>
      </c>
      <c r="E467" s="36">
        <v>580</v>
      </c>
      <c r="F467" s="35" t="s">
        <v>22</v>
      </c>
      <c r="G467" s="14" t="str">
        <f t="shared" si="14"/>
        <v>A</v>
      </c>
      <c r="H467" s="15" t="str">
        <f t="shared" si="15"/>
        <v>The Commissioner &amp; Chief Constable are satisfied the spend represents VFM in accordance with the requirements of Category A</v>
      </c>
    </row>
    <row r="468" spans="1:8" x14ac:dyDescent="0.2">
      <c r="A468" s="10" t="s">
        <v>8</v>
      </c>
      <c r="B468" s="11" t="s">
        <v>9</v>
      </c>
      <c r="C468" s="35" t="s">
        <v>504</v>
      </c>
      <c r="D468" s="37">
        <v>45323</v>
      </c>
      <c r="E468" s="36">
        <v>576</v>
      </c>
      <c r="F468" s="35" t="s">
        <v>106</v>
      </c>
      <c r="G468" s="14" t="str">
        <f t="shared" si="14"/>
        <v>A</v>
      </c>
      <c r="H468" s="15" t="str">
        <f t="shared" si="15"/>
        <v>The Commissioner &amp; Chief Constable are satisfied the spend represents VFM in accordance with the requirements of Category A</v>
      </c>
    </row>
    <row r="469" spans="1:8" x14ac:dyDescent="0.2">
      <c r="A469" s="10" t="s">
        <v>8</v>
      </c>
      <c r="B469" s="11" t="s">
        <v>9</v>
      </c>
      <c r="C469" s="35" t="s">
        <v>225</v>
      </c>
      <c r="D469" s="37">
        <v>45340</v>
      </c>
      <c r="E469" s="36">
        <v>575</v>
      </c>
      <c r="F469" s="35" t="s">
        <v>22</v>
      </c>
      <c r="G469" s="14" t="str">
        <f t="shared" si="14"/>
        <v>A</v>
      </c>
      <c r="H469" s="15" t="str">
        <f t="shared" si="15"/>
        <v>The Commissioner &amp; Chief Constable are satisfied the spend represents VFM in accordance with the requirements of Category A</v>
      </c>
    </row>
    <row r="470" spans="1:8" x14ac:dyDescent="0.2">
      <c r="A470" s="10" t="s">
        <v>8</v>
      </c>
      <c r="B470" s="11" t="s">
        <v>9</v>
      </c>
      <c r="C470" s="35" t="s">
        <v>348</v>
      </c>
      <c r="D470" s="37">
        <v>45327</v>
      </c>
      <c r="E470" s="36">
        <v>573.92999999999995</v>
      </c>
      <c r="F470" s="35" t="s">
        <v>131</v>
      </c>
      <c r="G470" s="14" t="str">
        <f t="shared" si="14"/>
        <v>A</v>
      </c>
      <c r="H470" s="15" t="str">
        <f t="shared" si="15"/>
        <v>The Commissioner &amp; Chief Constable are satisfied the spend represents VFM in accordance with the requirements of Category A</v>
      </c>
    </row>
    <row r="471" spans="1:8" x14ac:dyDescent="0.2">
      <c r="A471" s="10" t="s">
        <v>8</v>
      </c>
      <c r="B471" s="11" t="s">
        <v>9</v>
      </c>
      <c r="C471" s="35" t="s">
        <v>348</v>
      </c>
      <c r="D471" s="37">
        <v>45329</v>
      </c>
      <c r="E471" s="36">
        <v>573.92999999999995</v>
      </c>
      <c r="F471" s="35" t="s">
        <v>131</v>
      </c>
      <c r="G471" s="14" t="str">
        <f t="shared" si="14"/>
        <v>A</v>
      </c>
      <c r="H471" s="15" t="str">
        <f t="shared" si="15"/>
        <v>The Commissioner &amp; Chief Constable are satisfied the spend represents VFM in accordance with the requirements of Category A</v>
      </c>
    </row>
    <row r="472" spans="1:8" x14ac:dyDescent="0.2">
      <c r="A472" s="10" t="s">
        <v>8</v>
      </c>
      <c r="B472" s="11" t="s">
        <v>9</v>
      </c>
      <c r="C472" s="35" t="s">
        <v>124</v>
      </c>
      <c r="D472" s="37">
        <v>45327</v>
      </c>
      <c r="E472" s="36">
        <v>571.20000000000005</v>
      </c>
      <c r="F472" s="35" t="s">
        <v>91</v>
      </c>
      <c r="G472" s="14" t="str">
        <f t="shared" si="14"/>
        <v>A</v>
      </c>
      <c r="H472" s="15" t="str">
        <f t="shared" si="15"/>
        <v>The Commissioner &amp; Chief Constable are satisfied the spend represents VFM in accordance with the requirements of Category A</v>
      </c>
    </row>
    <row r="473" spans="1:8" x14ac:dyDescent="0.2">
      <c r="A473" s="10" t="s">
        <v>8</v>
      </c>
      <c r="B473" s="11" t="s">
        <v>9</v>
      </c>
      <c r="C473" s="35" t="s">
        <v>295</v>
      </c>
      <c r="D473" s="37">
        <v>45349</v>
      </c>
      <c r="E473" s="36">
        <v>569.5</v>
      </c>
      <c r="F473" s="35" t="s">
        <v>296</v>
      </c>
      <c r="G473" s="14" t="str">
        <f t="shared" si="14"/>
        <v>A</v>
      </c>
      <c r="H473" s="15" t="str">
        <f t="shared" si="15"/>
        <v>The Commissioner &amp; Chief Constable are satisfied the spend represents VFM in accordance with the requirements of Category A</v>
      </c>
    </row>
    <row r="474" spans="1:8" x14ac:dyDescent="0.2">
      <c r="A474" s="10" t="s">
        <v>8</v>
      </c>
      <c r="B474" s="11" t="s">
        <v>9</v>
      </c>
      <c r="C474" s="35" t="s">
        <v>295</v>
      </c>
      <c r="D474" s="37">
        <v>45349</v>
      </c>
      <c r="E474" s="36">
        <v>569.5</v>
      </c>
      <c r="F474" s="35" t="s">
        <v>296</v>
      </c>
      <c r="G474" s="14" t="str">
        <f t="shared" si="14"/>
        <v>A</v>
      </c>
      <c r="H474" s="15" t="str">
        <f t="shared" si="15"/>
        <v>The Commissioner &amp; Chief Constable are satisfied the spend represents VFM in accordance with the requirements of Category A</v>
      </c>
    </row>
    <row r="475" spans="1:8" x14ac:dyDescent="0.2">
      <c r="A475" s="10" t="s">
        <v>8</v>
      </c>
      <c r="B475" s="11" t="s">
        <v>9</v>
      </c>
      <c r="C475" s="35" t="s">
        <v>295</v>
      </c>
      <c r="D475" s="37">
        <v>45350</v>
      </c>
      <c r="E475" s="36">
        <v>569.5</v>
      </c>
      <c r="F475" s="35" t="s">
        <v>296</v>
      </c>
      <c r="G475" s="14" t="str">
        <f t="shared" si="14"/>
        <v>A</v>
      </c>
      <c r="H475" s="15" t="str">
        <f t="shared" si="15"/>
        <v>The Commissioner &amp; Chief Constable are satisfied the spend represents VFM in accordance with the requirements of Category A</v>
      </c>
    </row>
    <row r="476" spans="1:8" x14ac:dyDescent="0.2">
      <c r="A476" s="10" t="s">
        <v>8</v>
      </c>
      <c r="B476" s="11" t="s">
        <v>9</v>
      </c>
      <c r="C476" s="35" t="s">
        <v>295</v>
      </c>
      <c r="D476" s="37">
        <v>45350</v>
      </c>
      <c r="E476" s="36">
        <v>569.5</v>
      </c>
      <c r="F476" s="35" t="s">
        <v>296</v>
      </c>
      <c r="G476" s="14" t="str">
        <f t="shared" si="14"/>
        <v>A</v>
      </c>
      <c r="H476" s="15" t="str">
        <f t="shared" si="15"/>
        <v>The Commissioner &amp; Chief Constable are satisfied the spend represents VFM in accordance with the requirements of Category A</v>
      </c>
    </row>
    <row r="477" spans="1:8" x14ac:dyDescent="0.2">
      <c r="A477" s="10" t="s">
        <v>8</v>
      </c>
      <c r="B477" s="11" t="s">
        <v>9</v>
      </c>
      <c r="C477" s="35" t="s">
        <v>295</v>
      </c>
      <c r="D477" s="37">
        <v>45350</v>
      </c>
      <c r="E477" s="36">
        <v>569.5</v>
      </c>
      <c r="F477" s="35" t="s">
        <v>296</v>
      </c>
      <c r="G477" s="14" t="str">
        <f t="shared" si="14"/>
        <v>A</v>
      </c>
      <c r="H477" s="15" t="str">
        <f t="shared" si="15"/>
        <v>The Commissioner &amp; Chief Constable are satisfied the spend represents VFM in accordance with the requirements of Category A</v>
      </c>
    </row>
    <row r="478" spans="1:8" x14ac:dyDescent="0.2">
      <c r="A478" s="10" t="s">
        <v>8</v>
      </c>
      <c r="B478" s="11" t="s">
        <v>9</v>
      </c>
      <c r="C478" s="35" t="s">
        <v>348</v>
      </c>
      <c r="D478" s="37">
        <v>45345</v>
      </c>
      <c r="E478" s="36">
        <v>568.04</v>
      </c>
      <c r="F478" s="35" t="s">
        <v>131</v>
      </c>
      <c r="G478" s="14" t="str">
        <f t="shared" si="14"/>
        <v>A</v>
      </c>
      <c r="H478" s="15" t="str">
        <f t="shared" si="15"/>
        <v>The Commissioner &amp; Chief Constable are satisfied the spend represents VFM in accordance with the requirements of Category A</v>
      </c>
    </row>
    <row r="479" spans="1:8" x14ac:dyDescent="0.2">
      <c r="A479" s="10" t="s">
        <v>8</v>
      </c>
      <c r="B479" s="11" t="s">
        <v>9</v>
      </c>
      <c r="C479" s="35" t="s">
        <v>503</v>
      </c>
      <c r="D479" s="37">
        <v>45327</v>
      </c>
      <c r="E479" s="36">
        <v>565</v>
      </c>
      <c r="F479" s="35" t="s">
        <v>22</v>
      </c>
      <c r="G479" s="14" t="str">
        <f t="shared" si="14"/>
        <v>A</v>
      </c>
      <c r="H479" s="15" t="str">
        <f t="shared" si="15"/>
        <v>The Commissioner &amp; Chief Constable are satisfied the spend represents VFM in accordance with the requirements of Category A</v>
      </c>
    </row>
    <row r="480" spans="1:8" x14ac:dyDescent="0.2">
      <c r="A480" s="10" t="s">
        <v>8</v>
      </c>
      <c r="B480" s="11" t="s">
        <v>9</v>
      </c>
      <c r="C480" s="35" t="s">
        <v>502</v>
      </c>
      <c r="D480" s="37">
        <v>45331</v>
      </c>
      <c r="E480" s="36">
        <v>558.79999999999995</v>
      </c>
      <c r="F480" s="35" t="s">
        <v>38</v>
      </c>
      <c r="G480" s="14" t="str">
        <f t="shared" si="14"/>
        <v>A</v>
      </c>
      <c r="H480" s="15" t="str">
        <f t="shared" si="15"/>
        <v>The Commissioner &amp; Chief Constable are satisfied the spend represents VFM in accordance with the requirements of Category A</v>
      </c>
    </row>
    <row r="481" spans="1:8" x14ac:dyDescent="0.2">
      <c r="A481" s="10" t="s">
        <v>8</v>
      </c>
      <c r="B481" s="11" t="s">
        <v>9</v>
      </c>
      <c r="C481" s="35" t="s">
        <v>334</v>
      </c>
      <c r="D481" s="37">
        <v>45344</v>
      </c>
      <c r="E481" s="36">
        <v>550.16</v>
      </c>
      <c r="F481" s="35" t="s">
        <v>91</v>
      </c>
      <c r="G481" s="14" t="str">
        <f t="shared" si="14"/>
        <v>A</v>
      </c>
      <c r="H481" s="15" t="str">
        <f t="shared" si="15"/>
        <v>The Commissioner &amp; Chief Constable are satisfied the spend represents VFM in accordance with the requirements of Category A</v>
      </c>
    </row>
    <row r="482" spans="1:8" x14ac:dyDescent="0.2">
      <c r="A482" s="10" t="s">
        <v>8</v>
      </c>
      <c r="B482" s="11" t="s">
        <v>9</v>
      </c>
      <c r="C482" s="35" t="s">
        <v>347</v>
      </c>
      <c r="D482" s="37">
        <v>45337</v>
      </c>
      <c r="E482" s="36">
        <v>550</v>
      </c>
      <c r="F482" s="35" t="s">
        <v>123</v>
      </c>
      <c r="G482" s="14" t="str">
        <f t="shared" si="14"/>
        <v>A</v>
      </c>
      <c r="H482" s="15" t="str">
        <f t="shared" si="15"/>
        <v>The Commissioner &amp; Chief Constable are satisfied the spend represents VFM in accordance with the requirements of Category A</v>
      </c>
    </row>
    <row r="483" spans="1:8" x14ac:dyDescent="0.2">
      <c r="A483" s="10" t="s">
        <v>8</v>
      </c>
      <c r="B483" s="11" t="s">
        <v>9</v>
      </c>
      <c r="C483" s="35" t="s">
        <v>172</v>
      </c>
      <c r="D483" s="37">
        <v>45338</v>
      </c>
      <c r="E483" s="36">
        <v>550</v>
      </c>
      <c r="F483" s="35" t="s">
        <v>39</v>
      </c>
      <c r="G483" s="14" t="str">
        <f t="shared" si="14"/>
        <v>A</v>
      </c>
      <c r="H483" s="15" t="str">
        <f t="shared" si="15"/>
        <v>The Commissioner &amp; Chief Constable are satisfied the spend represents VFM in accordance with the requirements of Category A</v>
      </c>
    </row>
    <row r="484" spans="1:8" x14ac:dyDescent="0.2">
      <c r="A484" s="10" t="s">
        <v>8</v>
      </c>
      <c r="B484" s="11" t="s">
        <v>9</v>
      </c>
      <c r="C484" s="35" t="s">
        <v>48</v>
      </c>
      <c r="D484" s="37">
        <v>45323</v>
      </c>
      <c r="E484" s="36">
        <v>547</v>
      </c>
      <c r="F484" s="35" t="s">
        <v>106</v>
      </c>
      <c r="G484" s="14" t="str">
        <f t="shared" si="14"/>
        <v>A</v>
      </c>
      <c r="H484" s="15" t="str">
        <f t="shared" si="15"/>
        <v>The Commissioner &amp; Chief Constable are satisfied the spend represents VFM in accordance with the requirements of Category A</v>
      </c>
    </row>
    <row r="485" spans="1:8" x14ac:dyDescent="0.2">
      <c r="A485" s="10" t="s">
        <v>8</v>
      </c>
      <c r="B485" s="11" t="s">
        <v>9</v>
      </c>
      <c r="C485" s="35" t="s">
        <v>292</v>
      </c>
      <c r="D485" s="37">
        <v>45334</v>
      </c>
      <c r="E485" s="36">
        <v>541.66</v>
      </c>
      <c r="F485" s="35" t="s">
        <v>84</v>
      </c>
      <c r="G485" s="14" t="str">
        <f t="shared" si="14"/>
        <v>A</v>
      </c>
      <c r="H485" s="15" t="str">
        <f t="shared" si="15"/>
        <v>The Commissioner &amp; Chief Constable are satisfied the spend represents VFM in accordance with the requirements of Category A</v>
      </c>
    </row>
    <row r="486" spans="1:8" x14ac:dyDescent="0.2">
      <c r="A486" s="10" t="s">
        <v>8</v>
      </c>
      <c r="B486" s="11" t="s">
        <v>9</v>
      </c>
      <c r="C486" s="35" t="s">
        <v>222</v>
      </c>
      <c r="D486" s="37">
        <v>45334</v>
      </c>
      <c r="E486" s="36">
        <v>540</v>
      </c>
      <c r="F486" s="35" t="s">
        <v>22</v>
      </c>
      <c r="G486" s="14" t="str">
        <f t="shared" si="14"/>
        <v>A</v>
      </c>
      <c r="H486" s="15" t="str">
        <f t="shared" si="15"/>
        <v>The Commissioner &amp; Chief Constable are satisfied the spend represents VFM in accordance with the requirements of Category A</v>
      </c>
    </row>
    <row r="487" spans="1:8" x14ac:dyDescent="0.2">
      <c r="A487" s="10" t="s">
        <v>8</v>
      </c>
      <c r="B487" s="11" t="s">
        <v>9</v>
      </c>
      <c r="C487" s="35" t="s">
        <v>294</v>
      </c>
      <c r="D487" s="37">
        <v>45335</v>
      </c>
      <c r="E487" s="36">
        <v>539.6</v>
      </c>
      <c r="F487" s="35" t="s">
        <v>203</v>
      </c>
      <c r="G487" s="14" t="str">
        <f t="shared" si="14"/>
        <v>A</v>
      </c>
      <c r="H487" s="15" t="str">
        <f t="shared" si="15"/>
        <v>The Commissioner &amp; Chief Constable are satisfied the spend represents VFM in accordance with the requirements of Category A</v>
      </c>
    </row>
    <row r="488" spans="1:8" x14ac:dyDescent="0.2">
      <c r="A488" s="10" t="s">
        <v>8</v>
      </c>
      <c r="B488" s="11" t="s">
        <v>9</v>
      </c>
      <c r="C488" s="35" t="s">
        <v>181</v>
      </c>
      <c r="D488" s="37">
        <v>45343</v>
      </c>
      <c r="E488" s="36">
        <v>538.20000000000005</v>
      </c>
      <c r="F488" s="35" t="s">
        <v>98</v>
      </c>
      <c r="G488" s="14" t="str">
        <f t="shared" si="14"/>
        <v>A</v>
      </c>
      <c r="H488" s="15" t="str">
        <f t="shared" si="15"/>
        <v>The Commissioner &amp; Chief Constable are satisfied the spend represents VFM in accordance with the requirements of Category A</v>
      </c>
    </row>
    <row r="489" spans="1:8" x14ac:dyDescent="0.2">
      <c r="A489" s="10" t="s">
        <v>8</v>
      </c>
      <c r="B489" s="11" t="s">
        <v>9</v>
      </c>
      <c r="C489" s="35" t="s">
        <v>446</v>
      </c>
      <c r="D489" s="37">
        <v>45323</v>
      </c>
      <c r="E489" s="36">
        <v>526</v>
      </c>
      <c r="F489" s="35" t="s">
        <v>131</v>
      </c>
      <c r="G489" s="14" t="str">
        <f t="shared" si="14"/>
        <v>A</v>
      </c>
      <c r="H489" s="15" t="str">
        <f t="shared" si="15"/>
        <v>The Commissioner &amp; Chief Constable are satisfied the spend represents VFM in accordance with the requirements of Category A</v>
      </c>
    </row>
    <row r="490" spans="1:8" x14ac:dyDescent="0.2">
      <c r="A490" s="10" t="s">
        <v>8</v>
      </c>
      <c r="B490" s="11" t="s">
        <v>9</v>
      </c>
      <c r="C490" s="35" t="s">
        <v>501</v>
      </c>
      <c r="D490" s="37">
        <v>45342</v>
      </c>
      <c r="E490" s="36">
        <v>525.96</v>
      </c>
      <c r="F490" s="35" t="s">
        <v>390</v>
      </c>
      <c r="G490" s="14" t="str">
        <f t="shared" si="14"/>
        <v>A</v>
      </c>
      <c r="H490" s="15" t="str">
        <f t="shared" si="15"/>
        <v>The Commissioner &amp; Chief Constable are satisfied the spend represents VFM in accordance with the requirements of Category A</v>
      </c>
    </row>
    <row r="491" spans="1:8" x14ac:dyDescent="0.2">
      <c r="A491" s="10" t="s">
        <v>8</v>
      </c>
      <c r="B491" s="11" t="s">
        <v>9</v>
      </c>
      <c r="C491" s="35" t="s">
        <v>312</v>
      </c>
      <c r="D491" s="37">
        <v>45338</v>
      </c>
      <c r="E491" s="36">
        <v>518.04999999999995</v>
      </c>
      <c r="F491" s="35" t="s">
        <v>151</v>
      </c>
      <c r="G491" s="14" t="str">
        <f t="shared" si="14"/>
        <v>A</v>
      </c>
      <c r="H491" s="15" t="str">
        <f t="shared" si="15"/>
        <v>The Commissioner &amp; Chief Constable are satisfied the spend represents VFM in accordance with the requirements of Category A</v>
      </c>
    </row>
    <row r="492" spans="1:8" x14ac:dyDescent="0.2">
      <c r="A492" s="10" t="s">
        <v>8</v>
      </c>
      <c r="B492" s="11" t="s">
        <v>9</v>
      </c>
      <c r="C492" s="35" t="s">
        <v>500</v>
      </c>
      <c r="D492" s="37">
        <v>45330</v>
      </c>
      <c r="E492" s="36">
        <v>515.9</v>
      </c>
      <c r="F492" s="35" t="s">
        <v>363</v>
      </c>
      <c r="G492" s="14" t="str">
        <f t="shared" si="14"/>
        <v>A</v>
      </c>
      <c r="H492" s="15" t="str">
        <f t="shared" si="15"/>
        <v>The Commissioner &amp; Chief Constable are satisfied the spend represents VFM in accordance with the requirements of Category A</v>
      </c>
    </row>
    <row r="493" spans="1:8" x14ac:dyDescent="0.2">
      <c r="A493" s="10" t="s">
        <v>8</v>
      </c>
      <c r="B493" s="11" t="s">
        <v>9</v>
      </c>
      <c r="C493" s="35" t="s">
        <v>240</v>
      </c>
      <c r="D493" s="37">
        <v>45348</v>
      </c>
      <c r="E493" s="36">
        <v>67.64</v>
      </c>
      <c r="F493" s="35" t="s">
        <v>241</v>
      </c>
      <c r="G493" s="14" t="str">
        <f t="shared" si="14"/>
        <v>A</v>
      </c>
      <c r="H493" s="15" t="str">
        <f t="shared" si="15"/>
        <v>The Commissioner &amp; Chief Constable are satisfied the spend represents VFM in accordance with the requirements of Category A</v>
      </c>
    </row>
    <row r="494" spans="1:8" x14ac:dyDescent="0.2">
      <c r="A494" s="10" t="s">
        <v>8</v>
      </c>
      <c r="B494" s="11" t="s">
        <v>9</v>
      </c>
      <c r="C494" s="35" t="s">
        <v>240</v>
      </c>
      <c r="D494" s="37">
        <v>45348</v>
      </c>
      <c r="E494" s="39">
        <v>447.92</v>
      </c>
      <c r="F494" s="38" t="s">
        <v>31</v>
      </c>
      <c r="G494" s="14" t="str">
        <f t="shared" si="14"/>
        <v>A</v>
      </c>
      <c r="H494" s="15" t="str">
        <f t="shared" si="15"/>
        <v>The Commissioner &amp; Chief Constable are satisfied the spend represents VFM in accordance with the requirements of Category A</v>
      </c>
    </row>
    <row r="495" spans="1:8" x14ac:dyDescent="0.2">
      <c r="A495" s="10" t="s">
        <v>8</v>
      </c>
      <c r="B495" s="11" t="s">
        <v>9</v>
      </c>
      <c r="C495" s="35" t="s">
        <v>260</v>
      </c>
      <c r="D495" s="37">
        <v>45338</v>
      </c>
      <c r="E495" s="36">
        <v>510.94</v>
      </c>
      <c r="F495" s="35" t="s">
        <v>261</v>
      </c>
      <c r="G495" s="14" t="str">
        <f t="shared" si="14"/>
        <v>A</v>
      </c>
      <c r="H495" s="15" t="str">
        <f t="shared" si="15"/>
        <v>The Commissioner &amp; Chief Constable are satisfied the spend represents VFM in accordance with the requirements of Category A</v>
      </c>
    </row>
    <row r="496" spans="1:8" x14ac:dyDescent="0.2">
      <c r="A496" s="10" t="s">
        <v>8</v>
      </c>
      <c r="B496" s="11" t="s">
        <v>9</v>
      </c>
      <c r="C496" s="35" t="s">
        <v>499</v>
      </c>
      <c r="D496" s="37">
        <v>45324</v>
      </c>
      <c r="E496" s="36">
        <v>510</v>
      </c>
      <c r="F496" s="35" t="s">
        <v>22</v>
      </c>
      <c r="G496" s="14" t="str">
        <f t="shared" si="14"/>
        <v>A</v>
      </c>
      <c r="H496" s="15" t="str">
        <f t="shared" si="15"/>
        <v>The Commissioner &amp; Chief Constable are satisfied the spend represents VFM in accordance with the requirements of Category A</v>
      </c>
    </row>
    <row r="497" spans="1:8" x14ac:dyDescent="0.2">
      <c r="A497" s="10" t="s">
        <v>8</v>
      </c>
      <c r="B497" s="11" t="s">
        <v>9</v>
      </c>
      <c r="C497" s="35" t="s">
        <v>419</v>
      </c>
      <c r="D497" s="37">
        <v>45330</v>
      </c>
      <c r="E497" s="36">
        <v>509.5</v>
      </c>
      <c r="F497" s="35" t="s">
        <v>22</v>
      </c>
      <c r="G497" s="14" t="str">
        <f t="shared" si="14"/>
        <v>A</v>
      </c>
      <c r="H497" s="15" t="str">
        <f t="shared" si="15"/>
        <v>The Commissioner &amp; Chief Constable are satisfied the spend represents VFM in accordance with the requirements of Category A</v>
      </c>
    </row>
    <row r="498" spans="1:8" x14ac:dyDescent="0.2">
      <c r="A498" s="10" t="s">
        <v>8</v>
      </c>
      <c r="B498" s="11" t="s">
        <v>9</v>
      </c>
      <c r="C498" s="35" t="s">
        <v>124</v>
      </c>
      <c r="D498" s="37">
        <v>45328</v>
      </c>
      <c r="E498" s="36">
        <v>508.65</v>
      </c>
      <c r="F498" s="35" t="s">
        <v>91</v>
      </c>
      <c r="G498" s="14" t="str">
        <f t="shared" si="14"/>
        <v>A</v>
      </c>
      <c r="H498" s="15" t="str">
        <f t="shared" si="15"/>
        <v>The Commissioner &amp; Chief Constable are satisfied the spend represents VFM in accordance with the requirements of Category A</v>
      </c>
    </row>
    <row r="499" spans="1:8" x14ac:dyDescent="0.2">
      <c r="A499" s="10" t="s">
        <v>8</v>
      </c>
      <c r="B499" s="11" t="s">
        <v>9</v>
      </c>
      <c r="C499" s="35" t="s">
        <v>479</v>
      </c>
      <c r="D499" s="37">
        <v>45328</v>
      </c>
      <c r="E499" s="36">
        <v>505</v>
      </c>
      <c r="F499" s="35" t="s">
        <v>148</v>
      </c>
      <c r="G499" s="14" t="str">
        <f t="shared" si="14"/>
        <v>A</v>
      </c>
      <c r="H499" s="15" t="str">
        <f t="shared" si="15"/>
        <v>The Commissioner &amp; Chief Constable are satisfied the spend represents VFM in accordance with the requirements of Category A</v>
      </c>
    </row>
    <row r="500" spans="1:8" x14ac:dyDescent="0.2">
      <c r="A500" s="10" t="s">
        <v>8</v>
      </c>
      <c r="B500" s="11" t="s">
        <v>9</v>
      </c>
      <c r="C500" s="35" t="s">
        <v>498</v>
      </c>
      <c r="D500" s="37">
        <v>45351</v>
      </c>
      <c r="E500" s="36">
        <v>500.2</v>
      </c>
      <c r="F500" s="35" t="s">
        <v>185</v>
      </c>
      <c r="G500" s="14" t="str">
        <f t="shared" si="14"/>
        <v>A</v>
      </c>
      <c r="H500" s="15" t="str">
        <f t="shared" si="15"/>
        <v>The Commissioner &amp; Chief Constable are satisfied the spend represents VFM in accordance with the requirements of Category A</v>
      </c>
    </row>
    <row r="501" spans="1:8" x14ac:dyDescent="0.2">
      <c r="A501" s="10" t="s">
        <v>8</v>
      </c>
      <c r="B501" s="11" t="s">
        <v>9</v>
      </c>
      <c r="C501" s="35" t="s">
        <v>353</v>
      </c>
      <c r="D501" s="37">
        <v>45327</v>
      </c>
      <c r="E501" s="36">
        <v>500</v>
      </c>
      <c r="F501" s="35" t="s">
        <v>106</v>
      </c>
      <c r="G501" s="14" t="str">
        <f t="shared" si="14"/>
        <v>A</v>
      </c>
      <c r="H501" s="15" t="str">
        <f t="shared" si="15"/>
        <v>The Commissioner &amp; Chief Constable are satisfied the spend represents VFM in accordance with the requirements of Category A</v>
      </c>
    </row>
    <row r="502" spans="1:8" x14ac:dyDescent="0.2">
      <c r="A502" s="10" t="s">
        <v>8</v>
      </c>
      <c r="B502" s="11" t="s">
        <v>9</v>
      </c>
      <c r="C502" s="35" t="s">
        <v>359</v>
      </c>
      <c r="D502" s="37">
        <v>45343</v>
      </c>
      <c r="E502" s="36">
        <v>500</v>
      </c>
      <c r="F502" s="35" t="s">
        <v>358</v>
      </c>
      <c r="G502" s="14" t="str">
        <f t="shared" si="14"/>
        <v>A</v>
      </c>
      <c r="H502" s="15" t="str">
        <f t="shared" si="15"/>
        <v>The Commissioner &amp; Chief Constable are satisfied the spend represents VFM in accordance with the requirements of Category A</v>
      </c>
    </row>
    <row r="503" spans="1:8" x14ac:dyDescent="0.2">
      <c r="A503" s="10" t="s">
        <v>8</v>
      </c>
      <c r="B503" s="11" t="s">
        <v>9</v>
      </c>
      <c r="C503" s="35" t="s">
        <v>10</v>
      </c>
      <c r="D503" s="37">
        <v>45330</v>
      </c>
      <c r="E503" s="36">
        <v>-616</v>
      </c>
      <c r="F503" s="35" t="s">
        <v>11</v>
      </c>
      <c r="G503" s="14" t="str">
        <f t="shared" si="14"/>
        <v>A</v>
      </c>
      <c r="H503" s="15" t="str">
        <f t="shared" si="15"/>
        <v>The Commissioner &amp; Chief Constable are satisfied the spend represents VFM in accordance with the requirements of Category A</v>
      </c>
    </row>
    <row r="504" spans="1:8" x14ac:dyDescent="0.2">
      <c r="A504" s="10" t="s">
        <v>8</v>
      </c>
      <c r="B504" s="11" t="s">
        <v>9</v>
      </c>
      <c r="C504" s="35" t="s">
        <v>295</v>
      </c>
      <c r="D504" s="37">
        <v>45349</v>
      </c>
      <c r="E504" s="36">
        <v>-1453.4</v>
      </c>
      <c r="F504" s="35" t="s">
        <v>296</v>
      </c>
      <c r="G504" s="14" t="str">
        <f t="shared" si="14"/>
        <v>A</v>
      </c>
      <c r="H504" s="15" t="str">
        <f t="shared" si="15"/>
        <v>The Commissioner &amp; Chief Constable are satisfied the spend represents VFM in accordance with the requirements of Category A</v>
      </c>
    </row>
    <row r="505" spans="1:8" x14ac:dyDescent="0.2">
      <c r="A505" s="10" t="s">
        <v>8</v>
      </c>
      <c r="B505" s="11" t="s">
        <v>9</v>
      </c>
      <c r="C505" s="35" t="s">
        <v>497</v>
      </c>
      <c r="D505" s="37">
        <v>45341</v>
      </c>
      <c r="E505" s="36">
        <v>-5960</v>
      </c>
      <c r="F505" s="35" t="s">
        <v>106</v>
      </c>
      <c r="G505" s="14" t="str">
        <f t="shared" si="14"/>
        <v>A</v>
      </c>
      <c r="H505" s="15" t="str">
        <f t="shared" si="15"/>
        <v>The Commissioner &amp; Chief Constable are satisfied the spend represents VFM in accordance with the requirements of Category A</v>
      </c>
    </row>
    <row r="506" spans="1:8" x14ac:dyDescent="0.2">
      <c r="A506" s="10" t="s">
        <v>8</v>
      </c>
      <c r="B506" s="11" t="s">
        <v>9</v>
      </c>
      <c r="C506" s="35" t="s">
        <v>497</v>
      </c>
      <c r="D506" s="37">
        <v>45341</v>
      </c>
      <c r="E506" s="36">
        <v>-5960</v>
      </c>
      <c r="F506" s="35" t="s">
        <v>106</v>
      </c>
      <c r="G506" s="14" t="str">
        <f t="shared" si="14"/>
        <v>A</v>
      </c>
      <c r="H506" s="15" t="str">
        <f t="shared" si="15"/>
        <v>The Commissioner &amp; Chief Constable are satisfied the spend represents VFM in accordance with the requirements of Category A</v>
      </c>
    </row>
    <row r="507" spans="1:8" x14ac:dyDescent="0.2">
      <c r="A507" s="10" t="s">
        <v>8</v>
      </c>
      <c r="B507" s="11" t="s">
        <v>9</v>
      </c>
      <c r="C507" s="35" t="s">
        <v>286</v>
      </c>
      <c r="D507" s="37">
        <v>45328</v>
      </c>
      <c r="E507" s="36">
        <v>-8826</v>
      </c>
      <c r="F507" s="35" t="s">
        <v>22</v>
      </c>
      <c r="G507" s="14" t="str">
        <f t="shared" si="14"/>
        <v>A</v>
      </c>
      <c r="H507" s="15" t="str">
        <f t="shared" si="15"/>
        <v>The Commissioner &amp; Chief Constable are satisfied the spend represents VFM in accordance with the requirements of Category A</v>
      </c>
    </row>
    <row r="508" spans="1:8" x14ac:dyDescent="0.2">
      <c r="A508" s="10" t="s">
        <v>8</v>
      </c>
      <c r="B508" s="11" t="s">
        <v>9</v>
      </c>
      <c r="C508" s="35" t="s">
        <v>26</v>
      </c>
      <c r="D508" s="37">
        <v>45335</v>
      </c>
      <c r="E508" s="36">
        <v>-17505.71</v>
      </c>
      <c r="F508" s="35" t="s">
        <v>76</v>
      </c>
      <c r="G508" s="14" t="str">
        <f t="shared" si="14"/>
        <v>A</v>
      </c>
      <c r="H508" s="15" t="str">
        <f t="shared" si="15"/>
        <v>The Commissioner &amp; Chief Constable are satisfied the spend represents VFM in accordance with the requirements of Category A</v>
      </c>
    </row>
    <row r="509" spans="1:8" x14ac:dyDescent="0.2">
      <c r="A509" s="10"/>
      <c r="B509" s="11"/>
      <c r="C509" s="35"/>
      <c r="D509" s="32"/>
      <c r="E509" s="36"/>
      <c r="F509" s="35"/>
      <c r="G509" s="14"/>
      <c r="H509" s="15"/>
    </row>
    <row r="510" spans="1:8" x14ac:dyDescent="0.2">
      <c r="A510" s="10"/>
      <c r="B510" s="11"/>
      <c r="C510" s="35"/>
      <c r="D510" s="32"/>
      <c r="E510" s="36"/>
      <c r="F510" s="35"/>
      <c r="G510" s="14"/>
      <c r="H510" s="15"/>
    </row>
    <row r="511" spans="1:8" x14ac:dyDescent="0.2">
      <c r="A511" s="10"/>
      <c r="B511" s="11"/>
      <c r="C511" s="35"/>
      <c r="D511" s="32"/>
      <c r="E511" s="36"/>
      <c r="F511" s="35"/>
      <c r="G511" s="14"/>
      <c r="H511" s="15"/>
    </row>
    <row r="512" spans="1:8" x14ac:dyDescent="0.2">
      <c r="A512" s="10"/>
      <c r="B512" s="11"/>
      <c r="C512" s="35"/>
      <c r="D512" s="32"/>
      <c r="E512" s="36"/>
      <c r="F512" s="35"/>
      <c r="G512" s="14"/>
      <c r="H512" s="15"/>
    </row>
    <row r="513" spans="1:8" x14ac:dyDescent="0.2">
      <c r="A513" s="10"/>
      <c r="B513" s="11"/>
      <c r="C513" s="35"/>
      <c r="D513" s="32"/>
      <c r="E513" s="36"/>
      <c r="F513" s="35"/>
      <c r="G513" s="14"/>
      <c r="H513" s="15"/>
    </row>
    <row r="514" spans="1:8" x14ac:dyDescent="0.2">
      <c r="A514" s="10"/>
      <c r="B514" s="11"/>
      <c r="C514" s="35"/>
      <c r="D514" s="32"/>
      <c r="E514" s="36"/>
      <c r="F514" s="35"/>
      <c r="G514" s="14"/>
      <c r="H514" s="15"/>
    </row>
    <row r="515" spans="1:8" x14ac:dyDescent="0.2">
      <c r="A515" s="10"/>
      <c r="B515" s="11"/>
      <c r="C515" s="35"/>
      <c r="D515" s="32"/>
      <c r="E515" s="36"/>
      <c r="F515" s="35"/>
      <c r="G515" s="14"/>
      <c r="H515" s="15"/>
    </row>
    <row r="516" spans="1:8" x14ac:dyDescent="0.2">
      <c r="A516" s="10"/>
      <c r="B516" s="11"/>
      <c r="C516" s="35"/>
      <c r="D516" s="32"/>
      <c r="E516" s="36"/>
      <c r="F516" s="35"/>
      <c r="G516" s="14"/>
      <c r="H516" s="15"/>
    </row>
    <row r="517" spans="1:8" x14ac:dyDescent="0.2">
      <c r="A517" s="10"/>
      <c r="B517" s="11"/>
      <c r="C517" s="35"/>
      <c r="D517" s="32"/>
      <c r="E517" s="36"/>
      <c r="F517" s="35"/>
      <c r="G517" s="14"/>
      <c r="H517" s="15"/>
    </row>
    <row r="518" spans="1:8" x14ac:dyDescent="0.2">
      <c r="A518" s="10"/>
      <c r="B518" s="11"/>
      <c r="C518" s="35"/>
      <c r="D518" s="32"/>
      <c r="E518" s="36"/>
      <c r="F518" s="35"/>
      <c r="G518" s="14"/>
      <c r="H518" s="15"/>
    </row>
    <row r="519" spans="1:8" x14ac:dyDescent="0.2">
      <c r="A519" s="10"/>
      <c r="B519" s="11"/>
      <c r="C519" s="35"/>
      <c r="D519" s="32"/>
      <c r="E519" s="36"/>
      <c r="F519" s="35"/>
      <c r="G519" s="14"/>
      <c r="H519" s="15"/>
    </row>
    <row r="520" spans="1:8" x14ac:dyDescent="0.2">
      <c r="A520" s="10"/>
      <c r="B520" s="11"/>
      <c r="C520" s="35"/>
      <c r="D520" s="32"/>
      <c r="E520" s="36"/>
      <c r="F520" s="35"/>
      <c r="G520" s="14"/>
      <c r="H520" s="15"/>
    </row>
    <row r="521" spans="1:8" x14ac:dyDescent="0.2">
      <c r="A521" s="10"/>
      <c r="B521" s="11"/>
      <c r="C521" s="33"/>
      <c r="D521" s="32"/>
      <c r="E521" s="36"/>
      <c r="F521" s="35"/>
      <c r="G521" s="14"/>
      <c r="H521" s="15"/>
    </row>
    <row r="522" spans="1:8" x14ac:dyDescent="0.2">
      <c r="A522" s="10"/>
      <c r="B522" s="11"/>
      <c r="C522" s="33"/>
      <c r="D522" s="32"/>
      <c r="E522" s="36"/>
      <c r="F522" s="35"/>
      <c r="G522" s="14"/>
      <c r="H522" s="15"/>
    </row>
    <row r="523" spans="1:8" x14ac:dyDescent="0.2">
      <c r="A523" s="10"/>
      <c r="B523" s="11"/>
      <c r="C523" s="35"/>
      <c r="D523" s="32"/>
      <c r="E523" s="36"/>
      <c r="F523" s="35"/>
      <c r="G523" s="14"/>
      <c r="H523" s="15"/>
    </row>
    <row r="524" spans="1:8" x14ac:dyDescent="0.2">
      <c r="A524" s="10"/>
      <c r="B524" s="11"/>
      <c r="C524" s="35"/>
      <c r="D524" s="32"/>
      <c r="E524" s="36"/>
      <c r="F524" s="35"/>
      <c r="G524" s="14"/>
      <c r="H524" s="15"/>
    </row>
    <row r="525" spans="1:8" x14ac:dyDescent="0.2">
      <c r="A525" s="10"/>
      <c r="B525" s="11"/>
      <c r="C525" s="35"/>
      <c r="D525" s="32"/>
      <c r="E525" s="36"/>
      <c r="F525" s="35"/>
      <c r="G525" s="14"/>
      <c r="H525" s="15"/>
    </row>
    <row r="526" spans="1:8" x14ac:dyDescent="0.2">
      <c r="A526" s="10"/>
      <c r="B526" s="11"/>
      <c r="C526" s="35"/>
      <c r="D526" s="32"/>
      <c r="E526" s="36"/>
      <c r="F526" s="35"/>
      <c r="G526" s="14"/>
      <c r="H526" s="15"/>
    </row>
    <row r="527" spans="1:8" x14ac:dyDescent="0.2">
      <c r="A527" s="10"/>
      <c r="B527" s="11"/>
      <c r="C527" s="35"/>
      <c r="D527" s="32"/>
      <c r="E527" s="36"/>
      <c r="F527" s="35"/>
      <c r="G527" s="14"/>
      <c r="H527" s="15"/>
    </row>
    <row r="528" spans="1:8" x14ac:dyDescent="0.2">
      <c r="A528" s="10"/>
      <c r="B528" s="11"/>
      <c r="C528" s="35"/>
      <c r="D528" s="32"/>
      <c r="E528" s="36"/>
      <c r="F528" s="35"/>
      <c r="G528" s="14"/>
      <c r="H528" s="15"/>
    </row>
    <row r="529" spans="1:8" x14ac:dyDescent="0.2">
      <c r="A529" s="10"/>
      <c r="B529" s="11"/>
      <c r="C529" s="35"/>
      <c r="D529" s="32"/>
      <c r="E529" s="36"/>
      <c r="F529" s="35"/>
      <c r="G529" s="14"/>
      <c r="H529" s="15"/>
    </row>
    <row r="530" spans="1:8" x14ac:dyDescent="0.2">
      <c r="A530" s="10"/>
      <c r="B530" s="11"/>
      <c r="C530" s="35"/>
      <c r="D530" s="32"/>
      <c r="E530" s="36"/>
      <c r="F530" s="35"/>
      <c r="G530" s="14"/>
      <c r="H530" s="15"/>
    </row>
    <row r="531" spans="1:8" x14ac:dyDescent="0.2">
      <c r="A531" s="10"/>
      <c r="B531" s="11"/>
      <c r="C531" s="35"/>
      <c r="D531" s="32"/>
      <c r="E531" s="36"/>
      <c r="F531" s="35"/>
      <c r="G531" s="14"/>
      <c r="H531" s="15"/>
    </row>
    <row r="532" spans="1:8" x14ac:dyDescent="0.2">
      <c r="A532" s="10"/>
      <c r="B532" s="11"/>
      <c r="C532" s="35"/>
      <c r="D532" s="32"/>
      <c r="E532" s="36"/>
      <c r="F532" s="35"/>
      <c r="G532" s="14"/>
      <c r="H532" s="15"/>
    </row>
    <row r="533" spans="1:8" x14ac:dyDescent="0.2">
      <c r="A533" s="10"/>
      <c r="B533" s="11"/>
      <c r="C533" s="35"/>
      <c r="D533" s="32"/>
      <c r="E533" s="36"/>
      <c r="F533" s="35"/>
      <c r="G533" s="14"/>
      <c r="H533" s="15"/>
    </row>
    <row r="534" spans="1:8" x14ac:dyDescent="0.2">
      <c r="A534" s="10"/>
      <c r="B534" s="11"/>
      <c r="C534" s="35"/>
      <c r="D534" s="32"/>
      <c r="E534" s="36"/>
      <c r="F534" s="35"/>
      <c r="G534" s="14"/>
      <c r="H534" s="15"/>
    </row>
    <row r="535" spans="1:8" x14ac:dyDescent="0.2">
      <c r="A535" s="10"/>
      <c r="B535" s="11"/>
      <c r="C535" s="35"/>
      <c r="D535" s="32"/>
      <c r="E535" s="36"/>
      <c r="F535" s="35"/>
      <c r="G535" s="14"/>
      <c r="H535" s="15"/>
    </row>
    <row r="536" spans="1:8" x14ac:dyDescent="0.2">
      <c r="A536" s="10"/>
      <c r="B536" s="11"/>
      <c r="C536" s="35"/>
      <c r="D536" s="32"/>
      <c r="E536" s="36"/>
      <c r="F536" s="35"/>
      <c r="G536" s="14"/>
      <c r="H536" s="15"/>
    </row>
    <row r="537" spans="1:8" x14ac:dyDescent="0.2">
      <c r="A537" s="10"/>
      <c r="B537" s="11"/>
      <c r="C537" s="35"/>
      <c r="D537" s="32"/>
      <c r="E537" s="36"/>
      <c r="F537" s="35"/>
      <c r="G537" s="14"/>
      <c r="H537" s="15"/>
    </row>
    <row r="538" spans="1:8" x14ac:dyDescent="0.2">
      <c r="A538" s="10"/>
      <c r="B538" s="11"/>
      <c r="C538" s="35"/>
      <c r="D538" s="32"/>
      <c r="E538" s="36"/>
      <c r="F538" s="35"/>
      <c r="G538" s="14"/>
      <c r="H538" s="15"/>
    </row>
    <row r="539" spans="1:8" x14ac:dyDescent="0.2">
      <c r="A539" s="10"/>
      <c r="B539" s="11"/>
      <c r="C539" s="35"/>
      <c r="D539" s="32"/>
      <c r="E539" s="36"/>
      <c r="F539" s="35"/>
      <c r="G539" s="14"/>
      <c r="H539" s="15"/>
    </row>
    <row r="540" spans="1:8" x14ac:dyDescent="0.2">
      <c r="A540" s="10"/>
      <c r="B540" s="11"/>
      <c r="C540" s="35"/>
      <c r="D540" s="32"/>
      <c r="E540" s="36"/>
      <c r="F540" s="35"/>
      <c r="G540" s="14"/>
      <c r="H540" s="15"/>
    </row>
    <row r="541" spans="1:8" x14ac:dyDescent="0.2">
      <c r="A541" s="10"/>
      <c r="B541" s="11"/>
      <c r="C541" s="35"/>
      <c r="D541" s="32"/>
      <c r="E541" s="36"/>
      <c r="F541" s="35"/>
      <c r="G541" s="14"/>
      <c r="H541" s="15"/>
    </row>
    <row r="542" spans="1:8" x14ac:dyDescent="0.2">
      <c r="A542" s="10"/>
      <c r="B542" s="11"/>
      <c r="C542" s="35"/>
      <c r="D542" s="32"/>
      <c r="E542" s="36"/>
      <c r="F542" s="35"/>
      <c r="G542" s="14"/>
      <c r="H542" s="15"/>
    </row>
    <row r="543" spans="1:8" x14ac:dyDescent="0.2">
      <c r="A543" s="10"/>
      <c r="B543" s="11"/>
      <c r="C543" s="35"/>
      <c r="D543" s="32"/>
      <c r="E543" s="36"/>
      <c r="F543" s="35"/>
      <c r="G543" s="14"/>
      <c r="H543" s="15"/>
    </row>
    <row r="544" spans="1:8" x14ac:dyDescent="0.2">
      <c r="A544" s="10"/>
      <c r="B544" s="11"/>
      <c r="C544" s="35"/>
      <c r="D544" s="32"/>
      <c r="E544" s="36"/>
      <c r="F544" s="35"/>
      <c r="G544" s="14"/>
      <c r="H544" s="15"/>
    </row>
    <row r="545" spans="1:8" x14ac:dyDescent="0.2">
      <c r="A545" s="10"/>
      <c r="B545" s="11"/>
      <c r="C545" s="35"/>
      <c r="D545" s="32"/>
      <c r="E545" s="36"/>
      <c r="F545" s="35"/>
      <c r="G545" s="14"/>
      <c r="H545" s="15"/>
    </row>
    <row r="546" spans="1:8" x14ac:dyDescent="0.2">
      <c r="A546" s="10"/>
      <c r="B546" s="11"/>
      <c r="C546" s="35"/>
      <c r="D546" s="32"/>
      <c r="E546" s="36"/>
      <c r="F546" s="35"/>
      <c r="G546" s="14"/>
      <c r="H546" s="15"/>
    </row>
    <row r="547" spans="1:8" x14ac:dyDescent="0.2">
      <c r="A547" s="10"/>
      <c r="B547" s="11"/>
      <c r="C547" s="35"/>
      <c r="D547" s="32"/>
      <c r="E547" s="36"/>
      <c r="F547" s="35"/>
      <c r="G547" s="14"/>
      <c r="H547" s="15"/>
    </row>
    <row r="548" spans="1:8" x14ac:dyDescent="0.2">
      <c r="A548" s="10"/>
      <c r="B548" s="11"/>
      <c r="C548" s="35"/>
      <c r="D548" s="32"/>
      <c r="E548" s="36"/>
      <c r="F548" s="35"/>
      <c r="G548" s="14"/>
      <c r="H548" s="15"/>
    </row>
    <row r="549" spans="1:8" x14ac:dyDescent="0.2">
      <c r="A549" s="10"/>
      <c r="B549" s="11"/>
      <c r="C549" s="16"/>
      <c r="D549" s="32"/>
      <c r="E549" s="36"/>
      <c r="F549" s="35"/>
      <c r="G549" s="14"/>
      <c r="H549" s="15"/>
    </row>
    <row r="550" spans="1:8" x14ac:dyDescent="0.2">
      <c r="A550" s="10"/>
      <c r="B550" s="11"/>
      <c r="C550" s="16"/>
      <c r="D550" s="32"/>
      <c r="E550" s="36"/>
      <c r="F550" s="35"/>
      <c r="G550" s="14"/>
      <c r="H550" s="15"/>
    </row>
    <row r="551" spans="1:8" x14ac:dyDescent="0.2">
      <c r="A551" s="10"/>
      <c r="B551" s="11"/>
      <c r="C551" s="16"/>
      <c r="D551" s="32"/>
      <c r="E551" s="36"/>
      <c r="F551" s="35"/>
      <c r="G551" s="14"/>
      <c r="H551" s="15"/>
    </row>
    <row r="552" spans="1:8" x14ac:dyDescent="0.2">
      <c r="A552" s="10"/>
      <c r="B552" s="11"/>
      <c r="C552" s="16"/>
      <c r="D552" s="32"/>
      <c r="E552" s="36"/>
      <c r="F552" s="35"/>
      <c r="G552" s="14"/>
      <c r="H552" s="15"/>
    </row>
    <row r="553" spans="1:8" x14ac:dyDescent="0.2">
      <c r="A553" s="10"/>
      <c r="B553" s="11"/>
      <c r="C553" s="16"/>
      <c r="D553" s="32"/>
      <c r="E553" s="36"/>
      <c r="F553" s="35"/>
      <c r="G553" s="14"/>
      <c r="H553" s="15"/>
    </row>
    <row r="554" spans="1:8" x14ac:dyDescent="0.2">
      <c r="A554" s="10"/>
      <c r="B554" s="11"/>
      <c r="C554" s="16"/>
      <c r="D554" s="32"/>
      <c r="E554" s="36"/>
      <c r="F554" s="35"/>
      <c r="G554" s="14"/>
      <c r="H554" s="15"/>
    </row>
    <row r="555" spans="1:8" x14ac:dyDescent="0.2">
      <c r="A555" s="10"/>
      <c r="B555" s="11"/>
      <c r="C555" s="16"/>
      <c r="D555" s="32"/>
      <c r="E555" s="36"/>
      <c r="F555" s="35"/>
      <c r="G555" s="14"/>
      <c r="H555" s="15"/>
    </row>
    <row r="556" spans="1:8" x14ac:dyDescent="0.2">
      <c r="A556" s="10"/>
      <c r="B556" s="11"/>
      <c r="C556" s="16"/>
      <c r="D556" s="32"/>
      <c r="E556" s="36"/>
      <c r="F556" s="35"/>
      <c r="G556" s="14"/>
      <c r="H556" s="15"/>
    </row>
    <row r="557" spans="1:8" x14ac:dyDescent="0.2">
      <c r="A557" s="10"/>
      <c r="B557" s="11"/>
      <c r="C557" s="16"/>
      <c r="D557" s="32"/>
      <c r="E557" s="36"/>
      <c r="F557" s="35"/>
      <c r="G557" s="14"/>
      <c r="H557" s="15"/>
    </row>
    <row r="558" spans="1:8" x14ac:dyDescent="0.2">
      <c r="A558" s="10"/>
      <c r="B558" s="11"/>
      <c r="C558" s="16"/>
      <c r="D558" s="32"/>
      <c r="E558" s="36"/>
      <c r="F558" s="35"/>
      <c r="G558" s="14"/>
      <c r="H558" s="15"/>
    </row>
    <row r="559" spans="1:8" x14ac:dyDescent="0.2">
      <c r="A559" s="10"/>
      <c r="B559" s="11"/>
      <c r="C559" s="16"/>
      <c r="D559" s="32"/>
      <c r="E559" s="36"/>
      <c r="F559" s="35"/>
      <c r="G559" s="14"/>
      <c r="H559" s="15"/>
    </row>
    <row r="560" spans="1:8" x14ac:dyDescent="0.2">
      <c r="A560" s="10"/>
      <c r="B560" s="11"/>
      <c r="C560" s="16"/>
      <c r="D560" s="32"/>
      <c r="E560" s="36"/>
      <c r="F560" s="35"/>
      <c r="G560" s="14"/>
      <c r="H560" s="15"/>
    </row>
    <row r="561" spans="1:8" x14ac:dyDescent="0.2">
      <c r="A561" s="10"/>
      <c r="B561" s="11"/>
      <c r="C561" s="16"/>
      <c r="D561" s="32"/>
      <c r="E561" s="36"/>
      <c r="F561" s="35"/>
      <c r="G561" s="14"/>
      <c r="H561" s="15"/>
    </row>
    <row r="562" spans="1:8" x14ac:dyDescent="0.2">
      <c r="A562" s="10"/>
      <c r="B562" s="11"/>
      <c r="C562" s="16"/>
      <c r="D562" s="32"/>
      <c r="E562" s="36"/>
      <c r="F562" s="35"/>
      <c r="G562" s="14"/>
      <c r="H562" s="15"/>
    </row>
    <row r="563" spans="1:8" x14ac:dyDescent="0.2">
      <c r="A563" s="10"/>
      <c r="B563" s="11"/>
      <c r="C563" s="16"/>
      <c r="D563" s="32"/>
      <c r="E563" s="36"/>
      <c r="F563" s="35"/>
      <c r="G563" s="14"/>
      <c r="H563" s="15"/>
    </row>
    <row r="564" spans="1:8" x14ac:dyDescent="0.2">
      <c r="A564" s="10"/>
      <c r="B564" s="11"/>
      <c r="C564" s="16"/>
      <c r="D564" s="32"/>
      <c r="E564" s="36"/>
      <c r="F564" s="35"/>
      <c r="G564" s="14"/>
      <c r="H564" s="15"/>
    </row>
  </sheetData>
  <autoFilter ref="A1:L508" xr:uid="{B6A70132-0232-450A-9E74-4A60DFE35CE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297F-07DA-4744-96F0-8C184D64D190}">
  <dimension ref="A1:L566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10.28515625" style="22" customWidth="1"/>
    <col min="5" max="5" width="11.140625" style="23" bestFit="1" customWidth="1"/>
    <col min="6" max="6" width="38.85546875" style="20" bestFit="1" customWidth="1"/>
    <col min="7" max="7" width="11.7109375" style="24" bestFit="1" customWidth="1"/>
    <col min="8" max="8" width="93.42578125" style="20" bestFit="1" customWidth="1"/>
    <col min="9" max="9" width="1.7109375" style="20" customWidth="1"/>
    <col min="10" max="10" width="16.140625" style="20" bestFit="1" customWidth="1"/>
    <col min="11" max="12" width="5.7109375" style="17" hidden="1" customWidth="1"/>
    <col min="13" max="13" width="5.7109375" style="17" bestFit="1" customWidth="1"/>
    <col min="14" max="16384" width="9.140625" style="17"/>
  </cols>
  <sheetData>
    <row r="1" spans="1:12" s="8" customFormat="1" ht="32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J1" s="9"/>
    </row>
    <row r="2" spans="1:12" x14ac:dyDescent="0.2">
      <c r="A2" s="10" t="s">
        <v>8</v>
      </c>
      <c r="B2" s="11" t="s">
        <v>9</v>
      </c>
      <c r="C2" s="13" t="s">
        <v>353</v>
      </c>
      <c r="D2" s="32">
        <v>45355</v>
      </c>
      <c r="E2" s="12">
        <v>1644086.14</v>
      </c>
      <c r="F2" s="13" t="s">
        <v>131</v>
      </c>
      <c r="G2" s="14" t="str">
        <f t="shared" ref="G2:G65" si="0">IF(E2&gt;25000,"C",IF(E2&gt;1000,"B","A"))</f>
        <v>C</v>
      </c>
      <c r="H2" s="15" t="str">
        <f t="shared" ref="H2:H65" si="1">VLOOKUP(G2,$K$2:$L$4,2,FALSE)</f>
        <v>The Commissioner &amp; Chief Constable are satisfied the spend represents VFM in accordance with the requirements of Category C</v>
      </c>
      <c r="I2" s="16"/>
      <c r="J2" s="16"/>
      <c r="K2" s="17" t="s">
        <v>12</v>
      </c>
      <c r="L2" s="15" t="s">
        <v>13</v>
      </c>
    </row>
    <row r="3" spans="1:12" x14ac:dyDescent="0.2">
      <c r="A3" s="10" t="s">
        <v>8</v>
      </c>
      <c r="B3" s="11" t="s">
        <v>9</v>
      </c>
      <c r="C3" s="13" t="s">
        <v>10</v>
      </c>
      <c r="D3" s="32">
        <v>45371</v>
      </c>
      <c r="E3" s="12">
        <v>386471.24</v>
      </c>
      <c r="F3" s="13" t="s">
        <v>11</v>
      </c>
      <c r="G3" s="14" t="str">
        <f t="shared" si="0"/>
        <v>C</v>
      </c>
      <c r="H3" s="15" t="str">
        <f t="shared" si="1"/>
        <v>The Commissioner &amp; Chief Constable are satisfied the spend represents VFM in accordance with the requirements of Category C</v>
      </c>
      <c r="I3" s="16"/>
      <c r="J3" s="16"/>
      <c r="K3" s="17" t="s">
        <v>16</v>
      </c>
      <c r="L3" s="15" t="s">
        <v>17</v>
      </c>
    </row>
    <row r="4" spans="1:12" x14ac:dyDescent="0.2">
      <c r="A4" s="10" t="s">
        <v>8</v>
      </c>
      <c r="B4" s="11" t="s">
        <v>9</v>
      </c>
      <c r="C4" s="13" t="s">
        <v>496</v>
      </c>
      <c r="D4" s="32">
        <v>45376</v>
      </c>
      <c r="E4" s="12">
        <v>337177</v>
      </c>
      <c r="F4" s="13" t="s">
        <v>102</v>
      </c>
      <c r="G4" s="14" t="str">
        <f t="shared" si="0"/>
        <v>C</v>
      </c>
      <c r="H4" s="15" t="str">
        <f t="shared" si="1"/>
        <v>The Commissioner &amp; Chief Constable are satisfied the spend represents VFM in accordance with the requirements of Category C</v>
      </c>
      <c r="I4" s="16"/>
      <c r="J4" s="16"/>
      <c r="K4" s="17" t="s">
        <v>20</v>
      </c>
      <c r="L4" s="15" t="s">
        <v>21</v>
      </c>
    </row>
    <row r="5" spans="1:12" x14ac:dyDescent="0.2">
      <c r="A5" s="10" t="s">
        <v>8</v>
      </c>
      <c r="B5" s="11" t="s">
        <v>9</v>
      </c>
      <c r="C5" s="13" t="s">
        <v>495</v>
      </c>
      <c r="D5" s="32">
        <v>45374</v>
      </c>
      <c r="E5" s="12">
        <v>315455.11</v>
      </c>
      <c r="F5" s="13" t="s">
        <v>19</v>
      </c>
      <c r="G5" s="14" t="str">
        <f t="shared" si="0"/>
        <v>C</v>
      </c>
      <c r="H5" s="15" t="str">
        <f t="shared" si="1"/>
        <v>The Commissioner &amp; Chief Constable are satisfied the spend represents VFM in accordance with the requirements of Category C</v>
      </c>
      <c r="I5" s="16"/>
      <c r="J5" s="16"/>
    </row>
    <row r="6" spans="1:12" x14ac:dyDescent="0.2">
      <c r="A6" s="10" t="s">
        <v>8</v>
      </c>
      <c r="B6" s="11" t="s">
        <v>9</v>
      </c>
      <c r="C6" s="13" t="s">
        <v>74</v>
      </c>
      <c r="D6" s="32">
        <v>45379</v>
      </c>
      <c r="E6" s="12">
        <v>173376.9</v>
      </c>
      <c r="F6" s="13" t="s">
        <v>218</v>
      </c>
      <c r="G6" s="14" t="str">
        <f t="shared" si="0"/>
        <v>C</v>
      </c>
      <c r="H6" s="15" t="str">
        <f t="shared" si="1"/>
        <v>The Commissioner &amp; Chief Constable are satisfied the spend represents VFM in accordance with the requirements of Category C</v>
      </c>
      <c r="I6" s="16"/>
      <c r="J6" s="16"/>
    </row>
    <row r="7" spans="1:12" x14ac:dyDescent="0.2">
      <c r="A7" s="10" t="s">
        <v>8</v>
      </c>
      <c r="B7" s="11" t="s">
        <v>9</v>
      </c>
      <c r="C7" s="34" t="s">
        <v>23</v>
      </c>
      <c r="D7" s="32">
        <v>45376</v>
      </c>
      <c r="E7" s="12">
        <v>166959.31000000003</v>
      </c>
      <c r="F7" s="13" t="s">
        <v>24</v>
      </c>
      <c r="G7" s="14" t="str">
        <f t="shared" si="0"/>
        <v>C</v>
      </c>
      <c r="H7" s="15" t="str">
        <f t="shared" si="1"/>
        <v>The Commissioner &amp; Chief Constable are satisfied the spend represents VFM in accordance with the requirements of Category C</v>
      </c>
      <c r="I7" s="16"/>
      <c r="J7" s="16"/>
    </row>
    <row r="8" spans="1:12" x14ac:dyDescent="0.2">
      <c r="A8" s="10" t="s">
        <v>8</v>
      </c>
      <c r="B8" s="11" t="s">
        <v>9</v>
      </c>
      <c r="C8" s="13" t="s">
        <v>74</v>
      </c>
      <c r="D8" s="32">
        <v>45372</v>
      </c>
      <c r="E8" s="12">
        <v>154030.5</v>
      </c>
      <c r="F8" s="13" t="s">
        <v>75</v>
      </c>
      <c r="G8" s="14" t="str">
        <f t="shared" si="0"/>
        <v>C</v>
      </c>
      <c r="H8" s="15" t="str">
        <f t="shared" si="1"/>
        <v>The Commissioner &amp; Chief Constable are satisfied the spend represents VFM in accordance with the requirements of Category C</v>
      </c>
      <c r="I8" s="16"/>
      <c r="J8" s="16"/>
    </row>
    <row r="9" spans="1:12" x14ac:dyDescent="0.2">
      <c r="A9" s="10" t="s">
        <v>8</v>
      </c>
      <c r="B9" s="11" t="s">
        <v>9</v>
      </c>
      <c r="C9" s="13" t="s">
        <v>352</v>
      </c>
      <c r="D9" s="32">
        <v>45356</v>
      </c>
      <c r="E9" s="12">
        <v>130526</v>
      </c>
      <c r="F9" s="13" t="s">
        <v>494</v>
      </c>
      <c r="G9" s="14" t="str">
        <f t="shared" si="0"/>
        <v>C</v>
      </c>
      <c r="H9" s="15" t="str">
        <f t="shared" si="1"/>
        <v>The Commissioner &amp; Chief Constable are satisfied the spend represents VFM in accordance with the requirements of Category C</v>
      </c>
      <c r="I9" s="16"/>
      <c r="J9" s="16"/>
    </row>
    <row r="10" spans="1:12" x14ac:dyDescent="0.2">
      <c r="A10" s="10" t="s">
        <v>8</v>
      </c>
      <c r="B10" s="11" t="s">
        <v>9</v>
      </c>
      <c r="C10" s="13" t="s">
        <v>493</v>
      </c>
      <c r="D10" s="32">
        <v>45367</v>
      </c>
      <c r="E10" s="12">
        <v>118637.25</v>
      </c>
      <c r="F10" s="13" t="s">
        <v>27</v>
      </c>
      <c r="G10" s="14" t="str">
        <f t="shared" si="0"/>
        <v>C</v>
      </c>
      <c r="H10" s="15" t="str">
        <f t="shared" si="1"/>
        <v>The Commissioner &amp; Chief Constable are satisfied the spend represents VFM in accordance with the requirements of Category C</v>
      </c>
      <c r="I10" s="16"/>
      <c r="J10" s="16"/>
    </row>
    <row r="11" spans="1:12" x14ac:dyDescent="0.2">
      <c r="A11" s="10" t="s">
        <v>8</v>
      </c>
      <c r="B11" s="11" t="s">
        <v>9</v>
      </c>
      <c r="C11" s="34" t="s">
        <v>140</v>
      </c>
      <c r="D11" s="32">
        <v>45369</v>
      </c>
      <c r="E11" s="12">
        <v>104832.68</v>
      </c>
      <c r="F11" s="13" t="s">
        <v>34</v>
      </c>
      <c r="G11" s="14" t="str">
        <f t="shared" si="0"/>
        <v>C</v>
      </c>
      <c r="H11" s="15" t="str">
        <f t="shared" si="1"/>
        <v>The Commissioner &amp; Chief Constable are satisfied the spend represents VFM in accordance with the requirements of Category C</v>
      </c>
      <c r="I11" s="16"/>
      <c r="J11" s="16"/>
    </row>
    <row r="12" spans="1:12" x14ac:dyDescent="0.2">
      <c r="A12" s="10" t="s">
        <v>8</v>
      </c>
      <c r="B12" s="11" t="s">
        <v>9</v>
      </c>
      <c r="C12" s="13" t="s">
        <v>30</v>
      </c>
      <c r="D12" s="32">
        <v>45358</v>
      </c>
      <c r="E12" s="12">
        <v>100625.04000000001</v>
      </c>
      <c r="F12" s="13" t="s">
        <v>31</v>
      </c>
      <c r="G12" s="14" t="str">
        <f t="shared" si="0"/>
        <v>C</v>
      </c>
      <c r="H12" s="15" t="str">
        <f t="shared" si="1"/>
        <v>The Commissioner &amp; Chief Constable are satisfied the spend represents VFM in accordance with the requirements of Category C</v>
      </c>
      <c r="I12" s="16"/>
      <c r="J12" s="16"/>
    </row>
    <row r="13" spans="1:12" x14ac:dyDescent="0.2">
      <c r="A13" s="10" t="s">
        <v>8</v>
      </c>
      <c r="B13" s="11" t="s">
        <v>9</v>
      </c>
      <c r="C13" s="13" t="s">
        <v>44</v>
      </c>
      <c r="D13" s="32">
        <v>45356</v>
      </c>
      <c r="E13" s="12">
        <v>84914</v>
      </c>
      <c r="F13" s="13" t="s">
        <v>45</v>
      </c>
      <c r="G13" s="14" t="str">
        <f t="shared" si="0"/>
        <v>C</v>
      </c>
      <c r="H13" s="15" t="str">
        <f t="shared" si="1"/>
        <v>The Commissioner &amp; Chief Constable are satisfied the spend represents VFM in accordance with the requirements of Category C</v>
      </c>
      <c r="I13" s="16"/>
      <c r="J13" s="16"/>
    </row>
    <row r="14" spans="1:12" x14ac:dyDescent="0.2">
      <c r="A14" s="10" t="s">
        <v>8</v>
      </c>
      <c r="B14" s="11" t="s">
        <v>9</v>
      </c>
      <c r="C14" s="34" t="s">
        <v>46</v>
      </c>
      <c r="D14" s="32">
        <v>45355</v>
      </c>
      <c r="E14" s="12">
        <v>80949.009999999995</v>
      </c>
      <c r="F14" s="13" t="s">
        <v>47</v>
      </c>
      <c r="G14" s="14" t="str">
        <f t="shared" si="0"/>
        <v>C</v>
      </c>
      <c r="H14" s="15" t="str">
        <f t="shared" si="1"/>
        <v>The Commissioner &amp; Chief Constable are satisfied the spend represents VFM in accordance with the requirements of Category C</v>
      </c>
      <c r="I14" s="16"/>
      <c r="J14" s="16"/>
    </row>
    <row r="15" spans="1:12" x14ac:dyDescent="0.2">
      <c r="A15" s="10" t="s">
        <v>8</v>
      </c>
      <c r="B15" s="11" t="s">
        <v>9</v>
      </c>
      <c r="C15" s="13" t="s">
        <v>50</v>
      </c>
      <c r="D15" s="32">
        <v>45369</v>
      </c>
      <c r="E15" s="12">
        <v>75792.94</v>
      </c>
      <c r="F15" s="13" t="s">
        <v>36</v>
      </c>
      <c r="G15" s="14" t="str">
        <f t="shared" si="0"/>
        <v>C</v>
      </c>
      <c r="H15" s="15" t="str">
        <f t="shared" si="1"/>
        <v>The Commissioner &amp; Chief Constable are satisfied the spend represents VFM in accordance with the requirements of Category C</v>
      </c>
      <c r="I15" s="16"/>
      <c r="J15" s="16"/>
    </row>
    <row r="16" spans="1:12" x14ac:dyDescent="0.2">
      <c r="A16" s="10" t="s">
        <v>8</v>
      </c>
      <c r="B16" s="11" t="s">
        <v>9</v>
      </c>
      <c r="C16" s="34" t="s">
        <v>110</v>
      </c>
      <c r="D16" s="32">
        <v>45367</v>
      </c>
      <c r="E16" s="12">
        <v>73687</v>
      </c>
      <c r="F16" s="13" t="s">
        <v>49</v>
      </c>
      <c r="G16" s="14" t="str">
        <f t="shared" si="0"/>
        <v>C</v>
      </c>
      <c r="H16" s="15" t="str">
        <f t="shared" si="1"/>
        <v>The Commissioner &amp; Chief Constable are satisfied the spend represents VFM in accordance with the requirements of Category C</v>
      </c>
      <c r="I16" s="16"/>
      <c r="J16" s="16"/>
    </row>
    <row r="17" spans="1:10" x14ac:dyDescent="0.2">
      <c r="A17" s="10" t="s">
        <v>8</v>
      </c>
      <c r="B17" s="11" t="s">
        <v>9</v>
      </c>
      <c r="C17" s="13" t="s">
        <v>110</v>
      </c>
      <c r="D17" s="32">
        <v>45369</v>
      </c>
      <c r="E17" s="12">
        <v>73687</v>
      </c>
      <c r="F17" s="13" t="s">
        <v>49</v>
      </c>
      <c r="G17" s="14" t="str">
        <f t="shared" si="0"/>
        <v>C</v>
      </c>
      <c r="H17" s="15" t="str">
        <f t="shared" si="1"/>
        <v>The Commissioner &amp; Chief Constable are satisfied the spend represents VFM in accordance with the requirements of Category C</v>
      </c>
      <c r="I17" s="16"/>
      <c r="J17" s="16"/>
    </row>
    <row r="18" spans="1:10" x14ac:dyDescent="0.2">
      <c r="A18" s="10" t="s">
        <v>8</v>
      </c>
      <c r="B18" s="11" t="s">
        <v>9</v>
      </c>
      <c r="C18" s="34" t="s">
        <v>52</v>
      </c>
      <c r="D18" s="32">
        <v>45356</v>
      </c>
      <c r="E18" s="12">
        <v>71203</v>
      </c>
      <c r="F18" s="13" t="s">
        <v>45</v>
      </c>
      <c r="G18" s="14" t="str">
        <f t="shared" si="0"/>
        <v>C</v>
      </c>
      <c r="H18" s="15" t="str">
        <f t="shared" si="1"/>
        <v>The Commissioner &amp; Chief Constable are satisfied the spend represents VFM in accordance with the requirements of Category C</v>
      </c>
      <c r="I18" s="16"/>
      <c r="J18" s="16"/>
    </row>
    <row r="19" spans="1:10" x14ac:dyDescent="0.2">
      <c r="A19" s="10" t="s">
        <v>8</v>
      </c>
      <c r="B19" s="11" t="s">
        <v>9</v>
      </c>
      <c r="C19" s="13" t="s">
        <v>26</v>
      </c>
      <c r="D19" s="32">
        <v>45365</v>
      </c>
      <c r="E19" s="12">
        <v>62386.29</v>
      </c>
      <c r="F19" s="13" t="s">
        <v>53</v>
      </c>
      <c r="G19" s="14" t="str">
        <f t="shared" si="0"/>
        <v>C</v>
      </c>
      <c r="H19" s="15" t="str">
        <f t="shared" si="1"/>
        <v>The Commissioner &amp; Chief Constable are satisfied the spend represents VFM in accordance with the requirements of Category C</v>
      </c>
      <c r="I19" s="16"/>
      <c r="J19" s="16"/>
    </row>
    <row r="20" spans="1:10" x14ac:dyDescent="0.2">
      <c r="A20" s="10" t="s">
        <v>8</v>
      </c>
      <c r="B20" s="11" t="s">
        <v>9</v>
      </c>
      <c r="C20" s="13" t="s">
        <v>77</v>
      </c>
      <c r="D20" s="32">
        <v>45362</v>
      </c>
      <c r="E20" s="12">
        <v>60873</v>
      </c>
      <c r="F20" s="13" t="s">
        <v>22</v>
      </c>
      <c r="G20" s="14" t="str">
        <f t="shared" si="0"/>
        <v>C</v>
      </c>
      <c r="H20" s="15" t="str">
        <f t="shared" si="1"/>
        <v>The Commissioner &amp; Chief Constable are satisfied the spend represents VFM in accordance with the requirements of Category C</v>
      </c>
      <c r="I20" s="16"/>
      <c r="J20" s="16"/>
    </row>
    <row r="21" spans="1:10" x14ac:dyDescent="0.2">
      <c r="A21" s="10" t="s">
        <v>8</v>
      </c>
      <c r="B21" s="11" t="s">
        <v>9</v>
      </c>
      <c r="C21" s="13" t="s">
        <v>146</v>
      </c>
      <c r="D21" s="32">
        <v>45358</v>
      </c>
      <c r="E21" s="12">
        <v>60121.07</v>
      </c>
      <c r="F21" s="13" t="s">
        <v>102</v>
      </c>
      <c r="G21" s="14" t="str">
        <f t="shared" si="0"/>
        <v>C</v>
      </c>
      <c r="H21" s="15" t="str">
        <f t="shared" si="1"/>
        <v>The Commissioner &amp; Chief Constable are satisfied the spend represents VFM in accordance with the requirements of Category C</v>
      </c>
      <c r="I21" s="16"/>
      <c r="J21" s="16"/>
    </row>
    <row r="22" spans="1:10" x14ac:dyDescent="0.2">
      <c r="A22" s="10" t="s">
        <v>8</v>
      </c>
      <c r="B22" s="11" t="s">
        <v>9</v>
      </c>
      <c r="C22" s="34" t="s">
        <v>415</v>
      </c>
      <c r="D22" s="32">
        <v>45371</v>
      </c>
      <c r="E22" s="12">
        <v>55900</v>
      </c>
      <c r="F22" s="13" t="s">
        <v>376</v>
      </c>
      <c r="G22" s="14" t="str">
        <f t="shared" si="0"/>
        <v>C</v>
      </c>
      <c r="H22" s="15" t="str">
        <f t="shared" si="1"/>
        <v>The Commissioner &amp; Chief Constable are satisfied the spend represents VFM in accordance with the requirements of Category C</v>
      </c>
      <c r="I22" s="16"/>
      <c r="J22" s="16"/>
    </row>
    <row r="23" spans="1:10" x14ac:dyDescent="0.2">
      <c r="A23" s="10" t="s">
        <v>8</v>
      </c>
      <c r="B23" s="11" t="s">
        <v>9</v>
      </c>
      <c r="C23" s="13" t="s">
        <v>55</v>
      </c>
      <c r="D23" s="32">
        <v>45367</v>
      </c>
      <c r="E23" s="12">
        <v>54833.75</v>
      </c>
      <c r="F23" s="13" t="s">
        <v>27</v>
      </c>
      <c r="G23" s="14" t="str">
        <f t="shared" si="0"/>
        <v>C</v>
      </c>
      <c r="H23" s="15" t="str">
        <f t="shared" si="1"/>
        <v>The Commissioner &amp; Chief Constable are satisfied the spend represents VFM in accordance with the requirements of Category C</v>
      </c>
      <c r="I23" s="16"/>
      <c r="J23" s="16"/>
    </row>
    <row r="24" spans="1:10" x14ac:dyDescent="0.2">
      <c r="A24" s="10" t="s">
        <v>8</v>
      </c>
      <c r="B24" s="11" t="s">
        <v>9</v>
      </c>
      <c r="C24" s="13" t="s">
        <v>57</v>
      </c>
      <c r="D24" s="32">
        <v>45376</v>
      </c>
      <c r="E24" s="12">
        <v>51359.43</v>
      </c>
      <c r="F24" s="13" t="s">
        <v>58</v>
      </c>
      <c r="G24" s="14" t="str">
        <f t="shared" si="0"/>
        <v>C</v>
      </c>
      <c r="H24" s="15" t="str">
        <f t="shared" si="1"/>
        <v>The Commissioner &amp; Chief Constable are satisfied the spend represents VFM in accordance with the requirements of Category C</v>
      </c>
      <c r="I24" s="16"/>
      <c r="J24" s="16"/>
    </row>
    <row r="25" spans="1:10" x14ac:dyDescent="0.2">
      <c r="A25" s="10" t="s">
        <v>8</v>
      </c>
      <c r="B25" s="11" t="s">
        <v>9</v>
      </c>
      <c r="C25" s="13" t="s">
        <v>448</v>
      </c>
      <c r="D25" s="32">
        <v>45367</v>
      </c>
      <c r="E25" s="12">
        <v>50279</v>
      </c>
      <c r="F25" s="13" t="s">
        <v>27</v>
      </c>
      <c r="G25" s="14" t="str">
        <f t="shared" si="0"/>
        <v>C</v>
      </c>
      <c r="H25" s="15" t="str">
        <f t="shared" si="1"/>
        <v>The Commissioner &amp; Chief Constable are satisfied the spend represents VFM in accordance with the requirements of Category C</v>
      </c>
      <c r="I25" s="16"/>
      <c r="J25" s="16"/>
    </row>
    <row r="26" spans="1:10" x14ac:dyDescent="0.2">
      <c r="A26" s="10" t="s">
        <v>8</v>
      </c>
      <c r="B26" s="11" t="s">
        <v>9</v>
      </c>
      <c r="C26" s="13" t="s">
        <v>492</v>
      </c>
      <c r="D26" s="32">
        <v>45359</v>
      </c>
      <c r="E26" s="12">
        <v>49111</v>
      </c>
      <c r="F26" s="13" t="s">
        <v>131</v>
      </c>
      <c r="G26" s="14" t="str">
        <f t="shared" si="0"/>
        <v>C</v>
      </c>
      <c r="H26" s="15" t="str">
        <f t="shared" si="1"/>
        <v>The Commissioner &amp; Chief Constable are satisfied the spend represents VFM in accordance with the requirements of Category C</v>
      </c>
      <c r="I26" s="16"/>
      <c r="J26" s="16"/>
    </row>
    <row r="27" spans="1:10" x14ac:dyDescent="0.2">
      <c r="A27" s="10" t="s">
        <v>8</v>
      </c>
      <c r="B27" s="11" t="s">
        <v>9</v>
      </c>
      <c r="C27" s="13" t="s">
        <v>33</v>
      </c>
      <c r="D27" s="32">
        <v>45378</v>
      </c>
      <c r="E27" s="12">
        <v>49025.8</v>
      </c>
      <c r="F27" s="13" t="s">
        <v>15</v>
      </c>
      <c r="G27" s="14" t="str">
        <f t="shared" si="0"/>
        <v>C</v>
      </c>
      <c r="H27" s="15" t="str">
        <f t="shared" si="1"/>
        <v>The Commissioner &amp; Chief Constable are satisfied the spend represents VFM in accordance with the requirements of Category C</v>
      </c>
      <c r="I27" s="16"/>
      <c r="J27" s="16"/>
    </row>
    <row r="28" spans="1:10" x14ac:dyDescent="0.2">
      <c r="A28" s="10" t="s">
        <v>8</v>
      </c>
      <c r="B28" s="11" t="s">
        <v>9</v>
      </c>
      <c r="C28" s="13" t="s">
        <v>448</v>
      </c>
      <c r="D28" s="32">
        <v>45367</v>
      </c>
      <c r="E28" s="12">
        <v>43666</v>
      </c>
      <c r="F28" s="13" t="s">
        <v>27</v>
      </c>
      <c r="G28" s="14" t="str">
        <f t="shared" si="0"/>
        <v>C</v>
      </c>
      <c r="H28" s="15" t="str">
        <f t="shared" si="1"/>
        <v>The Commissioner &amp; Chief Constable are satisfied the spend represents VFM in accordance with the requirements of Category C</v>
      </c>
      <c r="I28" s="16"/>
      <c r="J28" s="16"/>
    </row>
    <row r="29" spans="1:10" x14ac:dyDescent="0.2">
      <c r="A29" s="10" t="s">
        <v>8</v>
      </c>
      <c r="B29" s="11" t="s">
        <v>9</v>
      </c>
      <c r="C29" s="13" t="s">
        <v>491</v>
      </c>
      <c r="D29" s="32">
        <v>45379</v>
      </c>
      <c r="E29" s="12">
        <v>43440</v>
      </c>
      <c r="F29" s="13" t="s">
        <v>15</v>
      </c>
      <c r="G29" s="14" t="str">
        <f t="shared" si="0"/>
        <v>C</v>
      </c>
      <c r="H29" s="15" t="str">
        <f t="shared" si="1"/>
        <v>The Commissioner &amp; Chief Constable are satisfied the spend represents VFM in accordance with the requirements of Category C</v>
      </c>
      <c r="I29" s="16"/>
      <c r="J29" s="16"/>
    </row>
    <row r="30" spans="1:10" x14ac:dyDescent="0.2">
      <c r="A30" s="10" t="s">
        <v>8</v>
      </c>
      <c r="B30" s="11" t="s">
        <v>9</v>
      </c>
      <c r="C30" s="13" t="s">
        <v>104</v>
      </c>
      <c r="D30" s="32">
        <v>45355</v>
      </c>
      <c r="E30" s="12">
        <v>40700</v>
      </c>
      <c r="F30" s="13" t="s">
        <v>15</v>
      </c>
      <c r="G30" s="14" t="str">
        <f t="shared" si="0"/>
        <v>C</v>
      </c>
      <c r="H30" s="15" t="str">
        <f t="shared" si="1"/>
        <v>The Commissioner &amp; Chief Constable are satisfied the spend represents VFM in accordance with the requirements of Category C</v>
      </c>
      <c r="I30" s="16"/>
      <c r="J30" s="16"/>
    </row>
    <row r="31" spans="1:10" x14ac:dyDescent="0.2">
      <c r="A31" s="10" t="s">
        <v>8</v>
      </c>
      <c r="B31" s="11" t="s">
        <v>9</v>
      </c>
      <c r="C31" s="13" t="s">
        <v>74</v>
      </c>
      <c r="D31" s="32">
        <v>45365</v>
      </c>
      <c r="E31" s="12">
        <v>40012.18</v>
      </c>
      <c r="F31" s="13" t="s">
        <v>15</v>
      </c>
      <c r="G31" s="14" t="str">
        <f t="shared" si="0"/>
        <v>C</v>
      </c>
      <c r="H31" s="15" t="str">
        <f t="shared" si="1"/>
        <v>The Commissioner &amp; Chief Constable are satisfied the spend represents VFM in accordance with the requirements of Category C</v>
      </c>
      <c r="I31" s="16"/>
      <c r="J31" s="16"/>
    </row>
    <row r="32" spans="1:10" x14ac:dyDescent="0.2">
      <c r="A32" s="10" t="s">
        <v>8</v>
      </c>
      <c r="B32" s="11" t="s">
        <v>9</v>
      </c>
      <c r="C32" s="34" t="s">
        <v>265</v>
      </c>
      <c r="D32" s="32">
        <v>45370</v>
      </c>
      <c r="E32" s="12">
        <v>38235</v>
      </c>
      <c r="F32" s="13" t="s">
        <v>58</v>
      </c>
      <c r="G32" s="14" t="str">
        <f t="shared" si="0"/>
        <v>C</v>
      </c>
      <c r="H32" s="15" t="str">
        <f t="shared" si="1"/>
        <v>The Commissioner &amp; Chief Constable are satisfied the spend represents VFM in accordance with the requirements of Category C</v>
      </c>
      <c r="I32" s="16"/>
      <c r="J32" s="16"/>
    </row>
    <row r="33" spans="1:10" x14ac:dyDescent="0.2">
      <c r="A33" s="10" t="s">
        <v>8</v>
      </c>
      <c r="B33" s="11" t="s">
        <v>9</v>
      </c>
      <c r="C33" s="13" t="s">
        <v>448</v>
      </c>
      <c r="D33" s="32">
        <v>45376</v>
      </c>
      <c r="E33" s="12">
        <v>37823.879999999997</v>
      </c>
      <c r="F33" s="13" t="s">
        <v>27</v>
      </c>
      <c r="G33" s="14" t="str">
        <f t="shared" si="0"/>
        <v>C</v>
      </c>
      <c r="H33" s="15" t="str">
        <f t="shared" si="1"/>
        <v>The Commissioner &amp; Chief Constable are satisfied the spend represents VFM in accordance with the requirements of Category C</v>
      </c>
      <c r="I33" s="16"/>
      <c r="J33" s="16"/>
    </row>
    <row r="34" spans="1:10" x14ac:dyDescent="0.2">
      <c r="A34" s="10" t="s">
        <v>8</v>
      </c>
      <c r="B34" s="11" t="s">
        <v>9</v>
      </c>
      <c r="C34" s="13" t="s">
        <v>490</v>
      </c>
      <c r="D34" s="32">
        <v>45371</v>
      </c>
      <c r="E34" s="12">
        <v>35000</v>
      </c>
      <c r="F34" s="13" t="s">
        <v>54</v>
      </c>
      <c r="G34" s="14" t="str">
        <f t="shared" si="0"/>
        <v>C</v>
      </c>
      <c r="H34" s="15" t="str">
        <f t="shared" si="1"/>
        <v>The Commissioner &amp; Chief Constable are satisfied the spend represents VFM in accordance with the requirements of Category C</v>
      </c>
      <c r="I34" s="16"/>
      <c r="J34" s="16"/>
    </row>
    <row r="35" spans="1:10" x14ac:dyDescent="0.2">
      <c r="A35" s="10" t="s">
        <v>8</v>
      </c>
      <c r="B35" s="11" t="s">
        <v>9</v>
      </c>
      <c r="C35" s="13" t="s">
        <v>448</v>
      </c>
      <c r="D35" s="32">
        <v>45363</v>
      </c>
      <c r="E35" s="12">
        <v>33733.75</v>
      </c>
      <c r="F35" s="13" t="s">
        <v>27</v>
      </c>
      <c r="G35" s="14" t="str">
        <f t="shared" si="0"/>
        <v>C</v>
      </c>
      <c r="H35" s="15" t="str">
        <f t="shared" si="1"/>
        <v>The Commissioner &amp; Chief Constable are satisfied the spend represents VFM in accordance with the requirements of Category C</v>
      </c>
      <c r="I35" s="16"/>
      <c r="J35" s="16"/>
    </row>
    <row r="36" spans="1:10" x14ac:dyDescent="0.2">
      <c r="A36" s="10" t="s">
        <v>8</v>
      </c>
      <c r="B36" s="11" t="s">
        <v>9</v>
      </c>
      <c r="C36" s="13" t="s">
        <v>69</v>
      </c>
      <c r="D36" s="32">
        <v>45379</v>
      </c>
      <c r="E36" s="12">
        <v>33330.28</v>
      </c>
      <c r="F36" s="13" t="s">
        <v>58</v>
      </c>
      <c r="G36" s="14" t="str">
        <f t="shared" si="0"/>
        <v>C</v>
      </c>
      <c r="H36" s="15" t="str">
        <f t="shared" si="1"/>
        <v>The Commissioner &amp; Chief Constable are satisfied the spend represents VFM in accordance with the requirements of Category C</v>
      </c>
      <c r="I36" s="16"/>
      <c r="J36" s="16"/>
    </row>
    <row r="37" spans="1:10" x14ac:dyDescent="0.2">
      <c r="A37" s="10" t="s">
        <v>8</v>
      </c>
      <c r="B37" s="11" t="s">
        <v>9</v>
      </c>
      <c r="C37" s="13" t="s">
        <v>352</v>
      </c>
      <c r="D37" s="32">
        <v>45378</v>
      </c>
      <c r="E37" s="12">
        <v>32390.01</v>
      </c>
      <c r="F37" s="13" t="s">
        <v>131</v>
      </c>
      <c r="G37" s="14" t="str">
        <f t="shared" si="0"/>
        <v>C</v>
      </c>
      <c r="H37" s="15" t="str">
        <f t="shared" si="1"/>
        <v>The Commissioner &amp; Chief Constable are satisfied the spend represents VFM in accordance with the requirements of Category C</v>
      </c>
      <c r="I37" s="16"/>
      <c r="J37" s="16"/>
    </row>
    <row r="38" spans="1:10" x14ac:dyDescent="0.2">
      <c r="A38" s="10" t="s">
        <v>8</v>
      </c>
      <c r="B38" s="11" t="s">
        <v>9</v>
      </c>
      <c r="C38" s="13" t="s">
        <v>74</v>
      </c>
      <c r="D38" s="32">
        <v>45355</v>
      </c>
      <c r="E38" s="12">
        <v>31015.32</v>
      </c>
      <c r="F38" s="13" t="s">
        <v>158</v>
      </c>
      <c r="G38" s="14" t="str">
        <f t="shared" si="0"/>
        <v>C</v>
      </c>
      <c r="H38" s="15" t="str">
        <f t="shared" si="1"/>
        <v>The Commissioner &amp; Chief Constable are satisfied the spend represents VFM in accordance with the requirements of Category C</v>
      </c>
      <c r="I38" s="16"/>
      <c r="J38" s="16"/>
    </row>
    <row r="39" spans="1:10" x14ac:dyDescent="0.2">
      <c r="A39" s="10" t="s">
        <v>8</v>
      </c>
      <c r="B39" s="11" t="s">
        <v>9</v>
      </c>
      <c r="C39" s="13" t="s">
        <v>489</v>
      </c>
      <c r="D39" s="32">
        <v>45355</v>
      </c>
      <c r="E39" s="12">
        <v>30695.73</v>
      </c>
      <c r="F39" s="13" t="s">
        <v>58</v>
      </c>
      <c r="G39" s="14" t="str">
        <f t="shared" si="0"/>
        <v>C</v>
      </c>
      <c r="H39" s="15" t="str">
        <f t="shared" si="1"/>
        <v>The Commissioner &amp; Chief Constable are satisfied the spend represents VFM in accordance with the requirements of Category C</v>
      </c>
      <c r="I39" s="16"/>
      <c r="J39" s="16"/>
    </row>
    <row r="40" spans="1:10" x14ac:dyDescent="0.2">
      <c r="A40" s="10" t="s">
        <v>8</v>
      </c>
      <c r="B40" s="11" t="s">
        <v>9</v>
      </c>
      <c r="C40" s="13" t="s">
        <v>488</v>
      </c>
      <c r="D40" s="32">
        <v>45359</v>
      </c>
      <c r="E40" s="12">
        <v>30000</v>
      </c>
      <c r="F40" s="13" t="s">
        <v>89</v>
      </c>
      <c r="G40" s="14" t="str">
        <f t="shared" si="0"/>
        <v>C</v>
      </c>
      <c r="H40" s="15" t="str">
        <f t="shared" si="1"/>
        <v>The Commissioner &amp; Chief Constable are satisfied the spend represents VFM in accordance with the requirements of Category C</v>
      </c>
      <c r="I40" s="16"/>
      <c r="J40" s="16"/>
    </row>
    <row r="41" spans="1:10" x14ac:dyDescent="0.2">
      <c r="A41" s="10" t="s">
        <v>8</v>
      </c>
      <c r="B41" s="11" t="s">
        <v>9</v>
      </c>
      <c r="C41" s="13" t="s">
        <v>70</v>
      </c>
      <c r="D41" s="32">
        <v>45372</v>
      </c>
      <c r="E41" s="12">
        <v>28746.77</v>
      </c>
      <c r="F41" s="13" t="s">
        <v>58</v>
      </c>
      <c r="G41" s="14" t="str">
        <f t="shared" si="0"/>
        <v>C</v>
      </c>
      <c r="H41" s="15" t="str">
        <f t="shared" si="1"/>
        <v>The Commissioner &amp; Chief Constable are satisfied the spend represents VFM in accordance with the requirements of Category C</v>
      </c>
      <c r="I41" s="16"/>
      <c r="J41" s="16"/>
    </row>
    <row r="42" spans="1:10" x14ac:dyDescent="0.2">
      <c r="A42" s="10" t="s">
        <v>8</v>
      </c>
      <c r="B42" s="11" t="s">
        <v>9</v>
      </c>
      <c r="C42" s="13" t="s">
        <v>74</v>
      </c>
      <c r="D42" s="32">
        <v>45357</v>
      </c>
      <c r="E42" s="12">
        <v>28261.7</v>
      </c>
      <c r="F42" s="13" t="s">
        <v>75</v>
      </c>
      <c r="G42" s="14" t="str">
        <f t="shared" si="0"/>
        <v>C</v>
      </c>
      <c r="H42" s="15" t="str">
        <f t="shared" si="1"/>
        <v>The Commissioner &amp; Chief Constable are satisfied the spend represents VFM in accordance with the requirements of Category C</v>
      </c>
      <c r="I42" s="16"/>
      <c r="J42" s="16"/>
    </row>
    <row r="43" spans="1:10" x14ac:dyDescent="0.2">
      <c r="A43" s="10" t="s">
        <v>8</v>
      </c>
      <c r="B43" s="11" t="s">
        <v>9</v>
      </c>
      <c r="C43" s="13" t="s">
        <v>48</v>
      </c>
      <c r="D43" s="32">
        <v>45355</v>
      </c>
      <c r="E43" s="12">
        <v>27354.04</v>
      </c>
      <c r="F43" s="13" t="s">
        <v>58</v>
      </c>
      <c r="G43" s="14" t="str">
        <f t="shared" si="0"/>
        <v>C</v>
      </c>
      <c r="H43" s="15" t="str">
        <f t="shared" si="1"/>
        <v>The Commissioner &amp; Chief Constable are satisfied the spend represents VFM in accordance with the requirements of Category C</v>
      </c>
      <c r="I43" s="16"/>
      <c r="J43" s="16"/>
    </row>
    <row r="44" spans="1:10" x14ac:dyDescent="0.2">
      <c r="A44" s="10" t="s">
        <v>8</v>
      </c>
      <c r="B44" s="11" t="s">
        <v>9</v>
      </c>
      <c r="C44" s="13" t="s">
        <v>72</v>
      </c>
      <c r="D44" s="32">
        <v>45369</v>
      </c>
      <c r="E44" s="12">
        <v>26981.13</v>
      </c>
      <c r="F44" s="13" t="s">
        <v>27</v>
      </c>
      <c r="G44" s="14" t="str">
        <f t="shared" si="0"/>
        <v>C</v>
      </c>
      <c r="H44" s="15" t="str">
        <f t="shared" si="1"/>
        <v>The Commissioner &amp; Chief Constable are satisfied the spend represents VFM in accordance with the requirements of Category C</v>
      </c>
      <c r="I44" s="16"/>
      <c r="J44" s="16"/>
    </row>
    <row r="45" spans="1:10" x14ac:dyDescent="0.2">
      <c r="A45" s="10" t="s">
        <v>8</v>
      </c>
      <c r="B45" s="11" t="s">
        <v>9</v>
      </c>
      <c r="C45" s="13" t="s">
        <v>487</v>
      </c>
      <c r="D45" s="32">
        <v>45372</v>
      </c>
      <c r="E45" s="12">
        <v>25750</v>
      </c>
      <c r="F45" s="13" t="s">
        <v>345</v>
      </c>
      <c r="G45" s="14" t="str">
        <f t="shared" si="0"/>
        <v>C</v>
      </c>
      <c r="H45" s="15" t="str">
        <f t="shared" si="1"/>
        <v>The Commissioner &amp; Chief Constable are satisfied the spend represents VFM in accordance with the requirements of Category C</v>
      </c>
      <c r="I45" s="16"/>
      <c r="J45" s="16"/>
    </row>
    <row r="46" spans="1:10" x14ac:dyDescent="0.2">
      <c r="A46" s="10" t="s">
        <v>8</v>
      </c>
      <c r="B46" s="11" t="s">
        <v>9</v>
      </c>
      <c r="C46" s="13" t="s">
        <v>487</v>
      </c>
      <c r="D46" s="32">
        <v>45372</v>
      </c>
      <c r="E46" s="12">
        <v>25750</v>
      </c>
      <c r="F46" s="13" t="s">
        <v>229</v>
      </c>
      <c r="G46" s="14" t="str">
        <f t="shared" si="0"/>
        <v>C</v>
      </c>
      <c r="H46" s="15" t="str">
        <f t="shared" si="1"/>
        <v>The Commissioner &amp; Chief Constable are satisfied the spend represents VFM in accordance with the requirements of Category C</v>
      </c>
      <c r="I46" s="16"/>
      <c r="J46" s="16"/>
    </row>
    <row r="47" spans="1:10" x14ac:dyDescent="0.2">
      <c r="A47" s="10" t="s">
        <v>8</v>
      </c>
      <c r="B47" s="11" t="s">
        <v>9</v>
      </c>
      <c r="C47" s="13" t="s">
        <v>181</v>
      </c>
      <c r="D47" s="32">
        <v>45377</v>
      </c>
      <c r="E47" s="12">
        <v>24840</v>
      </c>
      <c r="F47" s="13" t="s">
        <v>98</v>
      </c>
      <c r="G47" s="14" t="str">
        <f t="shared" si="0"/>
        <v>B</v>
      </c>
      <c r="H47" s="15" t="str">
        <f t="shared" si="1"/>
        <v>The Commissioner &amp; Chief Constable are satisfied the spend represents VFM in accordance with the requirements of Category B</v>
      </c>
      <c r="I47" s="16"/>
      <c r="J47" s="16"/>
    </row>
    <row r="48" spans="1:10" x14ac:dyDescent="0.2">
      <c r="A48" s="10" t="s">
        <v>8</v>
      </c>
      <c r="B48" s="11" t="s">
        <v>9</v>
      </c>
      <c r="C48" s="13" t="s">
        <v>74</v>
      </c>
      <c r="D48" s="32">
        <v>45362</v>
      </c>
      <c r="E48" s="12">
        <v>24377.77</v>
      </c>
      <c r="F48" s="13" t="s">
        <v>131</v>
      </c>
      <c r="G48" s="14" t="str">
        <f t="shared" si="0"/>
        <v>B</v>
      </c>
      <c r="H48" s="15" t="str">
        <f t="shared" si="1"/>
        <v>The Commissioner &amp; Chief Constable are satisfied the spend represents VFM in accordance with the requirements of Category B</v>
      </c>
      <c r="I48" s="16"/>
      <c r="J48" s="16"/>
    </row>
    <row r="49" spans="1:10" x14ac:dyDescent="0.2">
      <c r="A49" s="10" t="s">
        <v>8</v>
      </c>
      <c r="B49" s="11" t="s">
        <v>9</v>
      </c>
      <c r="C49" s="13" t="s">
        <v>78</v>
      </c>
      <c r="D49" s="32">
        <v>45369</v>
      </c>
      <c r="E49" s="12">
        <v>23885.63</v>
      </c>
      <c r="F49" s="13" t="s">
        <v>62</v>
      </c>
      <c r="G49" s="14" t="str">
        <f t="shared" si="0"/>
        <v>B</v>
      </c>
      <c r="H49" s="15" t="str">
        <f t="shared" si="1"/>
        <v>The Commissioner &amp; Chief Constable are satisfied the spend represents VFM in accordance with the requirements of Category B</v>
      </c>
      <c r="I49" s="16"/>
      <c r="J49" s="16"/>
    </row>
    <row r="50" spans="1:10" x14ac:dyDescent="0.2">
      <c r="A50" s="10" t="s">
        <v>8</v>
      </c>
      <c r="B50" s="11" t="s">
        <v>9</v>
      </c>
      <c r="C50" s="13" t="s">
        <v>78</v>
      </c>
      <c r="D50" s="32">
        <v>45369</v>
      </c>
      <c r="E50" s="18">
        <v>55</v>
      </c>
      <c r="F50" s="19" t="s">
        <v>63</v>
      </c>
      <c r="G50" s="14" t="str">
        <f t="shared" si="0"/>
        <v>A</v>
      </c>
      <c r="H50" s="15" t="str">
        <f t="shared" si="1"/>
        <v>The Commissioner &amp; Chief Constable are satisfied the spend represents VFM in accordance with the requirements of Category A</v>
      </c>
      <c r="I50" s="16"/>
      <c r="J50" s="16"/>
    </row>
    <row r="51" spans="1:10" x14ac:dyDescent="0.2">
      <c r="A51" s="10" t="s">
        <v>8</v>
      </c>
      <c r="B51" s="11" t="s">
        <v>9</v>
      </c>
      <c r="C51" s="13" t="s">
        <v>78</v>
      </c>
      <c r="D51" s="32">
        <v>45369</v>
      </c>
      <c r="E51" s="12">
        <v>23885.63</v>
      </c>
      <c r="F51" s="13" t="s">
        <v>62</v>
      </c>
      <c r="G51" s="14" t="str">
        <f t="shared" si="0"/>
        <v>B</v>
      </c>
      <c r="H51" s="15" t="str">
        <f t="shared" si="1"/>
        <v>The Commissioner &amp; Chief Constable are satisfied the spend represents VFM in accordance with the requirements of Category B</v>
      </c>
      <c r="I51" s="16"/>
      <c r="J51" s="16"/>
    </row>
    <row r="52" spans="1:10" x14ac:dyDescent="0.2">
      <c r="A52" s="10" t="s">
        <v>8</v>
      </c>
      <c r="B52" s="11" t="s">
        <v>9</v>
      </c>
      <c r="C52" s="13" t="s">
        <v>78</v>
      </c>
      <c r="D52" s="32">
        <v>45369</v>
      </c>
      <c r="E52" s="18">
        <v>55</v>
      </c>
      <c r="F52" s="19" t="s">
        <v>63</v>
      </c>
      <c r="G52" s="14" t="str">
        <f t="shared" si="0"/>
        <v>A</v>
      </c>
      <c r="H52" s="15" t="str">
        <f t="shared" si="1"/>
        <v>The Commissioner &amp; Chief Constable are satisfied the spend represents VFM in accordance with the requirements of Category A</v>
      </c>
      <c r="I52" s="16"/>
      <c r="J52" s="16"/>
    </row>
    <row r="53" spans="1:10" x14ac:dyDescent="0.2">
      <c r="A53" s="10" t="s">
        <v>8</v>
      </c>
      <c r="B53" s="11" t="s">
        <v>9</v>
      </c>
      <c r="C53" s="13" t="s">
        <v>78</v>
      </c>
      <c r="D53" s="32">
        <v>45369</v>
      </c>
      <c r="E53" s="12">
        <v>23885.63</v>
      </c>
      <c r="F53" s="13" t="s">
        <v>62</v>
      </c>
      <c r="G53" s="14" t="str">
        <f t="shared" si="0"/>
        <v>B</v>
      </c>
      <c r="H53" s="15" t="str">
        <f t="shared" si="1"/>
        <v>The Commissioner &amp; Chief Constable are satisfied the spend represents VFM in accordance with the requirements of Category B</v>
      </c>
      <c r="I53" s="16"/>
      <c r="J53" s="16"/>
    </row>
    <row r="54" spans="1:10" x14ac:dyDescent="0.2">
      <c r="A54" s="10" t="s">
        <v>8</v>
      </c>
      <c r="B54" s="11" t="s">
        <v>9</v>
      </c>
      <c r="C54" s="13" t="s">
        <v>78</v>
      </c>
      <c r="D54" s="32">
        <v>45369</v>
      </c>
      <c r="E54" s="18">
        <v>55</v>
      </c>
      <c r="F54" s="19" t="s">
        <v>63</v>
      </c>
      <c r="G54" s="14" t="str">
        <f t="shared" si="0"/>
        <v>A</v>
      </c>
      <c r="H54" s="15" t="str">
        <f t="shared" si="1"/>
        <v>The Commissioner &amp; Chief Constable are satisfied the spend represents VFM in accordance with the requirements of Category A</v>
      </c>
      <c r="I54" s="16"/>
      <c r="J54" s="16"/>
    </row>
    <row r="55" spans="1:10" x14ac:dyDescent="0.2">
      <c r="A55" s="10" t="s">
        <v>8</v>
      </c>
      <c r="B55" s="11" t="s">
        <v>9</v>
      </c>
      <c r="C55" s="13" t="s">
        <v>78</v>
      </c>
      <c r="D55" s="32">
        <v>45369</v>
      </c>
      <c r="E55" s="12">
        <v>23885.63</v>
      </c>
      <c r="F55" s="13" t="s">
        <v>62</v>
      </c>
      <c r="G55" s="14" t="str">
        <f t="shared" si="0"/>
        <v>B</v>
      </c>
      <c r="H55" s="15" t="str">
        <f t="shared" si="1"/>
        <v>The Commissioner &amp; Chief Constable are satisfied the spend represents VFM in accordance with the requirements of Category B</v>
      </c>
      <c r="I55" s="16"/>
      <c r="J55" s="16"/>
    </row>
    <row r="56" spans="1:10" x14ac:dyDescent="0.2">
      <c r="A56" s="10" t="s">
        <v>8</v>
      </c>
      <c r="B56" s="11" t="s">
        <v>9</v>
      </c>
      <c r="C56" s="13" t="s">
        <v>78</v>
      </c>
      <c r="D56" s="32">
        <v>45369</v>
      </c>
      <c r="E56" s="18">
        <v>55</v>
      </c>
      <c r="F56" s="19" t="s">
        <v>63</v>
      </c>
      <c r="G56" s="14" t="str">
        <f t="shared" si="0"/>
        <v>A</v>
      </c>
      <c r="H56" s="15" t="str">
        <f t="shared" si="1"/>
        <v>The Commissioner &amp; Chief Constable are satisfied the spend represents VFM in accordance with the requirements of Category A</v>
      </c>
      <c r="I56" s="16"/>
      <c r="J56" s="16"/>
    </row>
    <row r="57" spans="1:10" x14ac:dyDescent="0.2">
      <c r="A57" s="10" t="s">
        <v>8</v>
      </c>
      <c r="B57" s="11" t="s">
        <v>9</v>
      </c>
      <c r="C57" s="13" t="s">
        <v>78</v>
      </c>
      <c r="D57" s="32">
        <v>45369</v>
      </c>
      <c r="E57" s="12">
        <v>23885.63</v>
      </c>
      <c r="F57" s="13" t="s">
        <v>62</v>
      </c>
      <c r="G57" s="14" t="str">
        <f t="shared" si="0"/>
        <v>B</v>
      </c>
      <c r="H57" s="15" t="str">
        <f t="shared" si="1"/>
        <v>The Commissioner &amp; Chief Constable are satisfied the spend represents VFM in accordance with the requirements of Category B</v>
      </c>
      <c r="I57" s="16"/>
      <c r="J57" s="16"/>
    </row>
    <row r="58" spans="1:10" x14ac:dyDescent="0.2">
      <c r="A58" s="10" t="s">
        <v>8</v>
      </c>
      <c r="B58" s="11" t="s">
        <v>9</v>
      </c>
      <c r="C58" s="13" t="s">
        <v>78</v>
      </c>
      <c r="D58" s="32">
        <v>45369</v>
      </c>
      <c r="E58" s="18">
        <v>55</v>
      </c>
      <c r="F58" s="19" t="s">
        <v>63</v>
      </c>
      <c r="G58" s="14" t="str">
        <f t="shared" si="0"/>
        <v>A</v>
      </c>
      <c r="H58" s="15" t="str">
        <f t="shared" si="1"/>
        <v>The Commissioner &amp; Chief Constable are satisfied the spend represents VFM in accordance with the requirements of Category A</v>
      </c>
      <c r="I58" s="16"/>
      <c r="J58" s="16"/>
    </row>
    <row r="59" spans="1:10" x14ac:dyDescent="0.2">
      <c r="A59" s="10" t="s">
        <v>8</v>
      </c>
      <c r="B59" s="11" t="s">
        <v>9</v>
      </c>
      <c r="C59" s="13" t="s">
        <v>78</v>
      </c>
      <c r="D59" s="32">
        <v>45369</v>
      </c>
      <c r="E59" s="12">
        <v>23885.63</v>
      </c>
      <c r="F59" s="13" t="s">
        <v>62</v>
      </c>
      <c r="G59" s="14" t="str">
        <f t="shared" si="0"/>
        <v>B</v>
      </c>
      <c r="H59" s="15" t="str">
        <f t="shared" si="1"/>
        <v>The Commissioner &amp; Chief Constable are satisfied the spend represents VFM in accordance with the requirements of Category B</v>
      </c>
      <c r="I59" s="16"/>
      <c r="J59" s="16"/>
    </row>
    <row r="60" spans="1:10" x14ac:dyDescent="0.2">
      <c r="A60" s="10" t="s">
        <v>8</v>
      </c>
      <c r="B60" s="11" t="s">
        <v>9</v>
      </c>
      <c r="C60" s="34" t="s">
        <v>78</v>
      </c>
      <c r="D60" s="32">
        <v>45369</v>
      </c>
      <c r="E60" s="18">
        <v>55</v>
      </c>
      <c r="F60" s="19" t="s">
        <v>63</v>
      </c>
      <c r="G60" s="14" t="str">
        <f t="shared" si="0"/>
        <v>A</v>
      </c>
      <c r="H60" s="15" t="str">
        <f t="shared" si="1"/>
        <v>The Commissioner &amp; Chief Constable are satisfied the spend represents VFM in accordance with the requirements of Category A</v>
      </c>
      <c r="I60" s="16"/>
      <c r="J60" s="16"/>
    </row>
    <row r="61" spans="1:10" x14ac:dyDescent="0.2">
      <c r="A61" s="10" t="s">
        <v>8</v>
      </c>
      <c r="B61" s="11" t="s">
        <v>9</v>
      </c>
      <c r="C61" s="13" t="s">
        <v>78</v>
      </c>
      <c r="D61" s="32">
        <v>45369</v>
      </c>
      <c r="E61" s="12">
        <v>23885.63</v>
      </c>
      <c r="F61" s="13" t="s">
        <v>62</v>
      </c>
      <c r="G61" s="14" t="str">
        <f t="shared" si="0"/>
        <v>B</v>
      </c>
      <c r="H61" s="15" t="str">
        <f t="shared" si="1"/>
        <v>The Commissioner &amp; Chief Constable are satisfied the spend represents VFM in accordance with the requirements of Category B</v>
      </c>
      <c r="I61" s="16"/>
      <c r="J61" s="16"/>
    </row>
    <row r="62" spans="1:10" x14ac:dyDescent="0.2">
      <c r="A62" s="10" t="s">
        <v>8</v>
      </c>
      <c r="B62" s="11" t="s">
        <v>9</v>
      </c>
      <c r="C62" s="13" t="s">
        <v>78</v>
      </c>
      <c r="D62" s="32">
        <v>45369</v>
      </c>
      <c r="E62" s="18">
        <v>55</v>
      </c>
      <c r="F62" s="19" t="s">
        <v>63</v>
      </c>
      <c r="G62" s="14" t="str">
        <f t="shared" si="0"/>
        <v>A</v>
      </c>
      <c r="H62" s="15" t="str">
        <f t="shared" si="1"/>
        <v>The Commissioner &amp; Chief Constable are satisfied the spend represents VFM in accordance with the requirements of Category A</v>
      </c>
      <c r="I62" s="16"/>
      <c r="J62" s="16"/>
    </row>
    <row r="63" spans="1:10" x14ac:dyDescent="0.2">
      <c r="A63" s="10" t="s">
        <v>8</v>
      </c>
      <c r="B63" s="11" t="s">
        <v>9</v>
      </c>
      <c r="C63" s="13" t="s">
        <v>26</v>
      </c>
      <c r="D63" s="32">
        <v>45356</v>
      </c>
      <c r="E63" s="12">
        <v>23639.73</v>
      </c>
      <c r="F63" s="13" t="s">
        <v>88</v>
      </c>
      <c r="G63" s="14" t="str">
        <f t="shared" si="0"/>
        <v>B</v>
      </c>
      <c r="H63" s="15" t="str">
        <f t="shared" si="1"/>
        <v>The Commissioner &amp; Chief Constable are satisfied the spend represents VFM in accordance with the requirements of Category B</v>
      </c>
      <c r="I63" s="16"/>
      <c r="J63" s="16"/>
    </row>
    <row r="64" spans="1:10" x14ac:dyDescent="0.2">
      <c r="A64" s="10" t="s">
        <v>8</v>
      </c>
      <c r="B64" s="11" t="s">
        <v>9</v>
      </c>
      <c r="C64" s="13" t="s">
        <v>333</v>
      </c>
      <c r="D64" s="32">
        <v>45377</v>
      </c>
      <c r="E64" s="12">
        <v>23163</v>
      </c>
      <c r="F64" s="13" t="s">
        <v>91</v>
      </c>
      <c r="G64" s="14" t="str">
        <f t="shared" si="0"/>
        <v>B</v>
      </c>
      <c r="H64" s="15" t="str">
        <f t="shared" si="1"/>
        <v>The Commissioner &amp; Chief Constable are satisfied the spend represents VFM in accordance with the requirements of Category B</v>
      </c>
      <c r="I64" s="16"/>
      <c r="J64" s="16"/>
    </row>
    <row r="65" spans="1:10" x14ac:dyDescent="0.2">
      <c r="A65" s="10" t="s">
        <v>8</v>
      </c>
      <c r="B65" s="11" t="s">
        <v>9</v>
      </c>
      <c r="C65" s="13" t="s">
        <v>420</v>
      </c>
      <c r="D65" s="32">
        <v>45369</v>
      </c>
      <c r="E65" s="12">
        <v>22506.6</v>
      </c>
      <c r="F65" s="13" t="s">
        <v>58</v>
      </c>
      <c r="G65" s="14" t="str">
        <f t="shared" si="0"/>
        <v>B</v>
      </c>
      <c r="H65" s="15" t="str">
        <f t="shared" si="1"/>
        <v>The Commissioner &amp; Chief Constable are satisfied the spend represents VFM in accordance with the requirements of Category B</v>
      </c>
      <c r="I65" s="16"/>
      <c r="J65" s="16"/>
    </row>
    <row r="66" spans="1:10" x14ac:dyDescent="0.2">
      <c r="A66" s="10" t="s">
        <v>8</v>
      </c>
      <c r="B66" s="11" t="s">
        <v>9</v>
      </c>
      <c r="C66" s="34" t="s">
        <v>486</v>
      </c>
      <c r="D66" s="32">
        <v>45356</v>
      </c>
      <c r="E66" s="12">
        <v>22304.85</v>
      </c>
      <c r="F66" s="13" t="s">
        <v>164</v>
      </c>
      <c r="G66" s="14" t="str">
        <f t="shared" ref="G66:G129" si="2">IF(E66&gt;25000,"C",IF(E66&gt;1000,"B","A"))</f>
        <v>B</v>
      </c>
      <c r="H66" s="15" t="str">
        <f t="shared" ref="H66:H129" si="3">VLOOKUP(G66,$K$2:$L$4,2,FALSE)</f>
        <v>The Commissioner &amp; Chief Constable are satisfied the spend represents VFM in accordance with the requirements of Category B</v>
      </c>
      <c r="I66" s="16"/>
      <c r="J66" s="16"/>
    </row>
    <row r="67" spans="1:10" x14ac:dyDescent="0.2">
      <c r="A67" s="10" t="s">
        <v>8</v>
      </c>
      <c r="B67" s="11" t="s">
        <v>9</v>
      </c>
      <c r="C67" s="34" t="s">
        <v>79</v>
      </c>
      <c r="D67" s="32">
        <v>45358</v>
      </c>
      <c r="E67" s="12">
        <v>21047.72</v>
      </c>
      <c r="F67" s="13" t="s">
        <v>80</v>
      </c>
      <c r="G67" s="14" t="str">
        <f t="shared" si="2"/>
        <v>B</v>
      </c>
      <c r="H67" s="15" t="str">
        <f t="shared" si="3"/>
        <v>The Commissioner &amp; Chief Constable are satisfied the spend represents VFM in accordance with the requirements of Category B</v>
      </c>
      <c r="I67" s="16"/>
      <c r="J67" s="16"/>
    </row>
    <row r="68" spans="1:10" x14ac:dyDescent="0.2">
      <c r="A68" s="10" t="s">
        <v>8</v>
      </c>
      <c r="B68" s="11" t="s">
        <v>9</v>
      </c>
      <c r="C68" s="13" t="s">
        <v>26</v>
      </c>
      <c r="D68" s="32">
        <v>45373</v>
      </c>
      <c r="E68" s="12">
        <v>20852.349999999999</v>
      </c>
      <c r="F68" s="13" t="s">
        <v>88</v>
      </c>
      <c r="G68" s="14" t="str">
        <f t="shared" si="2"/>
        <v>B</v>
      </c>
      <c r="H68" s="15" t="str">
        <f t="shared" si="3"/>
        <v>The Commissioner &amp; Chief Constable are satisfied the spend represents VFM in accordance with the requirements of Category B</v>
      </c>
      <c r="I68" s="16"/>
      <c r="J68" s="16"/>
    </row>
    <row r="69" spans="1:10" x14ac:dyDescent="0.2">
      <c r="A69" s="10" t="s">
        <v>8</v>
      </c>
      <c r="B69" s="11" t="s">
        <v>9</v>
      </c>
      <c r="C69" s="34" t="s">
        <v>74</v>
      </c>
      <c r="D69" s="32">
        <v>45373</v>
      </c>
      <c r="E69" s="12">
        <v>20851.78</v>
      </c>
      <c r="F69" s="13" t="s">
        <v>15</v>
      </c>
      <c r="G69" s="14" t="str">
        <f t="shared" si="2"/>
        <v>B</v>
      </c>
      <c r="H69" s="15" t="str">
        <f t="shared" si="3"/>
        <v>The Commissioner &amp; Chief Constable are satisfied the spend represents VFM in accordance with the requirements of Category B</v>
      </c>
      <c r="I69" s="16"/>
      <c r="J69" s="16"/>
    </row>
    <row r="70" spans="1:10" x14ac:dyDescent="0.2">
      <c r="A70" s="10" t="s">
        <v>8</v>
      </c>
      <c r="B70" s="11" t="s">
        <v>9</v>
      </c>
      <c r="C70" s="34" t="s">
        <v>448</v>
      </c>
      <c r="D70" s="32">
        <v>45364</v>
      </c>
      <c r="E70" s="12">
        <v>20158</v>
      </c>
      <c r="F70" s="13" t="s">
        <v>27</v>
      </c>
      <c r="G70" s="14" t="str">
        <f t="shared" si="2"/>
        <v>B</v>
      </c>
      <c r="H70" s="15" t="str">
        <f t="shared" si="3"/>
        <v>The Commissioner &amp; Chief Constable are satisfied the spend represents VFM in accordance with the requirements of Category B</v>
      </c>
      <c r="I70" s="16"/>
      <c r="J70" s="16"/>
    </row>
    <row r="71" spans="1:10" x14ac:dyDescent="0.2">
      <c r="A71" s="10" t="s">
        <v>8</v>
      </c>
      <c r="B71" s="11" t="s">
        <v>9</v>
      </c>
      <c r="C71" s="13" t="s">
        <v>467</v>
      </c>
      <c r="D71" s="32">
        <v>45364</v>
      </c>
      <c r="E71" s="12">
        <v>19630</v>
      </c>
      <c r="F71" s="13" t="s">
        <v>27</v>
      </c>
      <c r="G71" s="14" t="str">
        <f t="shared" si="2"/>
        <v>B</v>
      </c>
      <c r="H71" s="15" t="str">
        <f t="shared" si="3"/>
        <v>The Commissioner &amp; Chief Constable are satisfied the spend represents VFM in accordance with the requirements of Category B</v>
      </c>
      <c r="I71" s="16"/>
      <c r="J71" s="16"/>
    </row>
    <row r="72" spans="1:10" x14ac:dyDescent="0.2">
      <c r="A72" s="10" t="s">
        <v>8</v>
      </c>
      <c r="B72" s="11" t="s">
        <v>9</v>
      </c>
      <c r="C72" s="34" t="s">
        <v>448</v>
      </c>
      <c r="D72" s="32">
        <v>45364</v>
      </c>
      <c r="E72" s="12">
        <v>19075</v>
      </c>
      <c r="F72" s="13" t="s">
        <v>27</v>
      </c>
      <c r="G72" s="14" t="str">
        <f t="shared" si="2"/>
        <v>B</v>
      </c>
      <c r="H72" s="15" t="str">
        <f t="shared" si="3"/>
        <v>The Commissioner &amp; Chief Constable are satisfied the spend represents VFM in accordance with the requirements of Category B</v>
      </c>
      <c r="I72" s="16"/>
      <c r="J72" s="16"/>
    </row>
    <row r="73" spans="1:10" x14ac:dyDescent="0.2">
      <c r="A73" s="10" t="s">
        <v>8</v>
      </c>
      <c r="B73" s="11" t="s">
        <v>9</v>
      </c>
      <c r="C73" s="34" t="s">
        <v>48</v>
      </c>
      <c r="D73" s="32">
        <v>45366</v>
      </c>
      <c r="E73" s="12">
        <v>18937.099999999999</v>
      </c>
      <c r="F73" s="13" t="s">
        <v>131</v>
      </c>
      <c r="G73" s="14" t="str">
        <f t="shared" si="2"/>
        <v>B</v>
      </c>
      <c r="H73" s="15" t="str">
        <f t="shared" si="3"/>
        <v>The Commissioner &amp; Chief Constable are satisfied the spend represents VFM in accordance with the requirements of Category B</v>
      </c>
      <c r="I73" s="16"/>
      <c r="J73" s="16"/>
    </row>
    <row r="74" spans="1:10" x14ac:dyDescent="0.2">
      <c r="A74" s="10" t="s">
        <v>8</v>
      </c>
      <c r="B74" s="11" t="s">
        <v>9</v>
      </c>
      <c r="C74" s="13" t="s">
        <v>85</v>
      </c>
      <c r="D74" s="32">
        <v>45364</v>
      </c>
      <c r="E74" s="12">
        <v>18776.919999999998</v>
      </c>
      <c r="F74" s="13" t="s">
        <v>27</v>
      </c>
      <c r="G74" s="14" t="str">
        <f t="shared" si="2"/>
        <v>B</v>
      </c>
      <c r="H74" s="15" t="str">
        <f t="shared" si="3"/>
        <v>The Commissioner &amp; Chief Constable are satisfied the spend represents VFM in accordance with the requirements of Category B</v>
      </c>
      <c r="I74" s="16"/>
      <c r="J74" s="16"/>
    </row>
    <row r="75" spans="1:10" x14ac:dyDescent="0.2">
      <c r="A75" s="10" t="s">
        <v>8</v>
      </c>
      <c r="B75" s="11" t="s">
        <v>9</v>
      </c>
      <c r="C75" s="34" t="s">
        <v>85</v>
      </c>
      <c r="D75" s="32">
        <v>45364</v>
      </c>
      <c r="E75" s="12">
        <v>18776.919999999998</v>
      </c>
      <c r="F75" s="13" t="s">
        <v>27</v>
      </c>
      <c r="G75" s="14" t="str">
        <f t="shared" si="2"/>
        <v>B</v>
      </c>
      <c r="H75" s="15" t="str">
        <f t="shared" si="3"/>
        <v>The Commissioner &amp; Chief Constable are satisfied the spend represents VFM in accordance with the requirements of Category B</v>
      </c>
      <c r="I75" s="16"/>
      <c r="J75" s="16"/>
    </row>
    <row r="76" spans="1:10" x14ac:dyDescent="0.2">
      <c r="A76" s="10" t="s">
        <v>8</v>
      </c>
      <c r="B76" s="11" t="s">
        <v>9</v>
      </c>
      <c r="C76" s="34" t="s">
        <v>272</v>
      </c>
      <c r="D76" s="32">
        <v>45357</v>
      </c>
      <c r="E76" s="12">
        <v>18758</v>
      </c>
      <c r="F76" s="13" t="s">
        <v>131</v>
      </c>
      <c r="G76" s="14" t="str">
        <f t="shared" si="2"/>
        <v>B</v>
      </c>
      <c r="H76" s="15" t="str">
        <f t="shared" si="3"/>
        <v>The Commissioner &amp; Chief Constable are satisfied the spend represents VFM in accordance with the requirements of Category B</v>
      </c>
      <c r="I76" s="16"/>
      <c r="J76" s="16"/>
    </row>
    <row r="77" spans="1:10" x14ac:dyDescent="0.2">
      <c r="A77" s="10" t="s">
        <v>8</v>
      </c>
      <c r="B77" s="11" t="s">
        <v>9</v>
      </c>
      <c r="C77" s="13" t="s">
        <v>332</v>
      </c>
      <c r="D77" s="32">
        <v>45352</v>
      </c>
      <c r="E77" s="12">
        <v>18561.5</v>
      </c>
      <c r="F77" s="13" t="s">
        <v>131</v>
      </c>
      <c r="G77" s="14" t="str">
        <f t="shared" si="2"/>
        <v>B</v>
      </c>
      <c r="H77" s="15" t="str">
        <f t="shared" si="3"/>
        <v>The Commissioner &amp; Chief Constable are satisfied the spend represents VFM in accordance with the requirements of Category B</v>
      </c>
      <c r="I77" s="16"/>
      <c r="J77" s="16"/>
    </row>
    <row r="78" spans="1:10" x14ac:dyDescent="0.2">
      <c r="A78" s="10" t="s">
        <v>8</v>
      </c>
      <c r="B78" s="11" t="s">
        <v>9</v>
      </c>
      <c r="C78" s="34" t="s">
        <v>448</v>
      </c>
      <c r="D78" s="32">
        <v>45376</v>
      </c>
      <c r="E78" s="12">
        <v>18354</v>
      </c>
      <c r="F78" s="13" t="s">
        <v>27</v>
      </c>
      <c r="G78" s="14" t="str">
        <f t="shared" si="2"/>
        <v>B</v>
      </c>
      <c r="H78" s="15" t="str">
        <f t="shared" si="3"/>
        <v>The Commissioner &amp; Chief Constable are satisfied the spend represents VFM in accordance with the requirements of Category B</v>
      </c>
      <c r="I78" s="16"/>
      <c r="J78" s="16"/>
    </row>
    <row r="79" spans="1:10" x14ac:dyDescent="0.2">
      <c r="A79" s="10" t="s">
        <v>8</v>
      </c>
      <c r="B79" s="11" t="s">
        <v>9</v>
      </c>
      <c r="C79" s="34" t="s">
        <v>74</v>
      </c>
      <c r="D79" s="32">
        <v>45358</v>
      </c>
      <c r="E79" s="12">
        <v>18213.34</v>
      </c>
      <c r="F79" s="13" t="s">
        <v>75</v>
      </c>
      <c r="G79" s="14" t="str">
        <f t="shared" si="2"/>
        <v>B</v>
      </c>
      <c r="H79" s="15" t="str">
        <f t="shared" si="3"/>
        <v>The Commissioner &amp; Chief Constable are satisfied the spend represents VFM in accordance with the requirements of Category B</v>
      </c>
      <c r="I79" s="16"/>
      <c r="J79" s="16"/>
    </row>
    <row r="80" spans="1:10" x14ac:dyDescent="0.2">
      <c r="A80" s="10" t="s">
        <v>8</v>
      </c>
      <c r="B80" s="11" t="s">
        <v>9</v>
      </c>
      <c r="C80" s="13" t="s">
        <v>74</v>
      </c>
      <c r="D80" s="32">
        <v>45358</v>
      </c>
      <c r="E80" s="18">
        <v>18.28</v>
      </c>
      <c r="F80" s="19" t="s">
        <v>177</v>
      </c>
      <c r="G80" s="14" t="str">
        <f t="shared" si="2"/>
        <v>A</v>
      </c>
      <c r="H80" s="15" t="str">
        <f t="shared" si="3"/>
        <v>The Commissioner &amp; Chief Constable are satisfied the spend represents VFM in accordance with the requirements of Category A</v>
      </c>
      <c r="I80" s="16"/>
      <c r="J80" s="16"/>
    </row>
    <row r="81" spans="1:10" x14ac:dyDescent="0.2">
      <c r="A81" s="10" t="s">
        <v>8</v>
      </c>
      <c r="B81" s="11" t="s">
        <v>9</v>
      </c>
      <c r="C81" s="34" t="s">
        <v>74</v>
      </c>
      <c r="D81" s="32">
        <v>45358</v>
      </c>
      <c r="E81" s="12">
        <v>18029.79</v>
      </c>
      <c r="F81" s="13" t="s">
        <v>177</v>
      </c>
      <c r="G81" s="14" t="str">
        <f t="shared" si="2"/>
        <v>B</v>
      </c>
      <c r="H81" s="15" t="str">
        <f t="shared" si="3"/>
        <v>The Commissioner &amp; Chief Constable are satisfied the spend represents VFM in accordance with the requirements of Category B</v>
      </c>
      <c r="I81" s="16"/>
      <c r="J81" s="16"/>
    </row>
    <row r="82" spans="1:10" x14ac:dyDescent="0.2">
      <c r="A82" s="10" t="s">
        <v>8</v>
      </c>
      <c r="B82" s="11" t="s">
        <v>9</v>
      </c>
      <c r="C82" s="34" t="s">
        <v>86</v>
      </c>
      <c r="D82" s="32">
        <v>45355</v>
      </c>
      <c r="E82" s="12">
        <v>17677.990000000002</v>
      </c>
      <c r="F82" s="13" t="s">
        <v>87</v>
      </c>
      <c r="G82" s="14" t="str">
        <f t="shared" si="2"/>
        <v>B</v>
      </c>
      <c r="H82" s="15" t="str">
        <f t="shared" si="3"/>
        <v>The Commissioner &amp; Chief Constable are satisfied the spend represents VFM in accordance with the requirements of Category B</v>
      </c>
      <c r="I82" s="16"/>
      <c r="J82" s="16"/>
    </row>
    <row r="83" spans="1:10" x14ac:dyDescent="0.2">
      <c r="A83" s="10" t="s">
        <v>8</v>
      </c>
      <c r="B83" s="11" t="s">
        <v>9</v>
      </c>
      <c r="C83" s="13" t="s">
        <v>100</v>
      </c>
      <c r="D83" s="32">
        <v>45372</v>
      </c>
      <c r="E83" s="12">
        <v>16563</v>
      </c>
      <c r="F83" s="13" t="s">
        <v>164</v>
      </c>
      <c r="G83" s="14" t="str">
        <f t="shared" si="2"/>
        <v>B</v>
      </c>
      <c r="H83" s="15" t="str">
        <f t="shared" si="3"/>
        <v>The Commissioner &amp; Chief Constable are satisfied the spend represents VFM in accordance with the requirements of Category B</v>
      </c>
      <c r="I83" s="16"/>
      <c r="J83" s="16"/>
    </row>
    <row r="84" spans="1:10" x14ac:dyDescent="0.2">
      <c r="A84" s="10" t="s">
        <v>8</v>
      </c>
      <c r="B84" s="11" t="s">
        <v>9</v>
      </c>
      <c r="C84" s="34" t="s">
        <v>485</v>
      </c>
      <c r="D84" s="32">
        <v>45379</v>
      </c>
      <c r="E84" s="12">
        <v>16000</v>
      </c>
      <c r="F84" s="13" t="s">
        <v>27</v>
      </c>
      <c r="G84" s="14" t="str">
        <f t="shared" si="2"/>
        <v>B</v>
      </c>
      <c r="H84" s="15" t="str">
        <f t="shared" si="3"/>
        <v>The Commissioner &amp; Chief Constable are satisfied the spend represents VFM in accordance with the requirements of Category B</v>
      </c>
      <c r="I84" s="16"/>
      <c r="J84" s="16"/>
    </row>
    <row r="85" spans="1:10" x14ac:dyDescent="0.2">
      <c r="A85" s="10" t="s">
        <v>8</v>
      </c>
      <c r="B85" s="11" t="s">
        <v>9</v>
      </c>
      <c r="C85" s="13" t="s">
        <v>484</v>
      </c>
      <c r="D85" s="32">
        <v>45364</v>
      </c>
      <c r="E85" s="12">
        <v>15000</v>
      </c>
      <c r="F85" s="13" t="s">
        <v>27</v>
      </c>
      <c r="G85" s="14" t="str">
        <f t="shared" si="2"/>
        <v>B</v>
      </c>
      <c r="H85" s="15" t="str">
        <f t="shared" si="3"/>
        <v>The Commissioner &amp; Chief Constable are satisfied the spend represents VFM in accordance with the requirements of Category B</v>
      </c>
      <c r="I85" s="16"/>
      <c r="J85" s="16"/>
    </row>
    <row r="86" spans="1:10" x14ac:dyDescent="0.2">
      <c r="A86" s="10" t="s">
        <v>8</v>
      </c>
      <c r="B86" s="11" t="s">
        <v>9</v>
      </c>
      <c r="C86" s="34" t="s">
        <v>100</v>
      </c>
      <c r="D86" s="32">
        <v>45358</v>
      </c>
      <c r="E86" s="12">
        <v>14955.54</v>
      </c>
      <c r="F86" s="13" t="s">
        <v>38</v>
      </c>
      <c r="G86" s="14" t="str">
        <f t="shared" si="2"/>
        <v>B</v>
      </c>
      <c r="H86" s="15" t="str">
        <f t="shared" si="3"/>
        <v>The Commissioner &amp; Chief Constable are satisfied the spend represents VFM in accordance with the requirements of Category B</v>
      </c>
      <c r="I86" s="16"/>
      <c r="J86" s="16"/>
    </row>
    <row r="87" spans="1:10" x14ac:dyDescent="0.2">
      <c r="A87" s="10" t="s">
        <v>8</v>
      </c>
      <c r="B87" s="11" t="s">
        <v>9</v>
      </c>
      <c r="C87" s="34" t="s">
        <v>483</v>
      </c>
      <c r="D87" s="32">
        <v>45371</v>
      </c>
      <c r="E87" s="12">
        <v>14924</v>
      </c>
      <c r="F87" s="13" t="s">
        <v>218</v>
      </c>
      <c r="G87" s="14" t="str">
        <f t="shared" si="2"/>
        <v>B</v>
      </c>
      <c r="H87" s="15" t="str">
        <f t="shared" si="3"/>
        <v>The Commissioner &amp; Chief Constable are satisfied the spend represents VFM in accordance with the requirements of Category B</v>
      </c>
      <c r="I87" s="16"/>
      <c r="J87" s="16"/>
    </row>
    <row r="88" spans="1:10" x14ac:dyDescent="0.2">
      <c r="A88" s="10" t="s">
        <v>8</v>
      </c>
      <c r="B88" s="11" t="s">
        <v>9</v>
      </c>
      <c r="C88" s="13" t="s">
        <v>107</v>
      </c>
      <c r="D88" s="32">
        <v>45358</v>
      </c>
      <c r="E88" s="12">
        <v>14826.96</v>
      </c>
      <c r="F88" s="13" t="s">
        <v>108</v>
      </c>
      <c r="G88" s="14" t="str">
        <f t="shared" si="2"/>
        <v>B</v>
      </c>
      <c r="H88" s="15" t="str">
        <f t="shared" si="3"/>
        <v>The Commissioner &amp; Chief Constable are satisfied the spend represents VFM in accordance with the requirements of Category B</v>
      </c>
      <c r="I88" s="16"/>
      <c r="J88" s="16"/>
    </row>
    <row r="89" spans="1:10" x14ac:dyDescent="0.2">
      <c r="A89" s="10" t="s">
        <v>8</v>
      </c>
      <c r="B89" s="11" t="s">
        <v>9</v>
      </c>
      <c r="C89" s="34" t="s">
        <v>144</v>
      </c>
      <c r="D89" s="32">
        <v>45352</v>
      </c>
      <c r="E89" s="12">
        <v>14800</v>
      </c>
      <c r="F89" s="13" t="s">
        <v>145</v>
      </c>
      <c r="G89" s="14" t="str">
        <f t="shared" si="2"/>
        <v>B</v>
      </c>
      <c r="H89" s="15" t="str">
        <f t="shared" si="3"/>
        <v>The Commissioner &amp; Chief Constable are satisfied the spend represents VFM in accordance with the requirements of Category B</v>
      </c>
      <c r="I89" s="16"/>
      <c r="J89" s="16"/>
    </row>
    <row r="90" spans="1:10" x14ac:dyDescent="0.2">
      <c r="A90" s="10" t="s">
        <v>8</v>
      </c>
      <c r="B90" s="11" t="s">
        <v>9</v>
      </c>
      <c r="C90" s="34" t="s">
        <v>482</v>
      </c>
      <c r="D90" s="32">
        <v>45355</v>
      </c>
      <c r="E90" s="12">
        <v>14755</v>
      </c>
      <c r="F90" s="13" t="s">
        <v>22</v>
      </c>
      <c r="G90" s="14" t="str">
        <f t="shared" si="2"/>
        <v>B</v>
      </c>
      <c r="H90" s="15" t="str">
        <f t="shared" si="3"/>
        <v>The Commissioner &amp; Chief Constable are satisfied the spend represents VFM in accordance with the requirements of Category B</v>
      </c>
      <c r="I90" s="16"/>
      <c r="J90" s="16"/>
    </row>
    <row r="91" spans="1:10" x14ac:dyDescent="0.2">
      <c r="A91" s="10" t="s">
        <v>8</v>
      </c>
      <c r="B91" s="11" t="s">
        <v>9</v>
      </c>
      <c r="C91" s="13" t="s">
        <v>352</v>
      </c>
      <c r="D91" s="32">
        <v>45364</v>
      </c>
      <c r="E91" s="12">
        <v>14530.38</v>
      </c>
      <c r="F91" s="13" t="s">
        <v>131</v>
      </c>
      <c r="G91" s="14" t="str">
        <f t="shared" si="2"/>
        <v>B</v>
      </c>
      <c r="H91" s="15" t="str">
        <f t="shared" si="3"/>
        <v>The Commissioner &amp; Chief Constable are satisfied the spend represents VFM in accordance with the requirements of Category B</v>
      </c>
      <c r="I91" s="16"/>
      <c r="J91" s="16"/>
    </row>
    <row r="92" spans="1:10" x14ac:dyDescent="0.2">
      <c r="A92" s="10" t="s">
        <v>8</v>
      </c>
      <c r="B92" s="11" t="s">
        <v>9</v>
      </c>
      <c r="C92" s="34" t="s">
        <v>26</v>
      </c>
      <c r="D92" s="32">
        <v>45379</v>
      </c>
      <c r="E92" s="12">
        <v>14442.28</v>
      </c>
      <c r="F92" s="13" t="s">
        <v>88</v>
      </c>
      <c r="G92" s="14" t="str">
        <f t="shared" si="2"/>
        <v>B</v>
      </c>
      <c r="H92" s="15" t="str">
        <f t="shared" si="3"/>
        <v>The Commissioner &amp; Chief Constable are satisfied the spend represents VFM in accordance with the requirements of Category B</v>
      </c>
      <c r="I92" s="16"/>
      <c r="J92" s="16"/>
    </row>
    <row r="93" spans="1:10" x14ac:dyDescent="0.2">
      <c r="A93" s="10" t="s">
        <v>8</v>
      </c>
      <c r="B93" s="11" t="s">
        <v>9</v>
      </c>
      <c r="C93" s="34" t="s">
        <v>481</v>
      </c>
      <c r="D93" s="32">
        <v>45365</v>
      </c>
      <c r="E93" s="12">
        <v>13903.65</v>
      </c>
      <c r="F93" s="13" t="s">
        <v>229</v>
      </c>
      <c r="G93" s="14" t="str">
        <f t="shared" si="2"/>
        <v>B</v>
      </c>
      <c r="H93" s="15" t="str">
        <f t="shared" si="3"/>
        <v>The Commissioner &amp; Chief Constable are satisfied the spend represents VFM in accordance with the requirements of Category B</v>
      </c>
      <c r="I93" s="16"/>
      <c r="J93" s="16"/>
    </row>
    <row r="94" spans="1:10" x14ac:dyDescent="0.2">
      <c r="A94" s="10" t="s">
        <v>8</v>
      </c>
      <c r="B94" s="11" t="s">
        <v>9</v>
      </c>
      <c r="C94" s="13" t="s">
        <v>137</v>
      </c>
      <c r="D94" s="32">
        <v>45362</v>
      </c>
      <c r="E94" s="12">
        <v>13829.79</v>
      </c>
      <c r="F94" s="13" t="s">
        <v>138</v>
      </c>
      <c r="G94" s="14" t="str">
        <f t="shared" si="2"/>
        <v>B</v>
      </c>
      <c r="H94" s="15" t="str">
        <f t="shared" si="3"/>
        <v>The Commissioner &amp; Chief Constable are satisfied the spend represents VFM in accordance with the requirements of Category B</v>
      </c>
      <c r="I94" s="16"/>
      <c r="J94" s="16"/>
    </row>
    <row r="95" spans="1:10" x14ac:dyDescent="0.2">
      <c r="A95" s="10" t="s">
        <v>8</v>
      </c>
      <c r="B95" s="11" t="s">
        <v>9</v>
      </c>
      <c r="C95" s="13" t="s">
        <v>101</v>
      </c>
      <c r="D95" s="32">
        <v>45358</v>
      </c>
      <c r="E95" s="12">
        <v>13500</v>
      </c>
      <c r="F95" s="13" t="s">
        <v>102</v>
      </c>
      <c r="G95" s="14" t="str">
        <f t="shared" si="2"/>
        <v>B</v>
      </c>
      <c r="H95" s="15" t="str">
        <f t="shared" si="3"/>
        <v>The Commissioner &amp; Chief Constable are satisfied the spend represents VFM in accordance with the requirements of Category B</v>
      </c>
      <c r="I95" s="16"/>
      <c r="J95" s="16"/>
    </row>
    <row r="96" spans="1:10" x14ac:dyDescent="0.2">
      <c r="A96" s="10" t="s">
        <v>8</v>
      </c>
      <c r="B96" s="11" t="s">
        <v>9</v>
      </c>
      <c r="C96" s="34" t="s">
        <v>90</v>
      </c>
      <c r="D96" s="32">
        <v>45377</v>
      </c>
      <c r="E96" s="12">
        <v>13075.37</v>
      </c>
      <c r="F96" s="13" t="s">
        <v>91</v>
      </c>
      <c r="G96" s="14" t="str">
        <f t="shared" si="2"/>
        <v>B</v>
      </c>
      <c r="H96" s="15" t="str">
        <f t="shared" si="3"/>
        <v>The Commissioner &amp; Chief Constable are satisfied the spend represents VFM in accordance with the requirements of Category B</v>
      </c>
      <c r="I96" s="16"/>
      <c r="J96" s="16"/>
    </row>
    <row r="97" spans="1:10" x14ac:dyDescent="0.2">
      <c r="A97" s="10" t="s">
        <v>8</v>
      </c>
      <c r="B97" s="11" t="s">
        <v>9</v>
      </c>
      <c r="C97" s="13" t="s">
        <v>26</v>
      </c>
      <c r="D97" s="32">
        <v>45377</v>
      </c>
      <c r="E97" s="12">
        <v>12566.94</v>
      </c>
      <c r="F97" s="13" t="s">
        <v>88</v>
      </c>
      <c r="G97" s="14" t="str">
        <f t="shared" si="2"/>
        <v>B</v>
      </c>
      <c r="H97" s="15" t="str">
        <f t="shared" si="3"/>
        <v>The Commissioner &amp; Chief Constable are satisfied the spend represents VFM in accordance with the requirements of Category B</v>
      </c>
      <c r="I97" s="16"/>
      <c r="J97" s="16"/>
    </row>
    <row r="98" spans="1:10" x14ac:dyDescent="0.2">
      <c r="A98" s="10" t="s">
        <v>8</v>
      </c>
      <c r="B98" s="11" t="s">
        <v>9</v>
      </c>
      <c r="C98" s="34" t="s">
        <v>109</v>
      </c>
      <c r="D98" s="32">
        <v>45363</v>
      </c>
      <c r="E98" s="12">
        <v>12500</v>
      </c>
      <c r="F98" s="13" t="s">
        <v>27</v>
      </c>
      <c r="G98" s="14" t="str">
        <f t="shared" si="2"/>
        <v>B</v>
      </c>
      <c r="H98" s="15" t="str">
        <f t="shared" si="3"/>
        <v>The Commissioner &amp; Chief Constable are satisfied the spend represents VFM in accordance with the requirements of Category B</v>
      </c>
      <c r="I98" s="16"/>
      <c r="J98" s="16"/>
    </row>
    <row r="99" spans="1:10" x14ac:dyDescent="0.2">
      <c r="A99" s="10" t="s">
        <v>8</v>
      </c>
      <c r="B99" s="11" t="s">
        <v>9</v>
      </c>
      <c r="C99" s="34" t="s">
        <v>480</v>
      </c>
      <c r="D99" s="32">
        <v>45379</v>
      </c>
      <c r="E99" s="12">
        <v>12384</v>
      </c>
      <c r="F99" s="13" t="s">
        <v>177</v>
      </c>
      <c r="G99" s="14" t="str">
        <f t="shared" si="2"/>
        <v>B</v>
      </c>
      <c r="H99" s="15" t="str">
        <f t="shared" si="3"/>
        <v>The Commissioner &amp; Chief Constable are satisfied the spend represents VFM in accordance with the requirements of Category B</v>
      </c>
      <c r="I99" s="16"/>
      <c r="J99" s="16"/>
    </row>
    <row r="100" spans="1:10" x14ac:dyDescent="0.2">
      <c r="A100" s="10" t="s">
        <v>8</v>
      </c>
      <c r="B100" s="11" t="s">
        <v>9</v>
      </c>
      <c r="C100" s="13" t="s">
        <v>266</v>
      </c>
      <c r="D100" s="32">
        <v>45369</v>
      </c>
      <c r="E100" s="12">
        <v>12201.41</v>
      </c>
      <c r="F100" s="13" t="s">
        <v>84</v>
      </c>
      <c r="G100" s="14" t="str">
        <f t="shared" si="2"/>
        <v>B</v>
      </c>
      <c r="H100" s="15" t="str">
        <f t="shared" si="3"/>
        <v>The Commissioner &amp; Chief Constable are satisfied the spend represents VFM in accordance with the requirements of Category B</v>
      </c>
      <c r="I100" s="16"/>
      <c r="J100" s="16"/>
    </row>
    <row r="101" spans="1:10" x14ac:dyDescent="0.2">
      <c r="A101" s="10" t="s">
        <v>8</v>
      </c>
      <c r="B101" s="11" t="s">
        <v>9</v>
      </c>
      <c r="C101" s="34" t="s">
        <v>124</v>
      </c>
      <c r="D101" s="32">
        <v>45371</v>
      </c>
      <c r="E101" s="12">
        <v>12198.11</v>
      </c>
      <c r="F101" s="13" t="s">
        <v>91</v>
      </c>
      <c r="G101" s="14" t="str">
        <f t="shared" si="2"/>
        <v>B</v>
      </c>
      <c r="H101" s="15" t="str">
        <f t="shared" si="3"/>
        <v>The Commissioner &amp; Chief Constable are satisfied the spend represents VFM in accordance with the requirements of Category B</v>
      </c>
      <c r="I101" s="16"/>
      <c r="J101" s="16"/>
    </row>
    <row r="102" spans="1:10" x14ac:dyDescent="0.2">
      <c r="A102" s="10" t="s">
        <v>8</v>
      </c>
      <c r="B102" s="11" t="s">
        <v>9</v>
      </c>
      <c r="C102" s="34" t="s">
        <v>107</v>
      </c>
      <c r="D102" s="32">
        <v>45358</v>
      </c>
      <c r="E102" s="12">
        <v>12102.23</v>
      </c>
      <c r="F102" s="13" t="s">
        <v>108</v>
      </c>
      <c r="G102" s="14" t="str">
        <f t="shared" si="2"/>
        <v>B</v>
      </c>
      <c r="H102" s="15" t="str">
        <f t="shared" si="3"/>
        <v>The Commissioner &amp; Chief Constable are satisfied the spend represents VFM in accordance with the requirements of Category B</v>
      </c>
      <c r="I102" s="16"/>
      <c r="J102" s="16"/>
    </row>
    <row r="103" spans="1:10" x14ac:dyDescent="0.2">
      <c r="A103" s="10" t="s">
        <v>8</v>
      </c>
      <c r="B103" s="11" t="s">
        <v>9</v>
      </c>
      <c r="C103" s="13" t="s">
        <v>124</v>
      </c>
      <c r="D103" s="32">
        <v>45369</v>
      </c>
      <c r="E103" s="12">
        <v>11993.55</v>
      </c>
      <c r="F103" s="13" t="s">
        <v>376</v>
      </c>
      <c r="G103" s="14" t="str">
        <f t="shared" si="2"/>
        <v>B</v>
      </c>
      <c r="H103" s="15" t="str">
        <f t="shared" si="3"/>
        <v>The Commissioner &amp; Chief Constable are satisfied the spend represents VFM in accordance with the requirements of Category B</v>
      </c>
      <c r="I103" s="16"/>
      <c r="J103" s="16"/>
    </row>
    <row r="104" spans="1:10" x14ac:dyDescent="0.2">
      <c r="A104" s="10" t="s">
        <v>8</v>
      </c>
      <c r="B104" s="11" t="s">
        <v>9</v>
      </c>
      <c r="C104" s="13" t="s">
        <v>117</v>
      </c>
      <c r="D104" s="32">
        <v>45359</v>
      </c>
      <c r="E104" s="12">
        <v>11837.44</v>
      </c>
      <c r="F104" s="13" t="s">
        <v>118</v>
      </c>
      <c r="G104" s="14" t="str">
        <f t="shared" si="2"/>
        <v>B</v>
      </c>
      <c r="H104" s="15" t="str">
        <f t="shared" si="3"/>
        <v>The Commissioner &amp; Chief Constable are satisfied the spend represents VFM in accordance with the requirements of Category B</v>
      </c>
      <c r="I104" s="16"/>
      <c r="J104" s="16"/>
    </row>
    <row r="105" spans="1:10" x14ac:dyDescent="0.2">
      <c r="A105" s="10" t="s">
        <v>8</v>
      </c>
      <c r="B105" s="11" t="s">
        <v>9</v>
      </c>
      <c r="C105" s="13" t="s">
        <v>110</v>
      </c>
      <c r="D105" s="32">
        <v>45365</v>
      </c>
      <c r="E105" s="12">
        <v>11735.5</v>
      </c>
      <c r="F105" s="13" t="s">
        <v>49</v>
      </c>
      <c r="G105" s="14" t="str">
        <f t="shared" si="2"/>
        <v>B</v>
      </c>
      <c r="H105" s="15" t="str">
        <f t="shared" si="3"/>
        <v>The Commissioner &amp; Chief Constable are satisfied the spend represents VFM in accordance with the requirements of Category B</v>
      </c>
      <c r="I105" s="16"/>
      <c r="J105" s="16"/>
    </row>
    <row r="106" spans="1:10" x14ac:dyDescent="0.2">
      <c r="A106" s="10" t="s">
        <v>8</v>
      </c>
      <c r="B106" s="11" t="s">
        <v>9</v>
      </c>
      <c r="C106" s="13" t="s">
        <v>52</v>
      </c>
      <c r="D106" s="32">
        <v>45355</v>
      </c>
      <c r="E106" s="12">
        <v>5064</v>
      </c>
      <c r="F106" s="13" t="s">
        <v>45</v>
      </c>
      <c r="G106" s="14" t="str">
        <f t="shared" si="2"/>
        <v>B</v>
      </c>
      <c r="H106" s="15" t="str">
        <f t="shared" si="3"/>
        <v>The Commissioner &amp; Chief Constable are satisfied the spend represents VFM in accordance with the requirements of Category B</v>
      </c>
      <c r="I106" s="16"/>
      <c r="J106" s="16"/>
    </row>
    <row r="107" spans="1:10" x14ac:dyDescent="0.2">
      <c r="A107" s="10" t="s">
        <v>8</v>
      </c>
      <c r="B107" s="11" t="s">
        <v>9</v>
      </c>
      <c r="C107" s="13" t="s">
        <v>52</v>
      </c>
      <c r="D107" s="32">
        <v>45355</v>
      </c>
      <c r="E107" s="18">
        <v>3485</v>
      </c>
      <c r="F107" s="19" t="s">
        <v>81</v>
      </c>
      <c r="G107" s="14" t="str">
        <f t="shared" si="2"/>
        <v>B</v>
      </c>
      <c r="H107" s="15" t="str">
        <f t="shared" si="3"/>
        <v>The Commissioner &amp; Chief Constable are satisfied the spend represents VFM in accordance with the requirements of Category B</v>
      </c>
      <c r="I107" s="16"/>
      <c r="J107" s="16"/>
    </row>
    <row r="108" spans="1:10" x14ac:dyDescent="0.2">
      <c r="A108" s="10" t="s">
        <v>8</v>
      </c>
      <c r="B108" s="11" t="s">
        <v>9</v>
      </c>
      <c r="C108" s="34" t="s">
        <v>52</v>
      </c>
      <c r="D108" s="32">
        <v>45355</v>
      </c>
      <c r="E108" s="18">
        <v>3154</v>
      </c>
      <c r="F108" s="19" t="s">
        <v>82</v>
      </c>
      <c r="G108" s="14" t="str">
        <f t="shared" si="2"/>
        <v>B</v>
      </c>
      <c r="H108" s="15" t="str">
        <f t="shared" si="3"/>
        <v>The Commissioner &amp; Chief Constable are satisfied the spend represents VFM in accordance with the requirements of Category B</v>
      </c>
      <c r="I108" s="16"/>
      <c r="J108" s="16"/>
    </row>
    <row r="109" spans="1:10" x14ac:dyDescent="0.2">
      <c r="A109" s="10" t="s">
        <v>8</v>
      </c>
      <c r="B109" s="11" t="s">
        <v>9</v>
      </c>
      <c r="C109" s="13" t="s">
        <v>448</v>
      </c>
      <c r="D109" s="32">
        <v>45363</v>
      </c>
      <c r="E109" s="12">
        <v>11662.58</v>
      </c>
      <c r="F109" s="13" t="s">
        <v>27</v>
      </c>
      <c r="G109" s="14" t="str">
        <f t="shared" si="2"/>
        <v>B</v>
      </c>
      <c r="H109" s="15" t="str">
        <f t="shared" si="3"/>
        <v>The Commissioner &amp; Chief Constable are satisfied the spend represents VFM in accordance with the requirements of Category B</v>
      </c>
      <c r="I109" s="16"/>
      <c r="J109" s="16"/>
    </row>
    <row r="110" spans="1:10" x14ac:dyDescent="0.2">
      <c r="A110" s="10" t="s">
        <v>8</v>
      </c>
      <c r="B110" s="11" t="s">
        <v>9</v>
      </c>
      <c r="C110" s="13" t="s">
        <v>146</v>
      </c>
      <c r="D110" s="32">
        <v>45358</v>
      </c>
      <c r="E110" s="12">
        <v>11574.91</v>
      </c>
      <c r="F110" s="13" t="s">
        <v>102</v>
      </c>
      <c r="G110" s="14" t="str">
        <f t="shared" si="2"/>
        <v>B</v>
      </c>
      <c r="H110" s="15" t="str">
        <f t="shared" si="3"/>
        <v>The Commissioner &amp; Chief Constable are satisfied the spend represents VFM in accordance with the requirements of Category B</v>
      </c>
      <c r="I110" s="16"/>
      <c r="J110" s="16"/>
    </row>
    <row r="111" spans="1:10" x14ac:dyDescent="0.2">
      <c r="A111" s="10" t="s">
        <v>8</v>
      </c>
      <c r="B111" s="11" t="s">
        <v>9</v>
      </c>
      <c r="C111" s="13" t="s">
        <v>479</v>
      </c>
      <c r="D111" s="32">
        <v>45369</v>
      </c>
      <c r="E111" s="12">
        <v>11369.8</v>
      </c>
      <c r="F111" s="13" t="s">
        <v>218</v>
      </c>
      <c r="G111" s="14" t="str">
        <f t="shared" si="2"/>
        <v>B</v>
      </c>
      <c r="H111" s="15" t="str">
        <f t="shared" si="3"/>
        <v>The Commissioner &amp; Chief Constable are satisfied the spend represents VFM in accordance with the requirements of Category B</v>
      </c>
      <c r="I111" s="16"/>
      <c r="J111" s="16"/>
    </row>
    <row r="112" spans="1:10" x14ac:dyDescent="0.2">
      <c r="A112" s="10" t="s">
        <v>8</v>
      </c>
      <c r="B112" s="11" t="s">
        <v>9</v>
      </c>
      <c r="C112" s="13" t="s">
        <v>127</v>
      </c>
      <c r="D112" s="32">
        <v>45355</v>
      </c>
      <c r="E112" s="12">
        <v>11253.99</v>
      </c>
      <c r="F112" s="13" t="s">
        <v>49</v>
      </c>
      <c r="G112" s="14" t="str">
        <f t="shared" si="2"/>
        <v>B</v>
      </c>
      <c r="H112" s="15" t="str">
        <f t="shared" si="3"/>
        <v>The Commissioner &amp; Chief Constable are satisfied the spend represents VFM in accordance with the requirements of Category B</v>
      </c>
      <c r="I112" s="16"/>
      <c r="J112" s="16"/>
    </row>
    <row r="113" spans="1:10" x14ac:dyDescent="0.2">
      <c r="A113" s="10" t="s">
        <v>8</v>
      </c>
      <c r="B113" s="11" t="s">
        <v>9</v>
      </c>
      <c r="C113" s="13" t="s">
        <v>113</v>
      </c>
      <c r="D113" s="32">
        <v>45369</v>
      </c>
      <c r="E113" s="12">
        <v>11181.83</v>
      </c>
      <c r="F113" s="13" t="s">
        <v>114</v>
      </c>
      <c r="G113" s="14" t="str">
        <f t="shared" si="2"/>
        <v>B</v>
      </c>
      <c r="H113" s="15" t="str">
        <f t="shared" si="3"/>
        <v>The Commissioner &amp; Chief Constable are satisfied the spend represents VFM in accordance with the requirements of Category B</v>
      </c>
      <c r="I113" s="16"/>
      <c r="J113" s="16"/>
    </row>
    <row r="114" spans="1:10" x14ac:dyDescent="0.2">
      <c r="A114" s="10" t="s">
        <v>8</v>
      </c>
      <c r="B114" s="11" t="s">
        <v>9</v>
      </c>
      <c r="C114" s="13" t="s">
        <v>170</v>
      </c>
      <c r="D114" s="32">
        <v>45362</v>
      </c>
      <c r="E114" s="12">
        <v>11065.63</v>
      </c>
      <c r="F114" s="13" t="s">
        <v>131</v>
      </c>
      <c r="G114" s="14" t="str">
        <f t="shared" si="2"/>
        <v>B</v>
      </c>
      <c r="H114" s="15" t="str">
        <f t="shared" si="3"/>
        <v>The Commissioner &amp; Chief Constable are satisfied the spend represents VFM in accordance with the requirements of Category B</v>
      </c>
      <c r="I114" s="16"/>
      <c r="J114" s="16"/>
    </row>
    <row r="115" spans="1:10" x14ac:dyDescent="0.2">
      <c r="A115" s="10" t="s">
        <v>8</v>
      </c>
      <c r="B115" s="11" t="s">
        <v>9</v>
      </c>
      <c r="C115" s="13" t="s">
        <v>90</v>
      </c>
      <c r="D115" s="32">
        <v>45363</v>
      </c>
      <c r="E115" s="12">
        <v>10276.549999999999</v>
      </c>
      <c r="F115" s="13" t="s">
        <v>91</v>
      </c>
      <c r="G115" s="14" t="str">
        <f t="shared" si="2"/>
        <v>B</v>
      </c>
      <c r="H115" s="15" t="str">
        <f t="shared" si="3"/>
        <v>The Commissioner &amp; Chief Constable are satisfied the spend represents VFM in accordance with the requirements of Category B</v>
      </c>
    </row>
    <row r="116" spans="1:10" x14ac:dyDescent="0.2">
      <c r="A116" s="10" t="s">
        <v>8</v>
      </c>
      <c r="B116" s="11" t="s">
        <v>9</v>
      </c>
      <c r="C116" s="34" t="s">
        <v>478</v>
      </c>
      <c r="D116" s="32">
        <v>45365</v>
      </c>
      <c r="E116" s="12">
        <v>10201.9</v>
      </c>
      <c r="F116" s="13" t="s">
        <v>89</v>
      </c>
      <c r="G116" s="14" t="str">
        <f t="shared" si="2"/>
        <v>B</v>
      </c>
      <c r="H116" s="15" t="str">
        <f t="shared" si="3"/>
        <v>The Commissioner &amp; Chief Constable are satisfied the spend represents VFM in accordance with the requirements of Category B</v>
      </c>
    </row>
    <row r="117" spans="1:10" x14ac:dyDescent="0.2">
      <c r="A117" s="10" t="s">
        <v>8</v>
      </c>
      <c r="B117" s="11" t="s">
        <v>9</v>
      </c>
      <c r="C117" s="13" t="s">
        <v>204</v>
      </c>
      <c r="D117" s="32">
        <v>45371</v>
      </c>
      <c r="E117" s="12">
        <v>10186.36</v>
      </c>
      <c r="F117" s="13" t="s">
        <v>131</v>
      </c>
      <c r="G117" s="14" t="str">
        <f t="shared" si="2"/>
        <v>B</v>
      </c>
      <c r="H117" s="15" t="str">
        <f t="shared" si="3"/>
        <v>The Commissioner &amp; Chief Constable are satisfied the spend represents VFM in accordance with the requirements of Category B</v>
      </c>
    </row>
    <row r="118" spans="1:10" x14ac:dyDescent="0.2">
      <c r="A118" s="10" t="s">
        <v>8</v>
      </c>
      <c r="B118" s="11" t="s">
        <v>9</v>
      </c>
      <c r="C118" s="13" t="s">
        <v>44</v>
      </c>
      <c r="D118" s="32">
        <v>45356</v>
      </c>
      <c r="E118" s="12">
        <v>1986</v>
      </c>
      <c r="F118" s="13" t="s">
        <v>45</v>
      </c>
      <c r="G118" s="14" t="str">
        <f t="shared" si="2"/>
        <v>B</v>
      </c>
      <c r="H118" s="15" t="str">
        <f t="shared" si="3"/>
        <v>The Commissioner &amp; Chief Constable are satisfied the spend represents VFM in accordance with the requirements of Category B</v>
      </c>
    </row>
    <row r="119" spans="1:10" x14ac:dyDescent="0.2">
      <c r="A119" s="10" t="s">
        <v>8</v>
      </c>
      <c r="B119" s="11" t="s">
        <v>9</v>
      </c>
      <c r="C119" s="13" t="s">
        <v>44</v>
      </c>
      <c r="D119" s="32">
        <v>45356</v>
      </c>
      <c r="E119" s="18">
        <v>5875</v>
      </c>
      <c r="F119" s="19" t="s">
        <v>81</v>
      </c>
      <c r="G119" s="14" t="str">
        <f t="shared" si="2"/>
        <v>B</v>
      </c>
      <c r="H119" s="15" t="str">
        <f t="shared" si="3"/>
        <v>The Commissioner &amp; Chief Constable are satisfied the spend represents VFM in accordance with the requirements of Category B</v>
      </c>
    </row>
    <row r="120" spans="1:10" x14ac:dyDescent="0.2">
      <c r="A120" s="10" t="s">
        <v>8</v>
      </c>
      <c r="B120" s="11" t="s">
        <v>9</v>
      </c>
      <c r="C120" s="13" t="s">
        <v>44</v>
      </c>
      <c r="D120" s="32">
        <v>45356</v>
      </c>
      <c r="E120" s="18">
        <v>2262</v>
      </c>
      <c r="F120" s="19" t="s">
        <v>82</v>
      </c>
      <c r="G120" s="14" t="str">
        <f t="shared" si="2"/>
        <v>B</v>
      </c>
      <c r="H120" s="15" t="str">
        <f t="shared" si="3"/>
        <v>The Commissioner &amp; Chief Constable are satisfied the spend represents VFM in accordance with the requirements of Category B</v>
      </c>
    </row>
    <row r="121" spans="1:10" x14ac:dyDescent="0.2">
      <c r="A121" s="10" t="s">
        <v>8</v>
      </c>
      <c r="B121" s="11" t="s">
        <v>9</v>
      </c>
      <c r="C121" s="13" t="s">
        <v>477</v>
      </c>
      <c r="D121" s="32">
        <v>45358</v>
      </c>
      <c r="E121" s="12">
        <v>10000</v>
      </c>
      <c r="F121" s="13" t="s">
        <v>22</v>
      </c>
      <c r="G121" s="14" t="str">
        <f t="shared" si="2"/>
        <v>B</v>
      </c>
      <c r="H121" s="15" t="str">
        <f t="shared" si="3"/>
        <v>The Commissioner &amp; Chief Constable are satisfied the spend represents VFM in accordance with the requirements of Category B</v>
      </c>
    </row>
    <row r="122" spans="1:10" x14ac:dyDescent="0.2">
      <c r="A122" s="10" t="s">
        <v>8</v>
      </c>
      <c r="B122" s="11" t="s">
        <v>9</v>
      </c>
      <c r="C122" s="13" t="s">
        <v>121</v>
      </c>
      <c r="D122" s="32">
        <v>45354</v>
      </c>
      <c r="E122" s="12">
        <v>9995.2000000000007</v>
      </c>
      <c r="F122" s="13" t="s">
        <v>122</v>
      </c>
      <c r="G122" s="14" t="str">
        <f t="shared" si="2"/>
        <v>B</v>
      </c>
      <c r="H122" s="15" t="str">
        <f t="shared" si="3"/>
        <v>The Commissioner &amp; Chief Constable are satisfied the spend represents VFM in accordance with the requirements of Category B</v>
      </c>
    </row>
    <row r="123" spans="1:10" x14ac:dyDescent="0.2">
      <c r="A123" s="10" t="s">
        <v>8</v>
      </c>
      <c r="B123" s="11" t="s">
        <v>9</v>
      </c>
      <c r="C123" s="13" t="s">
        <v>476</v>
      </c>
      <c r="D123" s="32">
        <v>45364</v>
      </c>
      <c r="E123" s="12">
        <v>9877</v>
      </c>
      <c r="F123" s="13" t="s">
        <v>27</v>
      </c>
      <c r="G123" s="14" t="str">
        <f t="shared" si="2"/>
        <v>B</v>
      </c>
      <c r="H123" s="15" t="str">
        <f t="shared" si="3"/>
        <v>The Commissioner &amp; Chief Constable are satisfied the spend represents VFM in accordance with the requirements of Category B</v>
      </c>
    </row>
    <row r="124" spans="1:10" x14ac:dyDescent="0.2">
      <c r="A124" s="10" t="s">
        <v>8</v>
      </c>
      <c r="B124" s="11" t="s">
        <v>9</v>
      </c>
      <c r="C124" s="13" t="s">
        <v>26</v>
      </c>
      <c r="D124" s="32">
        <v>45364</v>
      </c>
      <c r="E124" s="12">
        <v>9522.9</v>
      </c>
      <c r="F124" s="13" t="s">
        <v>76</v>
      </c>
      <c r="G124" s="14" t="str">
        <f t="shared" si="2"/>
        <v>B</v>
      </c>
      <c r="H124" s="15" t="str">
        <f t="shared" si="3"/>
        <v>The Commissioner &amp; Chief Constable are satisfied the spend represents VFM in accordance with the requirements of Category B</v>
      </c>
    </row>
    <row r="125" spans="1:10" x14ac:dyDescent="0.2">
      <c r="A125" s="10" t="s">
        <v>8</v>
      </c>
      <c r="B125" s="11" t="s">
        <v>9</v>
      </c>
      <c r="C125" s="13" t="s">
        <v>85</v>
      </c>
      <c r="D125" s="32">
        <v>45379</v>
      </c>
      <c r="E125" s="12">
        <v>9456</v>
      </c>
      <c r="F125" s="13" t="s">
        <v>27</v>
      </c>
      <c r="G125" s="14" t="str">
        <f t="shared" si="2"/>
        <v>B</v>
      </c>
      <c r="H125" s="15" t="str">
        <f t="shared" si="3"/>
        <v>The Commissioner &amp; Chief Constable are satisfied the spend represents VFM in accordance with the requirements of Category B</v>
      </c>
    </row>
    <row r="126" spans="1:10" x14ac:dyDescent="0.2">
      <c r="A126" s="10" t="s">
        <v>8</v>
      </c>
      <c r="B126" s="11" t="s">
        <v>9</v>
      </c>
      <c r="C126" s="13" t="s">
        <v>475</v>
      </c>
      <c r="D126" s="32">
        <v>45352</v>
      </c>
      <c r="E126" s="12">
        <v>9427</v>
      </c>
      <c r="F126" s="13" t="s">
        <v>22</v>
      </c>
      <c r="G126" s="14" t="str">
        <f t="shared" si="2"/>
        <v>B</v>
      </c>
      <c r="H126" s="15" t="str">
        <f t="shared" si="3"/>
        <v>The Commissioner &amp; Chief Constable are satisfied the spend represents VFM in accordance with the requirements of Category B</v>
      </c>
    </row>
    <row r="127" spans="1:10" x14ac:dyDescent="0.2">
      <c r="A127" s="10" t="s">
        <v>8</v>
      </c>
      <c r="B127" s="11" t="s">
        <v>9</v>
      </c>
      <c r="C127" s="13" t="s">
        <v>121</v>
      </c>
      <c r="D127" s="32">
        <v>45356</v>
      </c>
      <c r="E127" s="12">
        <v>9414</v>
      </c>
      <c r="F127" s="13" t="s">
        <v>122</v>
      </c>
      <c r="G127" s="14" t="str">
        <f t="shared" si="2"/>
        <v>B</v>
      </c>
      <c r="H127" s="15" t="str">
        <f t="shared" si="3"/>
        <v>The Commissioner &amp; Chief Constable are satisfied the spend represents VFM in accordance with the requirements of Category B</v>
      </c>
    </row>
    <row r="128" spans="1:10" x14ac:dyDescent="0.2">
      <c r="A128" s="10" t="s">
        <v>8</v>
      </c>
      <c r="B128" s="11" t="s">
        <v>9</v>
      </c>
      <c r="C128" s="13" t="s">
        <v>90</v>
      </c>
      <c r="D128" s="32">
        <v>45377</v>
      </c>
      <c r="E128" s="12">
        <v>9343.33</v>
      </c>
      <c r="F128" s="13" t="s">
        <v>91</v>
      </c>
      <c r="G128" s="14" t="str">
        <f t="shared" si="2"/>
        <v>B</v>
      </c>
      <c r="H128" s="15" t="str">
        <f t="shared" si="3"/>
        <v>The Commissioner &amp; Chief Constable are satisfied the spend represents VFM in accordance with the requirements of Category B</v>
      </c>
    </row>
    <row r="129" spans="1:12" x14ac:dyDescent="0.2">
      <c r="A129" s="10" t="s">
        <v>8</v>
      </c>
      <c r="B129" s="11" t="s">
        <v>9</v>
      </c>
      <c r="C129" s="13" t="s">
        <v>26</v>
      </c>
      <c r="D129" s="32">
        <v>45355</v>
      </c>
      <c r="E129" s="12">
        <v>9297.19</v>
      </c>
      <c r="F129" s="13" t="s">
        <v>88</v>
      </c>
      <c r="G129" s="14" t="str">
        <f t="shared" si="2"/>
        <v>B</v>
      </c>
      <c r="H129" s="15" t="str">
        <f t="shared" si="3"/>
        <v>The Commissioner &amp; Chief Constable are satisfied the spend represents VFM in accordance with the requirements of Category B</v>
      </c>
    </row>
    <row r="130" spans="1:12" x14ac:dyDescent="0.2">
      <c r="A130" s="10" t="s">
        <v>8</v>
      </c>
      <c r="B130" s="11" t="s">
        <v>9</v>
      </c>
      <c r="C130" s="34" t="s">
        <v>474</v>
      </c>
      <c r="D130" s="32">
        <v>45380</v>
      </c>
      <c r="E130" s="12">
        <v>9191.51</v>
      </c>
      <c r="F130" s="13" t="s">
        <v>80</v>
      </c>
      <c r="G130" s="14" t="str">
        <f t="shared" ref="G130:G193" si="4">IF(E130&gt;25000,"C",IF(E130&gt;1000,"B","A"))</f>
        <v>B</v>
      </c>
      <c r="H130" s="15" t="str">
        <f t="shared" ref="H130:H193" si="5">VLOOKUP(G130,$K$2:$L$4,2,FALSE)</f>
        <v>The Commissioner &amp; Chief Constable are satisfied the spend represents VFM in accordance with the requirements of Category B</v>
      </c>
    </row>
    <row r="131" spans="1:12" x14ac:dyDescent="0.2">
      <c r="A131" s="10" t="s">
        <v>8</v>
      </c>
      <c r="B131" s="11" t="s">
        <v>9</v>
      </c>
      <c r="C131" s="34" t="s">
        <v>473</v>
      </c>
      <c r="D131" s="32">
        <v>45370</v>
      </c>
      <c r="E131" s="12">
        <v>9150</v>
      </c>
      <c r="F131" s="13" t="s">
        <v>177</v>
      </c>
      <c r="G131" s="14" t="str">
        <f t="shared" si="4"/>
        <v>B</v>
      </c>
      <c r="H131" s="15" t="str">
        <f t="shared" si="5"/>
        <v>The Commissioner &amp; Chief Constable are satisfied the spend represents VFM in accordance with the requirements of Category B</v>
      </c>
    </row>
    <row r="132" spans="1:12" x14ac:dyDescent="0.2">
      <c r="A132" s="10" t="s">
        <v>8</v>
      </c>
      <c r="B132" s="11" t="s">
        <v>9</v>
      </c>
      <c r="C132" s="13" t="s">
        <v>472</v>
      </c>
      <c r="D132" s="32">
        <v>45364</v>
      </c>
      <c r="E132" s="12">
        <v>9000</v>
      </c>
      <c r="F132" s="13" t="s">
        <v>27</v>
      </c>
      <c r="G132" s="14" t="str">
        <f t="shared" si="4"/>
        <v>B</v>
      </c>
      <c r="H132" s="15" t="str">
        <f t="shared" si="5"/>
        <v>The Commissioner &amp; Chief Constable are satisfied the spend represents VFM in accordance with the requirements of Category B</v>
      </c>
    </row>
    <row r="133" spans="1:12" s="20" customFormat="1" x14ac:dyDescent="0.2">
      <c r="A133" s="10" t="s">
        <v>8</v>
      </c>
      <c r="B133" s="11" t="s">
        <v>9</v>
      </c>
      <c r="C133" s="13" t="s">
        <v>147</v>
      </c>
      <c r="D133" s="32">
        <v>45377</v>
      </c>
      <c r="E133" s="12">
        <v>8872</v>
      </c>
      <c r="F133" s="13" t="s">
        <v>91</v>
      </c>
      <c r="G133" s="14" t="str">
        <f t="shared" si="4"/>
        <v>B</v>
      </c>
      <c r="H133" s="15" t="str">
        <f t="shared" si="5"/>
        <v>The Commissioner &amp; Chief Constable are satisfied the spend represents VFM in accordance with the requirements of Category B</v>
      </c>
      <c r="K133" s="17"/>
      <c r="L133" s="17"/>
    </row>
    <row r="134" spans="1:12" s="20" customFormat="1" x14ac:dyDescent="0.2">
      <c r="A134" s="10" t="s">
        <v>8</v>
      </c>
      <c r="B134" s="11" t="s">
        <v>9</v>
      </c>
      <c r="C134" s="13" t="s">
        <v>139</v>
      </c>
      <c r="D134" s="32">
        <v>45377</v>
      </c>
      <c r="E134" s="12">
        <v>8855.49</v>
      </c>
      <c r="F134" s="13" t="s">
        <v>39</v>
      </c>
      <c r="G134" s="14" t="str">
        <f t="shared" si="4"/>
        <v>B</v>
      </c>
      <c r="H134" s="15" t="str">
        <f t="shared" si="5"/>
        <v>The Commissioner &amp; Chief Constable are satisfied the spend represents VFM in accordance with the requirements of Category B</v>
      </c>
      <c r="K134" s="17"/>
      <c r="L134" s="17"/>
    </row>
    <row r="135" spans="1:12" s="20" customFormat="1" x14ac:dyDescent="0.2">
      <c r="A135" s="10" t="s">
        <v>8</v>
      </c>
      <c r="B135" s="11" t="s">
        <v>9</v>
      </c>
      <c r="C135" s="13" t="s">
        <v>100</v>
      </c>
      <c r="D135" s="32">
        <v>45373</v>
      </c>
      <c r="E135" s="12">
        <v>8678.2099999999991</v>
      </c>
      <c r="F135" s="13" t="s">
        <v>38</v>
      </c>
      <c r="G135" s="14" t="str">
        <f t="shared" si="4"/>
        <v>B</v>
      </c>
      <c r="H135" s="15" t="str">
        <f t="shared" si="5"/>
        <v>The Commissioner &amp; Chief Constable are satisfied the spend represents VFM in accordance with the requirements of Category B</v>
      </c>
      <c r="K135" s="17"/>
      <c r="L135" s="17"/>
    </row>
    <row r="136" spans="1:12" s="20" customFormat="1" x14ac:dyDescent="0.2">
      <c r="A136" s="10" t="s">
        <v>8</v>
      </c>
      <c r="B136" s="11" t="s">
        <v>9</v>
      </c>
      <c r="C136" s="13" t="s">
        <v>130</v>
      </c>
      <c r="D136" s="32">
        <v>45377</v>
      </c>
      <c r="E136" s="12">
        <v>8387.9500000000007</v>
      </c>
      <c r="F136" s="13" t="s">
        <v>39</v>
      </c>
      <c r="G136" s="14" t="str">
        <f t="shared" si="4"/>
        <v>B</v>
      </c>
      <c r="H136" s="15" t="str">
        <f t="shared" si="5"/>
        <v>The Commissioner &amp; Chief Constable are satisfied the spend represents VFM in accordance with the requirements of Category B</v>
      </c>
      <c r="K136" s="17"/>
      <c r="L136" s="17"/>
    </row>
    <row r="137" spans="1:12" s="20" customFormat="1" x14ac:dyDescent="0.2">
      <c r="A137" s="10" t="s">
        <v>8</v>
      </c>
      <c r="B137" s="11" t="s">
        <v>9</v>
      </c>
      <c r="C137" s="34" t="s">
        <v>109</v>
      </c>
      <c r="D137" s="32">
        <v>45363</v>
      </c>
      <c r="E137" s="12">
        <v>8371.92</v>
      </c>
      <c r="F137" s="13" t="s">
        <v>27</v>
      </c>
      <c r="G137" s="14" t="str">
        <f t="shared" si="4"/>
        <v>B</v>
      </c>
      <c r="H137" s="15" t="str">
        <f t="shared" si="5"/>
        <v>The Commissioner &amp; Chief Constable are satisfied the spend represents VFM in accordance with the requirements of Category B</v>
      </c>
      <c r="K137" s="17"/>
      <c r="L137" s="17"/>
    </row>
    <row r="138" spans="1:12" s="20" customFormat="1" x14ac:dyDescent="0.2">
      <c r="A138" s="10" t="s">
        <v>8</v>
      </c>
      <c r="B138" s="11" t="s">
        <v>9</v>
      </c>
      <c r="C138" s="13" t="s">
        <v>471</v>
      </c>
      <c r="D138" s="32">
        <v>45376</v>
      </c>
      <c r="E138" s="12">
        <v>8292.9699999999993</v>
      </c>
      <c r="F138" s="13" t="s">
        <v>251</v>
      </c>
      <c r="G138" s="14" t="str">
        <f t="shared" si="4"/>
        <v>B</v>
      </c>
      <c r="H138" s="15" t="str">
        <f t="shared" si="5"/>
        <v>The Commissioner &amp; Chief Constable are satisfied the spend represents VFM in accordance with the requirements of Category B</v>
      </c>
      <c r="K138" s="17"/>
      <c r="L138" s="17"/>
    </row>
    <row r="139" spans="1:12" s="20" customFormat="1" x14ac:dyDescent="0.2">
      <c r="A139" s="10" t="s">
        <v>8</v>
      </c>
      <c r="B139" s="11" t="s">
        <v>9</v>
      </c>
      <c r="C139" s="13" t="s">
        <v>127</v>
      </c>
      <c r="D139" s="32">
        <v>45379</v>
      </c>
      <c r="E139" s="12">
        <v>8060.14</v>
      </c>
      <c r="F139" s="13" t="s">
        <v>49</v>
      </c>
      <c r="G139" s="14" t="str">
        <f t="shared" si="4"/>
        <v>B</v>
      </c>
      <c r="H139" s="15" t="str">
        <f t="shared" si="5"/>
        <v>The Commissioner &amp; Chief Constable are satisfied the spend represents VFM in accordance with the requirements of Category B</v>
      </c>
      <c r="K139" s="17"/>
      <c r="L139" s="17"/>
    </row>
    <row r="140" spans="1:12" s="20" customFormat="1" x14ac:dyDescent="0.2">
      <c r="A140" s="10" t="s">
        <v>8</v>
      </c>
      <c r="B140" s="11" t="s">
        <v>9</v>
      </c>
      <c r="C140" s="13" t="s">
        <v>128</v>
      </c>
      <c r="D140" s="32">
        <v>45362</v>
      </c>
      <c r="E140" s="12">
        <v>7956</v>
      </c>
      <c r="F140" s="13" t="s">
        <v>129</v>
      </c>
      <c r="G140" s="14" t="str">
        <f t="shared" si="4"/>
        <v>B</v>
      </c>
      <c r="H140" s="15" t="str">
        <f t="shared" si="5"/>
        <v>The Commissioner &amp; Chief Constable are satisfied the spend represents VFM in accordance with the requirements of Category B</v>
      </c>
      <c r="K140" s="17"/>
      <c r="L140" s="17"/>
    </row>
    <row r="141" spans="1:12" s="20" customFormat="1" x14ac:dyDescent="0.2">
      <c r="A141" s="10" t="s">
        <v>8</v>
      </c>
      <c r="B141" s="11" t="s">
        <v>9</v>
      </c>
      <c r="C141" s="13" t="s">
        <v>126</v>
      </c>
      <c r="D141" s="32">
        <v>45359</v>
      </c>
      <c r="E141" s="12">
        <v>7917.68</v>
      </c>
      <c r="F141" s="13" t="s">
        <v>41</v>
      </c>
      <c r="G141" s="14" t="str">
        <f t="shared" si="4"/>
        <v>B</v>
      </c>
      <c r="H141" s="15" t="str">
        <f t="shared" si="5"/>
        <v>The Commissioner &amp; Chief Constable are satisfied the spend represents VFM in accordance with the requirements of Category B</v>
      </c>
      <c r="K141" s="17"/>
      <c r="L141" s="17"/>
    </row>
    <row r="142" spans="1:12" s="20" customFormat="1" x14ac:dyDescent="0.2">
      <c r="A142" s="10" t="s">
        <v>8</v>
      </c>
      <c r="B142" s="11" t="s">
        <v>9</v>
      </c>
      <c r="C142" s="13" t="s">
        <v>119</v>
      </c>
      <c r="D142" s="32">
        <v>45371</v>
      </c>
      <c r="E142" s="12">
        <v>7852.08</v>
      </c>
      <c r="F142" s="13" t="s">
        <v>120</v>
      </c>
      <c r="G142" s="14" t="str">
        <f t="shared" si="4"/>
        <v>B</v>
      </c>
      <c r="H142" s="15" t="str">
        <f t="shared" si="5"/>
        <v>The Commissioner &amp; Chief Constable are satisfied the spend represents VFM in accordance with the requirements of Category B</v>
      </c>
      <c r="K142" s="17"/>
      <c r="L142" s="17"/>
    </row>
    <row r="143" spans="1:12" s="20" customFormat="1" x14ac:dyDescent="0.2">
      <c r="A143" s="10" t="s">
        <v>8</v>
      </c>
      <c r="B143" s="11" t="s">
        <v>9</v>
      </c>
      <c r="C143" s="13" t="s">
        <v>470</v>
      </c>
      <c r="D143" s="32">
        <v>45373</v>
      </c>
      <c r="E143" s="12">
        <v>7785.78</v>
      </c>
      <c r="F143" s="13" t="s">
        <v>131</v>
      </c>
      <c r="G143" s="14" t="str">
        <f t="shared" si="4"/>
        <v>B</v>
      </c>
      <c r="H143" s="15" t="str">
        <f t="shared" si="5"/>
        <v>The Commissioner &amp; Chief Constable are satisfied the spend represents VFM in accordance with the requirements of Category B</v>
      </c>
      <c r="K143" s="17"/>
      <c r="L143" s="17"/>
    </row>
    <row r="144" spans="1:12" s="20" customFormat="1" x14ac:dyDescent="0.2">
      <c r="A144" s="10" t="s">
        <v>8</v>
      </c>
      <c r="B144" s="11" t="s">
        <v>9</v>
      </c>
      <c r="C144" s="13" t="s">
        <v>301</v>
      </c>
      <c r="D144" s="32">
        <v>45357</v>
      </c>
      <c r="E144" s="12">
        <v>7780</v>
      </c>
      <c r="F144" s="13" t="s">
        <v>131</v>
      </c>
      <c r="G144" s="14" t="str">
        <f t="shared" si="4"/>
        <v>B</v>
      </c>
      <c r="H144" s="15" t="str">
        <f t="shared" si="5"/>
        <v>The Commissioner &amp; Chief Constable are satisfied the spend represents VFM in accordance with the requirements of Category B</v>
      </c>
      <c r="K144" s="17"/>
      <c r="L144" s="17"/>
    </row>
    <row r="145" spans="1:12" s="20" customFormat="1" x14ac:dyDescent="0.2">
      <c r="A145" s="10" t="s">
        <v>8</v>
      </c>
      <c r="B145" s="11" t="s">
        <v>9</v>
      </c>
      <c r="C145" s="34" t="s">
        <v>469</v>
      </c>
      <c r="D145" s="32">
        <v>45357</v>
      </c>
      <c r="E145" s="12">
        <v>7770</v>
      </c>
      <c r="F145" s="13" t="s">
        <v>94</v>
      </c>
      <c r="G145" s="14" t="str">
        <f t="shared" si="4"/>
        <v>B</v>
      </c>
      <c r="H145" s="15" t="str">
        <f t="shared" si="5"/>
        <v>The Commissioner &amp; Chief Constable are satisfied the spend represents VFM in accordance with the requirements of Category B</v>
      </c>
      <c r="K145" s="17"/>
      <c r="L145" s="17"/>
    </row>
    <row r="146" spans="1:12" s="20" customFormat="1" x14ac:dyDescent="0.2">
      <c r="A146" s="10" t="s">
        <v>8</v>
      </c>
      <c r="B146" s="11" t="s">
        <v>9</v>
      </c>
      <c r="C146" s="13" t="s">
        <v>130</v>
      </c>
      <c r="D146" s="32">
        <v>45377</v>
      </c>
      <c r="E146" s="12">
        <v>7525</v>
      </c>
      <c r="F146" s="13" t="s">
        <v>38</v>
      </c>
      <c r="G146" s="14" t="str">
        <f t="shared" si="4"/>
        <v>B</v>
      </c>
      <c r="H146" s="15" t="str">
        <f t="shared" si="5"/>
        <v>The Commissioner &amp; Chief Constable are satisfied the spend represents VFM in accordance with the requirements of Category B</v>
      </c>
      <c r="K146" s="17"/>
      <c r="L146" s="17"/>
    </row>
    <row r="147" spans="1:12" s="20" customFormat="1" x14ac:dyDescent="0.2">
      <c r="A147" s="10" t="s">
        <v>8</v>
      </c>
      <c r="B147" s="11" t="s">
        <v>9</v>
      </c>
      <c r="C147" s="13" t="s">
        <v>124</v>
      </c>
      <c r="D147" s="32">
        <v>45363</v>
      </c>
      <c r="E147" s="12">
        <v>7370.64</v>
      </c>
      <c r="F147" s="13" t="s">
        <v>91</v>
      </c>
      <c r="G147" s="14" t="str">
        <f t="shared" si="4"/>
        <v>B</v>
      </c>
      <c r="H147" s="15" t="str">
        <f t="shared" si="5"/>
        <v>The Commissioner &amp; Chief Constable are satisfied the spend represents VFM in accordance with the requirements of Category B</v>
      </c>
      <c r="K147" s="17"/>
      <c r="L147" s="17"/>
    </row>
    <row r="148" spans="1:12" s="20" customFormat="1" x14ac:dyDescent="0.2">
      <c r="A148" s="10" t="s">
        <v>8</v>
      </c>
      <c r="B148" s="11" t="s">
        <v>9</v>
      </c>
      <c r="C148" s="34" t="s">
        <v>74</v>
      </c>
      <c r="D148" s="32">
        <v>45371</v>
      </c>
      <c r="E148" s="12">
        <v>7318.8</v>
      </c>
      <c r="F148" s="13" t="s">
        <v>177</v>
      </c>
      <c r="G148" s="14" t="str">
        <f t="shared" si="4"/>
        <v>B</v>
      </c>
      <c r="H148" s="15" t="str">
        <f t="shared" si="5"/>
        <v>The Commissioner &amp; Chief Constable are satisfied the spend represents VFM in accordance with the requirements of Category B</v>
      </c>
      <c r="K148" s="17"/>
      <c r="L148" s="17"/>
    </row>
    <row r="149" spans="1:12" s="20" customFormat="1" x14ac:dyDescent="0.2">
      <c r="A149" s="10" t="s">
        <v>8</v>
      </c>
      <c r="B149" s="11" t="s">
        <v>9</v>
      </c>
      <c r="C149" s="34" t="s">
        <v>124</v>
      </c>
      <c r="D149" s="32">
        <v>45357</v>
      </c>
      <c r="E149" s="12">
        <v>7283.7</v>
      </c>
      <c r="F149" s="13" t="s">
        <v>91</v>
      </c>
      <c r="G149" s="14" t="str">
        <f t="shared" si="4"/>
        <v>B</v>
      </c>
      <c r="H149" s="15" t="str">
        <f t="shared" si="5"/>
        <v>The Commissioner &amp; Chief Constable are satisfied the spend represents VFM in accordance with the requirements of Category B</v>
      </c>
      <c r="K149" s="17"/>
      <c r="L149" s="17"/>
    </row>
    <row r="150" spans="1:12" s="20" customFormat="1" x14ac:dyDescent="0.2">
      <c r="A150" s="10" t="s">
        <v>8</v>
      </c>
      <c r="B150" s="11" t="s">
        <v>9</v>
      </c>
      <c r="C150" s="13" t="s">
        <v>468</v>
      </c>
      <c r="D150" s="32">
        <v>45364</v>
      </c>
      <c r="E150" s="12">
        <v>7056.41</v>
      </c>
      <c r="F150" s="13" t="s">
        <v>27</v>
      </c>
      <c r="G150" s="14" t="str">
        <f t="shared" si="4"/>
        <v>B</v>
      </c>
      <c r="H150" s="15" t="str">
        <f t="shared" si="5"/>
        <v>The Commissioner &amp; Chief Constable are satisfied the spend represents VFM in accordance with the requirements of Category B</v>
      </c>
      <c r="K150" s="17"/>
      <c r="L150" s="17"/>
    </row>
    <row r="151" spans="1:12" s="20" customFormat="1" x14ac:dyDescent="0.2">
      <c r="A151" s="10" t="s">
        <v>8</v>
      </c>
      <c r="B151" s="11" t="s">
        <v>9</v>
      </c>
      <c r="C151" s="13" t="s">
        <v>28</v>
      </c>
      <c r="D151" s="32">
        <v>45362</v>
      </c>
      <c r="E151" s="12">
        <v>7007.64</v>
      </c>
      <c r="F151" s="13" t="s">
        <v>131</v>
      </c>
      <c r="G151" s="14" t="str">
        <f t="shared" si="4"/>
        <v>B</v>
      </c>
      <c r="H151" s="15" t="str">
        <f t="shared" si="5"/>
        <v>The Commissioner &amp; Chief Constable are satisfied the spend represents VFM in accordance with the requirements of Category B</v>
      </c>
      <c r="K151" s="17"/>
      <c r="L151" s="17"/>
    </row>
    <row r="152" spans="1:12" s="20" customFormat="1" x14ac:dyDescent="0.2">
      <c r="A152" s="10" t="s">
        <v>8</v>
      </c>
      <c r="B152" s="11" t="s">
        <v>9</v>
      </c>
      <c r="C152" s="13" t="s">
        <v>467</v>
      </c>
      <c r="D152" s="32">
        <v>45359</v>
      </c>
      <c r="E152" s="12">
        <v>7000</v>
      </c>
      <c r="F152" s="13" t="s">
        <v>131</v>
      </c>
      <c r="G152" s="14" t="str">
        <f t="shared" si="4"/>
        <v>B</v>
      </c>
      <c r="H152" s="15" t="str">
        <f t="shared" si="5"/>
        <v>The Commissioner &amp; Chief Constable are satisfied the spend represents VFM in accordance with the requirements of Category B</v>
      </c>
      <c r="K152" s="17"/>
      <c r="L152" s="17"/>
    </row>
    <row r="153" spans="1:12" s="20" customFormat="1" x14ac:dyDescent="0.2">
      <c r="A153" s="10" t="s">
        <v>8</v>
      </c>
      <c r="B153" s="11" t="s">
        <v>9</v>
      </c>
      <c r="C153" s="13" t="s">
        <v>466</v>
      </c>
      <c r="D153" s="32">
        <v>45358</v>
      </c>
      <c r="E153" s="12">
        <v>6825</v>
      </c>
      <c r="F153" s="13" t="s">
        <v>22</v>
      </c>
      <c r="G153" s="14" t="str">
        <f t="shared" si="4"/>
        <v>B</v>
      </c>
      <c r="H153" s="15" t="str">
        <f t="shared" si="5"/>
        <v>The Commissioner &amp; Chief Constable are satisfied the spend represents VFM in accordance with the requirements of Category B</v>
      </c>
      <c r="K153" s="17"/>
      <c r="L153" s="17"/>
    </row>
    <row r="154" spans="1:12" s="20" customFormat="1" x14ac:dyDescent="0.2">
      <c r="A154" s="10" t="s">
        <v>8</v>
      </c>
      <c r="B154" s="11" t="s">
        <v>9</v>
      </c>
      <c r="C154" s="13" t="s">
        <v>48</v>
      </c>
      <c r="D154" s="32">
        <v>45372</v>
      </c>
      <c r="E154" s="12">
        <v>6661.49</v>
      </c>
      <c r="F154" s="13" t="s">
        <v>58</v>
      </c>
      <c r="G154" s="14" t="str">
        <f t="shared" si="4"/>
        <v>B</v>
      </c>
      <c r="H154" s="15" t="str">
        <f t="shared" si="5"/>
        <v>The Commissioner &amp; Chief Constable are satisfied the spend represents VFM in accordance with the requirements of Category B</v>
      </c>
      <c r="K154" s="17"/>
      <c r="L154" s="17"/>
    </row>
    <row r="155" spans="1:12" s="20" customFormat="1" x14ac:dyDescent="0.2">
      <c r="A155" s="10" t="s">
        <v>8</v>
      </c>
      <c r="B155" s="11" t="s">
        <v>9</v>
      </c>
      <c r="C155" s="13" t="s">
        <v>465</v>
      </c>
      <c r="D155" s="32">
        <v>45359</v>
      </c>
      <c r="E155" s="12">
        <v>6468</v>
      </c>
      <c r="F155" s="13" t="s">
        <v>15</v>
      </c>
      <c r="G155" s="14" t="str">
        <f t="shared" si="4"/>
        <v>B</v>
      </c>
      <c r="H155" s="15" t="str">
        <f t="shared" si="5"/>
        <v>The Commissioner &amp; Chief Constable are satisfied the spend represents VFM in accordance with the requirements of Category B</v>
      </c>
      <c r="K155" s="17"/>
      <c r="L155" s="17"/>
    </row>
    <row r="156" spans="1:12" s="20" customFormat="1" x14ac:dyDescent="0.2">
      <c r="A156" s="10" t="s">
        <v>8</v>
      </c>
      <c r="B156" s="11" t="s">
        <v>9</v>
      </c>
      <c r="C156" s="13" t="s">
        <v>181</v>
      </c>
      <c r="D156" s="32">
        <v>45379</v>
      </c>
      <c r="E156" s="12">
        <v>6414.5</v>
      </c>
      <c r="F156" s="13" t="s">
        <v>106</v>
      </c>
      <c r="G156" s="14" t="str">
        <f t="shared" si="4"/>
        <v>B</v>
      </c>
      <c r="H156" s="15" t="str">
        <f t="shared" si="5"/>
        <v>The Commissioner &amp; Chief Constable are satisfied the spend represents VFM in accordance with the requirements of Category B</v>
      </c>
      <c r="K156" s="17"/>
      <c r="L156" s="17"/>
    </row>
    <row r="157" spans="1:12" s="20" customFormat="1" x14ac:dyDescent="0.2">
      <c r="A157" s="10" t="s">
        <v>8</v>
      </c>
      <c r="B157" s="11" t="s">
        <v>9</v>
      </c>
      <c r="C157" s="13" t="s">
        <v>464</v>
      </c>
      <c r="D157" s="32">
        <v>45363</v>
      </c>
      <c r="E157" s="12">
        <v>6311.88</v>
      </c>
      <c r="F157" s="13" t="s">
        <v>131</v>
      </c>
      <c r="G157" s="14" t="str">
        <f t="shared" si="4"/>
        <v>B</v>
      </c>
      <c r="H157" s="15" t="str">
        <f t="shared" si="5"/>
        <v>The Commissioner &amp; Chief Constable are satisfied the spend represents VFM in accordance with the requirements of Category B</v>
      </c>
      <c r="K157" s="17"/>
      <c r="L157" s="17"/>
    </row>
    <row r="158" spans="1:12" s="20" customFormat="1" x14ac:dyDescent="0.2">
      <c r="A158" s="10" t="s">
        <v>8</v>
      </c>
      <c r="B158" s="11" t="s">
        <v>9</v>
      </c>
      <c r="C158" s="13" t="s">
        <v>179</v>
      </c>
      <c r="D158" s="32">
        <v>45352</v>
      </c>
      <c r="E158" s="12">
        <v>6300</v>
      </c>
      <c r="F158" s="13" t="s">
        <v>49</v>
      </c>
      <c r="G158" s="14" t="str">
        <f t="shared" si="4"/>
        <v>B</v>
      </c>
      <c r="H158" s="15" t="str">
        <f t="shared" si="5"/>
        <v>The Commissioner &amp; Chief Constable are satisfied the spend represents VFM in accordance with the requirements of Category B</v>
      </c>
      <c r="K158" s="17"/>
      <c r="L158" s="17"/>
    </row>
    <row r="159" spans="1:12" s="20" customFormat="1" x14ac:dyDescent="0.2">
      <c r="A159" s="10" t="s">
        <v>8</v>
      </c>
      <c r="B159" s="11" t="s">
        <v>9</v>
      </c>
      <c r="C159" s="13" t="s">
        <v>74</v>
      </c>
      <c r="D159" s="32">
        <v>45357</v>
      </c>
      <c r="E159" s="12">
        <v>6257.02</v>
      </c>
      <c r="F159" s="13" t="s">
        <v>218</v>
      </c>
      <c r="G159" s="14" t="str">
        <f t="shared" si="4"/>
        <v>B</v>
      </c>
      <c r="H159" s="15" t="str">
        <f t="shared" si="5"/>
        <v>The Commissioner &amp; Chief Constable are satisfied the spend represents VFM in accordance with the requirements of Category B</v>
      </c>
      <c r="K159" s="17"/>
      <c r="L159" s="17"/>
    </row>
    <row r="160" spans="1:12" s="20" customFormat="1" x14ac:dyDescent="0.2">
      <c r="A160" s="10" t="s">
        <v>8</v>
      </c>
      <c r="B160" s="11" t="s">
        <v>9</v>
      </c>
      <c r="C160" s="34" t="s">
        <v>74</v>
      </c>
      <c r="D160" s="32">
        <v>45376</v>
      </c>
      <c r="E160" s="12">
        <v>6246</v>
      </c>
      <c r="F160" s="13" t="s">
        <v>89</v>
      </c>
      <c r="G160" s="14" t="str">
        <f t="shared" si="4"/>
        <v>B</v>
      </c>
      <c r="H160" s="15" t="str">
        <f t="shared" si="5"/>
        <v>The Commissioner &amp; Chief Constable are satisfied the spend represents VFM in accordance with the requirements of Category B</v>
      </c>
      <c r="K160" s="17"/>
      <c r="L160" s="17"/>
    </row>
    <row r="161" spans="1:12" s="20" customFormat="1" x14ac:dyDescent="0.2">
      <c r="A161" s="10" t="s">
        <v>8</v>
      </c>
      <c r="B161" s="11" t="s">
        <v>9</v>
      </c>
      <c r="C161" s="13" t="s">
        <v>463</v>
      </c>
      <c r="D161" s="32">
        <v>45356</v>
      </c>
      <c r="E161" s="12">
        <v>6134.12</v>
      </c>
      <c r="F161" s="13" t="s">
        <v>376</v>
      </c>
      <c r="G161" s="14" t="str">
        <f t="shared" si="4"/>
        <v>B</v>
      </c>
      <c r="H161" s="15" t="str">
        <f t="shared" si="5"/>
        <v>The Commissioner &amp; Chief Constable are satisfied the spend represents VFM in accordance with the requirements of Category B</v>
      </c>
      <c r="K161" s="17"/>
      <c r="L161" s="17"/>
    </row>
    <row r="162" spans="1:12" s="20" customFormat="1" x14ac:dyDescent="0.2">
      <c r="A162" s="10" t="s">
        <v>8</v>
      </c>
      <c r="B162" s="11" t="s">
        <v>9</v>
      </c>
      <c r="C162" s="13" t="s">
        <v>410</v>
      </c>
      <c r="D162" s="32">
        <v>45363</v>
      </c>
      <c r="E162" s="12">
        <v>6110</v>
      </c>
      <c r="F162" s="13" t="s">
        <v>123</v>
      </c>
      <c r="G162" s="14" t="str">
        <f t="shared" si="4"/>
        <v>B</v>
      </c>
      <c r="H162" s="15" t="str">
        <f t="shared" si="5"/>
        <v>The Commissioner &amp; Chief Constable are satisfied the spend represents VFM in accordance with the requirements of Category B</v>
      </c>
      <c r="K162" s="17"/>
      <c r="L162" s="17"/>
    </row>
    <row r="163" spans="1:12" s="20" customFormat="1" x14ac:dyDescent="0.2">
      <c r="A163" s="10" t="s">
        <v>8</v>
      </c>
      <c r="B163" s="11" t="s">
        <v>9</v>
      </c>
      <c r="C163" s="13" t="s">
        <v>423</v>
      </c>
      <c r="D163" s="32">
        <v>45355</v>
      </c>
      <c r="E163" s="12">
        <v>6052.1</v>
      </c>
      <c r="F163" s="13" t="s">
        <v>390</v>
      </c>
      <c r="G163" s="14" t="str">
        <f t="shared" si="4"/>
        <v>B</v>
      </c>
      <c r="H163" s="15" t="str">
        <f t="shared" si="5"/>
        <v>The Commissioner &amp; Chief Constable are satisfied the spend represents VFM in accordance with the requirements of Category B</v>
      </c>
      <c r="K163" s="17"/>
      <c r="L163" s="17"/>
    </row>
    <row r="164" spans="1:12" s="20" customFormat="1" x14ac:dyDescent="0.2">
      <c r="A164" s="10" t="s">
        <v>8</v>
      </c>
      <c r="B164" s="11" t="s">
        <v>9</v>
      </c>
      <c r="C164" s="13" t="s">
        <v>23</v>
      </c>
      <c r="D164" s="32">
        <v>45358</v>
      </c>
      <c r="E164" s="12">
        <v>5943.88</v>
      </c>
      <c r="F164" s="13" t="s">
        <v>24</v>
      </c>
      <c r="G164" s="14" t="str">
        <f t="shared" si="4"/>
        <v>B</v>
      </c>
      <c r="H164" s="15" t="str">
        <f t="shared" si="5"/>
        <v>The Commissioner &amp; Chief Constable are satisfied the spend represents VFM in accordance with the requirements of Category B</v>
      </c>
      <c r="K164" s="17"/>
      <c r="L164" s="17"/>
    </row>
    <row r="165" spans="1:12" s="20" customFormat="1" x14ac:dyDescent="0.2">
      <c r="A165" s="10" t="s">
        <v>8</v>
      </c>
      <c r="B165" s="11" t="s">
        <v>9</v>
      </c>
      <c r="C165" s="13" t="s">
        <v>23</v>
      </c>
      <c r="D165" s="32">
        <v>45355</v>
      </c>
      <c r="E165" s="12">
        <v>5901.04</v>
      </c>
      <c r="F165" s="13" t="s">
        <v>24</v>
      </c>
      <c r="G165" s="14" t="str">
        <f t="shared" si="4"/>
        <v>B</v>
      </c>
      <c r="H165" s="15" t="str">
        <f t="shared" si="5"/>
        <v>The Commissioner &amp; Chief Constable are satisfied the spend represents VFM in accordance with the requirements of Category B</v>
      </c>
      <c r="K165" s="17"/>
      <c r="L165" s="17"/>
    </row>
    <row r="166" spans="1:12" s="20" customFormat="1" x14ac:dyDescent="0.2">
      <c r="A166" s="10" t="s">
        <v>8</v>
      </c>
      <c r="B166" s="11" t="s">
        <v>9</v>
      </c>
      <c r="C166" s="13" t="s">
        <v>222</v>
      </c>
      <c r="D166" s="32">
        <v>45363</v>
      </c>
      <c r="E166" s="12">
        <v>5845.8</v>
      </c>
      <c r="F166" s="13" t="s">
        <v>22</v>
      </c>
      <c r="G166" s="14" t="str">
        <f t="shared" si="4"/>
        <v>B</v>
      </c>
      <c r="H166" s="15" t="str">
        <f t="shared" si="5"/>
        <v>The Commissioner &amp; Chief Constable are satisfied the spend represents VFM in accordance with the requirements of Category B</v>
      </c>
      <c r="K166" s="17"/>
      <c r="L166" s="17"/>
    </row>
    <row r="167" spans="1:12" s="20" customFormat="1" x14ac:dyDescent="0.2">
      <c r="A167" s="10" t="s">
        <v>8</v>
      </c>
      <c r="B167" s="11" t="s">
        <v>9</v>
      </c>
      <c r="C167" s="13" t="s">
        <v>74</v>
      </c>
      <c r="D167" s="32">
        <v>45376</v>
      </c>
      <c r="E167" s="12">
        <v>5775</v>
      </c>
      <c r="F167" s="13" t="s">
        <v>89</v>
      </c>
      <c r="G167" s="14" t="str">
        <f t="shared" si="4"/>
        <v>B</v>
      </c>
      <c r="H167" s="15" t="str">
        <f t="shared" si="5"/>
        <v>The Commissioner &amp; Chief Constable are satisfied the spend represents VFM in accordance with the requirements of Category B</v>
      </c>
      <c r="K167" s="17"/>
      <c r="L167" s="17"/>
    </row>
    <row r="168" spans="1:12" s="20" customFormat="1" x14ac:dyDescent="0.2">
      <c r="A168" s="10" t="s">
        <v>8</v>
      </c>
      <c r="B168" s="11" t="s">
        <v>9</v>
      </c>
      <c r="C168" s="13" t="s">
        <v>462</v>
      </c>
      <c r="D168" s="32">
        <v>45363</v>
      </c>
      <c r="E168" s="12">
        <v>5744.6</v>
      </c>
      <c r="F168" s="13" t="s">
        <v>131</v>
      </c>
      <c r="G168" s="14" t="str">
        <f t="shared" si="4"/>
        <v>B</v>
      </c>
      <c r="H168" s="15" t="str">
        <f t="shared" si="5"/>
        <v>The Commissioner &amp; Chief Constable are satisfied the spend represents VFM in accordance with the requirements of Category B</v>
      </c>
      <c r="K168" s="17"/>
      <c r="L168" s="17"/>
    </row>
    <row r="169" spans="1:12" s="20" customFormat="1" x14ac:dyDescent="0.2">
      <c r="A169" s="10" t="s">
        <v>8</v>
      </c>
      <c r="B169" s="11" t="s">
        <v>9</v>
      </c>
      <c r="C169" s="13" t="s">
        <v>33</v>
      </c>
      <c r="D169" s="32">
        <v>45369</v>
      </c>
      <c r="E169" s="12">
        <v>5654.85</v>
      </c>
      <c r="F169" s="13" t="s">
        <v>106</v>
      </c>
      <c r="G169" s="14" t="str">
        <f t="shared" si="4"/>
        <v>B</v>
      </c>
      <c r="H169" s="15" t="str">
        <f t="shared" si="5"/>
        <v>The Commissioner &amp; Chief Constable are satisfied the spend represents VFM in accordance with the requirements of Category B</v>
      </c>
      <c r="K169" s="17"/>
      <c r="L169" s="17"/>
    </row>
    <row r="170" spans="1:12" s="20" customFormat="1" x14ac:dyDescent="0.2">
      <c r="A170" s="10" t="s">
        <v>8</v>
      </c>
      <c r="B170" s="11" t="s">
        <v>9</v>
      </c>
      <c r="C170" s="13" t="s">
        <v>33</v>
      </c>
      <c r="D170" s="32">
        <v>45362</v>
      </c>
      <c r="E170" s="12">
        <v>5654.05</v>
      </c>
      <c r="F170" s="13" t="s">
        <v>106</v>
      </c>
      <c r="G170" s="14" t="str">
        <f t="shared" si="4"/>
        <v>B</v>
      </c>
      <c r="H170" s="15" t="str">
        <f t="shared" si="5"/>
        <v>The Commissioner &amp; Chief Constable are satisfied the spend represents VFM in accordance with the requirements of Category B</v>
      </c>
      <c r="K170" s="17"/>
      <c r="L170" s="17"/>
    </row>
    <row r="171" spans="1:12" s="20" customFormat="1" x14ac:dyDescent="0.2">
      <c r="A171" s="10" t="s">
        <v>8</v>
      </c>
      <c r="B171" s="11" t="s">
        <v>9</v>
      </c>
      <c r="C171" s="13" t="s">
        <v>232</v>
      </c>
      <c r="D171" s="32">
        <v>45352</v>
      </c>
      <c r="E171" s="12">
        <v>5640</v>
      </c>
      <c r="F171" s="13" t="s">
        <v>94</v>
      </c>
      <c r="G171" s="14" t="str">
        <f t="shared" si="4"/>
        <v>B</v>
      </c>
      <c r="H171" s="15" t="str">
        <f t="shared" si="5"/>
        <v>The Commissioner &amp; Chief Constable are satisfied the spend represents VFM in accordance with the requirements of Category B</v>
      </c>
      <c r="K171" s="17"/>
      <c r="L171" s="17"/>
    </row>
    <row r="172" spans="1:12" s="20" customFormat="1" x14ac:dyDescent="0.2">
      <c r="A172" s="10" t="s">
        <v>8</v>
      </c>
      <c r="B172" s="11" t="s">
        <v>9</v>
      </c>
      <c r="C172" s="13" t="s">
        <v>159</v>
      </c>
      <c r="D172" s="32">
        <v>45370</v>
      </c>
      <c r="E172" s="12">
        <v>5623.18</v>
      </c>
      <c r="F172" s="13" t="s">
        <v>22</v>
      </c>
      <c r="G172" s="14" t="str">
        <f t="shared" si="4"/>
        <v>B</v>
      </c>
      <c r="H172" s="15" t="str">
        <f t="shared" si="5"/>
        <v>The Commissioner &amp; Chief Constable are satisfied the spend represents VFM in accordance with the requirements of Category B</v>
      </c>
      <c r="K172" s="17"/>
      <c r="L172" s="17"/>
    </row>
    <row r="173" spans="1:12" s="20" customFormat="1" x14ac:dyDescent="0.2">
      <c r="A173" s="10" t="s">
        <v>8</v>
      </c>
      <c r="B173" s="11" t="s">
        <v>9</v>
      </c>
      <c r="C173" s="13" t="s">
        <v>461</v>
      </c>
      <c r="D173" s="32">
        <v>45376</v>
      </c>
      <c r="E173" s="12">
        <v>5600</v>
      </c>
      <c r="F173" s="13" t="s">
        <v>251</v>
      </c>
      <c r="G173" s="14" t="str">
        <f t="shared" si="4"/>
        <v>B</v>
      </c>
      <c r="H173" s="15" t="str">
        <f t="shared" si="5"/>
        <v>The Commissioner &amp; Chief Constable are satisfied the spend represents VFM in accordance with the requirements of Category B</v>
      </c>
      <c r="K173" s="17"/>
      <c r="L173" s="17"/>
    </row>
    <row r="174" spans="1:12" s="20" customFormat="1" x14ac:dyDescent="0.2">
      <c r="A174" s="10" t="s">
        <v>8</v>
      </c>
      <c r="B174" s="11" t="s">
        <v>9</v>
      </c>
      <c r="C174" s="13" t="s">
        <v>26</v>
      </c>
      <c r="D174" s="32">
        <v>45364</v>
      </c>
      <c r="E174" s="12">
        <v>5589.0599999999995</v>
      </c>
      <c r="F174" s="13" t="s">
        <v>76</v>
      </c>
      <c r="G174" s="14" t="str">
        <f t="shared" si="4"/>
        <v>B</v>
      </c>
      <c r="H174" s="15" t="str">
        <f t="shared" si="5"/>
        <v>The Commissioner &amp; Chief Constable are satisfied the spend represents VFM in accordance with the requirements of Category B</v>
      </c>
      <c r="K174" s="17"/>
      <c r="L174" s="17"/>
    </row>
    <row r="175" spans="1:12" s="20" customFormat="1" x14ac:dyDescent="0.2">
      <c r="A175" s="10" t="s">
        <v>8</v>
      </c>
      <c r="B175" s="11" t="s">
        <v>9</v>
      </c>
      <c r="C175" s="13" t="s">
        <v>460</v>
      </c>
      <c r="D175" s="32">
        <v>45359</v>
      </c>
      <c r="E175" s="12">
        <v>5572.63</v>
      </c>
      <c r="F175" s="13" t="s">
        <v>58</v>
      </c>
      <c r="G175" s="14" t="str">
        <f t="shared" si="4"/>
        <v>B</v>
      </c>
      <c r="H175" s="15" t="str">
        <f t="shared" si="5"/>
        <v>The Commissioner &amp; Chief Constable are satisfied the spend represents VFM in accordance with the requirements of Category B</v>
      </c>
      <c r="K175" s="17"/>
      <c r="L175" s="17"/>
    </row>
    <row r="176" spans="1:12" s="20" customFormat="1" x14ac:dyDescent="0.2">
      <c r="A176" s="10" t="s">
        <v>8</v>
      </c>
      <c r="B176" s="11" t="s">
        <v>9</v>
      </c>
      <c r="C176" s="13" t="s">
        <v>162</v>
      </c>
      <c r="D176" s="32">
        <v>45377</v>
      </c>
      <c r="E176" s="12">
        <v>5569</v>
      </c>
      <c r="F176" s="13" t="s">
        <v>39</v>
      </c>
      <c r="G176" s="14" t="str">
        <f t="shared" si="4"/>
        <v>B</v>
      </c>
      <c r="H176" s="15" t="str">
        <f t="shared" si="5"/>
        <v>The Commissioner &amp; Chief Constable are satisfied the spend represents VFM in accordance with the requirements of Category B</v>
      </c>
      <c r="K176" s="17"/>
      <c r="L176" s="17"/>
    </row>
    <row r="177" spans="1:12" s="20" customFormat="1" x14ac:dyDescent="0.2">
      <c r="A177" s="10" t="s">
        <v>8</v>
      </c>
      <c r="B177" s="11" t="s">
        <v>9</v>
      </c>
      <c r="C177" s="13" t="s">
        <v>161</v>
      </c>
      <c r="D177" s="32">
        <v>45369</v>
      </c>
      <c r="E177" s="12">
        <v>5512.95</v>
      </c>
      <c r="F177" s="13" t="s">
        <v>15</v>
      </c>
      <c r="G177" s="14" t="str">
        <f t="shared" si="4"/>
        <v>B</v>
      </c>
      <c r="H177" s="15" t="str">
        <f t="shared" si="5"/>
        <v>The Commissioner &amp; Chief Constable are satisfied the spend represents VFM in accordance with the requirements of Category B</v>
      </c>
      <c r="K177" s="17"/>
      <c r="L177" s="17"/>
    </row>
    <row r="178" spans="1:12" s="20" customFormat="1" x14ac:dyDescent="0.2">
      <c r="A178" s="10" t="s">
        <v>8</v>
      </c>
      <c r="B178" s="11" t="s">
        <v>9</v>
      </c>
      <c r="C178" s="13" t="s">
        <v>149</v>
      </c>
      <c r="D178" s="32">
        <v>45377</v>
      </c>
      <c r="E178" s="12">
        <v>5435.5400000000009</v>
      </c>
      <c r="F178" s="13" t="s">
        <v>138</v>
      </c>
      <c r="G178" s="14" t="str">
        <f t="shared" si="4"/>
        <v>B</v>
      </c>
      <c r="H178" s="15" t="str">
        <f t="shared" si="5"/>
        <v>The Commissioner &amp; Chief Constable are satisfied the spend represents VFM in accordance with the requirements of Category B</v>
      </c>
      <c r="K178" s="17"/>
      <c r="L178" s="17"/>
    </row>
    <row r="179" spans="1:12" s="20" customFormat="1" x14ac:dyDescent="0.2">
      <c r="A179" s="10" t="s">
        <v>8</v>
      </c>
      <c r="B179" s="11" t="s">
        <v>9</v>
      </c>
      <c r="C179" s="13" t="s">
        <v>351</v>
      </c>
      <c r="D179" s="32">
        <v>45362</v>
      </c>
      <c r="E179" s="12">
        <v>5341</v>
      </c>
      <c r="F179" s="13" t="s">
        <v>131</v>
      </c>
      <c r="G179" s="14" t="str">
        <f t="shared" si="4"/>
        <v>B</v>
      </c>
      <c r="H179" s="15" t="str">
        <f t="shared" si="5"/>
        <v>The Commissioner &amp; Chief Constable are satisfied the spend represents VFM in accordance with the requirements of Category B</v>
      </c>
      <c r="K179" s="17"/>
      <c r="L179" s="17"/>
    </row>
    <row r="180" spans="1:12" s="20" customFormat="1" x14ac:dyDescent="0.2">
      <c r="A180" s="10" t="s">
        <v>8</v>
      </c>
      <c r="B180" s="11" t="s">
        <v>9</v>
      </c>
      <c r="C180" s="13" t="s">
        <v>351</v>
      </c>
      <c r="D180" s="32">
        <v>45366</v>
      </c>
      <c r="E180" s="12">
        <v>5341</v>
      </c>
      <c r="F180" s="13" t="s">
        <v>131</v>
      </c>
      <c r="G180" s="14" t="str">
        <f t="shared" si="4"/>
        <v>B</v>
      </c>
      <c r="H180" s="15" t="str">
        <f t="shared" si="5"/>
        <v>The Commissioner &amp; Chief Constable are satisfied the spend represents VFM in accordance with the requirements of Category B</v>
      </c>
      <c r="K180" s="17"/>
      <c r="L180" s="17"/>
    </row>
    <row r="181" spans="1:12" s="20" customFormat="1" x14ac:dyDescent="0.2">
      <c r="A181" s="10" t="s">
        <v>8</v>
      </c>
      <c r="B181" s="11" t="s">
        <v>9</v>
      </c>
      <c r="C181" s="13" t="s">
        <v>142</v>
      </c>
      <c r="D181" s="32">
        <v>45377</v>
      </c>
      <c r="E181" s="12">
        <v>5319.79</v>
      </c>
      <c r="F181" s="13" t="s">
        <v>143</v>
      </c>
      <c r="G181" s="14" t="str">
        <f t="shared" si="4"/>
        <v>B</v>
      </c>
      <c r="H181" s="15" t="str">
        <f t="shared" si="5"/>
        <v>The Commissioner &amp; Chief Constable are satisfied the spend represents VFM in accordance with the requirements of Category B</v>
      </c>
      <c r="K181" s="17"/>
      <c r="L181" s="17"/>
    </row>
    <row r="182" spans="1:12" s="20" customFormat="1" x14ac:dyDescent="0.2">
      <c r="A182" s="10" t="s">
        <v>8</v>
      </c>
      <c r="B182" s="11" t="s">
        <v>9</v>
      </c>
      <c r="C182" s="13" t="s">
        <v>459</v>
      </c>
      <c r="D182" s="32">
        <v>45376</v>
      </c>
      <c r="E182" s="12">
        <v>5222</v>
      </c>
      <c r="F182" s="13" t="s">
        <v>177</v>
      </c>
      <c r="G182" s="14" t="str">
        <f t="shared" si="4"/>
        <v>B</v>
      </c>
      <c r="H182" s="15" t="str">
        <f t="shared" si="5"/>
        <v>The Commissioner &amp; Chief Constable are satisfied the spend represents VFM in accordance with the requirements of Category B</v>
      </c>
      <c r="K182" s="17"/>
      <c r="L182" s="17"/>
    </row>
    <row r="183" spans="1:12" s="20" customFormat="1" x14ac:dyDescent="0.2">
      <c r="A183" s="10" t="s">
        <v>8</v>
      </c>
      <c r="B183" s="11" t="s">
        <v>9</v>
      </c>
      <c r="C183" s="13" t="s">
        <v>103</v>
      </c>
      <c r="D183" s="32">
        <v>45358</v>
      </c>
      <c r="E183" s="12">
        <v>5178</v>
      </c>
      <c r="F183" s="13" t="s">
        <v>91</v>
      </c>
      <c r="G183" s="14" t="str">
        <f t="shared" si="4"/>
        <v>B</v>
      </c>
      <c r="H183" s="15" t="str">
        <f t="shared" si="5"/>
        <v>The Commissioner &amp; Chief Constable are satisfied the spend represents VFM in accordance with the requirements of Category B</v>
      </c>
      <c r="K183" s="17"/>
      <c r="L183" s="17"/>
    </row>
    <row r="184" spans="1:12" s="20" customFormat="1" x14ac:dyDescent="0.2">
      <c r="A184" s="10" t="s">
        <v>8</v>
      </c>
      <c r="B184" s="11" t="s">
        <v>9</v>
      </c>
      <c r="C184" s="13" t="s">
        <v>99</v>
      </c>
      <c r="D184" s="32">
        <v>45370</v>
      </c>
      <c r="E184" s="12">
        <v>5135.8</v>
      </c>
      <c r="F184" s="13" t="s">
        <v>94</v>
      </c>
      <c r="G184" s="14" t="str">
        <f t="shared" si="4"/>
        <v>B</v>
      </c>
      <c r="H184" s="15" t="str">
        <f t="shared" si="5"/>
        <v>The Commissioner &amp; Chief Constable are satisfied the spend represents VFM in accordance with the requirements of Category B</v>
      </c>
      <c r="K184" s="17"/>
      <c r="L184" s="17"/>
    </row>
    <row r="185" spans="1:12" s="20" customFormat="1" x14ac:dyDescent="0.2">
      <c r="A185" s="10" t="s">
        <v>8</v>
      </c>
      <c r="B185" s="11" t="s">
        <v>9</v>
      </c>
      <c r="C185" s="13" t="s">
        <v>280</v>
      </c>
      <c r="D185" s="32">
        <v>45379</v>
      </c>
      <c r="E185" s="12">
        <v>5048.5</v>
      </c>
      <c r="F185" s="13" t="s">
        <v>94</v>
      </c>
      <c r="G185" s="14" t="str">
        <f t="shared" si="4"/>
        <v>B</v>
      </c>
      <c r="H185" s="15" t="str">
        <f t="shared" si="5"/>
        <v>The Commissioner &amp; Chief Constable are satisfied the spend represents VFM in accordance with the requirements of Category B</v>
      </c>
      <c r="K185" s="17"/>
      <c r="L185" s="17"/>
    </row>
    <row r="186" spans="1:12" s="20" customFormat="1" x14ac:dyDescent="0.2">
      <c r="A186" s="10" t="s">
        <v>8</v>
      </c>
      <c r="B186" s="11" t="s">
        <v>9</v>
      </c>
      <c r="C186" s="13" t="s">
        <v>406</v>
      </c>
      <c r="D186" s="32">
        <v>45372</v>
      </c>
      <c r="E186" s="12">
        <v>5045.57</v>
      </c>
      <c r="F186" s="13" t="s">
        <v>36</v>
      </c>
      <c r="G186" s="14" t="str">
        <f t="shared" si="4"/>
        <v>B</v>
      </c>
      <c r="H186" s="15" t="str">
        <f t="shared" si="5"/>
        <v>The Commissioner &amp; Chief Constable are satisfied the spend represents VFM in accordance with the requirements of Category B</v>
      </c>
      <c r="K186" s="17"/>
      <c r="L186" s="17"/>
    </row>
    <row r="187" spans="1:12" s="20" customFormat="1" x14ac:dyDescent="0.2">
      <c r="A187" s="10" t="s">
        <v>8</v>
      </c>
      <c r="B187" s="11" t="s">
        <v>9</v>
      </c>
      <c r="C187" s="13" t="s">
        <v>458</v>
      </c>
      <c r="D187" s="32">
        <v>45358</v>
      </c>
      <c r="E187" s="12">
        <v>5025</v>
      </c>
      <c r="F187" s="13" t="s">
        <v>457</v>
      </c>
      <c r="G187" s="14" t="str">
        <f t="shared" si="4"/>
        <v>B</v>
      </c>
      <c r="H187" s="15" t="str">
        <f t="shared" si="5"/>
        <v>The Commissioner &amp; Chief Constable are satisfied the spend represents VFM in accordance with the requirements of Category B</v>
      </c>
      <c r="K187" s="17"/>
      <c r="L187" s="17"/>
    </row>
    <row r="188" spans="1:12" s="20" customFormat="1" x14ac:dyDescent="0.2">
      <c r="A188" s="10" t="s">
        <v>8</v>
      </c>
      <c r="B188" s="11" t="s">
        <v>9</v>
      </c>
      <c r="C188" s="13" t="s">
        <v>132</v>
      </c>
      <c r="D188" s="32">
        <v>45362</v>
      </c>
      <c r="E188" s="12">
        <v>5002.5600000000004</v>
      </c>
      <c r="F188" s="13" t="s">
        <v>133</v>
      </c>
      <c r="G188" s="14" t="str">
        <f t="shared" si="4"/>
        <v>B</v>
      </c>
      <c r="H188" s="15" t="str">
        <f t="shared" si="5"/>
        <v>The Commissioner &amp; Chief Constable are satisfied the spend represents VFM in accordance with the requirements of Category B</v>
      </c>
      <c r="K188" s="17"/>
      <c r="L188" s="17"/>
    </row>
    <row r="189" spans="1:12" s="20" customFormat="1" x14ac:dyDescent="0.2">
      <c r="A189" s="10" t="s">
        <v>8</v>
      </c>
      <c r="B189" s="11" t="s">
        <v>9</v>
      </c>
      <c r="C189" s="13" t="s">
        <v>168</v>
      </c>
      <c r="D189" s="32">
        <v>45363</v>
      </c>
      <c r="E189" s="12">
        <v>5000</v>
      </c>
      <c r="F189" s="13" t="s">
        <v>169</v>
      </c>
      <c r="G189" s="14" t="str">
        <f t="shared" si="4"/>
        <v>B</v>
      </c>
      <c r="H189" s="15" t="str">
        <f t="shared" si="5"/>
        <v>The Commissioner &amp; Chief Constable are satisfied the spend represents VFM in accordance with the requirements of Category B</v>
      </c>
      <c r="K189" s="17"/>
      <c r="L189" s="17"/>
    </row>
    <row r="190" spans="1:12" s="20" customFormat="1" x14ac:dyDescent="0.2">
      <c r="A190" s="10" t="s">
        <v>8</v>
      </c>
      <c r="B190" s="11" t="s">
        <v>9</v>
      </c>
      <c r="C190" s="13" t="s">
        <v>448</v>
      </c>
      <c r="D190" s="32">
        <v>45363</v>
      </c>
      <c r="E190" s="12">
        <v>5000</v>
      </c>
      <c r="F190" s="13" t="s">
        <v>27</v>
      </c>
      <c r="G190" s="14" t="str">
        <f t="shared" si="4"/>
        <v>B</v>
      </c>
      <c r="H190" s="15" t="str">
        <f t="shared" si="5"/>
        <v>The Commissioner &amp; Chief Constable are satisfied the spend represents VFM in accordance with the requirements of Category B</v>
      </c>
      <c r="K190" s="17"/>
      <c r="L190" s="17"/>
    </row>
    <row r="191" spans="1:12" s="20" customFormat="1" x14ac:dyDescent="0.2">
      <c r="A191" s="10" t="s">
        <v>8</v>
      </c>
      <c r="B191" s="11" t="s">
        <v>9</v>
      </c>
      <c r="C191" s="13" t="s">
        <v>456</v>
      </c>
      <c r="D191" s="32">
        <v>45366</v>
      </c>
      <c r="E191" s="12">
        <v>5000</v>
      </c>
      <c r="F191" s="13" t="s">
        <v>22</v>
      </c>
      <c r="G191" s="14" t="str">
        <f t="shared" si="4"/>
        <v>B</v>
      </c>
      <c r="H191" s="15" t="str">
        <f t="shared" si="5"/>
        <v>The Commissioner &amp; Chief Constable are satisfied the spend represents VFM in accordance with the requirements of Category B</v>
      </c>
      <c r="K191" s="17"/>
      <c r="L191" s="17"/>
    </row>
    <row r="192" spans="1:12" s="20" customFormat="1" x14ac:dyDescent="0.2">
      <c r="A192" s="10" t="s">
        <v>8</v>
      </c>
      <c r="B192" s="11" t="s">
        <v>9</v>
      </c>
      <c r="C192" s="13" t="s">
        <v>455</v>
      </c>
      <c r="D192" s="32">
        <v>45376</v>
      </c>
      <c r="E192" s="12">
        <v>4929.99</v>
      </c>
      <c r="F192" s="13" t="s">
        <v>58</v>
      </c>
      <c r="G192" s="14" t="str">
        <f t="shared" si="4"/>
        <v>B</v>
      </c>
      <c r="H192" s="15" t="str">
        <f t="shared" si="5"/>
        <v>The Commissioner &amp; Chief Constable are satisfied the spend represents VFM in accordance with the requirements of Category B</v>
      </c>
      <c r="K192" s="17"/>
      <c r="L192" s="17"/>
    </row>
    <row r="193" spans="1:12" s="20" customFormat="1" x14ac:dyDescent="0.2">
      <c r="A193" s="10" t="s">
        <v>8</v>
      </c>
      <c r="B193" s="11" t="s">
        <v>9</v>
      </c>
      <c r="C193" s="13" t="s">
        <v>119</v>
      </c>
      <c r="D193" s="32">
        <v>45372</v>
      </c>
      <c r="E193" s="12">
        <v>4926.3</v>
      </c>
      <c r="F193" s="13" t="s">
        <v>120</v>
      </c>
      <c r="G193" s="14" t="str">
        <f t="shared" si="4"/>
        <v>B</v>
      </c>
      <c r="H193" s="15" t="str">
        <f t="shared" si="5"/>
        <v>The Commissioner &amp; Chief Constable are satisfied the spend represents VFM in accordance with the requirements of Category B</v>
      </c>
      <c r="K193" s="17"/>
      <c r="L193" s="17"/>
    </row>
    <row r="194" spans="1:12" s="20" customFormat="1" x14ac:dyDescent="0.2">
      <c r="A194" s="10" t="s">
        <v>8</v>
      </c>
      <c r="B194" s="11" t="s">
        <v>9</v>
      </c>
      <c r="C194" s="13" t="s">
        <v>23</v>
      </c>
      <c r="D194" s="32">
        <v>45355</v>
      </c>
      <c r="E194" s="12">
        <v>4886.42</v>
      </c>
      <c r="F194" s="13" t="s">
        <v>24</v>
      </c>
      <c r="G194" s="14" t="str">
        <f t="shared" ref="G194:G257" si="6">IF(E194&gt;25000,"C",IF(E194&gt;1000,"B","A"))</f>
        <v>B</v>
      </c>
      <c r="H194" s="15" t="str">
        <f t="shared" ref="H194:H257" si="7">VLOOKUP(G194,$K$2:$L$4,2,FALSE)</f>
        <v>The Commissioner &amp; Chief Constable are satisfied the spend represents VFM in accordance with the requirements of Category B</v>
      </c>
      <c r="K194" s="17"/>
      <c r="L194" s="17"/>
    </row>
    <row r="195" spans="1:12" s="20" customFormat="1" x14ac:dyDescent="0.2">
      <c r="A195" s="10" t="s">
        <v>8</v>
      </c>
      <c r="B195" s="11" t="s">
        <v>9</v>
      </c>
      <c r="C195" s="13" t="s">
        <v>33</v>
      </c>
      <c r="D195" s="32">
        <v>45372</v>
      </c>
      <c r="E195" s="12">
        <v>4815.6499999999996</v>
      </c>
      <c r="F195" s="13" t="s">
        <v>58</v>
      </c>
      <c r="G195" s="14" t="str">
        <f t="shared" si="6"/>
        <v>B</v>
      </c>
      <c r="H195" s="15" t="str">
        <f t="shared" si="7"/>
        <v>The Commissioner &amp; Chief Constable are satisfied the spend represents VFM in accordance with the requirements of Category B</v>
      </c>
      <c r="K195" s="17"/>
      <c r="L195" s="17"/>
    </row>
    <row r="196" spans="1:12" s="20" customFormat="1" x14ac:dyDescent="0.2">
      <c r="A196" s="10" t="s">
        <v>8</v>
      </c>
      <c r="B196" s="11" t="s">
        <v>9</v>
      </c>
      <c r="C196" s="13" t="s">
        <v>455</v>
      </c>
      <c r="D196" s="32">
        <v>45376</v>
      </c>
      <c r="E196" s="12">
        <v>4804.62</v>
      </c>
      <c r="F196" s="13" t="s">
        <v>58</v>
      </c>
      <c r="G196" s="14" t="str">
        <f t="shared" si="6"/>
        <v>B</v>
      </c>
      <c r="H196" s="15" t="str">
        <f t="shared" si="7"/>
        <v>The Commissioner &amp; Chief Constable are satisfied the spend represents VFM in accordance with the requirements of Category B</v>
      </c>
      <c r="K196" s="17"/>
      <c r="L196" s="17"/>
    </row>
    <row r="197" spans="1:12" s="20" customFormat="1" x14ac:dyDescent="0.2">
      <c r="A197" s="10" t="s">
        <v>8</v>
      </c>
      <c r="B197" s="11" t="s">
        <v>9</v>
      </c>
      <c r="C197" s="13" t="s">
        <v>172</v>
      </c>
      <c r="D197" s="32">
        <v>45357</v>
      </c>
      <c r="E197" s="12">
        <v>4800</v>
      </c>
      <c r="F197" s="13" t="s">
        <v>112</v>
      </c>
      <c r="G197" s="14" t="str">
        <f t="shared" si="6"/>
        <v>B</v>
      </c>
      <c r="H197" s="15" t="str">
        <f t="shared" si="7"/>
        <v>The Commissioner &amp; Chief Constable are satisfied the spend represents VFM in accordance with the requirements of Category B</v>
      </c>
      <c r="K197" s="17"/>
      <c r="L197" s="17"/>
    </row>
    <row r="198" spans="1:12" s="20" customFormat="1" x14ac:dyDescent="0.2">
      <c r="A198" s="10" t="s">
        <v>8</v>
      </c>
      <c r="B198" s="11" t="s">
        <v>9</v>
      </c>
      <c r="C198" s="13" t="s">
        <v>163</v>
      </c>
      <c r="D198" s="32">
        <v>45358</v>
      </c>
      <c r="E198" s="12">
        <v>4763</v>
      </c>
      <c r="F198" s="13" t="s">
        <v>45</v>
      </c>
      <c r="G198" s="14" t="str">
        <f t="shared" si="6"/>
        <v>B</v>
      </c>
      <c r="H198" s="15" t="str">
        <f t="shared" si="7"/>
        <v>The Commissioner &amp; Chief Constable are satisfied the spend represents VFM in accordance with the requirements of Category B</v>
      </c>
      <c r="K198" s="17"/>
      <c r="L198" s="17"/>
    </row>
    <row r="199" spans="1:12" s="20" customFormat="1" x14ac:dyDescent="0.2">
      <c r="A199" s="10" t="s">
        <v>8</v>
      </c>
      <c r="B199" s="11" t="s">
        <v>9</v>
      </c>
      <c r="C199" s="13" t="s">
        <v>211</v>
      </c>
      <c r="D199" s="32">
        <v>45363</v>
      </c>
      <c r="E199" s="12">
        <v>4740</v>
      </c>
      <c r="F199" s="13" t="s">
        <v>91</v>
      </c>
      <c r="G199" s="14" t="str">
        <f t="shared" si="6"/>
        <v>B</v>
      </c>
      <c r="H199" s="15" t="str">
        <f t="shared" si="7"/>
        <v>The Commissioner &amp; Chief Constable are satisfied the spend represents VFM in accordance with the requirements of Category B</v>
      </c>
      <c r="K199" s="17"/>
      <c r="L199" s="17"/>
    </row>
    <row r="200" spans="1:12" s="20" customFormat="1" x14ac:dyDescent="0.2">
      <c r="A200" s="10" t="s">
        <v>8</v>
      </c>
      <c r="B200" s="11" t="s">
        <v>9</v>
      </c>
      <c r="C200" s="13" t="s">
        <v>149</v>
      </c>
      <c r="D200" s="32">
        <v>45355</v>
      </c>
      <c r="E200" s="12">
        <v>4718</v>
      </c>
      <c r="F200" s="13" t="s">
        <v>138</v>
      </c>
      <c r="G200" s="14" t="str">
        <f t="shared" si="6"/>
        <v>B</v>
      </c>
      <c r="H200" s="15" t="str">
        <f t="shared" si="7"/>
        <v>The Commissioner &amp; Chief Constable are satisfied the spend represents VFM in accordance with the requirements of Category B</v>
      </c>
      <c r="K200" s="17"/>
      <c r="L200" s="17"/>
    </row>
    <row r="201" spans="1:12" s="20" customFormat="1" x14ac:dyDescent="0.2">
      <c r="A201" s="10" t="s">
        <v>8</v>
      </c>
      <c r="B201" s="11" t="s">
        <v>9</v>
      </c>
      <c r="C201" s="13" t="s">
        <v>189</v>
      </c>
      <c r="D201" s="32">
        <v>45370</v>
      </c>
      <c r="E201" s="12">
        <v>4687.2</v>
      </c>
      <c r="F201" s="13" t="s">
        <v>131</v>
      </c>
      <c r="G201" s="14" t="str">
        <f t="shared" si="6"/>
        <v>B</v>
      </c>
      <c r="H201" s="15" t="str">
        <f t="shared" si="7"/>
        <v>The Commissioner &amp; Chief Constable are satisfied the spend represents VFM in accordance with the requirements of Category B</v>
      </c>
      <c r="K201" s="17"/>
      <c r="L201" s="17"/>
    </row>
    <row r="202" spans="1:12" s="20" customFormat="1" x14ac:dyDescent="0.2">
      <c r="A202" s="10" t="s">
        <v>8</v>
      </c>
      <c r="B202" s="11" t="s">
        <v>9</v>
      </c>
      <c r="C202" s="13" t="s">
        <v>419</v>
      </c>
      <c r="D202" s="32">
        <v>45359</v>
      </c>
      <c r="E202" s="12">
        <v>4680</v>
      </c>
      <c r="F202" s="13" t="s">
        <v>106</v>
      </c>
      <c r="G202" s="14" t="str">
        <f t="shared" si="6"/>
        <v>B</v>
      </c>
      <c r="H202" s="15" t="str">
        <f t="shared" si="7"/>
        <v>The Commissioner &amp; Chief Constable are satisfied the spend represents VFM in accordance with the requirements of Category B</v>
      </c>
      <c r="K202" s="17"/>
      <c r="L202" s="17"/>
    </row>
    <row r="203" spans="1:12" s="20" customFormat="1" x14ac:dyDescent="0.2">
      <c r="A203" s="10" t="s">
        <v>8</v>
      </c>
      <c r="B203" s="11" t="s">
        <v>9</v>
      </c>
      <c r="C203" s="13" t="s">
        <v>419</v>
      </c>
      <c r="D203" s="32">
        <v>45372</v>
      </c>
      <c r="E203" s="12">
        <v>4680</v>
      </c>
      <c r="F203" s="13" t="s">
        <v>106</v>
      </c>
      <c r="G203" s="14" t="str">
        <f t="shared" si="6"/>
        <v>B</v>
      </c>
      <c r="H203" s="15" t="str">
        <f t="shared" si="7"/>
        <v>The Commissioner &amp; Chief Constable are satisfied the spend represents VFM in accordance with the requirements of Category B</v>
      </c>
      <c r="K203" s="17"/>
      <c r="L203" s="17"/>
    </row>
    <row r="204" spans="1:12" s="20" customFormat="1" x14ac:dyDescent="0.2">
      <c r="A204" s="10" t="s">
        <v>8</v>
      </c>
      <c r="B204" s="11" t="s">
        <v>9</v>
      </c>
      <c r="C204" s="13" t="s">
        <v>10</v>
      </c>
      <c r="D204" s="32">
        <v>45377</v>
      </c>
      <c r="E204" s="12">
        <v>4672.0200000000004</v>
      </c>
      <c r="F204" s="13" t="s">
        <v>11</v>
      </c>
      <c r="G204" s="14" t="str">
        <f t="shared" si="6"/>
        <v>B</v>
      </c>
      <c r="H204" s="15" t="str">
        <f t="shared" si="7"/>
        <v>The Commissioner &amp; Chief Constable are satisfied the spend represents VFM in accordance with the requirements of Category B</v>
      </c>
      <c r="K204" s="17"/>
      <c r="L204" s="17"/>
    </row>
    <row r="205" spans="1:12" s="20" customFormat="1" x14ac:dyDescent="0.2">
      <c r="A205" s="10" t="s">
        <v>8</v>
      </c>
      <c r="B205" s="11" t="s">
        <v>9</v>
      </c>
      <c r="C205" s="13" t="s">
        <v>100</v>
      </c>
      <c r="D205" s="32">
        <v>45362</v>
      </c>
      <c r="E205" s="12">
        <v>4651</v>
      </c>
      <c r="F205" s="13" t="s">
        <v>38</v>
      </c>
      <c r="G205" s="14" t="str">
        <f t="shared" si="6"/>
        <v>B</v>
      </c>
      <c r="H205" s="15" t="str">
        <f t="shared" si="7"/>
        <v>The Commissioner &amp; Chief Constable are satisfied the spend represents VFM in accordance with the requirements of Category B</v>
      </c>
      <c r="K205" s="17"/>
      <c r="L205" s="17"/>
    </row>
    <row r="206" spans="1:12" s="20" customFormat="1" x14ac:dyDescent="0.2">
      <c r="A206" s="10" t="s">
        <v>8</v>
      </c>
      <c r="B206" s="11" t="s">
        <v>9</v>
      </c>
      <c r="C206" s="13" t="s">
        <v>23</v>
      </c>
      <c r="D206" s="32">
        <v>45359</v>
      </c>
      <c r="E206" s="12">
        <v>4641.22</v>
      </c>
      <c r="F206" s="13" t="s">
        <v>24</v>
      </c>
      <c r="G206" s="14" t="str">
        <f t="shared" si="6"/>
        <v>B</v>
      </c>
      <c r="H206" s="15" t="str">
        <f t="shared" si="7"/>
        <v>The Commissioner &amp; Chief Constable are satisfied the spend represents VFM in accordance with the requirements of Category B</v>
      </c>
      <c r="K206" s="17"/>
      <c r="L206" s="17"/>
    </row>
    <row r="207" spans="1:12" s="20" customFormat="1" x14ac:dyDescent="0.2">
      <c r="A207" s="10" t="s">
        <v>8</v>
      </c>
      <c r="B207" s="11" t="s">
        <v>9</v>
      </c>
      <c r="C207" s="13" t="s">
        <v>173</v>
      </c>
      <c r="D207" s="32">
        <v>45359</v>
      </c>
      <c r="E207" s="12">
        <v>4559.67</v>
      </c>
      <c r="F207" s="13" t="s">
        <v>80</v>
      </c>
      <c r="G207" s="14" t="str">
        <f t="shared" si="6"/>
        <v>B</v>
      </c>
      <c r="H207" s="15" t="str">
        <f t="shared" si="7"/>
        <v>The Commissioner &amp; Chief Constable are satisfied the spend represents VFM in accordance with the requirements of Category B</v>
      </c>
      <c r="K207" s="17"/>
      <c r="L207" s="17"/>
    </row>
    <row r="208" spans="1:12" s="20" customFormat="1" x14ac:dyDescent="0.2">
      <c r="A208" s="10" t="s">
        <v>8</v>
      </c>
      <c r="B208" s="11" t="s">
        <v>9</v>
      </c>
      <c r="C208" s="13" t="s">
        <v>74</v>
      </c>
      <c r="D208" s="32">
        <v>45358</v>
      </c>
      <c r="E208" s="12">
        <v>4529.16</v>
      </c>
      <c r="F208" s="13" t="s">
        <v>89</v>
      </c>
      <c r="G208" s="14" t="str">
        <f t="shared" si="6"/>
        <v>B</v>
      </c>
      <c r="H208" s="15" t="str">
        <f t="shared" si="7"/>
        <v>The Commissioner &amp; Chief Constable are satisfied the spend represents VFM in accordance with the requirements of Category B</v>
      </c>
      <c r="K208" s="17"/>
      <c r="L208" s="17"/>
    </row>
    <row r="209" spans="1:12" s="20" customFormat="1" x14ac:dyDescent="0.2">
      <c r="A209" s="10" t="s">
        <v>8</v>
      </c>
      <c r="B209" s="11" t="s">
        <v>9</v>
      </c>
      <c r="C209" s="13" t="s">
        <v>277</v>
      </c>
      <c r="D209" s="32">
        <v>45369</v>
      </c>
      <c r="E209" s="12">
        <v>4480</v>
      </c>
      <c r="F209" s="13" t="s">
        <v>131</v>
      </c>
      <c r="G209" s="14" t="str">
        <f t="shared" si="6"/>
        <v>B</v>
      </c>
      <c r="H209" s="15" t="str">
        <f t="shared" si="7"/>
        <v>The Commissioner &amp; Chief Constable are satisfied the spend represents VFM in accordance with the requirements of Category B</v>
      </c>
      <c r="K209" s="17"/>
      <c r="L209" s="17"/>
    </row>
    <row r="210" spans="1:12" s="20" customFormat="1" x14ac:dyDescent="0.2">
      <c r="A210" s="10" t="s">
        <v>8</v>
      </c>
      <c r="B210" s="11" t="s">
        <v>9</v>
      </c>
      <c r="C210" s="13" t="s">
        <v>415</v>
      </c>
      <c r="D210" s="32">
        <v>45372</v>
      </c>
      <c r="E210" s="12">
        <v>4380</v>
      </c>
      <c r="F210" s="13" t="s">
        <v>35</v>
      </c>
      <c r="G210" s="14" t="str">
        <f t="shared" si="6"/>
        <v>B</v>
      </c>
      <c r="H210" s="15" t="str">
        <f t="shared" si="7"/>
        <v>The Commissioner &amp; Chief Constable are satisfied the spend represents VFM in accordance with the requirements of Category B</v>
      </c>
      <c r="K210" s="17"/>
      <c r="L210" s="17"/>
    </row>
    <row r="211" spans="1:12" s="20" customFormat="1" x14ac:dyDescent="0.2">
      <c r="A211" s="10" t="s">
        <v>8</v>
      </c>
      <c r="B211" s="11" t="s">
        <v>9</v>
      </c>
      <c r="C211" s="13" t="s">
        <v>48</v>
      </c>
      <c r="D211" s="32">
        <v>45358</v>
      </c>
      <c r="E211" s="12">
        <v>4195</v>
      </c>
      <c r="F211" s="13" t="s">
        <v>58</v>
      </c>
      <c r="G211" s="14" t="str">
        <f t="shared" si="6"/>
        <v>B</v>
      </c>
      <c r="H211" s="15" t="str">
        <f t="shared" si="7"/>
        <v>The Commissioner &amp; Chief Constable are satisfied the spend represents VFM in accordance with the requirements of Category B</v>
      </c>
      <c r="K211" s="17"/>
      <c r="L211" s="17"/>
    </row>
    <row r="212" spans="1:12" s="20" customFormat="1" x14ac:dyDescent="0.2">
      <c r="A212" s="10" t="s">
        <v>8</v>
      </c>
      <c r="B212" s="11" t="s">
        <v>9</v>
      </c>
      <c r="C212" s="13" t="s">
        <v>207</v>
      </c>
      <c r="D212" s="32">
        <v>45357</v>
      </c>
      <c r="E212" s="12">
        <v>4171.22</v>
      </c>
      <c r="F212" s="13" t="s">
        <v>114</v>
      </c>
      <c r="G212" s="14" t="str">
        <f t="shared" si="6"/>
        <v>B</v>
      </c>
      <c r="H212" s="15" t="str">
        <f t="shared" si="7"/>
        <v>The Commissioner &amp; Chief Constable are satisfied the spend represents VFM in accordance with the requirements of Category B</v>
      </c>
      <c r="K212" s="17"/>
      <c r="L212" s="17"/>
    </row>
    <row r="213" spans="1:12" s="20" customFormat="1" x14ac:dyDescent="0.2">
      <c r="A213" s="10" t="s">
        <v>8</v>
      </c>
      <c r="B213" s="11" t="s">
        <v>9</v>
      </c>
      <c r="C213" s="13" t="s">
        <v>454</v>
      </c>
      <c r="D213" s="32">
        <v>45382</v>
      </c>
      <c r="E213" s="12">
        <v>4163</v>
      </c>
      <c r="F213" s="13" t="s">
        <v>38</v>
      </c>
      <c r="G213" s="14" t="str">
        <f t="shared" si="6"/>
        <v>B</v>
      </c>
      <c r="H213" s="15" t="str">
        <f t="shared" si="7"/>
        <v>The Commissioner &amp; Chief Constable are satisfied the spend represents VFM in accordance with the requirements of Category B</v>
      </c>
      <c r="K213" s="17"/>
      <c r="L213" s="17"/>
    </row>
    <row r="214" spans="1:12" s="20" customFormat="1" x14ac:dyDescent="0.2">
      <c r="A214" s="10" t="s">
        <v>8</v>
      </c>
      <c r="B214" s="11" t="s">
        <v>9</v>
      </c>
      <c r="C214" s="13" t="s">
        <v>161</v>
      </c>
      <c r="D214" s="32">
        <v>45378</v>
      </c>
      <c r="E214" s="12">
        <v>4023</v>
      </c>
      <c r="F214" s="13" t="s">
        <v>75</v>
      </c>
      <c r="G214" s="14" t="str">
        <f t="shared" si="6"/>
        <v>B</v>
      </c>
      <c r="H214" s="15" t="str">
        <f t="shared" si="7"/>
        <v>The Commissioner &amp; Chief Constable are satisfied the spend represents VFM in accordance with the requirements of Category B</v>
      </c>
      <c r="K214" s="17"/>
      <c r="L214" s="17"/>
    </row>
    <row r="215" spans="1:12" s="20" customFormat="1" x14ac:dyDescent="0.2">
      <c r="A215" s="10" t="s">
        <v>8</v>
      </c>
      <c r="B215" s="11" t="s">
        <v>9</v>
      </c>
      <c r="C215" s="13" t="s">
        <v>374</v>
      </c>
      <c r="D215" s="32">
        <v>45379</v>
      </c>
      <c r="E215" s="12">
        <v>3950</v>
      </c>
      <c r="F215" s="13" t="s">
        <v>373</v>
      </c>
      <c r="G215" s="14" t="str">
        <f t="shared" si="6"/>
        <v>B</v>
      </c>
      <c r="H215" s="15" t="str">
        <f t="shared" si="7"/>
        <v>The Commissioner &amp; Chief Constable are satisfied the spend represents VFM in accordance with the requirements of Category B</v>
      </c>
      <c r="K215" s="17"/>
      <c r="L215" s="17"/>
    </row>
    <row r="216" spans="1:12" s="20" customFormat="1" x14ac:dyDescent="0.2">
      <c r="A216" s="10" t="s">
        <v>8</v>
      </c>
      <c r="B216" s="11" t="s">
        <v>9</v>
      </c>
      <c r="C216" s="13" t="s">
        <v>150</v>
      </c>
      <c r="D216" s="32">
        <v>45366</v>
      </c>
      <c r="E216" s="12">
        <v>3944.55</v>
      </c>
      <c r="F216" s="13" t="s">
        <v>131</v>
      </c>
      <c r="G216" s="14" t="str">
        <f t="shared" si="6"/>
        <v>B</v>
      </c>
      <c r="H216" s="15" t="str">
        <f t="shared" si="7"/>
        <v>The Commissioner &amp; Chief Constable are satisfied the spend represents VFM in accordance with the requirements of Category B</v>
      </c>
      <c r="K216" s="17"/>
      <c r="L216" s="17"/>
    </row>
    <row r="217" spans="1:12" s="20" customFormat="1" x14ac:dyDescent="0.2">
      <c r="A217" s="10" t="s">
        <v>8</v>
      </c>
      <c r="B217" s="11" t="s">
        <v>9</v>
      </c>
      <c r="C217" s="13" t="s">
        <v>157</v>
      </c>
      <c r="D217" s="32">
        <v>45376</v>
      </c>
      <c r="E217" s="12">
        <v>3821.04</v>
      </c>
      <c r="F217" s="13" t="s">
        <v>43</v>
      </c>
      <c r="G217" s="14" t="str">
        <f t="shared" si="6"/>
        <v>B</v>
      </c>
      <c r="H217" s="15" t="str">
        <f t="shared" si="7"/>
        <v>The Commissioner &amp; Chief Constable are satisfied the spend represents VFM in accordance with the requirements of Category B</v>
      </c>
      <c r="K217" s="17"/>
      <c r="L217" s="17"/>
    </row>
    <row r="218" spans="1:12" s="20" customFormat="1" x14ac:dyDescent="0.2">
      <c r="A218" s="10" t="s">
        <v>8</v>
      </c>
      <c r="B218" s="11" t="s">
        <v>9</v>
      </c>
      <c r="C218" s="13" t="s">
        <v>453</v>
      </c>
      <c r="D218" s="32">
        <v>45378</v>
      </c>
      <c r="E218" s="12">
        <v>3783.77</v>
      </c>
      <c r="F218" s="13" t="s">
        <v>452</v>
      </c>
      <c r="G218" s="14" t="str">
        <f t="shared" si="6"/>
        <v>B</v>
      </c>
      <c r="H218" s="15" t="str">
        <f t="shared" si="7"/>
        <v>The Commissioner &amp; Chief Constable are satisfied the spend represents VFM in accordance with the requirements of Category B</v>
      </c>
      <c r="K218" s="17"/>
      <c r="L218" s="17"/>
    </row>
    <row r="219" spans="1:12" s="20" customFormat="1" x14ac:dyDescent="0.2">
      <c r="A219" s="10" t="s">
        <v>8</v>
      </c>
      <c r="B219" s="11" t="s">
        <v>9</v>
      </c>
      <c r="C219" s="13" t="s">
        <v>146</v>
      </c>
      <c r="D219" s="32">
        <v>45372</v>
      </c>
      <c r="E219" s="12">
        <v>3632.08</v>
      </c>
      <c r="F219" s="13" t="s">
        <v>24</v>
      </c>
      <c r="G219" s="14" t="str">
        <f t="shared" si="6"/>
        <v>B</v>
      </c>
      <c r="H219" s="15" t="str">
        <f t="shared" si="7"/>
        <v>The Commissioner &amp; Chief Constable are satisfied the spend represents VFM in accordance with the requirements of Category B</v>
      </c>
      <c r="K219" s="17"/>
      <c r="L219" s="17"/>
    </row>
    <row r="220" spans="1:12" s="20" customFormat="1" x14ac:dyDescent="0.2">
      <c r="A220" s="10" t="s">
        <v>8</v>
      </c>
      <c r="B220" s="11" t="s">
        <v>9</v>
      </c>
      <c r="C220" s="13" t="s">
        <v>451</v>
      </c>
      <c r="D220" s="32">
        <v>45378</v>
      </c>
      <c r="E220" s="12">
        <v>3539.9</v>
      </c>
      <c r="F220" s="13" t="s">
        <v>131</v>
      </c>
      <c r="G220" s="14" t="str">
        <f t="shared" si="6"/>
        <v>B</v>
      </c>
      <c r="H220" s="15" t="str">
        <f t="shared" si="7"/>
        <v>The Commissioner &amp; Chief Constable are satisfied the spend represents VFM in accordance with the requirements of Category B</v>
      </c>
      <c r="K220" s="17"/>
      <c r="L220" s="17"/>
    </row>
    <row r="221" spans="1:12" s="20" customFormat="1" x14ac:dyDescent="0.2">
      <c r="A221" s="10" t="s">
        <v>8</v>
      </c>
      <c r="B221" s="11" t="s">
        <v>9</v>
      </c>
      <c r="C221" s="13" t="s">
        <v>352</v>
      </c>
      <c r="D221" s="32">
        <v>45379</v>
      </c>
      <c r="E221" s="12">
        <v>3535.11</v>
      </c>
      <c r="F221" s="13" t="s">
        <v>58</v>
      </c>
      <c r="G221" s="14" t="str">
        <f t="shared" si="6"/>
        <v>B</v>
      </c>
      <c r="H221" s="15" t="str">
        <f t="shared" si="7"/>
        <v>The Commissioner &amp; Chief Constable are satisfied the spend represents VFM in accordance with the requirements of Category B</v>
      </c>
      <c r="K221" s="17"/>
      <c r="L221" s="17"/>
    </row>
    <row r="222" spans="1:12" s="20" customFormat="1" x14ac:dyDescent="0.2">
      <c r="A222" s="10" t="s">
        <v>8</v>
      </c>
      <c r="B222" s="11" t="s">
        <v>9</v>
      </c>
      <c r="C222" s="13" t="s">
        <v>352</v>
      </c>
      <c r="D222" s="32">
        <v>45379</v>
      </c>
      <c r="E222" s="12">
        <v>3535.11</v>
      </c>
      <c r="F222" s="13" t="s">
        <v>58</v>
      </c>
      <c r="G222" s="14" t="str">
        <f t="shared" si="6"/>
        <v>B</v>
      </c>
      <c r="H222" s="15" t="str">
        <f t="shared" si="7"/>
        <v>The Commissioner &amp; Chief Constable are satisfied the spend represents VFM in accordance with the requirements of Category B</v>
      </c>
      <c r="K222" s="17"/>
      <c r="L222" s="17"/>
    </row>
    <row r="223" spans="1:12" s="20" customFormat="1" x14ac:dyDescent="0.2">
      <c r="A223" s="10" t="s">
        <v>8</v>
      </c>
      <c r="B223" s="11" t="s">
        <v>9</v>
      </c>
      <c r="C223" s="13" t="s">
        <v>352</v>
      </c>
      <c r="D223" s="32">
        <v>45377</v>
      </c>
      <c r="E223" s="12">
        <v>3534.66</v>
      </c>
      <c r="F223" s="13" t="s">
        <v>58</v>
      </c>
      <c r="G223" s="14" t="str">
        <f t="shared" si="6"/>
        <v>B</v>
      </c>
      <c r="H223" s="15" t="str">
        <f t="shared" si="7"/>
        <v>The Commissioner &amp; Chief Constable are satisfied the spend represents VFM in accordance with the requirements of Category B</v>
      </c>
      <c r="K223" s="17"/>
      <c r="L223" s="17"/>
    </row>
    <row r="224" spans="1:12" s="20" customFormat="1" x14ac:dyDescent="0.2">
      <c r="A224" s="10" t="s">
        <v>8</v>
      </c>
      <c r="B224" s="11" t="s">
        <v>9</v>
      </c>
      <c r="C224" s="13" t="s">
        <v>450</v>
      </c>
      <c r="D224" s="32">
        <v>45370</v>
      </c>
      <c r="E224" s="12">
        <v>3515</v>
      </c>
      <c r="F224" s="13" t="s">
        <v>89</v>
      </c>
      <c r="G224" s="14" t="str">
        <f t="shared" si="6"/>
        <v>B</v>
      </c>
      <c r="H224" s="15" t="str">
        <f t="shared" si="7"/>
        <v>The Commissioner &amp; Chief Constable are satisfied the spend represents VFM in accordance with the requirements of Category B</v>
      </c>
      <c r="K224" s="17"/>
      <c r="L224" s="17"/>
    </row>
    <row r="225" spans="1:12" s="20" customFormat="1" x14ac:dyDescent="0.2">
      <c r="A225" s="10" t="s">
        <v>8</v>
      </c>
      <c r="B225" s="11" t="s">
        <v>9</v>
      </c>
      <c r="C225" s="13" t="s">
        <v>135</v>
      </c>
      <c r="D225" s="32">
        <v>45376</v>
      </c>
      <c r="E225" s="12">
        <v>3492.5</v>
      </c>
      <c r="F225" s="13" t="s">
        <v>40</v>
      </c>
      <c r="G225" s="14" t="str">
        <f t="shared" si="6"/>
        <v>B</v>
      </c>
      <c r="H225" s="15" t="str">
        <f t="shared" si="7"/>
        <v>The Commissioner &amp; Chief Constable are satisfied the spend represents VFM in accordance with the requirements of Category B</v>
      </c>
      <c r="K225" s="17"/>
      <c r="L225" s="17"/>
    </row>
    <row r="226" spans="1:12" s="20" customFormat="1" x14ac:dyDescent="0.2">
      <c r="A226" s="10" t="s">
        <v>8</v>
      </c>
      <c r="B226" s="11" t="s">
        <v>9</v>
      </c>
      <c r="C226" s="13" t="s">
        <v>352</v>
      </c>
      <c r="D226" s="32">
        <v>45379</v>
      </c>
      <c r="E226" s="12">
        <v>3479.31</v>
      </c>
      <c r="F226" s="13" t="s">
        <v>58</v>
      </c>
      <c r="G226" s="14" t="str">
        <f t="shared" si="6"/>
        <v>B</v>
      </c>
      <c r="H226" s="15" t="str">
        <f t="shared" si="7"/>
        <v>The Commissioner &amp; Chief Constable are satisfied the spend represents VFM in accordance with the requirements of Category B</v>
      </c>
      <c r="K226" s="17"/>
      <c r="L226" s="17"/>
    </row>
    <row r="227" spans="1:12" s="20" customFormat="1" x14ac:dyDescent="0.2">
      <c r="A227" s="10" t="s">
        <v>8</v>
      </c>
      <c r="B227" s="11" t="s">
        <v>9</v>
      </c>
      <c r="C227" s="13" t="s">
        <v>415</v>
      </c>
      <c r="D227" s="32">
        <v>45373</v>
      </c>
      <c r="E227" s="12">
        <v>3448</v>
      </c>
      <c r="F227" s="13" t="s">
        <v>38</v>
      </c>
      <c r="G227" s="14" t="str">
        <f t="shared" si="6"/>
        <v>B</v>
      </c>
      <c r="H227" s="15" t="str">
        <f t="shared" si="7"/>
        <v>The Commissioner &amp; Chief Constable are satisfied the spend represents VFM in accordance with the requirements of Category B</v>
      </c>
      <c r="K227" s="17"/>
      <c r="L227" s="17"/>
    </row>
    <row r="228" spans="1:12" s="20" customFormat="1" x14ac:dyDescent="0.2">
      <c r="A228" s="10" t="s">
        <v>8</v>
      </c>
      <c r="B228" s="11" t="s">
        <v>9</v>
      </c>
      <c r="C228" s="13" t="s">
        <v>149</v>
      </c>
      <c r="D228" s="32">
        <v>45368</v>
      </c>
      <c r="E228" s="12">
        <v>3378.19</v>
      </c>
      <c r="F228" s="13" t="s">
        <v>138</v>
      </c>
      <c r="G228" s="14" t="str">
        <f t="shared" si="6"/>
        <v>B</v>
      </c>
      <c r="H228" s="15" t="str">
        <f t="shared" si="7"/>
        <v>The Commissioner &amp; Chief Constable are satisfied the spend represents VFM in accordance with the requirements of Category B</v>
      </c>
      <c r="K228" s="17"/>
      <c r="L228" s="17"/>
    </row>
    <row r="229" spans="1:12" s="20" customFormat="1" x14ac:dyDescent="0.2">
      <c r="A229" s="10" t="s">
        <v>8</v>
      </c>
      <c r="B229" s="11" t="s">
        <v>9</v>
      </c>
      <c r="C229" s="13" t="s">
        <v>449</v>
      </c>
      <c r="D229" s="32">
        <v>45365</v>
      </c>
      <c r="E229" s="12">
        <v>3350</v>
      </c>
      <c r="F229" s="13" t="s">
        <v>22</v>
      </c>
      <c r="G229" s="14" t="str">
        <f t="shared" si="6"/>
        <v>B</v>
      </c>
      <c r="H229" s="15" t="str">
        <f t="shared" si="7"/>
        <v>The Commissioner &amp; Chief Constable are satisfied the spend represents VFM in accordance with the requirements of Category B</v>
      </c>
      <c r="K229" s="17"/>
      <c r="L229" s="17"/>
    </row>
    <row r="230" spans="1:12" s="20" customFormat="1" x14ac:dyDescent="0.2">
      <c r="A230" s="10" t="s">
        <v>8</v>
      </c>
      <c r="B230" s="11" t="s">
        <v>9</v>
      </c>
      <c r="C230" s="13" t="s">
        <v>181</v>
      </c>
      <c r="D230" s="32">
        <v>45366</v>
      </c>
      <c r="E230" s="12">
        <v>3331.5</v>
      </c>
      <c r="F230" s="13" t="s">
        <v>106</v>
      </c>
      <c r="G230" s="14" t="str">
        <f t="shared" si="6"/>
        <v>B</v>
      </c>
      <c r="H230" s="15" t="str">
        <f t="shared" si="7"/>
        <v>The Commissioner &amp; Chief Constable are satisfied the spend represents VFM in accordance with the requirements of Category B</v>
      </c>
      <c r="K230" s="17"/>
      <c r="L230" s="17"/>
    </row>
    <row r="231" spans="1:12" s="20" customFormat="1" x14ac:dyDescent="0.2">
      <c r="A231" s="10" t="s">
        <v>8</v>
      </c>
      <c r="B231" s="11" t="s">
        <v>9</v>
      </c>
      <c r="C231" s="34" t="s">
        <v>448</v>
      </c>
      <c r="D231" s="32">
        <v>45363</v>
      </c>
      <c r="E231" s="12">
        <v>3325</v>
      </c>
      <c r="F231" s="13" t="s">
        <v>27</v>
      </c>
      <c r="G231" s="14" t="str">
        <f t="shared" si="6"/>
        <v>B</v>
      </c>
      <c r="H231" s="15" t="str">
        <f t="shared" si="7"/>
        <v>The Commissioner &amp; Chief Constable are satisfied the spend represents VFM in accordance with the requirements of Category B</v>
      </c>
      <c r="K231" s="17"/>
      <c r="L231" s="17"/>
    </row>
    <row r="232" spans="1:12" s="20" customFormat="1" x14ac:dyDescent="0.2">
      <c r="A232" s="10" t="s">
        <v>8</v>
      </c>
      <c r="B232" s="11" t="s">
        <v>9</v>
      </c>
      <c r="C232" s="13" t="s">
        <v>135</v>
      </c>
      <c r="D232" s="32">
        <v>45376</v>
      </c>
      <c r="E232" s="12">
        <v>3314.1</v>
      </c>
      <c r="F232" s="13" t="s">
        <v>40</v>
      </c>
      <c r="G232" s="14" t="str">
        <f t="shared" si="6"/>
        <v>B</v>
      </c>
      <c r="H232" s="15" t="str">
        <f t="shared" si="7"/>
        <v>The Commissioner &amp; Chief Constable are satisfied the spend represents VFM in accordance with the requirements of Category B</v>
      </c>
      <c r="K232" s="17"/>
      <c r="L232" s="17"/>
    </row>
    <row r="233" spans="1:12" s="20" customFormat="1" x14ac:dyDescent="0.2">
      <c r="A233" s="10" t="s">
        <v>8</v>
      </c>
      <c r="B233" s="11" t="s">
        <v>9</v>
      </c>
      <c r="C233" s="13" t="s">
        <v>26</v>
      </c>
      <c r="D233" s="32">
        <v>45369</v>
      </c>
      <c r="E233" s="12">
        <v>3307.48</v>
      </c>
      <c r="F233" s="13" t="s">
        <v>88</v>
      </c>
      <c r="G233" s="14" t="str">
        <f t="shared" si="6"/>
        <v>B</v>
      </c>
      <c r="H233" s="15" t="str">
        <f t="shared" si="7"/>
        <v>The Commissioner &amp; Chief Constable are satisfied the spend represents VFM in accordance with the requirements of Category B</v>
      </c>
      <c r="K233" s="17"/>
      <c r="L233" s="17"/>
    </row>
    <row r="234" spans="1:12" s="20" customFormat="1" x14ac:dyDescent="0.2">
      <c r="A234" s="10" t="s">
        <v>8</v>
      </c>
      <c r="B234" s="11" t="s">
        <v>9</v>
      </c>
      <c r="C234" s="13" t="s">
        <v>415</v>
      </c>
      <c r="D234" s="32">
        <v>45371</v>
      </c>
      <c r="E234" s="12">
        <v>3300</v>
      </c>
      <c r="F234" s="13" t="s">
        <v>38</v>
      </c>
      <c r="G234" s="14" t="str">
        <f t="shared" si="6"/>
        <v>B</v>
      </c>
      <c r="H234" s="15" t="str">
        <f t="shared" si="7"/>
        <v>The Commissioner &amp; Chief Constable are satisfied the spend represents VFM in accordance with the requirements of Category B</v>
      </c>
      <c r="K234" s="17"/>
      <c r="L234" s="17"/>
    </row>
    <row r="235" spans="1:12" s="20" customFormat="1" x14ac:dyDescent="0.2">
      <c r="A235" s="10" t="s">
        <v>8</v>
      </c>
      <c r="B235" s="11" t="s">
        <v>9</v>
      </c>
      <c r="C235" s="13" t="s">
        <v>256</v>
      </c>
      <c r="D235" s="32">
        <v>45356</v>
      </c>
      <c r="E235" s="12">
        <v>3287.7</v>
      </c>
      <c r="F235" s="13" t="s">
        <v>155</v>
      </c>
      <c r="G235" s="14" t="str">
        <f t="shared" si="6"/>
        <v>B</v>
      </c>
      <c r="H235" s="15" t="str">
        <f t="shared" si="7"/>
        <v>The Commissioner &amp; Chief Constable are satisfied the spend represents VFM in accordance with the requirements of Category B</v>
      </c>
      <c r="K235" s="17"/>
      <c r="L235" s="17"/>
    </row>
    <row r="236" spans="1:12" s="20" customFormat="1" x14ac:dyDescent="0.2">
      <c r="A236" s="10" t="s">
        <v>8</v>
      </c>
      <c r="B236" s="11" t="s">
        <v>9</v>
      </c>
      <c r="C236" s="13" t="s">
        <v>447</v>
      </c>
      <c r="D236" s="32">
        <v>45362</v>
      </c>
      <c r="E236" s="12">
        <v>3240</v>
      </c>
      <c r="F236" s="13" t="s">
        <v>98</v>
      </c>
      <c r="G236" s="14" t="str">
        <f t="shared" si="6"/>
        <v>B</v>
      </c>
      <c r="H236" s="15" t="str">
        <f t="shared" si="7"/>
        <v>The Commissioner &amp; Chief Constable are satisfied the spend represents VFM in accordance with the requirements of Category B</v>
      </c>
      <c r="K236" s="17"/>
      <c r="L236" s="17"/>
    </row>
    <row r="237" spans="1:12" s="20" customFormat="1" x14ac:dyDescent="0.2">
      <c r="A237" s="10" t="s">
        <v>8</v>
      </c>
      <c r="B237" s="11" t="s">
        <v>9</v>
      </c>
      <c r="C237" s="13" t="s">
        <v>135</v>
      </c>
      <c r="D237" s="32">
        <v>45376</v>
      </c>
      <c r="E237" s="12">
        <v>3221.9</v>
      </c>
      <c r="F237" s="13" t="s">
        <v>40</v>
      </c>
      <c r="G237" s="14" t="str">
        <f t="shared" si="6"/>
        <v>B</v>
      </c>
      <c r="H237" s="15" t="str">
        <f t="shared" si="7"/>
        <v>The Commissioner &amp; Chief Constable are satisfied the spend represents VFM in accordance with the requirements of Category B</v>
      </c>
      <c r="K237" s="17"/>
      <c r="L237" s="17"/>
    </row>
    <row r="238" spans="1:12" s="20" customFormat="1" x14ac:dyDescent="0.2">
      <c r="A238" s="10" t="s">
        <v>8</v>
      </c>
      <c r="B238" s="11" t="s">
        <v>9</v>
      </c>
      <c r="C238" s="13" t="s">
        <v>420</v>
      </c>
      <c r="D238" s="32">
        <v>45363</v>
      </c>
      <c r="E238" s="12">
        <v>3188.17</v>
      </c>
      <c r="F238" s="13" t="s">
        <v>58</v>
      </c>
      <c r="G238" s="14" t="str">
        <f t="shared" si="6"/>
        <v>B</v>
      </c>
      <c r="H238" s="15" t="str">
        <f t="shared" si="7"/>
        <v>The Commissioner &amp; Chief Constable are satisfied the spend represents VFM in accordance with the requirements of Category B</v>
      </c>
      <c r="K238" s="17"/>
      <c r="L238" s="17"/>
    </row>
    <row r="239" spans="1:12" s="20" customFormat="1" x14ac:dyDescent="0.2">
      <c r="A239" s="10" t="s">
        <v>8</v>
      </c>
      <c r="B239" s="11" t="s">
        <v>9</v>
      </c>
      <c r="C239" s="13" t="s">
        <v>142</v>
      </c>
      <c r="D239" s="32">
        <v>45357</v>
      </c>
      <c r="E239" s="12">
        <v>3147.76</v>
      </c>
      <c r="F239" s="13" t="s">
        <v>143</v>
      </c>
      <c r="G239" s="14" t="str">
        <f t="shared" si="6"/>
        <v>B</v>
      </c>
      <c r="H239" s="15" t="str">
        <f t="shared" si="7"/>
        <v>The Commissioner &amp; Chief Constable are satisfied the spend represents VFM in accordance with the requirements of Category B</v>
      </c>
      <c r="K239" s="17"/>
      <c r="L239" s="17"/>
    </row>
    <row r="240" spans="1:12" s="20" customFormat="1" x14ac:dyDescent="0.2">
      <c r="A240" s="10" t="s">
        <v>8</v>
      </c>
      <c r="B240" s="11" t="s">
        <v>9</v>
      </c>
      <c r="C240" s="13" t="s">
        <v>222</v>
      </c>
      <c r="D240" s="32">
        <v>45376</v>
      </c>
      <c r="E240" s="12">
        <v>3101.76</v>
      </c>
      <c r="F240" s="13" t="s">
        <v>22</v>
      </c>
      <c r="G240" s="14" t="str">
        <f t="shared" si="6"/>
        <v>B</v>
      </c>
      <c r="H240" s="15" t="str">
        <f t="shared" si="7"/>
        <v>The Commissioner &amp; Chief Constable are satisfied the spend represents VFM in accordance with the requirements of Category B</v>
      </c>
      <c r="K240" s="17"/>
      <c r="L240" s="17"/>
    </row>
    <row r="241" spans="1:12" s="20" customFormat="1" x14ac:dyDescent="0.2">
      <c r="A241" s="10" t="s">
        <v>8</v>
      </c>
      <c r="B241" s="11" t="s">
        <v>9</v>
      </c>
      <c r="C241" s="13" t="s">
        <v>135</v>
      </c>
      <c r="D241" s="32">
        <v>45376</v>
      </c>
      <c r="E241" s="12">
        <v>3085.17</v>
      </c>
      <c r="F241" s="13" t="s">
        <v>40</v>
      </c>
      <c r="G241" s="14" t="str">
        <f t="shared" si="6"/>
        <v>B</v>
      </c>
      <c r="H241" s="15" t="str">
        <f t="shared" si="7"/>
        <v>The Commissioner &amp; Chief Constable are satisfied the spend represents VFM in accordance with the requirements of Category B</v>
      </c>
      <c r="K241" s="17"/>
      <c r="L241" s="17"/>
    </row>
    <row r="242" spans="1:12" s="20" customFormat="1" x14ac:dyDescent="0.2">
      <c r="A242" s="10" t="s">
        <v>8</v>
      </c>
      <c r="B242" s="11" t="s">
        <v>9</v>
      </c>
      <c r="C242" s="13" t="s">
        <v>446</v>
      </c>
      <c r="D242" s="32">
        <v>45362</v>
      </c>
      <c r="E242" s="12">
        <v>3085</v>
      </c>
      <c r="F242" s="13" t="s">
        <v>177</v>
      </c>
      <c r="G242" s="14" t="str">
        <f t="shared" si="6"/>
        <v>B</v>
      </c>
      <c r="H242" s="15" t="str">
        <f t="shared" si="7"/>
        <v>The Commissioner &amp; Chief Constable are satisfied the spend represents VFM in accordance with the requirements of Category B</v>
      </c>
      <c r="K242" s="17"/>
      <c r="L242" s="17"/>
    </row>
    <row r="243" spans="1:12" s="20" customFormat="1" x14ac:dyDescent="0.2">
      <c r="A243" s="10" t="s">
        <v>8</v>
      </c>
      <c r="B243" s="11" t="s">
        <v>9</v>
      </c>
      <c r="C243" s="13" t="s">
        <v>196</v>
      </c>
      <c r="D243" s="32">
        <v>45370</v>
      </c>
      <c r="E243" s="12">
        <v>3051.31</v>
      </c>
      <c r="F243" s="13" t="s">
        <v>169</v>
      </c>
      <c r="G243" s="14" t="str">
        <f t="shared" si="6"/>
        <v>B</v>
      </c>
      <c r="H243" s="15" t="str">
        <f t="shared" si="7"/>
        <v>The Commissioner &amp; Chief Constable are satisfied the spend represents VFM in accordance with the requirements of Category B</v>
      </c>
      <c r="K243" s="17"/>
      <c r="L243" s="17"/>
    </row>
    <row r="244" spans="1:12" s="20" customFormat="1" x14ac:dyDescent="0.2">
      <c r="A244" s="10" t="s">
        <v>8</v>
      </c>
      <c r="B244" s="11" t="s">
        <v>9</v>
      </c>
      <c r="C244" s="13" t="s">
        <v>130</v>
      </c>
      <c r="D244" s="32">
        <v>45377</v>
      </c>
      <c r="E244" s="12">
        <v>3050</v>
      </c>
      <c r="F244" s="13" t="s">
        <v>38</v>
      </c>
      <c r="G244" s="14" t="str">
        <f t="shared" si="6"/>
        <v>B</v>
      </c>
      <c r="H244" s="15" t="str">
        <f t="shared" si="7"/>
        <v>The Commissioner &amp; Chief Constable are satisfied the spend represents VFM in accordance with the requirements of Category B</v>
      </c>
      <c r="K244" s="17"/>
      <c r="L244" s="17"/>
    </row>
    <row r="245" spans="1:12" s="20" customFormat="1" x14ac:dyDescent="0.2">
      <c r="A245" s="10" t="s">
        <v>8</v>
      </c>
      <c r="B245" s="11" t="s">
        <v>9</v>
      </c>
      <c r="C245" s="13" t="s">
        <v>353</v>
      </c>
      <c r="D245" s="32">
        <v>45357</v>
      </c>
      <c r="E245" s="12">
        <v>3039.76</v>
      </c>
      <c r="F245" s="13" t="s">
        <v>58</v>
      </c>
      <c r="G245" s="14" t="str">
        <f t="shared" si="6"/>
        <v>B</v>
      </c>
      <c r="H245" s="15" t="str">
        <f t="shared" si="7"/>
        <v>The Commissioner &amp; Chief Constable are satisfied the spend represents VFM in accordance with the requirements of Category B</v>
      </c>
      <c r="K245" s="17"/>
      <c r="L245" s="17"/>
    </row>
    <row r="246" spans="1:12" s="20" customFormat="1" x14ac:dyDescent="0.2">
      <c r="A246" s="10" t="s">
        <v>8</v>
      </c>
      <c r="B246" s="11" t="s">
        <v>9</v>
      </c>
      <c r="C246" s="13" t="s">
        <v>445</v>
      </c>
      <c r="D246" s="32">
        <v>45364</v>
      </c>
      <c r="E246" s="12">
        <v>3000</v>
      </c>
      <c r="F246" s="13" t="s">
        <v>27</v>
      </c>
      <c r="G246" s="14" t="str">
        <f t="shared" si="6"/>
        <v>B</v>
      </c>
      <c r="H246" s="15" t="str">
        <f t="shared" si="7"/>
        <v>The Commissioner &amp; Chief Constable are satisfied the spend represents VFM in accordance with the requirements of Category B</v>
      </c>
      <c r="K246" s="17"/>
      <c r="L246" s="17"/>
    </row>
    <row r="247" spans="1:12" s="20" customFormat="1" x14ac:dyDescent="0.2">
      <c r="A247" s="10" t="s">
        <v>8</v>
      </c>
      <c r="B247" s="11" t="s">
        <v>9</v>
      </c>
      <c r="C247" s="34" t="s">
        <v>444</v>
      </c>
      <c r="D247" s="32">
        <v>45364</v>
      </c>
      <c r="E247" s="12">
        <v>3000</v>
      </c>
      <c r="F247" s="13" t="s">
        <v>27</v>
      </c>
      <c r="G247" s="14" t="str">
        <f t="shared" si="6"/>
        <v>B</v>
      </c>
      <c r="H247" s="15" t="str">
        <f t="shared" si="7"/>
        <v>The Commissioner &amp; Chief Constable are satisfied the spend represents VFM in accordance with the requirements of Category B</v>
      </c>
      <c r="K247" s="17"/>
      <c r="L247" s="17"/>
    </row>
    <row r="248" spans="1:12" s="20" customFormat="1" x14ac:dyDescent="0.2">
      <c r="A248" s="10" t="s">
        <v>8</v>
      </c>
      <c r="B248" s="11" t="s">
        <v>9</v>
      </c>
      <c r="C248" s="13" t="s">
        <v>443</v>
      </c>
      <c r="D248" s="32">
        <v>45364</v>
      </c>
      <c r="E248" s="12">
        <v>3000</v>
      </c>
      <c r="F248" s="13" t="s">
        <v>27</v>
      </c>
      <c r="G248" s="14" t="str">
        <f t="shared" si="6"/>
        <v>B</v>
      </c>
      <c r="H248" s="15" t="str">
        <f t="shared" si="7"/>
        <v>The Commissioner &amp; Chief Constable are satisfied the spend represents VFM in accordance with the requirements of Category B</v>
      </c>
      <c r="K248" s="17"/>
      <c r="L248" s="17"/>
    </row>
    <row r="249" spans="1:12" s="20" customFormat="1" x14ac:dyDescent="0.2">
      <c r="A249" s="10" t="s">
        <v>8</v>
      </c>
      <c r="B249" s="11" t="s">
        <v>9</v>
      </c>
      <c r="C249" s="13" t="s">
        <v>222</v>
      </c>
      <c r="D249" s="32">
        <v>45365</v>
      </c>
      <c r="E249" s="12">
        <v>3000</v>
      </c>
      <c r="F249" s="13" t="s">
        <v>22</v>
      </c>
      <c r="G249" s="14" t="str">
        <f t="shared" si="6"/>
        <v>B</v>
      </c>
      <c r="H249" s="15" t="str">
        <f t="shared" si="7"/>
        <v>The Commissioner &amp; Chief Constable are satisfied the spend represents VFM in accordance with the requirements of Category B</v>
      </c>
      <c r="K249" s="17"/>
      <c r="L249" s="17"/>
    </row>
    <row r="250" spans="1:12" s="20" customFormat="1" x14ac:dyDescent="0.2">
      <c r="A250" s="10" t="s">
        <v>8</v>
      </c>
      <c r="B250" s="11" t="s">
        <v>9</v>
      </c>
      <c r="C250" s="13" t="s">
        <v>193</v>
      </c>
      <c r="D250" s="32">
        <v>45358</v>
      </c>
      <c r="E250" s="12">
        <v>2991.94</v>
      </c>
      <c r="F250" s="13" t="s">
        <v>194</v>
      </c>
      <c r="G250" s="14" t="str">
        <f t="shared" si="6"/>
        <v>B</v>
      </c>
      <c r="H250" s="15" t="str">
        <f t="shared" si="7"/>
        <v>The Commissioner &amp; Chief Constable are satisfied the spend represents VFM in accordance with the requirements of Category B</v>
      </c>
      <c r="K250" s="17"/>
      <c r="L250" s="17"/>
    </row>
    <row r="251" spans="1:12" s="20" customFormat="1" x14ac:dyDescent="0.2">
      <c r="A251" s="10" t="s">
        <v>8</v>
      </c>
      <c r="B251" s="11" t="s">
        <v>9</v>
      </c>
      <c r="C251" s="13" t="s">
        <v>193</v>
      </c>
      <c r="D251" s="32">
        <v>45358</v>
      </c>
      <c r="E251" s="12">
        <v>2991.94</v>
      </c>
      <c r="F251" s="13" t="s">
        <v>194</v>
      </c>
      <c r="G251" s="14" t="str">
        <f t="shared" si="6"/>
        <v>B</v>
      </c>
      <c r="H251" s="15" t="str">
        <f t="shared" si="7"/>
        <v>The Commissioner &amp; Chief Constable are satisfied the spend represents VFM in accordance with the requirements of Category B</v>
      </c>
      <c r="K251" s="17"/>
      <c r="L251" s="17"/>
    </row>
    <row r="252" spans="1:12" s="20" customFormat="1" x14ac:dyDescent="0.2">
      <c r="A252" s="10" t="s">
        <v>8</v>
      </c>
      <c r="B252" s="11" t="s">
        <v>9</v>
      </c>
      <c r="C252" s="13" t="s">
        <v>193</v>
      </c>
      <c r="D252" s="32">
        <v>45358</v>
      </c>
      <c r="E252" s="12">
        <v>2991.94</v>
      </c>
      <c r="F252" s="13" t="s">
        <v>22</v>
      </c>
      <c r="G252" s="14" t="str">
        <f t="shared" si="6"/>
        <v>B</v>
      </c>
      <c r="H252" s="15" t="str">
        <f t="shared" si="7"/>
        <v>The Commissioner &amp; Chief Constable are satisfied the spend represents VFM in accordance with the requirements of Category B</v>
      </c>
      <c r="K252" s="17"/>
      <c r="L252" s="17"/>
    </row>
    <row r="253" spans="1:12" s="20" customFormat="1" x14ac:dyDescent="0.2">
      <c r="A253" s="10" t="s">
        <v>8</v>
      </c>
      <c r="B253" s="11" t="s">
        <v>9</v>
      </c>
      <c r="C253" s="13" t="s">
        <v>193</v>
      </c>
      <c r="D253" s="32">
        <v>45358</v>
      </c>
      <c r="E253" s="12">
        <v>2991.94</v>
      </c>
      <c r="F253" s="13" t="s">
        <v>194</v>
      </c>
      <c r="G253" s="14" t="str">
        <f t="shared" si="6"/>
        <v>B</v>
      </c>
      <c r="H253" s="15" t="str">
        <f t="shared" si="7"/>
        <v>The Commissioner &amp; Chief Constable are satisfied the spend represents VFM in accordance with the requirements of Category B</v>
      </c>
      <c r="K253" s="17"/>
      <c r="L253" s="17"/>
    </row>
    <row r="254" spans="1:12" s="20" customFormat="1" x14ac:dyDescent="0.2">
      <c r="A254" s="10" t="s">
        <v>8</v>
      </c>
      <c r="B254" s="11" t="s">
        <v>9</v>
      </c>
      <c r="C254" s="13" t="s">
        <v>193</v>
      </c>
      <c r="D254" s="32">
        <v>45358</v>
      </c>
      <c r="E254" s="12">
        <v>2991.94</v>
      </c>
      <c r="F254" s="13" t="s">
        <v>194</v>
      </c>
      <c r="G254" s="14" t="str">
        <f t="shared" si="6"/>
        <v>B</v>
      </c>
      <c r="H254" s="15" t="str">
        <f t="shared" si="7"/>
        <v>The Commissioner &amp; Chief Constable are satisfied the spend represents VFM in accordance with the requirements of Category B</v>
      </c>
      <c r="K254" s="17"/>
      <c r="L254" s="17"/>
    </row>
    <row r="255" spans="1:12" s="20" customFormat="1" x14ac:dyDescent="0.2">
      <c r="A255" s="10" t="s">
        <v>8</v>
      </c>
      <c r="B255" s="11" t="s">
        <v>9</v>
      </c>
      <c r="C255" s="13" t="s">
        <v>193</v>
      </c>
      <c r="D255" s="32">
        <v>45358</v>
      </c>
      <c r="E255" s="12">
        <v>2991.94</v>
      </c>
      <c r="F255" s="13" t="s">
        <v>194</v>
      </c>
      <c r="G255" s="14" t="str">
        <f t="shared" si="6"/>
        <v>B</v>
      </c>
      <c r="H255" s="15" t="str">
        <f t="shared" si="7"/>
        <v>The Commissioner &amp; Chief Constable are satisfied the spend represents VFM in accordance with the requirements of Category B</v>
      </c>
      <c r="K255" s="17"/>
      <c r="L255" s="17"/>
    </row>
    <row r="256" spans="1:12" s="20" customFormat="1" x14ac:dyDescent="0.2">
      <c r="A256" s="10" t="s">
        <v>8</v>
      </c>
      <c r="B256" s="11" t="s">
        <v>9</v>
      </c>
      <c r="C256" s="13" t="s">
        <v>193</v>
      </c>
      <c r="D256" s="32">
        <v>45358</v>
      </c>
      <c r="E256" s="12">
        <v>2991.94</v>
      </c>
      <c r="F256" s="13" t="s">
        <v>22</v>
      </c>
      <c r="G256" s="14" t="str">
        <f t="shared" si="6"/>
        <v>B</v>
      </c>
      <c r="H256" s="15" t="str">
        <f t="shared" si="7"/>
        <v>The Commissioner &amp; Chief Constable are satisfied the spend represents VFM in accordance with the requirements of Category B</v>
      </c>
      <c r="K256" s="17"/>
      <c r="L256" s="17"/>
    </row>
    <row r="257" spans="1:12" s="20" customFormat="1" x14ac:dyDescent="0.2">
      <c r="A257" s="10" t="s">
        <v>8</v>
      </c>
      <c r="B257" s="11" t="s">
        <v>9</v>
      </c>
      <c r="C257" s="13" t="s">
        <v>193</v>
      </c>
      <c r="D257" s="32">
        <v>45358</v>
      </c>
      <c r="E257" s="12">
        <v>2991.94</v>
      </c>
      <c r="F257" s="13" t="s">
        <v>194</v>
      </c>
      <c r="G257" s="14" t="str">
        <f t="shared" si="6"/>
        <v>B</v>
      </c>
      <c r="H257" s="15" t="str">
        <f t="shared" si="7"/>
        <v>The Commissioner &amp; Chief Constable are satisfied the spend represents VFM in accordance with the requirements of Category B</v>
      </c>
      <c r="K257" s="17"/>
      <c r="L257" s="17"/>
    </row>
    <row r="258" spans="1:12" s="20" customFormat="1" x14ac:dyDescent="0.2">
      <c r="A258" s="10" t="s">
        <v>8</v>
      </c>
      <c r="B258" s="11" t="s">
        <v>9</v>
      </c>
      <c r="C258" s="13" t="s">
        <v>193</v>
      </c>
      <c r="D258" s="32">
        <v>45358</v>
      </c>
      <c r="E258" s="12">
        <v>2991.94</v>
      </c>
      <c r="F258" s="13" t="s">
        <v>194</v>
      </c>
      <c r="G258" s="14" t="str">
        <f t="shared" ref="G258:G321" si="8">IF(E258&gt;25000,"C",IF(E258&gt;1000,"B","A"))</f>
        <v>B</v>
      </c>
      <c r="H258" s="15" t="str">
        <f t="shared" ref="H258:H321" si="9">VLOOKUP(G258,$K$2:$L$4,2,FALSE)</f>
        <v>The Commissioner &amp; Chief Constable are satisfied the spend represents VFM in accordance with the requirements of Category B</v>
      </c>
      <c r="K258" s="17"/>
      <c r="L258" s="17"/>
    </row>
    <row r="259" spans="1:12" s="20" customFormat="1" x14ac:dyDescent="0.2">
      <c r="A259" s="10" t="s">
        <v>8</v>
      </c>
      <c r="B259" s="11" t="s">
        <v>9</v>
      </c>
      <c r="C259" s="13" t="s">
        <v>193</v>
      </c>
      <c r="D259" s="32">
        <v>45358</v>
      </c>
      <c r="E259" s="12">
        <v>2991.94</v>
      </c>
      <c r="F259" s="13" t="s">
        <v>194</v>
      </c>
      <c r="G259" s="14" t="str">
        <f t="shared" si="8"/>
        <v>B</v>
      </c>
      <c r="H259" s="15" t="str">
        <f t="shared" si="9"/>
        <v>The Commissioner &amp; Chief Constable are satisfied the spend represents VFM in accordance with the requirements of Category B</v>
      </c>
      <c r="K259" s="17"/>
      <c r="L259" s="17"/>
    </row>
    <row r="260" spans="1:12" s="20" customFormat="1" x14ac:dyDescent="0.2">
      <c r="A260" s="10" t="s">
        <v>8</v>
      </c>
      <c r="B260" s="11" t="s">
        <v>9</v>
      </c>
      <c r="C260" s="13" t="s">
        <v>247</v>
      </c>
      <c r="D260" s="32">
        <v>45363</v>
      </c>
      <c r="E260" s="12">
        <v>2991.94</v>
      </c>
      <c r="F260" s="13" t="s">
        <v>194</v>
      </c>
      <c r="G260" s="14" t="str">
        <f t="shared" si="8"/>
        <v>B</v>
      </c>
      <c r="H260" s="15" t="str">
        <f t="shared" si="9"/>
        <v>The Commissioner &amp; Chief Constable are satisfied the spend represents VFM in accordance with the requirements of Category B</v>
      </c>
      <c r="K260" s="17"/>
      <c r="L260" s="17"/>
    </row>
    <row r="261" spans="1:12" s="20" customFormat="1" x14ac:dyDescent="0.2">
      <c r="A261" s="10" t="s">
        <v>8</v>
      </c>
      <c r="B261" s="11" t="s">
        <v>9</v>
      </c>
      <c r="C261" s="13" t="s">
        <v>181</v>
      </c>
      <c r="D261" s="32">
        <v>45372</v>
      </c>
      <c r="E261" s="12">
        <v>2968.5</v>
      </c>
      <c r="F261" s="13" t="s">
        <v>106</v>
      </c>
      <c r="G261" s="14" t="str">
        <f t="shared" si="8"/>
        <v>B</v>
      </c>
      <c r="H261" s="15" t="str">
        <f t="shared" si="9"/>
        <v>The Commissioner &amp; Chief Constable are satisfied the spend represents VFM in accordance with the requirements of Category B</v>
      </c>
      <c r="K261" s="17"/>
      <c r="L261" s="17"/>
    </row>
    <row r="262" spans="1:12" s="20" customFormat="1" x14ac:dyDescent="0.2">
      <c r="A262" s="10" t="s">
        <v>8</v>
      </c>
      <c r="B262" s="11" t="s">
        <v>9</v>
      </c>
      <c r="C262" s="13" t="s">
        <v>172</v>
      </c>
      <c r="D262" s="32">
        <v>45357</v>
      </c>
      <c r="E262" s="12">
        <v>2941.66</v>
      </c>
      <c r="F262" s="13" t="s">
        <v>112</v>
      </c>
      <c r="G262" s="14" t="str">
        <f t="shared" si="8"/>
        <v>B</v>
      </c>
      <c r="H262" s="15" t="str">
        <f t="shared" si="9"/>
        <v>The Commissioner &amp; Chief Constable are satisfied the spend represents VFM in accordance with the requirements of Category B</v>
      </c>
      <c r="K262" s="17"/>
      <c r="L262" s="17"/>
    </row>
    <row r="263" spans="1:12" s="20" customFormat="1" x14ac:dyDescent="0.2">
      <c r="A263" s="10" t="s">
        <v>8</v>
      </c>
      <c r="B263" s="11" t="s">
        <v>9</v>
      </c>
      <c r="C263" s="13" t="s">
        <v>33</v>
      </c>
      <c r="D263" s="32">
        <v>45373</v>
      </c>
      <c r="E263" s="12">
        <v>2888.11</v>
      </c>
      <c r="F263" s="13" t="s">
        <v>58</v>
      </c>
      <c r="G263" s="14" t="str">
        <f t="shared" si="8"/>
        <v>B</v>
      </c>
      <c r="H263" s="15" t="str">
        <f t="shared" si="9"/>
        <v>The Commissioner &amp; Chief Constable are satisfied the spend represents VFM in accordance with the requirements of Category B</v>
      </c>
      <c r="K263" s="17"/>
      <c r="L263" s="17"/>
    </row>
    <row r="264" spans="1:12" s="20" customFormat="1" x14ac:dyDescent="0.2">
      <c r="A264" s="10" t="s">
        <v>8</v>
      </c>
      <c r="B264" s="11" t="s">
        <v>9</v>
      </c>
      <c r="C264" s="13" t="s">
        <v>130</v>
      </c>
      <c r="D264" s="32">
        <v>45377</v>
      </c>
      <c r="E264" s="12">
        <v>2855</v>
      </c>
      <c r="F264" s="13" t="s">
        <v>38</v>
      </c>
      <c r="G264" s="14" t="str">
        <f t="shared" si="8"/>
        <v>B</v>
      </c>
      <c r="H264" s="15" t="str">
        <f t="shared" si="9"/>
        <v>The Commissioner &amp; Chief Constable are satisfied the spend represents VFM in accordance with the requirements of Category B</v>
      </c>
      <c r="K264" s="17"/>
      <c r="L264" s="17"/>
    </row>
    <row r="265" spans="1:12" s="20" customFormat="1" x14ac:dyDescent="0.2">
      <c r="A265" s="10" t="s">
        <v>8</v>
      </c>
      <c r="B265" s="11" t="s">
        <v>9</v>
      </c>
      <c r="C265" s="13" t="s">
        <v>140</v>
      </c>
      <c r="D265" s="32">
        <v>45363</v>
      </c>
      <c r="E265" s="12">
        <v>2834.55</v>
      </c>
      <c r="F265" s="13" t="s">
        <v>156</v>
      </c>
      <c r="G265" s="14" t="str">
        <f t="shared" si="8"/>
        <v>B</v>
      </c>
      <c r="H265" s="15" t="str">
        <f t="shared" si="9"/>
        <v>The Commissioner &amp; Chief Constable are satisfied the spend represents VFM in accordance with the requirements of Category B</v>
      </c>
      <c r="K265" s="17"/>
      <c r="L265" s="17"/>
    </row>
    <row r="266" spans="1:12" s="20" customFormat="1" x14ac:dyDescent="0.2">
      <c r="A266" s="10" t="s">
        <v>8</v>
      </c>
      <c r="B266" s="11" t="s">
        <v>9</v>
      </c>
      <c r="C266" s="13" t="s">
        <v>320</v>
      </c>
      <c r="D266" s="32">
        <v>45369</v>
      </c>
      <c r="E266" s="12">
        <v>2824.23</v>
      </c>
      <c r="F266" s="13" t="s">
        <v>133</v>
      </c>
      <c r="G266" s="14" t="str">
        <f t="shared" si="8"/>
        <v>B</v>
      </c>
      <c r="H266" s="15" t="str">
        <f t="shared" si="9"/>
        <v>The Commissioner &amp; Chief Constable are satisfied the spend represents VFM in accordance with the requirements of Category B</v>
      </c>
      <c r="K266" s="17"/>
      <c r="L266" s="17"/>
    </row>
    <row r="267" spans="1:12" s="20" customFormat="1" x14ac:dyDescent="0.2">
      <c r="A267" s="10" t="s">
        <v>8</v>
      </c>
      <c r="B267" s="11" t="s">
        <v>9</v>
      </c>
      <c r="C267" s="13" t="s">
        <v>442</v>
      </c>
      <c r="D267" s="32">
        <v>45379</v>
      </c>
      <c r="E267" s="12">
        <v>2795.25</v>
      </c>
      <c r="F267" s="13" t="s">
        <v>94</v>
      </c>
      <c r="G267" s="14" t="str">
        <f t="shared" si="8"/>
        <v>B</v>
      </c>
      <c r="H267" s="15" t="str">
        <f t="shared" si="9"/>
        <v>The Commissioner &amp; Chief Constable are satisfied the spend represents VFM in accordance with the requirements of Category B</v>
      </c>
      <c r="K267" s="17"/>
      <c r="L267" s="17"/>
    </row>
    <row r="268" spans="1:12" s="20" customFormat="1" x14ac:dyDescent="0.2">
      <c r="A268" s="10" t="s">
        <v>8</v>
      </c>
      <c r="B268" s="11" t="s">
        <v>9</v>
      </c>
      <c r="C268" s="13" t="s">
        <v>149</v>
      </c>
      <c r="D268" s="32">
        <v>45358</v>
      </c>
      <c r="E268" s="12">
        <v>2795.12</v>
      </c>
      <c r="F268" s="13" t="s">
        <v>138</v>
      </c>
      <c r="G268" s="14" t="str">
        <f t="shared" si="8"/>
        <v>B</v>
      </c>
      <c r="H268" s="15" t="str">
        <f t="shared" si="9"/>
        <v>The Commissioner &amp; Chief Constable are satisfied the spend represents VFM in accordance with the requirements of Category B</v>
      </c>
      <c r="K268" s="17"/>
      <c r="L268" s="17"/>
    </row>
    <row r="269" spans="1:12" s="20" customFormat="1" x14ac:dyDescent="0.2">
      <c r="A269" s="10" t="s">
        <v>8</v>
      </c>
      <c r="B269" s="11" t="s">
        <v>9</v>
      </c>
      <c r="C269" s="13" t="s">
        <v>441</v>
      </c>
      <c r="D269" s="32">
        <v>45376</v>
      </c>
      <c r="E269" s="12">
        <v>2790</v>
      </c>
      <c r="F269" s="13" t="s">
        <v>177</v>
      </c>
      <c r="G269" s="14" t="str">
        <f t="shared" si="8"/>
        <v>B</v>
      </c>
      <c r="H269" s="15" t="str">
        <f t="shared" si="9"/>
        <v>The Commissioner &amp; Chief Constable are satisfied the spend represents VFM in accordance with the requirements of Category B</v>
      </c>
      <c r="K269" s="17"/>
      <c r="L269" s="17"/>
    </row>
    <row r="270" spans="1:12" s="20" customFormat="1" x14ac:dyDescent="0.2">
      <c r="A270" s="10" t="s">
        <v>8</v>
      </c>
      <c r="B270" s="11" t="s">
        <v>9</v>
      </c>
      <c r="C270" s="13" t="s">
        <v>90</v>
      </c>
      <c r="D270" s="32">
        <v>45356</v>
      </c>
      <c r="E270" s="12">
        <v>2787.08</v>
      </c>
      <c r="F270" s="13" t="s">
        <v>91</v>
      </c>
      <c r="G270" s="14" t="str">
        <f t="shared" si="8"/>
        <v>B</v>
      </c>
      <c r="H270" s="15" t="str">
        <f t="shared" si="9"/>
        <v>The Commissioner &amp; Chief Constable are satisfied the spend represents VFM in accordance with the requirements of Category B</v>
      </c>
      <c r="K270" s="17"/>
      <c r="L270" s="17"/>
    </row>
    <row r="271" spans="1:12" s="20" customFormat="1" x14ac:dyDescent="0.2">
      <c r="A271" s="10" t="s">
        <v>8</v>
      </c>
      <c r="B271" s="11" t="s">
        <v>9</v>
      </c>
      <c r="C271" s="13" t="s">
        <v>440</v>
      </c>
      <c r="D271" s="32">
        <v>45362</v>
      </c>
      <c r="E271" s="12">
        <v>2750</v>
      </c>
      <c r="F271" s="13" t="s">
        <v>106</v>
      </c>
      <c r="G271" s="14" t="str">
        <f t="shared" si="8"/>
        <v>B</v>
      </c>
      <c r="H271" s="15" t="str">
        <f t="shared" si="9"/>
        <v>The Commissioner &amp; Chief Constable are satisfied the spend represents VFM in accordance with the requirements of Category B</v>
      </c>
      <c r="K271" s="17"/>
      <c r="L271" s="17"/>
    </row>
    <row r="272" spans="1:12" s="20" customFormat="1" x14ac:dyDescent="0.2">
      <c r="A272" s="10" t="s">
        <v>8</v>
      </c>
      <c r="B272" s="11" t="s">
        <v>9</v>
      </c>
      <c r="C272" s="13" t="s">
        <v>103</v>
      </c>
      <c r="D272" s="32">
        <v>45363</v>
      </c>
      <c r="E272" s="12">
        <v>2745</v>
      </c>
      <c r="F272" s="13" t="s">
        <v>91</v>
      </c>
      <c r="G272" s="14" t="str">
        <f t="shared" si="8"/>
        <v>B</v>
      </c>
      <c r="H272" s="15" t="str">
        <f t="shared" si="9"/>
        <v>The Commissioner &amp; Chief Constable are satisfied the spend represents VFM in accordance with the requirements of Category B</v>
      </c>
      <c r="K272" s="17"/>
      <c r="L272" s="17"/>
    </row>
    <row r="273" spans="1:12" s="20" customFormat="1" x14ac:dyDescent="0.2">
      <c r="A273" s="10" t="s">
        <v>8</v>
      </c>
      <c r="B273" s="11" t="s">
        <v>9</v>
      </c>
      <c r="C273" s="13" t="s">
        <v>196</v>
      </c>
      <c r="D273" s="32">
        <v>45376</v>
      </c>
      <c r="E273" s="12">
        <v>2738.54</v>
      </c>
      <c r="F273" s="13" t="s">
        <v>169</v>
      </c>
      <c r="G273" s="14" t="str">
        <f t="shared" si="8"/>
        <v>B</v>
      </c>
      <c r="H273" s="15" t="str">
        <f t="shared" si="9"/>
        <v>The Commissioner &amp; Chief Constable are satisfied the spend represents VFM in accordance with the requirements of Category B</v>
      </c>
      <c r="K273" s="17"/>
      <c r="L273" s="17"/>
    </row>
    <row r="274" spans="1:12" s="20" customFormat="1" x14ac:dyDescent="0.2">
      <c r="A274" s="10" t="s">
        <v>8</v>
      </c>
      <c r="B274" s="11" t="s">
        <v>9</v>
      </c>
      <c r="C274" s="13" t="s">
        <v>196</v>
      </c>
      <c r="D274" s="32">
        <v>45368</v>
      </c>
      <c r="E274" s="12">
        <v>2713.58</v>
      </c>
      <c r="F274" s="13" t="s">
        <v>169</v>
      </c>
      <c r="G274" s="14" t="str">
        <f t="shared" si="8"/>
        <v>B</v>
      </c>
      <c r="H274" s="15" t="str">
        <f t="shared" si="9"/>
        <v>The Commissioner &amp; Chief Constable are satisfied the spend represents VFM in accordance with the requirements of Category B</v>
      </c>
      <c r="K274" s="17"/>
      <c r="L274" s="17"/>
    </row>
    <row r="275" spans="1:12" s="20" customFormat="1" x14ac:dyDescent="0.2">
      <c r="A275" s="10" t="s">
        <v>8</v>
      </c>
      <c r="B275" s="11" t="s">
        <v>9</v>
      </c>
      <c r="C275" s="13" t="s">
        <v>196</v>
      </c>
      <c r="D275" s="32">
        <v>45357</v>
      </c>
      <c r="E275" s="12">
        <v>2701.62</v>
      </c>
      <c r="F275" s="13" t="s">
        <v>169</v>
      </c>
      <c r="G275" s="14" t="str">
        <f t="shared" si="8"/>
        <v>B</v>
      </c>
      <c r="H275" s="15" t="str">
        <f t="shared" si="9"/>
        <v>The Commissioner &amp; Chief Constable are satisfied the spend represents VFM in accordance with the requirements of Category B</v>
      </c>
      <c r="K275" s="17"/>
      <c r="L275" s="17"/>
    </row>
    <row r="276" spans="1:12" s="20" customFormat="1" x14ac:dyDescent="0.2">
      <c r="A276" s="10" t="s">
        <v>8</v>
      </c>
      <c r="B276" s="11" t="s">
        <v>9</v>
      </c>
      <c r="C276" s="13" t="s">
        <v>423</v>
      </c>
      <c r="D276" s="32">
        <v>45371</v>
      </c>
      <c r="E276" s="12">
        <v>2700.05</v>
      </c>
      <c r="F276" s="13" t="s">
        <v>390</v>
      </c>
      <c r="G276" s="14" t="str">
        <f t="shared" si="8"/>
        <v>B</v>
      </c>
      <c r="H276" s="15" t="str">
        <f t="shared" si="9"/>
        <v>The Commissioner &amp; Chief Constable are satisfied the spend represents VFM in accordance with the requirements of Category B</v>
      </c>
      <c r="K276" s="17"/>
      <c r="L276" s="17"/>
    </row>
    <row r="277" spans="1:12" s="20" customFormat="1" x14ac:dyDescent="0.2">
      <c r="A277" s="10" t="s">
        <v>8</v>
      </c>
      <c r="B277" s="11" t="s">
        <v>9</v>
      </c>
      <c r="C277" s="13" t="s">
        <v>199</v>
      </c>
      <c r="D277" s="32">
        <v>45365</v>
      </c>
      <c r="E277" s="12">
        <v>2681.95</v>
      </c>
      <c r="F277" s="13" t="s">
        <v>148</v>
      </c>
      <c r="G277" s="14" t="str">
        <f t="shared" si="8"/>
        <v>B</v>
      </c>
      <c r="H277" s="15" t="str">
        <f t="shared" si="9"/>
        <v>The Commissioner &amp; Chief Constable are satisfied the spend represents VFM in accordance with the requirements of Category B</v>
      </c>
      <c r="K277" s="17"/>
      <c r="L277" s="17"/>
    </row>
    <row r="278" spans="1:12" s="20" customFormat="1" x14ac:dyDescent="0.2">
      <c r="A278" s="10" t="s">
        <v>8</v>
      </c>
      <c r="B278" s="11" t="s">
        <v>9</v>
      </c>
      <c r="C278" s="13" t="s">
        <v>142</v>
      </c>
      <c r="D278" s="32">
        <v>45357</v>
      </c>
      <c r="E278" s="12">
        <v>2661.16</v>
      </c>
      <c r="F278" s="13" t="s">
        <v>143</v>
      </c>
      <c r="G278" s="14" t="str">
        <f t="shared" si="8"/>
        <v>B</v>
      </c>
      <c r="H278" s="15" t="str">
        <f t="shared" si="9"/>
        <v>The Commissioner &amp; Chief Constable are satisfied the spend represents VFM in accordance with the requirements of Category B</v>
      </c>
      <c r="K278" s="17"/>
      <c r="L278" s="17"/>
    </row>
    <row r="279" spans="1:12" s="20" customFormat="1" x14ac:dyDescent="0.2">
      <c r="A279" s="10" t="s">
        <v>8</v>
      </c>
      <c r="B279" s="11" t="s">
        <v>9</v>
      </c>
      <c r="C279" s="13" t="s">
        <v>103</v>
      </c>
      <c r="D279" s="32">
        <v>45358</v>
      </c>
      <c r="E279" s="12">
        <v>2550</v>
      </c>
      <c r="F279" s="13" t="s">
        <v>91</v>
      </c>
      <c r="G279" s="14" t="str">
        <f t="shared" si="8"/>
        <v>B</v>
      </c>
      <c r="H279" s="15" t="str">
        <f t="shared" si="9"/>
        <v>The Commissioner &amp; Chief Constable are satisfied the spend represents VFM in accordance with the requirements of Category B</v>
      </c>
      <c r="K279" s="17"/>
      <c r="L279" s="17"/>
    </row>
    <row r="280" spans="1:12" s="20" customFormat="1" x14ac:dyDescent="0.2">
      <c r="A280" s="10" t="s">
        <v>8</v>
      </c>
      <c r="B280" s="11" t="s">
        <v>9</v>
      </c>
      <c r="C280" s="34" t="s">
        <v>124</v>
      </c>
      <c r="D280" s="32">
        <v>45377</v>
      </c>
      <c r="E280" s="12">
        <v>2507.56</v>
      </c>
      <c r="F280" s="13" t="s">
        <v>91</v>
      </c>
      <c r="G280" s="14" t="str">
        <f t="shared" si="8"/>
        <v>B</v>
      </c>
      <c r="H280" s="15" t="str">
        <f t="shared" si="9"/>
        <v>The Commissioner &amp; Chief Constable are satisfied the spend represents VFM in accordance with the requirements of Category B</v>
      </c>
      <c r="K280" s="17"/>
      <c r="L280" s="17"/>
    </row>
    <row r="281" spans="1:12" s="20" customFormat="1" x14ac:dyDescent="0.2">
      <c r="A281" s="10" t="s">
        <v>8</v>
      </c>
      <c r="B281" s="11" t="s">
        <v>9</v>
      </c>
      <c r="C281" s="13" t="s">
        <v>439</v>
      </c>
      <c r="D281" s="32">
        <v>45364</v>
      </c>
      <c r="E281" s="12">
        <v>2500</v>
      </c>
      <c r="F281" s="13" t="s">
        <v>27</v>
      </c>
      <c r="G281" s="14" t="str">
        <f t="shared" si="8"/>
        <v>B</v>
      </c>
      <c r="H281" s="15" t="str">
        <f t="shared" si="9"/>
        <v>The Commissioner &amp; Chief Constable are satisfied the spend represents VFM in accordance with the requirements of Category B</v>
      </c>
      <c r="K281" s="17"/>
      <c r="L281" s="17"/>
    </row>
    <row r="282" spans="1:12" s="20" customFormat="1" x14ac:dyDescent="0.2">
      <c r="A282" s="10" t="s">
        <v>8</v>
      </c>
      <c r="B282" s="11" t="s">
        <v>9</v>
      </c>
      <c r="C282" s="13" t="s">
        <v>438</v>
      </c>
      <c r="D282" s="32">
        <v>45364</v>
      </c>
      <c r="E282" s="12">
        <v>2500</v>
      </c>
      <c r="F282" s="13" t="s">
        <v>27</v>
      </c>
      <c r="G282" s="14" t="str">
        <f t="shared" si="8"/>
        <v>B</v>
      </c>
      <c r="H282" s="15" t="str">
        <f t="shared" si="9"/>
        <v>The Commissioner &amp; Chief Constable are satisfied the spend represents VFM in accordance with the requirements of Category B</v>
      </c>
      <c r="K282" s="17"/>
      <c r="L282" s="17"/>
    </row>
    <row r="283" spans="1:12" s="20" customFormat="1" x14ac:dyDescent="0.2">
      <c r="A283" s="10" t="s">
        <v>8</v>
      </c>
      <c r="B283" s="11" t="s">
        <v>9</v>
      </c>
      <c r="C283" s="13" t="s">
        <v>208</v>
      </c>
      <c r="D283" s="32">
        <v>45365</v>
      </c>
      <c r="E283" s="12">
        <v>2489.39</v>
      </c>
      <c r="F283" s="13" t="s">
        <v>209</v>
      </c>
      <c r="G283" s="14" t="str">
        <f t="shared" si="8"/>
        <v>B</v>
      </c>
      <c r="H283" s="15" t="str">
        <f t="shared" si="9"/>
        <v>The Commissioner &amp; Chief Constable are satisfied the spend represents VFM in accordance with the requirements of Category B</v>
      </c>
      <c r="K283" s="17"/>
      <c r="L283" s="17"/>
    </row>
    <row r="284" spans="1:12" s="20" customFormat="1" x14ac:dyDescent="0.2">
      <c r="A284" s="10" t="s">
        <v>8</v>
      </c>
      <c r="B284" s="11" t="s">
        <v>9</v>
      </c>
      <c r="C284" s="13" t="s">
        <v>413</v>
      </c>
      <c r="D284" s="32">
        <v>45359</v>
      </c>
      <c r="E284" s="12">
        <v>2486.9899999999998</v>
      </c>
      <c r="F284" s="13" t="s">
        <v>22</v>
      </c>
      <c r="G284" s="14" t="str">
        <f t="shared" si="8"/>
        <v>B</v>
      </c>
      <c r="H284" s="15" t="str">
        <f t="shared" si="9"/>
        <v>The Commissioner &amp; Chief Constable are satisfied the spend represents VFM in accordance with the requirements of Category B</v>
      </c>
      <c r="K284" s="17"/>
      <c r="L284" s="17"/>
    </row>
    <row r="285" spans="1:12" s="20" customFormat="1" x14ac:dyDescent="0.2">
      <c r="A285" s="10" t="s">
        <v>8</v>
      </c>
      <c r="B285" s="11" t="s">
        <v>9</v>
      </c>
      <c r="C285" s="13" t="s">
        <v>437</v>
      </c>
      <c r="D285" s="32">
        <v>45364</v>
      </c>
      <c r="E285" s="12">
        <v>2473</v>
      </c>
      <c r="F285" s="13" t="s">
        <v>27</v>
      </c>
      <c r="G285" s="14" t="str">
        <f t="shared" si="8"/>
        <v>B</v>
      </c>
      <c r="H285" s="15" t="str">
        <f t="shared" si="9"/>
        <v>The Commissioner &amp; Chief Constable are satisfied the spend represents VFM in accordance with the requirements of Category B</v>
      </c>
      <c r="K285" s="17"/>
      <c r="L285" s="17"/>
    </row>
    <row r="286" spans="1:12" s="20" customFormat="1" x14ac:dyDescent="0.2">
      <c r="A286" s="10" t="s">
        <v>8</v>
      </c>
      <c r="B286" s="11" t="s">
        <v>9</v>
      </c>
      <c r="C286" s="13" t="s">
        <v>74</v>
      </c>
      <c r="D286" s="32">
        <v>45366</v>
      </c>
      <c r="E286" s="12">
        <v>2466.7600000000002</v>
      </c>
      <c r="F286" s="13" t="s">
        <v>148</v>
      </c>
      <c r="G286" s="14" t="str">
        <f t="shared" si="8"/>
        <v>B</v>
      </c>
      <c r="H286" s="15" t="str">
        <f t="shared" si="9"/>
        <v>The Commissioner &amp; Chief Constable are satisfied the spend represents VFM in accordance with the requirements of Category B</v>
      </c>
      <c r="K286" s="17"/>
      <c r="L286" s="17"/>
    </row>
    <row r="287" spans="1:12" s="20" customFormat="1" x14ac:dyDescent="0.2">
      <c r="A287" s="10" t="s">
        <v>8</v>
      </c>
      <c r="B287" s="11" t="s">
        <v>9</v>
      </c>
      <c r="C287" s="13" t="s">
        <v>387</v>
      </c>
      <c r="D287" s="32">
        <v>45366</v>
      </c>
      <c r="E287" s="12">
        <v>2450</v>
      </c>
      <c r="F287" s="13" t="s">
        <v>38</v>
      </c>
      <c r="G287" s="14" t="str">
        <f t="shared" si="8"/>
        <v>B</v>
      </c>
      <c r="H287" s="15" t="str">
        <f t="shared" si="9"/>
        <v>The Commissioner &amp; Chief Constable are satisfied the spend represents VFM in accordance with the requirements of Category B</v>
      </c>
      <c r="K287" s="17"/>
      <c r="L287" s="17"/>
    </row>
    <row r="288" spans="1:12" s="20" customFormat="1" x14ac:dyDescent="0.2">
      <c r="A288" s="10" t="s">
        <v>8</v>
      </c>
      <c r="B288" s="11" t="s">
        <v>9</v>
      </c>
      <c r="C288" s="13" t="s">
        <v>436</v>
      </c>
      <c r="D288" s="32">
        <v>45377</v>
      </c>
      <c r="E288" s="12">
        <v>2411.04</v>
      </c>
      <c r="F288" s="13" t="s">
        <v>112</v>
      </c>
      <c r="G288" s="14" t="str">
        <f t="shared" si="8"/>
        <v>B</v>
      </c>
      <c r="H288" s="15" t="str">
        <f t="shared" si="9"/>
        <v>The Commissioner &amp; Chief Constable are satisfied the spend represents VFM in accordance with the requirements of Category B</v>
      </c>
      <c r="K288" s="17"/>
      <c r="L288" s="17"/>
    </row>
    <row r="289" spans="1:12" s="20" customFormat="1" x14ac:dyDescent="0.2">
      <c r="A289" s="10" t="s">
        <v>8</v>
      </c>
      <c r="B289" s="11" t="s">
        <v>9</v>
      </c>
      <c r="C289" s="13" t="s">
        <v>435</v>
      </c>
      <c r="D289" s="32">
        <v>45364</v>
      </c>
      <c r="E289" s="12">
        <v>2400</v>
      </c>
      <c r="F289" s="13" t="s">
        <v>27</v>
      </c>
      <c r="G289" s="14" t="str">
        <f t="shared" si="8"/>
        <v>B</v>
      </c>
      <c r="H289" s="15" t="str">
        <f t="shared" si="9"/>
        <v>The Commissioner &amp; Chief Constable are satisfied the spend represents VFM in accordance with the requirements of Category B</v>
      </c>
      <c r="K289" s="17"/>
      <c r="L289" s="17"/>
    </row>
    <row r="290" spans="1:12" s="20" customFormat="1" x14ac:dyDescent="0.2">
      <c r="A290" s="10" t="s">
        <v>8</v>
      </c>
      <c r="B290" s="11" t="s">
        <v>9</v>
      </c>
      <c r="C290" s="13" t="s">
        <v>434</v>
      </c>
      <c r="D290" s="32">
        <v>45364</v>
      </c>
      <c r="E290" s="12">
        <v>2388.5</v>
      </c>
      <c r="F290" s="13" t="s">
        <v>429</v>
      </c>
      <c r="G290" s="14" t="str">
        <f t="shared" si="8"/>
        <v>B</v>
      </c>
      <c r="H290" s="15" t="str">
        <f t="shared" si="9"/>
        <v>The Commissioner &amp; Chief Constable are satisfied the spend represents VFM in accordance with the requirements of Category B</v>
      </c>
      <c r="K290" s="17"/>
      <c r="L290" s="17"/>
    </row>
    <row r="291" spans="1:12" s="20" customFormat="1" x14ac:dyDescent="0.2">
      <c r="A291" s="10" t="s">
        <v>8</v>
      </c>
      <c r="B291" s="11" t="s">
        <v>9</v>
      </c>
      <c r="C291" s="13" t="s">
        <v>142</v>
      </c>
      <c r="D291" s="32">
        <v>45357</v>
      </c>
      <c r="E291" s="12">
        <v>2360.8200000000002</v>
      </c>
      <c r="F291" s="13" t="s">
        <v>143</v>
      </c>
      <c r="G291" s="14" t="str">
        <f t="shared" si="8"/>
        <v>B</v>
      </c>
      <c r="H291" s="15" t="str">
        <f t="shared" si="9"/>
        <v>The Commissioner &amp; Chief Constable are satisfied the spend represents VFM in accordance with the requirements of Category B</v>
      </c>
      <c r="K291" s="17"/>
      <c r="L291" s="17"/>
    </row>
    <row r="292" spans="1:12" s="20" customFormat="1" x14ac:dyDescent="0.2">
      <c r="A292" s="10" t="s">
        <v>8</v>
      </c>
      <c r="B292" s="11" t="s">
        <v>9</v>
      </c>
      <c r="C292" s="13" t="s">
        <v>333</v>
      </c>
      <c r="D292" s="32">
        <v>45356</v>
      </c>
      <c r="E292" s="12">
        <v>2351</v>
      </c>
      <c r="F292" s="13" t="s">
        <v>39</v>
      </c>
      <c r="G292" s="14" t="str">
        <f t="shared" si="8"/>
        <v>B</v>
      </c>
      <c r="H292" s="15" t="str">
        <f t="shared" si="9"/>
        <v>The Commissioner &amp; Chief Constable are satisfied the spend represents VFM in accordance with the requirements of Category B</v>
      </c>
      <c r="K292" s="17"/>
      <c r="L292" s="17"/>
    </row>
    <row r="293" spans="1:12" s="20" customFormat="1" x14ac:dyDescent="0.2">
      <c r="A293" s="10" t="s">
        <v>8</v>
      </c>
      <c r="B293" s="11" t="s">
        <v>9</v>
      </c>
      <c r="C293" s="13" t="s">
        <v>407</v>
      </c>
      <c r="D293" s="32">
        <v>45379</v>
      </c>
      <c r="E293" s="12">
        <v>2301</v>
      </c>
      <c r="F293" s="13" t="s">
        <v>106</v>
      </c>
      <c r="G293" s="14" t="str">
        <f t="shared" si="8"/>
        <v>B</v>
      </c>
      <c r="H293" s="15" t="str">
        <f t="shared" si="9"/>
        <v>The Commissioner &amp; Chief Constable are satisfied the spend represents VFM in accordance with the requirements of Category B</v>
      </c>
      <c r="K293" s="17"/>
      <c r="L293" s="17"/>
    </row>
    <row r="294" spans="1:12" s="20" customFormat="1" x14ac:dyDescent="0.2">
      <c r="A294" s="10" t="s">
        <v>8</v>
      </c>
      <c r="B294" s="11" t="s">
        <v>9</v>
      </c>
      <c r="C294" s="13" t="s">
        <v>433</v>
      </c>
      <c r="D294" s="32">
        <v>45357</v>
      </c>
      <c r="E294" s="12">
        <v>2253</v>
      </c>
      <c r="F294" s="13" t="s">
        <v>94</v>
      </c>
      <c r="G294" s="14" t="str">
        <f t="shared" si="8"/>
        <v>B</v>
      </c>
      <c r="H294" s="15" t="str">
        <f t="shared" si="9"/>
        <v>The Commissioner &amp; Chief Constable are satisfied the spend represents VFM in accordance with the requirements of Category B</v>
      </c>
      <c r="K294" s="17"/>
      <c r="L294" s="17"/>
    </row>
    <row r="295" spans="1:12" s="20" customFormat="1" x14ac:dyDescent="0.2">
      <c r="A295" s="10" t="s">
        <v>8</v>
      </c>
      <c r="B295" s="11" t="s">
        <v>9</v>
      </c>
      <c r="C295" s="13" t="s">
        <v>217</v>
      </c>
      <c r="D295" s="32">
        <v>45365</v>
      </c>
      <c r="E295" s="12">
        <v>2242</v>
      </c>
      <c r="F295" s="13" t="s">
        <v>218</v>
      </c>
      <c r="G295" s="14" t="str">
        <f t="shared" si="8"/>
        <v>B</v>
      </c>
      <c r="H295" s="15" t="str">
        <f t="shared" si="9"/>
        <v>The Commissioner &amp; Chief Constable are satisfied the spend represents VFM in accordance with the requirements of Category B</v>
      </c>
      <c r="K295" s="17"/>
      <c r="L295" s="17"/>
    </row>
    <row r="296" spans="1:12" s="20" customFormat="1" x14ac:dyDescent="0.2">
      <c r="A296" s="10" t="s">
        <v>8</v>
      </c>
      <c r="B296" s="11" t="s">
        <v>9</v>
      </c>
      <c r="C296" s="13" t="s">
        <v>217</v>
      </c>
      <c r="D296" s="32">
        <v>45354</v>
      </c>
      <c r="E296" s="12">
        <v>2242</v>
      </c>
      <c r="F296" s="13" t="s">
        <v>218</v>
      </c>
      <c r="G296" s="14" t="str">
        <f t="shared" si="8"/>
        <v>B</v>
      </c>
      <c r="H296" s="15" t="str">
        <f t="shared" si="9"/>
        <v>The Commissioner &amp; Chief Constable are satisfied the spend represents VFM in accordance with the requirements of Category B</v>
      </c>
      <c r="K296" s="17"/>
      <c r="L296" s="17"/>
    </row>
    <row r="297" spans="1:12" s="20" customFormat="1" x14ac:dyDescent="0.2">
      <c r="A297" s="10" t="s">
        <v>8</v>
      </c>
      <c r="B297" s="11" t="s">
        <v>9</v>
      </c>
      <c r="C297" s="13" t="s">
        <v>221</v>
      </c>
      <c r="D297" s="32">
        <v>45365</v>
      </c>
      <c r="E297" s="12">
        <v>2240</v>
      </c>
      <c r="F297" s="13" t="s">
        <v>106</v>
      </c>
      <c r="G297" s="14" t="str">
        <f t="shared" si="8"/>
        <v>B</v>
      </c>
      <c r="H297" s="15" t="str">
        <f t="shared" si="9"/>
        <v>The Commissioner &amp; Chief Constable are satisfied the spend represents VFM in accordance with the requirements of Category B</v>
      </c>
      <c r="K297" s="17"/>
      <c r="L297" s="17"/>
    </row>
    <row r="298" spans="1:12" s="20" customFormat="1" x14ac:dyDescent="0.2">
      <c r="A298" s="10" t="s">
        <v>8</v>
      </c>
      <c r="B298" s="11" t="s">
        <v>9</v>
      </c>
      <c r="C298" s="13" t="s">
        <v>195</v>
      </c>
      <c r="D298" s="32">
        <v>45371</v>
      </c>
      <c r="E298" s="12">
        <v>2216</v>
      </c>
      <c r="F298" s="13" t="s">
        <v>131</v>
      </c>
      <c r="G298" s="14" t="str">
        <f t="shared" si="8"/>
        <v>B</v>
      </c>
      <c r="H298" s="15" t="str">
        <f t="shared" si="9"/>
        <v>The Commissioner &amp; Chief Constable are satisfied the spend represents VFM in accordance with the requirements of Category B</v>
      </c>
      <c r="K298" s="17"/>
      <c r="L298" s="17"/>
    </row>
    <row r="299" spans="1:12" s="20" customFormat="1" x14ac:dyDescent="0.2">
      <c r="A299" s="10" t="s">
        <v>8</v>
      </c>
      <c r="B299" s="11" t="s">
        <v>9</v>
      </c>
      <c r="C299" s="13" t="s">
        <v>161</v>
      </c>
      <c r="D299" s="32">
        <v>45378</v>
      </c>
      <c r="E299" s="12">
        <v>2200</v>
      </c>
      <c r="F299" s="13" t="s">
        <v>75</v>
      </c>
      <c r="G299" s="14" t="str">
        <f t="shared" si="8"/>
        <v>B</v>
      </c>
      <c r="H299" s="15" t="str">
        <f t="shared" si="9"/>
        <v>The Commissioner &amp; Chief Constable are satisfied the spend represents VFM in accordance with the requirements of Category B</v>
      </c>
      <c r="K299" s="17"/>
      <c r="L299" s="17"/>
    </row>
    <row r="300" spans="1:12" s="20" customFormat="1" x14ac:dyDescent="0.2">
      <c r="A300" s="10" t="s">
        <v>8</v>
      </c>
      <c r="B300" s="11" t="s">
        <v>9</v>
      </c>
      <c r="C300" s="13" t="s">
        <v>256</v>
      </c>
      <c r="D300" s="32">
        <v>45356</v>
      </c>
      <c r="E300" s="12">
        <v>2174.37</v>
      </c>
      <c r="F300" s="13" t="s">
        <v>131</v>
      </c>
      <c r="G300" s="14" t="str">
        <f t="shared" si="8"/>
        <v>B</v>
      </c>
      <c r="H300" s="15" t="str">
        <f t="shared" si="9"/>
        <v>The Commissioner &amp; Chief Constable are satisfied the spend represents VFM in accordance with the requirements of Category B</v>
      </c>
      <c r="K300" s="17"/>
      <c r="L300" s="17"/>
    </row>
    <row r="301" spans="1:12" s="20" customFormat="1" x14ac:dyDescent="0.2">
      <c r="A301" s="10" t="s">
        <v>8</v>
      </c>
      <c r="B301" s="11" t="s">
        <v>9</v>
      </c>
      <c r="C301" s="13" t="s">
        <v>432</v>
      </c>
      <c r="D301" s="32">
        <v>45376</v>
      </c>
      <c r="E301" s="12">
        <v>2115</v>
      </c>
      <c r="F301" s="13" t="s">
        <v>22</v>
      </c>
      <c r="G301" s="14" t="str">
        <f t="shared" si="8"/>
        <v>B</v>
      </c>
      <c r="H301" s="15" t="str">
        <f t="shared" si="9"/>
        <v>The Commissioner &amp; Chief Constable are satisfied the spend represents VFM in accordance with the requirements of Category B</v>
      </c>
      <c r="K301" s="17"/>
      <c r="L301" s="17"/>
    </row>
    <row r="302" spans="1:12" s="20" customFormat="1" x14ac:dyDescent="0.2">
      <c r="A302" s="10" t="s">
        <v>8</v>
      </c>
      <c r="B302" s="11" t="s">
        <v>9</v>
      </c>
      <c r="C302" s="13" t="s">
        <v>93</v>
      </c>
      <c r="D302" s="32">
        <v>45371</v>
      </c>
      <c r="E302" s="12">
        <v>2115</v>
      </c>
      <c r="F302" s="13" t="s">
        <v>94</v>
      </c>
      <c r="G302" s="14" t="str">
        <f t="shared" si="8"/>
        <v>B</v>
      </c>
      <c r="H302" s="15" t="str">
        <f t="shared" si="9"/>
        <v>The Commissioner &amp; Chief Constable are satisfied the spend represents VFM in accordance with the requirements of Category B</v>
      </c>
      <c r="K302" s="17"/>
      <c r="L302" s="17"/>
    </row>
    <row r="303" spans="1:12" s="20" customFormat="1" x14ac:dyDescent="0.2">
      <c r="A303" s="10" t="s">
        <v>8</v>
      </c>
      <c r="B303" s="11" t="s">
        <v>9</v>
      </c>
      <c r="C303" s="13" t="s">
        <v>385</v>
      </c>
      <c r="D303" s="32">
        <v>45377</v>
      </c>
      <c r="E303" s="12">
        <v>2088.5</v>
      </c>
      <c r="F303" s="13" t="s">
        <v>112</v>
      </c>
      <c r="G303" s="14" t="str">
        <f t="shared" si="8"/>
        <v>B</v>
      </c>
      <c r="H303" s="15" t="str">
        <f t="shared" si="9"/>
        <v>The Commissioner &amp; Chief Constable are satisfied the spend represents VFM in accordance with the requirements of Category B</v>
      </c>
      <c r="K303" s="17"/>
      <c r="L303" s="17"/>
    </row>
    <row r="304" spans="1:12" s="20" customFormat="1" x14ac:dyDescent="0.2">
      <c r="A304" s="10" t="s">
        <v>8</v>
      </c>
      <c r="B304" s="11" t="s">
        <v>9</v>
      </c>
      <c r="C304" s="13" t="s">
        <v>277</v>
      </c>
      <c r="D304" s="32">
        <v>45362</v>
      </c>
      <c r="E304" s="12">
        <v>2085</v>
      </c>
      <c r="F304" s="13" t="s">
        <v>177</v>
      </c>
      <c r="G304" s="14" t="str">
        <f t="shared" si="8"/>
        <v>B</v>
      </c>
      <c r="H304" s="15" t="str">
        <f t="shared" si="9"/>
        <v>The Commissioner &amp; Chief Constable are satisfied the spend represents VFM in accordance with the requirements of Category B</v>
      </c>
      <c r="K304" s="17"/>
      <c r="L304" s="17"/>
    </row>
    <row r="305" spans="1:8" x14ac:dyDescent="0.2">
      <c r="A305" s="10" t="s">
        <v>8</v>
      </c>
      <c r="B305" s="11" t="s">
        <v>9</v>
      </c>
      <c r="C305" s="13" t="s">
        <v>74</v>
      </c>
      <c r="D305" s="32">
        <v>45376</v>
      </c>
      <c r="E305" s="12">
        <v>2072.9</v>
      </c>
      <c r="F305" s="13" t="s">
        <v>177</v>
      </c>
      <c r="G305" s="14" t="str">
        <f t="shared" si="8"/>
        <v>B</v>
      </c>
      <c r="H305" s="15" t="str">
        <f t="shared" si="9"/>
        <v>The Commissioner &amp; Chief Constable are satisfied the spend represents VFM in accordance with the requirements of Category B</v>
      </c>
    </row>
    <row r="306" spans="1:8" x14ac:dyDescent="0.2">
      <c r="A306" s="10" t="s">
        <v>8</v>
      </c>
      <c r="B306" s="11" t="s">
        <v>9</v>
      </c>
      <c r="C306" s="13" t="s">
        <v>224</v>
      </c>
      <c r="D306" s="32">
        <v>45379</v>
      </c>
      <c r="E306" s="12">
        <v>263</v>
      </c>
      <c r="F306" s="13" t="s">
        <v>106</v>
      </c>
      <c r="G306" s="14" t="str">
        <f t="shared" si="8"/>
        <v>A</v>
      </c>
      <c r="H306" s="15" t="str">
        <f t="shared" si="9"/>
        <v>The Commissioner &amp; Chief Constable are satisfied the spend represents VFM in accordance with the requirements of Category A</v>
      </c>
    </row>
    <row r="307" spans="1:8" x14ac:dyDescent="0.2">
      <c r="A307" s="10" t="s">
        <v>8</v>
      </c>
      <c r="B307" s="11" t="s">
        <v>9</v>
      </c>
      <c r="C307" s="13" t="s">
        <v>224</v>
      </c>
      <c r="D307" s="32">
        <v>45379</v>
      </c>
      <c r="E307" s="18">
        <v>1800</v>
      </c>
      <c r="F307" s="19" t="s">
        <v>182</v>
      </c>
      <c r="G307" s="14" t="str">
        <f t="shared" si="8"/>
        <v>B</v>
      </c>
      <c r="H307" s="15" t="str">
        <f t="shared" si="9"/>
        <v>The Commissioner &amp; Chief Constable are satisfied the spend represents VFM in accordance with the requirements of Category B</v>
      </c>
    </row>
    <row r="308" spans="1:8" x14ac:dyDescent="0.2">
      <c r="A308" s="10" t="s">
        <v>8</v>
      </c>
      <c r="B308" s="11" t="s">
        <v>9</v>
      </c>
      <c r="C308" s="13" t="s">
        <v>395</v>
      </c>
      <c r="D308" s="32">
        <v>45364</v>
      </c>
      <c r="E308" s="12">
        <v>2025</v>
      </c>
      <c r="F308" s="13" t="s">
        <v>94</v>
      </c>
      <c r="G308" s="14" t="str">
        <f t="shared" si="8"/>
        <v>B</v>
      </c>
      <c r="H308" s="15" t="str">
        <f t="shared" si="9"/>
        <v>The Commissioner &amp; Chief Constable are satisfied the spend represents VFM in accordance with the requirements of Category B</v>
      </c>
    </row>
    <row r="309" spans="1:8" x14ac:dyDescent="0.2">
      <c r="A309" s="10" t="s">
        <v>8</v>
      </c>
      <c r="B309" s="11" t="s">
        <v>9</v>
      </c>
      <c r="C309" s="13" t="s">
        <v>153</v>
      </c>
      <c r="D309" s="32">
        <v>45377</v>
      </c>
      <c r="E309" s="12">
        <v>2023.57</v>
      </c>
      <c r="F309" s="13" t="s">
        <v>39</v>
      </c>
      <c r="G309" s="14" t="str">
        <f t="shared" si="8"/>
        <v>B</v>
      </c>
      <c r="H309" s="15" t="str">
        <f t="shared" si="9"/>
        <v>The Commissioner &amp; Chief Constable are satisfied the spend represents VFM in accordance with the requirements of Category B</v>
      </c>
    </row>
    <row r="310" spans="1:8" x14ac:dyDescent="0.2">
      <c r="A310" s="10" t="s">
        <v>8</v>
      </c>
      <c r="B310" s="11" t="s">
        <v>9</v>
      </c>
      <c r="C310" s="13" t="s">
        <v>385</v>
      </c>
      <c r="D310" s="32">
        <v>45377</v>
      </c>
      <c r="E310" s="12">
        <v>2022.82</v>
      </c>
      <c r="F310" s="13" t="s">
        <v>112</v>
      </c>
      <c r="G310" s="14" t="str">
        <f t="shared" si="8"/>
        <v>B</v>
      </c>
      <c r="H310" s="15" t="str">
        <f t="shared" si="9"/>
        <v>The Commissioner &amp; Chief Constable are satisfied the spend represents VFM in accordance with the requirements of Category B</v>
      </c>
    </row>
    <row r="311" spans="1:8" x14ac:dyDescent="0.2">
      <c r="A311" s="10" t="s">
        <v>8</v>
      </c>
      <c r="B311" s="11" t="s">
        <v>9</v>
      </c>
      <c r="C311" s="13" t="s">
        <v>124</v>
      </c>
      <c r="D311" s="32">
        <v>45352</v>
      </c>
      <c r="E311" s="12">
        <v>2014.6</v>
      </c>
      <c r="F311" s="13" t="s">
        <v>91</v>
      </c>
      <c r="G311" s="14" t="str">
        <f t="shared" si="8"/>
        <v>B</v>
      </c>
      <c r="H311" s="15" t="str">
        <f t="shared" si="9"/>
        <v>The Commissioner &amp; Chief Constable are satisfied the spend represents VFM in accordance with the requirements of Category B</v>
      </c>
    </row>
    <row r="312" spans="1:8" x14ac:dyDescent="0.2">
      <c r="A312" s="10" t="s">
        <v>8</v>
      </c>
      <c r="B312" s="11" t="s">
        <v>9</v>
      </c>
      <c r="C312" s="13" t="s">
        <v>431</v>
      </c>
      <c r="D312" s="32">
        <v>45356</v>
      </c>
      <c r="E312" s="12">
        <v>2000</v>
      </c>
      <c r="F312" s="13" t="s">
        <v>15</v>
      </c>
      <c r="G312" s="14" t="str">
        <f t="shared" si="8"/>
        <v>B</v>
      </c>
      <c r="H312" s="15" t="str">
        <f t="shared" si="9"/>
        <v>The Commissioner &amp; Chief Constable are satisfied the spend represents VFM in accordance with the requirements of Category B</v>
      </c>
    </row>
    <row r="313" spans="1:8" x14ac:dyDescent="0.2">
      <c r="A313" s="10" t="s">
        <v>8</v>
      </c>
      <c r="B313" s="11" t="s">
        <v>9</v>
      </c>
      <c r="C313" s="13" t="s">
        <v>430</v>
      </c>
      <c r="D313" s="32">
        <v>45365</v>
      </c>
      <c r="E313" s="12">
        <v>2000</v>
      </c>
      <c r="F313" s="13" t="s">
        <v>429</v>
      </c>
      <c r="G313" s="14" t="str">
        <f t="shared" si="8"/>
        <v>B</v>
      </c>
      <c r="H313" s="15" t="str">
        <f t="shared" si="9"/>
        <v>The Commissioner &amp; Chief Constable are satisfied the spend represents VFM in accordance with the requirements of Category B</v>
      </c>
    </row>
    <row r="314" spans="1:8" x14ac:dyDescent="0.2">
      <c r="A314" s="10" t="s">
        <v>8</v>
      </c>
      <c r="B314" s="11" t="s">
        <v>9</v>
      </c>
      <c r="C314" s="13" t="s">
        <v>119</v>
      </c>
      <c r="D314" s="32">
        <v>45372</v>
      </c>
      <c r="E314" s="12">
        <v>1979.13</v>
      </c>
      <c r="F314" s="13" t="s">
        <v>120</v>
      </c>
      <c r="G314" s="14" t="str">
        <f t="shared" si="8"/>
        <v>B</v>
      </c>
      <c r="H314" s="15" t="str">
        <f t="shared" si="9"/>
        <v>The Commissioner &amp; Chief Constable are satisfied the spend represents VFM in accordance with the requirements of Category B</v>
      </c>
    </row>
    <row r="315" spans="1:8" x14ac:dyDescent="0.2">
      <c r="A315" s="10" t="s">
        <v>8</v>
      </c>
      <c r="B315" s="11" t="s">
        <v>9</v>
      </c>
      <c r="C315" s="13" t="s">
        <v>231</v>
      </c>
      <c r="D315" s="32">
        <v>45365</v>
      </c>
      <c r="E315" s="12">
        <v>1950</v>
      </c>
      <c r="F315" s="13" t="s">
        <v>22</v>
      </c>
      <c r="G315" s="14" t="str">
        <f t="shared" si="8"/>
        <v>B</v>
      </c>
      <c r="H315" s="15" t="str">
        <f t="shared" si="9"/>
        <v>The Commissioner &amp; Chief Constable are satisfied the spend represents VFM in accordance with the requirements of Category B</v>
      </c>
    </row>
    <row r="316" spans="1:8" x14ac:dyDescent="0.2">
      <c r="A316" s="10" t="s">
        <v>8</v>
      </c>
      <c r="B316" s="11" t="s">
        <v>9</v>
      </c>
      <c r="C316" s="13" t="s">
        <v>287</v>
      </c>
      <c r="D316" s="32">
        <v>45364</v>
      </c>
      <c r="E316" s="12">
        <v>1948.22</v>
      </c>
      <c r="F316" s="13" t="s">
        <v>158</v>
      </c>
      <c r="G316" s="14" t="str">
        <f t="shared" si="8"/>
        <v>B</v>
      </c>
      <c r="H316" s="15" t="str">
        <f t="shared" si="9"/>
        <v>The Commissioner &amp; Chief Constable are satisfied the spend represents VFM in accordance with the requirements of Category B</v>
      </c>
    </row>
    <row r="317" spans="1:8" x14ac:dyDescent="0.2">
      <c r="A317" s="10" t="s">
        <v>8</v>
      </c>
      <c r="B317" s="11" t="s">
        <v>9</v>
      </c>
      <c r="C317" s="13" t="s">
        <v>428</v>
      </c>
      <c r="D317" s="32">
        <v>45377</v>
      </c>
      <c r="E317" s="12">
        <v>1938.12</v>
      </c>
      <c r="F317" s="13" t="s">
        <v>131</v>
      </c>
      <c r="G317" s="14" t="str">
        <f t="shared" si="8"/>
        <v>B</v>
      </c>
      <c r="H317" s="15" t="str">
        <f t="shared" si="9"/>
        <v>The Commissioner &amp; Chief Constable are satisfied the spend represents VFM in accordance with the requirements of Category B</v>
      </c>
    </row>
    <row r="318" spans="1:8" x14ac:dyDescent="0.2">
      <c r="A318" s="10" t="s">
        <v>8</v>
      </c>
      <c r="B318" s="11" t="s">
        <v>9</v>
      </c>
      <c r="C318" s="13" t="s">
        <v>249</v>
      </c>
      <c r="D318" s="32">
        <v>45364</v>
      </c>
      <c r="E318" s="12">
        <v>1933.5</v>
      </c>
      <c r="F318" s="13" t="s">
        <v>138</v>
      </c>
      <c r="G318" s="14" t="str">
        <f t="shared" si="8"/>
        <v>B</v>
      </c>
      <c r="H318" s="15" t="str">
        <f t="shared" si="9"/>
        <v>The Commissioner &amp; Chief Constable are satisfied the spend represents VFM in accordance with the requirements of Category B</v>
      </c>
    </row>
    <row r="319" spans="1:8" x14ac:dyDescent="0.2">
      <c r="A319" s="10" t="s">
        <v>8</v>
      </c>
      <c r="B319" s="11" t="s">
        <v>9</v>
      </c>
      <c r="C319" s="13" t="s">
        <v>427</v>
      </c>
      <c r="D319" s="32">
        <v>45378</v>
      </c>
      <c r="E319" s="12">
        <v>1890</v>
      </c>
      <c r="F319" s="13" t="s">
        <v>106</v>
      </c>
      <c r="G319" s="14" t="str">
        <f t="shared" si="8"/>
        <v>B</v>
      </c>
      <c r="H319" s="15" t="str">
        <f t="shared" si="9"/>
        <v>The Commissioner &amp; Chief Constable are satisfied the spend represents VFM in accordance with the requirements of Category B</v>
      </c>
    </row>
    <row r="320" spans="1:8" x14ac:dyDescent="0.2">
      <c r="A320" s="10" t="s">
        <v>8</v>
      </c>
      <c r="B320" s="11" t="s">
        <v>9</v>
      </c>
      <c r="C320" s="13" t="s">
        <v>385</v>
      </c>
      <c r="D320" s="32">
        <v>45377</v>
      </c>
      <c r="E320" s="12">
        <v>1876.13</v>
      </c>
      <c r="F320" s="13" t="s">
        <v>112</v>
      </c>
      <c r="G320" s="14" t="str">
        <f t="shared" si="8"/>
        <v>B</v>
      </c>
      <c r="H320" s="15" t="str">
        <f t="shared" si="9"/>
        <v>The Commissioner &amp; Chief Constable are satisfied the spend represents VFM in accordance with the requirements of Category B</v>
      </c>
    </row>
    <row r="321" spans="1:8" x14ac:dyDescent="0.2">
      <c r="A321" s="10" t="s">
        <v>8</v>
      </c>
      <c r="B321" s="11" t="s">
        <v>9</v>
      </c>
      <c r="C321" s="13" t="s">
        <v>99</v>
      </c>
      <c r="D321" s="32">
        <v>45358</v>
      </c>
      <c r="E321" s="12">
        <v>1851.8</v>
      </c>
      <c r="F321" s="13" t="s">
        <v>94</v>
      </c>
      <c r="G321" s="14" t="str">
        <f t="shared" si="8"/>
        <v>B</v>
      </c>
      <c r="H321" s="15" t="str">
        <f t="shared" si="9"/>
        <v>The Commissioner &amp; Chief Constable are satisfied the spend represents VFM in accordance with the requirements of Category B</v>
      </c>
    </row>
    <row r="322" spans="1:8" x14ac:dyDescent="0.2">
      <c r="A322" s="10" t="s">
        <v>8</v>
      </c>
      <c r="B322" s="11" t="s">
        <v>9</v>
      </c>
      <c r="C322" s="13" t="s">
        <v>236</v>
      </c>
      <c r="D322" s="32">
        <v>45358</v>
      </c>
      <c r="E322" s="12">
        <v>1850</v>
      </c>
      <c r="F322" s="13" t="s">
        <v>237</v>
      </c>
      <c r="G322" s="14" t="str">
        <f t="shared" ref="G322:G385" si="10">IF(E322&gt;25000,"C",IF(E322&gt;1000,"B","A"))</f>
        <v>B</v>
      </c>
      <c r="H322" s="15" t="str">
        <f t="shared" ref="H322:H385" si="11">VLOOKUP(G322,$K$2:$L$4,2,FALSE)</f>
        <v>The Commissioner &amp; Chief Constable are satisfied the spend represents VFM in accordance with the requirements of Category B</v>
      </c>
    </row>
    <row r="323" spans="1:8" x14ac:dyDescent="0.2">
      <c r="A323" s="10" t="s">
        <v>8</v>
      </c>
      <c r="B323" s="11" t="s">
        <v>9</v>
      </c>
      <c r="C323" s="13" t="s">
        <v>172</v>
      </c>
      <c r="D323" s="32">
        <v>45356</v>
      </c>
      <c r="E323" s="12">
        <v>1850</v>
      </c>
      <c r="F323" s="13" t="s">
        <v>39</v>
      </c>
      <c r="G323" s="14" t="str">
        <f t="shared" si="10"/>
        <v>B</v>
      </c>
      <c r="H323" s="15" t="str">
        <f t="shared" si="11"/>
        <v>The Commissioner &amp; Chief Constable are satisfied the spend represents VFM in accordance with the requirements of Category B</v>
      </c>
    </row>
    <row r="324" spans="1:8" x14ac:dyDescent="0.2">
      <c r="A324" s="10" t="s">
        <v>8</v>
      </c>
      <c r="B324" s="11" t="s">
        <v>9</v>
      </c>
      <c r="C324" s="13" t="s">
        <v>426</v>
      </c>
      <c r="D324" s="32">
        <v>45359</v>
      </c>
      <c r="E324" s="12">
        <v>1841.75</v>
      </c>
      <c r="F324" s="13" t="s">
        <v>80</v>
      </c>
      <c r="G324" s="14" t="str">
        <f t="shared" si="10"/>
        <v>B</v>
      </c>
      <c r="H324" s="15" t="str">
        <f t="shared" si="11"/>
        <v>The Commissioner &amp; Chief Constable are satisfied the spend represents VFM in accordance with the requirements of Category B</v>
      </c>
    </row>
    <row r="325" spans="1:8" x14ac:dyDescent="0.2">
      <c r="A325" s="10" t="s">
        <v>8</v>
      </c>
      <c r="B325" s="11" t="s">
        <v>9</v>
      </c>
      <c r="C325" s="13" t="s">
        <v>240</v>
      </c>
      <c r="D325" s="32">
        <v>45369</v>
      </c>
      <c r="E325" s="12">
        <v>1830.08</v>
      </c>
      <c r="F325" s="13" t="s">
        <v>241</v>
      </c>
      <c r="G325" s="14" t="str">
        <f t="shared" si="10"/>
        <v>B</v>
      </c>
      <c r="H325" s="15" t="str">
        <f t="shared" si="11"/>
        <v>The Commissioner &amp; Chief Constable are satisfied the spend represents VFM in accordance with the requirements of Category B</v>
      </c>
    </row>
    <row r="326" spans="1:8" x14ac:dyDescent="0.2">
      <c r="A326" s="10" t="s">
        <v>8</v>
      </c>
      <c r="B326" s="11" t="s">
        <v>9</v>
      </c>
      <c r="C326" s="13" t="s">
        <v>425</v>
      </c>
      <c r="D326" s="32">
        <v>45379</v>
      </c>
      <c r="E326" s="12">
        <v>1827</v>
      </c>
      <c r="F326" s="13" t="s">
        <v>22</v>
      </c>
      <c r="G326" s="14" t="str">
        <f t="shared" si="10"/>
        <v>B</v>
      </c>
      <c r="H326" s="15" t="str">
        <f t="shared" si="11"/>
        <v>The Commissioner &amp; Chief Constable are satisfied the spend represents VFM in accordance with the requirements of Category B</v>
      </c>
    </row>
    <row r="327" spans="1:8" x14ac:dyDescent="0.2">
      <c r="A327" s="10" t="s">
        <v>8</v>
      </c>
      <c r="B327" s="11" t="s">
        <v>9</v>
      </c>
      <c r="C327" s="13" t="s">
        <v>385</v>
      </c>
      <c r="D327" s="32">
        <v>45377</v>
      </c>
      <c r="E327" s="12">
        <v>1814.32</v>
      </c>
      <c r="F327" s="13" t="s">
        <v>112</v>
      </c>
      <c r="G327" s="14" t="str">
        <f t="shared" si="10"/>
        <v>B</v>
      </c>
      <c r="H327" s="15" t="str">
        <f t="shared" si="11"/>
        <v>The Commissioner &amp; Chief Constable are satisfied the spend represents VFM in accordance with the requirements of Category B</v>
      </c>
    </row>
    <row r="328" spans="1:8" x14ac:dyDescent="0.2">
      <c r="A328" s="10" t="s">
        <v>8</v>
      </c>
      <c r="B328" s="11" t="s">
        <v>9</v>
      </c>
      <c r="C328" s="13" t="s">
        <v>351</v>
      </c>
      <c r="D328" s="32">
        <v>45362</v>
      </c>
      <c r="E328" s="12">
        <v>1808</v>
      </c>
      <c r="F328" s="13" t="s">
        <v>131</v>
      </c>
      <c r="G328" s="14" t="str">
        <f t="shared" si="10"/>
        <v>B</v>
      </c>
      <c r="H328" s="15" t="str">
        <f t="shared" si="11"/>
        <v>The Commissioner &amp; Chief Constable are satisfied the spend represents VFM in accordance with the requirements of Category B</v>
      </c>
    </row>
    <row r="329" spans="1:8" x14ac:dyDescent="0.2">
      <c r="A329" s="10" t="s">
        <v>8</v>
      </c>
      <c r="B329" s="11" t="s">
        <v>9</v>
      </c>
      <c r="C329" s="13" t="s">
        <v>424</v>
      </c>
      <c r="D329" s="32">
        <v>45373</v>
      </c>
      <c r="E329" s="12">
        <v>1796</v>
      </c>
      <c r="F329" s="13" t="s">
        <v>319</v>
      </c>
      <c r="G329" s="14" t="str">
        <f t="shared" si="10"/>
        <v>B</v>
      </c>
      <c r="H329" s="15" t="str">
        <f t="shared" si="11"/>
        <v>The Commissioner &amp; Chief Constable are satisfied the spend represents VFM in accordance with the requirements of Category B</v>
      </c>
    </row>
    <row r="330" spans="1:8" x14ac:dyDescent="0.2">
      <c r="A330" s="10" t="s">
        <v>8</v>
      </c>
      <c r="B330" s="11" t="s">
        <v>9</v>
      </c>
      <c r="C330" s="13" t="s">
        <v>181</v>
      </c>
      <c r="D330" s="32">
        <v>45362</v>
      </c>
      <c r="E330" s="12">
        <v>1786</v>
      </c>
      <c r="F330" s="13" t="s">
        <v>106</v>
      </c>
      <c r="G330" s="14" t="str">
        <f t="shared" si="10"/>
        <v>B</v>
      </c>
      <c r="H330" s="15" t="str">
        <f t="shared" si="11"/>
        <v>The Commissioner &amp; Chief Constable are satisfied the spend represents VFM in accordance with the requirements of Category B</v>
      </c>
    </row>
    <row r="331" spans="1:8" x14ac:dyDescent="0.2">
      <c r="A331" s="10" t="s">
        <v>8</v>
      </c>
      <c r="B331" s="11" t="s">
        <v>9</v>
      </c>
      <c r="C331" s="13" t="s">
        <v>269</v>
      </c>
      <c r="D331" s="32">
        <v>45366</v>
      </c>
      <c r="E331" s="12">
        <v>1770.87</v>
      </c>
      <c r="F331" s="13" t="s">
        <v>177</v>
      </c>
      <c r="G331" s="14" t="str">
        <f t="shared" si="10"/>
        <v>B</v>
      </c>
      <c r="H331" s="15" t="str">
        <f t="shared" si="11"/>
        <v>The Commissioner &amp; Chief Constable are satisfied the spend represents VFM in accordance with the requirements of Category B</v>
      </c>
    </row>
    <row r="332" spans="1:8" x14ac:dyDescent="0.2">
      <c r="A332" s="10" t="s">
        <v>8</v>
      </c>
      <c r="B332" s="11" t="s">
        <v>9</v>
      </c>
      <c r="C332" s="13" t="s">
        <v>248</v>
      </c>
      <c r="D332" s="32">
        <v>45365</v>
      </c>
      <c r="E332" s="12">
        <v>1750</v>
      </c>
      <c r="F332" s="13" t="s">
        <v>138</v>
      </c>
      <c r="G332" s="14" t="str">
        <f t="shared" si="10"/>
        <v>B</v>
      </c>
      <c r="H332" s="15" t="str">
        <f t="shared" si="11"/>
        <v>The Commissioner &amp; Chief Constable are satisfied the spend represents VFM in accordance with the requirements of Category B</v>
      </c>
    </row>
    <row r="333" spans="1:8" x14ac:dyDescent="0.2">
      <c r="A333" s="10" t="s">
        <v>8</v>
      </c>
      <c r="B333" s="11" t="s">
        <v>9</v>
      </c>
      <c r="C333" s="13" t="s">
        <v>248</v>
      </c>
      <c r="D333" s="32">
        <v>45376</v>
      </c>
      <c r="E333" s="12">
        <v>1750</v>
      </c>
      <c r="F333" s="13" t="s">
        <v>138</v>
      </c>
      <c r="G333" s="14" t="str">
        <f t="shared" si="10"/>
        <v>B</v>
      </c>
      <c r="H333" s="15" t="str">
        <f t="shared" si="11"/>
        <v>The Commissioner &amp; Chief Constable are satisfied the spend represents VFM in accordance with the requirements of Category B</v>
      </c>
    </row>
    <row r="334" spans="1:8" x14ac:dyDescent="0.2">
      <c r="A334" s="10" t="s">
        <v>8</v>
      </c>
      <c r="B334" s="11" t="s">
        <v>9</v>
      </c>
      <c r="C334" s="13" t="s">
        <v>248</v>
      </c>
      <c r="D334" s="32">
        <v>45376</v>
      </c>
      <c r="E334" s="12">
        <v>1750</v>
      </c>
      <c r="F334" s="13" t="s">
        <v>138</v>
      </c>
      <c r="G334" s="14" t="str">
        <f t="shared" si="10"/>
        <v>B</v>
      </c>
      <c r="H334" s="15" t="str">
        <f t="shared" si="11"/>
        <v>The Commissioner &amp; Chief Constable are satisfied the spend represents VFM in accordance with the requirements of Category B</v>
      </c>
    </row>
    <row r="335" spans="1:8" x14ac:dyDescent="0.2">
      <c r="A335" s="10" t="s">
        <v>8</v>
      </c>
      <c r="B335" s="11" t="s">
        <v>9</v>
      </c>
      <c r="C335" s="13" t="s">
        <v>423</v>
      </c>
      <c r="D335" s="32">
        <v>45369</v>
      </c>
      <c r="E335" s="12">
        <v>1742.6</v>
      </c>
      <c r="F335" s="13" t="s">
        <v>390</v>
      </c>
      <c r="G335" s="14" t="str">
        <f t="shared" si="10"/>
        <v>B</v>
      </c>
      <c r="H335" s="15" t="str">
        <f t="shared" si="11"/>
        <v>The Commissioner &amp; Chief Constable are satisfied the spend represents VFM in accordance with the requirements of Category B</v>
      </c>
    </row>
    <row r="336" spans="1:8" x14ac:dyDescent="0.2">
      <c r="A336" s="10" t="s">
        <v>8</v>
      </c>
      <c r="B336" s="11" t="s">
        <v>9</v>
      </c>
      <c r="C336" s="13" t="s">
        <v>385</v>
      </c>
      <c r="D336" s="32">
        <v>45377</v>
      </c>
      <c r="E336" s="12">
        <v>1739.56</v>
      </c>
      <c r="F336" s="13" t="s">
        <v>112</v>
      </c>
      <c r="G336" s="14" t="str">
        <f t="shared" si="10"/>
        <v>B</v>
      </c>
      <c r="H336" s="15" t="str">
        <f t="shared" si="11"/>
        <v>The Commissioner &amp; Chief Constable are satisfied the spend represents VFM in accordance with the requirements of Category B</v>
      </c>
    </row>
    <row r="337" spans="1:8" x14ac:dyDescent="0.2">
      <c r="A337" s="10" t="s">
        <v>8</v>
      </c>
      <c r="B337" s="11" t="s">
        <v>9</v>
      </c>
      <c r="C337" s="13" t="s">
        <v>385</v>
      </c>
      <c r="D337" s="32">
        <v>45377</v>
      </c>
      <c r="E337" s="12">
        <v>1739</v>
      </c>
      <c r="F337" s="13" t="s">
        <v>112</v>
      </c>
      <c r="G337" s="14" t="str">
        <f t="shared" si="10"/>
        <v>B</v>
      </c>
      <c r="H337" s="15" t="str">
        <f t="shared" si="11"/>
        <v>The Commissioner &amp; Chief Constable are satisfied the spend represents VFM in accordance with the requirements of Category B</v>
      </c>
    </row>
    <row r="338" spans="1:8" x14ac:dyDescent="0.2">
      <c r="A338" s="10" t="s">
        <v>8</v>
      </c>
      <c r="B338" s="11" t="s">
        <v>9</v>
      </c>
      <c r="C338" s="13" t="s">
        <v>284</v>
      </c>
      <c r="D338" s="32">
        <v>45364</v>
      </c>
      <c r="E338" s="12">
        <v>448.89</v>
      </c>
      <c r="F338" s="13" t="s">
        <v>131</v>
      </c>
      <c r="G338" s="14" t="str">
        <f t="shared" si="10"/>
        <v>A</v>
      </c>
      <c r="H338" s="15" t="str">
        <f t="shared" si="11"/>
        <v>The Commissioner &amp; Chief Constable are satisfied the spend represents VFM in accordance with the requirements of Category A</v>
      </c>
    </row>
    <row r="339" spans="1:8" x14ac:dyDescent="0.2">
      <c r="A339" s="10" t="s">
        <v>8</v>
      </c>
      <c r="B339" s="11" t="s">
        <v>9</v>
      </c>
      <c r="C339" s="13" t="s">
        <v>284</v>
      </c>
      <c r="D339" s="32">
        <v>45364</v>
      </c>
      <c r="E339" s="18">
        <v>1267.5899999999999</v>
      </c>
      <c r="F339" s="19" t="s">
        <v>177</v>
      </c>
      <c r="G339" s="14" t="str">
        <f t="shared" si="10"/>
        <v>B</v>
      </c>
      <c r="H339" s="15" t="str">
        <f t="shared" si="11"/>
        <v>The Commissioner &amp; Chief Constable are satisfied the spend represents VFM in accordance with the requirements of Category B</v>
      </c>
    </row>
    <row r="340" spans="1:8" x14ac:dyDescent="0.2">
      <c r="A340" s="10" t="s">
        <v>8</v>
      </c>
      <c r="B340" s="11" t="s">
        <v>9</v>
      </c>
      <c r="C340" s="13" t="s">
        <v>14</v>
      </c>
      <c r="D340" s="32">
        <v>45372</v>
      </c>
      <c r="E340" s="12">
        <v>1700</v>
      </c>
      <c r="F340" s="13" t="s">
        <v>15</v>
      </c>
      <c r="G340" s="14" t="str">
        <f t="shared" si="10"/>
        <v>B</v>
      </c>
      <c r="H340" s="15" t="str">
        <f t="shared" si="11"/>
        <v>The Commissioner &amp; Chief Constable are satisfied the spend represents VFM in accordance with the requirements of Category B</v>
      </c>
    </row>
    <row r="341" spans="1:8" x14ac:dyDescent="0.2">
      <c r="A341" s="10" t="s">
        <v>8</v>
      </c>
      <c r="B341" s="11" t="s">
        <v>9</v>
      </c>
      <c r="C341" s="13" t="s">
        <v>227</v>
      </c>
      <c r="D341" s="32">
        <v>45370</v>
      </c>
      <c r="E341" s="12">
        <v>1695</v>
      </c>
      <c r="F341" s="13" t="s">
        <v>106</v>
      </c>
      <c r="G341" s="14" t="str">
        <f t="shared" si="10"/>
        <v>B</v>
      </c>
      <c r="H341" s="15" t="str">
        <f t="shared" si="11"/>
        <v>The Commissioner &amp; Chief Constable are satisfied the spend represents VFM in accordance with the requirements of Category B</v>
      </c>
    </row>
    <row r="342" spans="1:8" x14ac:dyDescent="0.2">
      <c r="A342" s="10" t="s">
        <v>8</v>
      </c>
      <c r="B342" s="11" t="s">
        <v>9</v>
      </c>
      <c r="C342" s="13" t="s">
        <v>74</v>
      </c>
      <c r="D342" s="32">
        <v>45369</v>
      </c>
      <c r="E342" s="12">
        <v>1691.7</v>
      </c>
      <c r="F342" s="13" t="s">
        <v>177</v>
      </c>
      <c r="G342" s="14" t="str">
        <f t="shared" si="10"/>
        <v>B</v>
      </c>
      <c r="H342" s="15" t="str">
        <f t="shared" si="11"/>
        <v>The Commissioner &amp; Chief Constable are satisfied the spend represents VFM in accordance with the requirements of Category B</v>
      </c>
    </row>
    <row r="343" spans="1:8" x14ac:dyDescent="0.2">
      <c r="A343" s="10" t="s">
        <v>8</v>
      </c>
      <c r="B343" s="11" t="s">
        <v>9</v>
      </c>
      <c r="C343" s="13" t="s">
        <v>422</v>
      </c>
      <c r="D343" s="32">
        <v>45370</v>
      </c>
      <c r="E343" s="12">
        <v>1687.3</v>
      </c>
      <c r="F343" s="13" t="s">
        <v>177</v>
      </c>
      <c r="G343" s="14" t="str">
        <f t="shared" si="10"/>
        <v>B</v>
      </c>
      <c r="H343" s="15" t="str">
        <f t="shared" si="11"/>
        <v>The Commissioner &amp; Chief Constable are satisfied the spend represents VFM in accordance with the requirements of Category B</v>
      </c>
    </row>
    <row r="344" spans="1:8" x14ac:dyDescent="0.2">
      <c r="A344" s="10" t="s">
        <v>8</v>
      </c>
      <c r="B344" s="11" t="s">
        <v>9</v>
      </c>
      <c r="C344" s="34" t="s">
        <v>249</v>
      </c>
      <c r="D344" s="32">
        <v>45356</v>
      </c>
      <c r="E344" s="12">
        <v>1686</v>
      </c>
      <c r="F344" s="13" t="s">
        <v>138</v>
      </c>
      <c r="G344" s="14" t="str">
        <f t="shared" si="10"/>
        <v>B</v>
      </c>
      <c r="H344" s="15" t="str">
        <f t="shared" si="11"/>
        <v>The Commissioner &amp; Chief Constable are satisfied the spend represents VFM in accordance with the requirements of Category B</v>
      </c>
    </row>
    <row r="345" spans="1:8" x14ac:dyDescent="0.2">
      <c r="A345" s="10" t="s">
        <v>8</v>
      </c>
      <c r="B345" s="11" t="s">
        <v>9</v>
      </c>
      <c r="C345" s="13" t="s">
        <v>421</v>
      </c>
      <c r="D345" s="32">
        <v>45363</v>
      </c>
      <c r="E345" s="12">
        <v>1673</v>
      </c>
      <c r="F345" s="13" t="s">
        <v>131</v>
      </c>
      <c r="G345" s="14" t="str">
        <f t="shared" si="10"/>
        <v>B</v>
      </c>
      <c r="H345" s="15" t="str">
        <f t="shared" si="11"/>
        <v>The Commissioner &amp; Chief Constable are satisfied the spend represents VFM in accordance with the requirements of Category B</v>
      </c>
    </row>
    <row r="346" spans="1:8" x14ac:dyDescent="0.2">
      <c r="A346" s="10" t="s">
        <v>8</v>
      </c>
      <c r="B346" s="11" t="s">
        <v>9</v>
      </c>
      <c r="C346" s="13" t="s">
        <v>420</v>
      </c>
      <c r="D346" s="32">
        <v>45352</v>
      </c>
      <c r="E346" s="12">
        <v>1630.45</v>
      </c>
      <c r="F346" s="13" t="s">
        <v>58</v>
      </c>
      <c r="G346" s="14" t="str">
        <f t="shared" si="10"/>
        <v>B</v>
      </c>
      <c r="H346" s="15" t="str">
        <f t="shared" si="11"/>
        <v>The Commissioner &amp; Chief Constable are satisfied the spend represents VFM in accordance with the requirements of Category B</v>
      </c>
    </row>
    <row r="347" spans="1:8" x14ac:dyDescent="0.2">
      <c r="A347" s="10" t="s">
        <v>8</v>
      </c>
      <c r="B347" s="11" t="s">
        <v>9</v>
      </c>
      <c r="C347" s="13" t="s">
        <v>262</v>
      </c>
      <c r="D347" s="32">
        <v>45355</v>
      </c>
      <c r="E347" s="12">
        <v>1627.5</v>
      </c>
      <c r="F347" s="13" t="s">
        <v>263</v>
      </c>
      <c r="G347" s="14" t="str">
        <f t="shared" si="10"/>
        <v>B</v>
      </c>
      <c r="H347" s="15" t="str">
        <f t="shared" si="11"/>
        <v>The Commissioner &amp; Chief Constable are satisfied the spend represents VFM in accordance with the requirements of Category B</v>
      </c>
    </row>
    <row r="348" spans="1:8" x14ac:dyDescent="0.2">
      <c r="A348" s="10" t="s">
        <v>8</v>
      </c>
      <c r="B348" s="11" t="s">
        <v>9</v>
      </c>
      <c r="C348" s="13" t="s">
        <v>419</v>
      </c>
      <c r="D348" s="32">
        <v>45373</v>
      </c>
      <c r="E348" s="12">
        <v>1605</v>
      </c>
      <c r="F348" s="13" t="s">
        <v>106</v>
      </c>
      <c r="G348" s="14" t="str">
        <f t="shared" si="10"/>
        <v>B</v>
      </c>
      <c r="H348" s="15" t="str">
        <f t="shared" si="11"/>
        <v>The Commissioner &amp; Chief Constable are satisfied the spend represents VFM in accordance with the requirements of Category B</v>
      </c>
    </row>
    <row r="349" spans="1:8" x14ac:dyDescent="0.2">
      <c r="A349" s="10" t="s">
        <v>8</v>
      </c>
      <c r="B349" s="11" t="s">
        <v>9</v>
      </c>
      <c r="C349" s="13" t="s">
        <v>74</v>
      </c>
      <c r="D349" s="32">
        <v>45376</v>
      </c>
      <c r="E349" s="12">
        <v>1592.5</v>
      </c>
      <c r="F349" s="13" t="s">
        <v>89</v>
      </c>
      <c r="G349" s="14" t="str">
        <f t="shared" si="10"/>
        <v>B</v>
      </c>
      <c r="H349" s="15" t="str">
        <f t="shared" si="11"/>
        <v>The Commissioner &amp; Chief Constable are satisfied the spend represents VFM in accordance with the requirements of Category B</v>
      </c>
    </row>
    <row r="350" spans="1:8" x14ac:dyDescent="0.2">
      <c r="A350" s="10" t="s">
        <v>8</v>
      </c>
      <c r="B350" s="11" t="s">
        <v>9</v>
      </c>
      <c r="C350" s="13" t="s">
        <v>10</v>
      </c>
      <c r="D350" s="32">
        <v>45366</v>
      </c>
      <c r="E350" s="12">
        <v>1590</v>
      </c>
      <c r="F350" s="13" t="s">
        <v>22</v>
      </c>
      <c r="G350" s="14" t="str">
        <f t="shared" si="10"/>
        <v>B</v>
      </c>
      <c r="H350" s="15" t="str">
        <f t="shared" si="11"/>
        <v>The Commissioner &amp; Chief Constable are satisfied the spend represents VFM in accordance with the requirements of Category B</v>
      </c>
    </row>
    <row r="351" spans="1:8" x14ac:dyDescent="0.2">
      <c r="A351" s="10" t="s">
        <v>8</v>
      </c>
      <c r="B351" s="11" t="s">
        <v>9</v>
      </c>
      <c r="C351" s="13" t="s">
        <v>419</v>
      </c>
      <c r="D351" s="32">
        <v>45359</v>
      </c>
      <c r="E351" s="12">
        <v>1560</v>
      </c>
      <c r="F351" s="13" t="s">
        <v>106</v>
      </c>
      <c r="G351" s="14" t="str">
        <f t="shared" si="10"/>
        <v>B</v>
      </c>
      <c r="H351" s="15" t="str">
        <f t="shared" si="11"/>
        <v>The Commissioner &amp; Chief Constable are satisfied the spend represents VFM in accordance with the requirements of Category B</v>
      </c>
    </row>
    <row r="352" spans="1:8" x14ac:dyDescent="0.2">
      <c r="A352" s="10" t="s">
        <v>8</v>
      </c>
      <c r="B352" s="11" t="s">
        <v>9</v>
      </c>
      <c r="C352" s="13" t="s">
        <v>419</v>
      </c>
      <c r="D352" s="32">
        <v>45372</v>
      </c>
      <c r="E352" s="12">
        <v>1560</v>
      </c>
      <c r="F352" s="13" t="s">
        <v>106</v>
      </c>
      <c r="G352" s="14" t="str">
        <f t="shared" si="10"/>
        <v>B</v>
      </c>
      <c r="H352" s="15" t="str">
        <f t="shared" si="11"/>
        <v>The Commissioner &amp; Chief Constable are satisfied the spend represents VFM in accordance with the requirements of Category B</v>
      </c>
    </row>
    <row r="353" spans="1:8" x14ac:dyDescent="0.2">
      <c r="A353" s="10" t="s">
        <v>8</v>
      </c>
      <c r="B353" s="11" t="s">
        <v>9</v>
      </c>
      <c r="C353" s="13" t="s">
        <v>385</v>
      </c>
      <c r="D353" s="32">
        <v>45369</v>
      </c>
      <c r="E353" s="12">
        <v>1551.17</v>
      </c>
      <c r="F353" s="13" t="s">
        <v>91</v>
      </c>
      <c r="G353" s="14" t="str">
        <f t="shared" si="10"/>
        <v>B</v>
      </c>
      <c r="H353" s="15" t="str">
        <f t="shared" si="11"/>
        <v>The Commissioner &amp; Chief Constable are satisfied the spend represents VFM in accordance with the requirements of Category B</v>
      </c>
    </row>
    <row r="354" spans="1:8" x14ac:dyDescent="0.2">
      <c r="A354" s="10" t="s">
        <v>8</v>
      </c>
      <c r="B354" s="11" t="s">
        <v>9</v>
      </c>
      <c r="C354" s="13" t="s">
        <v>142</v>
      </c>
      <c r="D354" s="32">
        <v>45377</v>
      </c>
      <c r="E354" s="12">
        <v>1550.96</v>
      </c>
      <c r="F354" s="13" t="s">
        <v>143</v>
      </c>
      <c r="G354" s="14" t="str">
        <f t="shared" si="10"/>
        <v>B</v>
      </c>
      <c r="H354" s="15" t="str">
        <f t="shared" si="11"/>
        <v>The Commissioner &amp; Chief Constable are satisfied the spend represents VFM in accordance with the requirements of Category B</v>
      </c>
    </row>
    <row r="355" spans="1:8" x14ac:dyDescent="0.2">
      <c r="A355" s="10" t="s">
        <v>8</v>
      </c>
      <c r="B355" s="11" t="s">
        <v>9</v>
      </c>
      <c r="C355" s="13" t="s">
        <v>26</v>
      </c>
      <c r="D355" s="32">
        <v>45378</v>
      </c>
      <c r="E355" s="12">
        <v>1543.32</v>
      </c>
      <c r="F355" s="13" t="s">
        <v>158</v>
      </c>
      <c r="G355" s="14" t="str">
        <f t="shared" si="10"/>
        <v>B</v>
      </c>
      <c r="H355" s="15" t="str">
        <f t="shared" si="11"/>
        <v>The Commissioner &amp; Chief Constable are satisfied the spend represents VFM in accordance with the requirements of Category B</v>
      </c>
    </row>
    <row r="356" spans="1:8" x14ac:dyDescent="0.2">
      <c r="A356" s="10" t="s">
        <v>8</v>
      </c>
      <c r="B356" s="11" t="s">
        <v>9</v>
      </c>
      <c r="C356" s="13" t="s">
        <v>418</v>
      </c>
      <c r="D356" s="32">
        <v>45363</v>
      </c>
      <c r="E356" s="12">
        <v>1525.66</v>
      </c>
      <c r="F356" s="13" t="s">
        <v>155</v>
      </c>
      <c r="G356" s="14" t="str">
        <f t="shared" si="10"/>
        <v>B</v>
      </c>
      <c r="H356" s="15" t="str">
        <f t="shared" si="11"/>
        <v>The Commissioner &amp; Chief Constable are satisfied the spend represents VFM in accordance with the requirements of Category B</v>
      </c>
    </row>
    <row r="357" spans="1:8" x14ac:dyDescent="0.2">
      <c r="A357" s="10" t="s">
        <v>8</v>
      </c>
      <c r="B357" s="11" t="s">
        <v>9</v>
      </c>
      <c r="C357" s="13" t="s">
        <v>418</v>
      </c>
      <c r="D357" s="32">
        <v>45352</v>
      </c>
      <c r="E357" s="12">
        <v>1521</v>
      </c>
      <c r="F357" s="13" t="s">
        <v>155</v>
      </c>
      <c r="G357" s="14" t="str">
        <f t="shared" si="10"/>
        <v>B</v>
      </c>
      <c r="H357" s="15" t="str">
        <f t="shared" si="11"/>
        <v>The Commissioner &amp; Chief Constable are satisfied the spend represents VFM in accordance with the requirements of Category B</v>
      </c>
    </row>
    <row r="358" spans="1:8" x14ac:dyDescent="0.2">
      <c r="A358" s="10" t="s">
        <v>8</v>
      </c>
      <c r="B358" s="11" t="s">
        <v>9</v>
      </c>
      <c r="C358" s="13" t="s">
        <v>366</v>
      </c>
      <c r="D358" s="32">
        <v>45371</v>
      </c>
      <c r="E358" s="12">
        <v>1520</v>
      </c>
      <c r="F358" s="13" t="s">
        <v>155</v>
      </c>
      <c r="G358" s="14" t="str">
        <f t="shared" si="10"/>
        <v>B</v>
      </c>
      <c r="H358" s="15" t="str">
        <f t="shared" si="11"/>
        <v>The Commissioner &amp; Chief Constable are satisfied the spend represents VFM in accordance with the requirements of Category B</v>
      </c>
    </row>
    <row r="359" spans="1:8" x14ac:dyDescent="0.2">
      <c r="A359" s="10" t="s">
        <v>8</v>
      </c>
      <c r="B359" s="11" t="s">
        <v>9</v>
      </c>
      <c r="C359" s="13" t="s">
        <v>119</v>
      </c>
      <c r="D359" s="32">
        <v>45372</v>
      </c>
      <c r="E359" s="12">
        <v>1502.58</v>
      </c>
      <c r="F359" s="13" t="s">
        <v>120</v>
      </c>
      <c r="G359" s="14" t="str">
        <f t="shared" si="10"/>
        <v>B</v>
      </c>
      <c r="H359" s="15" t="str">
        <f t="shared" si="11"/>
        <v>The Commissioner &amp; Chief Constable are satisfied the spend represents VFM in accordance with the requirements of Category B</v>
      </c>
    </row>
    <row r="360" spans="1:8" x14ac:dyDescent="0.2">
      <c r="A360" s="10" t="s">
        <v>8</v>
      </c>
      <c r="B360" s="11" t="s">
        <v>9</v>
      </c>
      <c r="C360" s="13" t="s">
        <v>354</v>
      </c>
      <c r="D360" s="32">
        <v>45376</v>
      </c>
      <c r="E360" s="12">
        <v>1500</v>
      </c>
      <c r="F360" s="13" t="s">
        <v>27</v>
      </c>
      <c r="G360" s="14" t="str">
        <f t="shared" si="10"/>
        <v>B</v>
      </c>
      <c r="H360" s="15" t="str">
        <f t="shared" si="11"/>
        <v>The Commissioner &amp; Chief Constable are satisfied the spend represents VFM in accordance with the requirements of Category B</v>
      </c>
    </row>
    <row r="361" spans="1:8" x14ac:dyDescent="0.2">
      <c r="A361" s="10" t="s">
        <v>8</v>
      </c>
      <c r="B361" s="11" t="s">
        <v>9</v>
      </c>
      <c r="C361" s="13" t="s">
        <v>417</v>
      </c>
      <c r="D361" s="32">
        <v>45379</v>
      </c>
      <c r="E361" s="12">
        <v>1500</v>
      </c>
      <c r="F361" s="13" t="s">
        <v>106</v>
      </c>
      <c r="G361" s="14" t="str">
        <f t="shared" si="10"/>
        <v>B</v>
      </c>
      <c r="H361" s="15" t="str">
        <f t="shared" si="11"/>
        <v>The Commissioner &amp; Chief Constable are satisfied the spend represents VFM in accordance with the requirements of Category B</v>
      </c>
    </row>
    <row r="362" spans="1:8" x14ac:dyDescent="0.2">
      <c r="A362" s="10" t="s">
        <v>8</v>
      </c>
      <c r="B362" s="11" t="s">
        <v>9</v>
      </c>
      <c r="C362" s="13" t="s">
        <v>242</v>
      </c>
      <c r="D362" s="32">
        <v>45359</v>
      </c>
      <c r="E362" s="12">
        <v>1485.68</v>
      </c>
      <c r="F362" s="13" t="s">
        <v>94</v>
      </c>
      <c r="G362" s="14" t="str">
        <f t="shared" si="10"/>
        <v>B</v>
      </c>
      <c r="H362" s="15" t="str">
        <f t="shared" si="11"/>
        <v>The Commissioner &amp; Chief Constable are satisfied the spend represents VFM in accordance with the requirements of Category B</v>
      </c>
    </row>
    <row r="363" spans="1:8" x14ac:dyDescent="0.2">
      <c r="A363" s="10" t="s">
        <v>8</v>
      </c>
      <c r="B363" s="11" t="s">
        <v>9</v>
      </c>
      <c r="C363" s="13" t="s">
        <v>412</v>
      </c>
      <c r="D363" s="32">
        <v>45358</v>
      </c>
      <c r="E363" s="12">
        <v>1483.76</v>
      </c>
      <c r="F363" s="13" t="s">
        <v>388</v>
      </c>
      <c r="G363" s="14" t="str">
        <f t="shared" si="10"/>
        <v>B</v>
      </c>
      <c r="H363" s="15" t="str">
        <f t="shared" si="11"/>
        <v>The Commissioner &amp; Chief Constable are satisfied the spend represents VFM in accordance with the requirements of Category B</v>
      </c>
    </row>
    <row r="364" spans="1:8" x14ac:dyDescent="0.2">
      <c r="A364" s="10" t="s">
        <v>8</v>
      </c>
      <c r="B364" s="11" t="s">
        <v>9</v>
      </c>
      <c r="C364" s="13" t="s">
        <v>213</v>
      </c>
      <c r="D364" s="32">
        <v>45373</v>
      </c>
      <c r="E364" s="12">
        <v>1468</v>
      </c>
      <c r="F364" s="13" t="s">
        <v>131</v>
      </c>
      <c r="G364" s="14" t="str">
        <f t="shared" si="10"/>
        <v>B</v>
      </c>
      <c r="H364" s="15" t="str">
        <f t="shared" si="11"/>
        <v>The Commissioner &amp; Chief Constable are satisfied the spend represents VFM in accordance with the requirements of Category B</v>
      </c>
    </row>
    <row r="365" spans="1:8" x14ac:dyDescent="0.2">
      <c r="A365" s="10" t="s">
        <v>8</v>
      </c>
      <c r="B365" s="11" t="s">
        <v>9</v>
      </c>
      <c r="C365" s="13" t="s">
        <v>412</v>
      </c>
      <c r="D365" s="32">
        <v>45355</v>
      </c>
      <c r="E365" s="12">
        <v>1451.68</v>
      </c>
      <c r="F365" s="13" t="s">
        <v>388</v>
      </c>
      <c r="G365" s="14" t="str">
        <f t="shared" si="10"/>
        <v>B</v>
      </c>
      <c r="H365" s="15" t="str">
        <f t="shared" si="11"/>
        <v>The Commissioner &amp; Chief Constable are satisfied the spend represents VFM in accordance with the requirements of Category B</v>
      </c>
    </row>
    <row r="366" spans="1:8" x14ac:dyDescent="0.2">
      <c r="A366" s="10" t="s">
        <v>8</v>
      </c>
      <c r="B366" s="11" t="s">
        <v>9</v>
      </c>
      <c r="C366" s="13" t="s">
        <v>277</v>
      </c>
      <c r="D366" s="32">
        <v>45363</v>
      </c>
      <c r="E366" s="12">
        <v>1448</v>
      </c>
      <c r="F366" s="13" t="s">
        <v>131</v>
      </c>
      <c r="G366" s="14" t="str">
        <f t="shared" si="10"/>
        <v>B</v>
      </c>
      <c r="H366" s="15" t="str">
        <f t="shared" si="11"/>
        <v>The Commissioner &amp; Chief Constable are satisfied the spend represents VFM in accordance with the requirements of Category B</v>
      </c>
    </row>
    <row r="367" spans="1:8" x14ac:dyDescent="0.2">
      <c r="A367" s="10" t="s">
        <v>8</v>
      </c>
      <c r="B367" s="11" t="s">
        <v>9</v>
      </c>
      <c r="C367" s="13" t="s">
        <v>189</v>
      </c>
      <c r="D367" s="32">
        <v>45373</v>
      </c>
      <c r="E367" s="12">
        <v>1432.8</v>
      </c>
      <c r="F367" s="13" t="s">
        <v>131</v>
      </c>
      <c r="G367" s="14" t="str">
        <f t="shared" si="10"/>
        <v>B</v>
      </c>
      <c r="H367" s="15" t="str">
        <f t="shared" si="11"/>
        <v>The Commissioner &amp; Chief Constable are satisfied the spend represents VFM in accordance with the requirements of Category B</v>
      </c>
    </row>
    <row r="368" spans="1:8" x14ac:dyDescent="0.2">
      <c r="A368" s="10" t="s">
        <v>8</v>
      </c>
      <c r="B368" s="11" t="s">
        <v>9</v>
      </c>
      <c r="C368" s="13" t="s">
        <v>33</v>
      </c>
      <c r="D368" s="32">
        <v>45372</v>
      </c>
      <c r="E368" s="12">
        <v>1430.74</v>
      </c>
      <c r="F368" s="13" t="s">
        <v>58</v>
      </c>
      <c r="G368" s="14" t="str">
        <f t="shared" si="10"/>
        <v>B</v>
      </c>
      <c r="H368" s="15" t="str">
        <f t="shared" si="11"/>
        <v>The Commissioner &amp; Chief Constable are satisfied the spend represents VFM in accordance with the requirements of Category B</v>
      </c>
    </row>
    <row r="369" spans="1:12" x14ac:dyDescent="0.2">
      <c r="A369" s="10" t="s">
        <v>8</v>
      </c>
      <c r="B369" s="11" t="s">
        <v>9</v>
      </c>
      <c r="C369" s="13" t="s">
        <v>416</v>
      </c>
      <c r="D369" s="32">
        <v>45373</v>
      </c>
      <c r="E369" s="12">
        <v>1424</v>
      </c>
      <c r="F369" s="13" t="s">
        <v>131</v>
      </c>
      <c r="G369" s="14" t="str">
        <f t="shared" si="10"/>
        <v>B</v>
      </c>
      <c r="H369" s="15" t="str">
        <f t="shared" si="11"/>
        <v>The Commissioner &amp; Chief Constable are satisfied the spend represents VFM in accordance with the requirements of Category B</v>
      </c>
    </row>
    <row r="370" spans="1:12" x14ac:dyDescent="0.2">
      <c r="A370" s="10" t="s">
        <v>8</v>
      </c>
      <c r="B370" s="11" t="s">
        <v>9</v>
      </c>
      <c r="C370" s="13" t="s">
        <v>90</v>
      </c>
      <c r="D370" s="32">
        <v>45356</v>
      </c>
      <c r="E370" s="12">
        <v>1413.97</v>
      </c>
      <c r="F370" s="13" t="s">
        <v>91</v>
      </c>
      <c r="G370" s="14" t="str">
        <f t="shared" si="10"/>
        <v>B</v>
      </c>
      <c r="H370" s="15" t="str">
        <f t="shared" si="11"/>
        <v>The Commissioner &amp; Chief Constable are satisfied the spend represents VFM in accordance with the requirements of Category B</v>
      </c>
    </row>
    <row r="371" spans="1:12" x14ac:dyDescent="0.2">
      <c r="A371" s="10" t="s">
        <v>8</v>
      </c>
      <c r="B371" s="11" t="s">
        <v>9</v>
      </c>
      <c r="C371" s="13" t="s">
        <v>30</v>
      </c>
      <c r="D371" s="32">
        <v>45358</v>
      </c>
      <c r="E371" s="12">
        <v>1407.17</v>
      </c>
      <c r="F371" s="13" t="s">
        <v>31</v>
      </c>
      <c r="G371" s="14" t="str">
        <f t="shared" si="10"/>
        <v>B</v>
      </c>
      <c r="H371" s="15" t="str">
        <f t="shared" si="11"/>
        <v>The Commissioner &amp; Chief Constable are satisfied the spend represents VFM in accordance with the requirements of Category B</v>
      </c>
    </row>
    <row r="372" spans="1:12" x14ac:dyDescent="0.2">
      <c r="A372" s="10" t="s">
        <v>8</v>
      </c>
      <c r="B372" s="11" t="s">
        <v>9</v>
      </c>
      <c r="C372" s="13" t="s">
        <v>267</v>
      </c>
      <c r="D372" s="32">
        <v>45378</v>
      </c>
      <c r="E372" s="12">
        <v>1402.86</v>
      </c>
      <c r="F372" s="13" t="s">
        <v>58</v>
      </c>
      <c r="G372" s="14" t="str">
        <f t="shared" si="10"/>
        <v>B</v>
      </c>
      <c r="H372" s="15" t="str">
        <f t="shared" si="11"/>
        <v>The Commissioner &amp; Chief Constable are satisfied the spend represents VFM in accordance with the requirements of Category B</v>
      </c>
    </row>
    <row r="373" spans="1:12" x14ac:dyDescent="0.2">
      <c r="A373" s="10" t="s">
        <v>8</v>
      </c>
      <c r="B373" s="11" t="s">
        <v>9</v>
      </c>
      <c r="C373" s="13" t="s">
        <v>248</v>
      </c>
      <c r="D373" s="32">
        <v>45355</v>
      </c>
      <c r="E373" s="12">
        <v>1400</v>
      </c>
      <c r="F373" s="13" t="s">
        <v>138</v>
      </c>
      <c r="G373" s="14" t="str">
        <f t="shared" si="10"/>
        <v>B</v>
      </c>
      <c r="H373" s="15" t="str">
        <f t="shared" si="11"/>
        <v>The Commissioner &amp; Chief Constable are satisfied the spend represents VFM in accordance with the requirements of Category B</v>
      </c>
    </row>
    <row r="374" spans="1:12" x14ac:dyDescent="0.2">
      <c r="A374" s="10" t="s">
        <v>8</v>
      </c>
      <c r="B374" s="11" t="s">
        <v>9</v>
      </c>
      <c r="C374" s="13" t="s">
        <v>248</v>
      </c>
      <c r="D374" s="32">
        <v>45357</v>
      </c>
      <c r="E374" s="12">
        <v>1400</v>
      </c>
      <c r="F374" s="13" t="s">
        <v>138</v>
      </c>
      <c r="G374" s="14" t="str">
        <f t="shared" si="10"/>
        <v>B</v>
      </c>
      <c r="H374" s="15" t="str">
        <f t="shared" si="11"/>
        <v>The Commissioner &amp; Chief Constable are satisfied the spend represents VFM in accordance with the requirements of Category B</v>
      </c>
    </row>
    <row r="375" spans="1:12" x14ac:dyDescent="0.2">
      <c r="A375" s="10" t="s">
        <v>8</v>
      </c>
      <c r="B375" s="11" t="s">
        <v>9</v>
      </c>
      <c r="C375" s="13" t="s">
        <v>415</v>
      </c>
      <c r="D375" s="32">
        <v>45377</v>
      </c>
      <c r="E375" s="12">
        <v>1400</v>
      </c>
      <c r="F375" s="13" t="s">
        <v>35</v>
      </c>
      <c r="G375" s="14" t="str">
        <f t="shared" si="10"/>
        <v>B</v>
      </c>
      <c r="H375" s="15" t="str">
        <f t="shared" si="11"/>
        <v>The Commissioner &amp; Chief Constable are satisfied the spend represents VFM in accordance with the requirements of Category B</v>
      </c>
    </row>
    <row r="376" spans="1:12" x14ac:dyDescent="0.2">
      <c r="A376" s="10" t="s">
        <v>8</v>
      </c>
      <c r="B376" s="11" t="s">
        <v>9</v>
      </c>
      <c r="C376" s="13" t="s">
        <v>414</v>
      </c>
      <c r="D376" s="32">
        <v>45379</v>
      </c>
      <c r="E376" s="12">
        <v>1398</v>
      </c>
      <c r="F376" s="13" t="s">
        <v>106</v>
      </c>
      <c r="G376" s="14" t="str">
        <f t="shared" si="10"/>
        <v>B</v>
      </c>
      <c r="H376" s="15" t="str">
        <f t="shared" si="11"/>
        <v>The Commissioner &amp; Chief Constable are satisfied the spend represents VFM in accordance with the requirements of Category B</v>
      </c>
    </row>
    <row r="377" spans="1:12" x14ac:dyDescent="0.2">
      <c r="A377" s="10" t="s">
        <v>8</v>
      </c>
      <c r="B377" s="11" t="s">
        <v>9</v>
      </c>
      <c r="C377" s="13" t="s">
        <v>287</v>
      </c>
      <c r="D377" s="32">
        <v>45369</v>
      </c>
      <c r="E377" s="12">
        <v>1380.42</v>
      </c>
      <c r="F377" s="13" t="s">
        <v>158</v>
      </c>
      <c r="G377" s="14" t="str">
        <f t="shared" si="10"/>
        <v>B</v>
      </c>
      <c r="H377" s="15" t="str">
        <f t="shared" si="11"/>
        <v>The Commissioner &amp; Chief Constable are satisfied the spend represents VFM in accordance with the requirements of Category B</v>
      </c>
    </row>
    <row r="378" spans="1:12" x14ac:dyDescent="0.2">
      <c r="A378" s="10" t="s">
        <v>8</v>
      </c>
      <c r="B378" s="11" t="s">
        <v>9</v>
      </c>
      <c r="C378" s="13" t="s">
        <v>413</v>
      </c>
      <c r="D378" s="32">
        <v>45365</v>
      </c>
      <c r="E378" s="12">
        <v>1375</v>
      </c>
      <c r="F378" s="13" t="s">
        <v>22</v>
      </c>
      <c r="G378" s="14" t="str">
        <f t="shared" si="10"/>
        <v>B</v>
      </c>
      <c r="H378" s="15" t="str">
        <f t="shared" si="11"/>
        <v>The Commissioner &amp; Chief Constable are satisfied the spend represents VFM in accordance with the requirements of Category B</v>
      </c>
    </row>
    <row r="379" spans="1:12" x14ac:dyDescent="0.2">
      <c r="A379" s="10" t="s">
        <v>8</v>
      </c>
      <c r="B379" s="11" t="s">
        <v>9</v>
      </c>
      <c r="C379" s="13" t="s">
        <v>412</v>
      </c>
      <c r="D379" s="32">
        <v>45355</v>
      </c>
      <c r="E379" s="12">
        <v>1369.23</v>
      </c>
      <c r="F379" s="13" t="s">
        <v>388</v>
      </c>
      <c r="G379" s="14" t="str">
        <f t="shared" si="10"/>
        <v>B</v>
      </c>
      <c r="H379" s="15" t="str">
        <f t="shared" si="11"/>
        <v>The Commissioner &amp; Chief Constable are satisfied the spend represents VFM in accordance with the requirements of Category B</v>
      </c>
    </row>
    <row r="380" spans="1:12" x14ac:dyDescent="0.2">
      <c r="A380" s="10" t="s">
        <v>8</v>
      </c>
      <c r="B380" s="11" t="s">
        <v>9</v>
      </c>
      <c r="C380" s="13" t="s">
        <v>266</v>
      </c>
      <c r="D380" s="32">
        <v>45369</v>
      </c>
      <c r="E380" s="12">
        <v>1353.04</v>
      </c>
      <c r="F380" s="13" t="s">
        <v>209</v>
      </c>
      <c r="G380" s="14" t="str">
        <f t="shared" si="10"/>
        <v>B</v>
      </c>
      <c r="H380" s="15" t="str">
        <f t="shared" si="11"/>
        <v>The Commissioner &amp; Chief Constable are satisfied the spend represents VFM in accordance with the requirements of Category B</v>
      </c>
    </row>
    <row r="381" spans="1:12" x14ac:dyDescent="0.2">
      <c r="A381" s="10" t="s">
        <v>8</v>
      </c>
      <c r="B381" s="11" t="s">
        <v>9</v>
      </c>
      <c r="C381" s="13" t="s">
        <v>245</v>
      </c>
      <c r="D381" s="32">
        <v>45379</v>
      </c>
      <c r="E381" s="12">
        <v>1350</v>
      </c>
      <c r="F381" s="13" t="s">
        <v>106</v>
      </c>
      <c r="G381" s="14" t="str">
        <f t="shared" si="10"/>
        <v>B</v>
      </c>
      <c r="H381" s="15" t="str">
        <f t="shared" si="11"/>
        <v>The Commissioner &amp; Chief Constable are satisfied the spend represents VFM in accordance with the requirements of Category B</v>
      </c>
    </row>
    <row r="382" spans="1:12" s="20" customFormat="1" x14ac:dyDescent="0.2">
      <c r="A382" s="10" t="s">
        <v>8</v>
      </c>
      <c r="B382" s="11" t="s">
        <v>9</v>
      </c>
      <c r="C382" s="13" t="s">
        <v>139</v>
      </c>
      <c r="D382" s="32">
        <v>45379</v>
      </c>
      <c r="E382" s="12">
        <v>1341</v>
      </c>
      <c r="F382" s="13" t="s">
        <v>39</v>
      </c>
      <c r="G382" s="14" t="str">
        <f t="shared" si="10"/>
        <v>B</v>
      </c>
      <c r="H382" s="15" t="str">
        <f t="shared" si="11"/>
        <v>The Commissioner &amp; Chief Constable are satisfied the spend represents VFM in accordance with the requirements of Category B</v>
      </c>
      <c r="K382" s="17"/>
      <c r="L382" s="17"/>
    </row>
    <row r="383" spans="1:12" s="20" customFormat="1" x14ac:dyDescent="0.2">
      <c r="A383" s="10" t="s">
        <v>8</v>
      </c>
      <c r="B383" s="11" t="s">
        <v>9</v>
      </c>
      <c r="C383" s="13" t="s">
        <v>249</v>
      </c>
      <c r="D383" s="32">
        <v>45371</v>
      </c>
      <c r="E383" s="12">
        <v>1328.5</v>
      </c>
      <c r="F383" s="13" t="s">
        <v>138</v>
      </c>
      <c r="G383" s="14" t="str">
        <f t="shared" si="10"/>
        <v>B</v>
      </c>
      <c r="H383" s="15" t="str">
        <f t="shared" si="11"/>
        <v>The Commissioner &amp; Chief Constable are satisfied the spend represents VFM in accordance with the requirements of Category B</v>
      </c>
      <c r="K383" s="17"/>
      <c r="L383" s="17"/>
    </row>
    <row r="384" spans="1:12" s="20" customFormat="1" x14ac:dyDescent="0.2">
      <c r="A384" s="10" t="s">
        <v>8</v>
      </c>
      <c r="B384" s="11" t="s">
        <v>9</v>
      </c>
      <c r="C384" s="13" t="s">
        <v>411</v>
      </c>
      <c r="D384" s="32">
        <v>45355</v>
      </c>
      <c r="E384" s="12">
        <v>1308.82</v>
      </c>
      <c r="F384" s="13" t="s">
        <v>156</v>
      </c>
      <c r="G384" s="14" t="str">
        <f t="shared" si="10"/>
        <v>B</v>
      </c>
      <c r="H384" s="15" t="str">
        <f t="shared" si="11"/>
        <v>The Commissioner &amp; Chief Constable are satisfied the spend represents VFM in accordance with the requirements of Category B</v>
      </c>
      <c r="K384" s="17"/>
      <c r="L384" s="17"/>
    </row>
    <row r="385" spans="1:12" s="20" customFormat="1" x14ac:dyDescent="0.2">
      <c r="A385" s="10" t="s">
        <v>8</v>
      </c>
      <c r="B385" s="11" t="s">
        <v>9</v>
      </c>
      <c r="C385" s="13" t="s">
        <v>269</v>
      </c>
      <c r="D385" s="32">
        <v>45355</v>
      </c>
      <c r="E385" s="12">
        <v>1307.74</v>
      </c>
      <c r="F385" s="13" t="s">
        <v>177</v>
      </c>
      <c r="G385" s="14" t="str">
        <f t="shared" si="10"/>
        <v>B</v>
      </c>
      <c r="H385" s="15" t="str">
        <f t="shared" si="11"/>
        <v>The Commissioner &amp; Chief Constable are satisfied the spend represents VFM in accordance with the requirements of Category B</v>
      </c>
      <c r="K385" s="17"/>
      <c r="L385" s="17"/>
    </row>
    <row r="386" spans="1:12" s="20" customFormat="1" x14ac:dyDescent="0.2">
      <c r="A386" s="10" t="s">
        <v>8</v>
      </c>
      <c r="B386" s="11" t="s">
        <v>9</v>
      </c>
      <c r="C386" s="13" t="s">
        <v>249</v>
      </c>
      <c r="D386" s="32">
        <v>45376</v>
      </c>
      <c r="E386" s="12">
        <v>1301</v>
      </c>
      <c r="F386" s="13" t="s">
        <v>138</v>
      </c>
      <c r="G386" s="14" t="str">
        <f t="shared" ref="G386:G449" si="12">IF(E386&gt;25000,"C",IF(E386&gt;1000,"B","A"))</f>
        <v>B</v>
      </c>
      <c r="H386" s="15" t="str">
        <f t="shared" ref="H386:H449" si="13">VLOOKUP(G386,$K$2:$L$4,2,FALSE)</f>
        <v>The Commissioner &amp; Chief Constable are satisfied the spend represents VFM in accordance with the requirements of Category B</v>
      </c>
      <c r="K386" s="17"/>
      <c r="L386" s="17"/>
    </row>
    <row r="387" spans="1:12" s="20" customFormat="1" x14ac:dyDescent="0.2">
      <c r="A387" s="10" t="s">
        <v>8</v>
      </c>
      <c r="B387" s="11" t="s">
        <v>9</v>
      </c>
      <c r="C387" s="13" t="s">
        <v>130</v>
      </c>
      <c r="D387" s="32">
        <v>45377</v>
      </c>
      <c r="E387" s="12">
        <v>1280</v>
      </c>
      <c r="F387" s="13" t="s">
        <v>38</v>
      </c>
      <c r="G387" s="14" t="str">
        <f t="shared" si="12"/>
        <v>B</v>
      </c>
      <c r="H387" s="15" t="str">
        <f t="shared" si="13"/>
        <v>The Commissioner &amp; Chief Constable are satisfied the spend represents VFM in accordance with the requirements of Category B</v>
      </c>
      <c r="K387" s="17"/>
      <c r="L387" s="17"/>
    </row>
    <row r="388" spans="1:12" s="20" customFormat="1" x14ac:dyDescent="0.2">
      <c r="A388" s="10" t="s">
        <v>8</v>
      </c>
      <c r="B388" s="11" t="s">
        <v>9</v>
      </c>
      <c r="C388" s="13" t="s">
        <v>410</v>
      </c>
      <c r="D388" s="32">
        <v>45371</v>
      </c>
      <c r="E388" s="12">
        <v>1272</v>
      </c>
      <c r="F388" s="13" t="s">
        <v>123</v>
      </c>
      <c r="G388" s="14" t="str">
        <f t="shared" si="12"/>
        <v>B</v>
      </c>
      <c r="H388" s="15" t="str">
        <f t="shared" si="13"/>
        <v>The Commissioner &amp; Chief Constable are satisfied the spend represents VFM in accordance with the requirements of Category B</v>
      </c>
      <c r="K388" s="17"/>
      <c r="L388" s="17"/>
    </row>
    <row r="389" spans="1:12" s="20" customFormat="1" x14ac:dyDescent="0.2">
      <c r="A389" s="10" t="s">
        <v>8</v>
      </c>
      <c r="B389" s="11" t="s">
        <v>9</v>
      </c>
      <c r="C389" s="13" t="s">
        <v>124</v>
      </c>
      <c r="D389" s="32">
        <v>45377</v>
      </c>
      <c r="E389" s="12">
        <v>1261.98</v>
      </c>
      <c r="F389" s="13" t="s">
        <v>91</v>
      </c>
      <c r="G389" s="14" t="str">
        <f t="shared" si="12"/>
        <v>B</v>
      </c>
      <c r="H389" s="15" t="str">
        <f t="shared" si="13"/>
        <v>The Commissioner &amp; Chief Constable are satisfied the spend represents VFM in accordance with the requirements of Category B</v>
      </c>
      <c r="K389" s="17"/>
      <c r="L389" s="17"/>
    </row>
    <row r="390" spans="1:12" s="20" customFormat="1" x14ac:dyDescent="0.2">
      <c r="A390" s="10" t="s">
        <v>8</v>
      </c>
      <c r="B390" s="11" t="s">
        <v>9</v>
      </c>
      <c r="C390" s="13" t="s">
        <v>246</v>
      </c>
      <c r="D390" s="32">
        <v>45365</v>
      </c>
      <c r="E390" s="12">
        <v>1248.8</v>
      </c>
      <c r="F390" s="13" t="s">
        <v>203</v>
      </c>
      <c r="G390" s="14" t="str">
        <f t="shared" si="12"/>
        <v>B</v>
      </c>
      <c r="H390" s="15" t="str">
        <f t="shared" si="13"/>
        <v>The Commissioner &amp; Chief Constable are satisfied the spend represents VFM in accordance with the requirements of Category B</v>
      </c>
      <c r="K390" s="17"/>
      <c r="L390" s="17"/>
    </row>
    <row r="391" spans="1:12" s="20" customFormat="1" x14ac:dyDescent="0.2">
      <c r="A391" s="10" t="s">
        <v>8</v>
      </c>
      <c r="B391" s="11" t="s">
        <v>9</v>
      </c>
      <c r="C391" s="13" t="s">
        <v>355</v>
      </c>
      <c r="D391" s="32">
        <v>45364</v>
      </c>
      <c r="E391" s="12">
        <v>1245</v>
      </c>
      <c r="F391" s="13" t="s">
        <v>94</v>
      </c>
      <c r="G391" s="14" t="str">
        <f t="shared" si="12"/>
        <v>B</v>
      </c>
      <c r="H391" s="15" t="str">
        <f t="shared" si="13"/>
        <v>The Commissioner &amp; Chief Constable are satisfied the spend represents VFM in accordance with the requirements of Category B</v>
      </c>
      <c r="K391" s="17"/>
      <c r="L391" s="17"/>
    </row>
    <row r="392" spans="1:12" s="20" customFormat="1" x14ac:dyDescent="0.2">
      <c r="A392" s="10" t="s">
        <v>8</v>
      </c>
      <c r="B392" s="11" t="s">
        <v>9</v>
      </c>
      <c r="C392" s="13" t="s">
        <v>369</v>
      </c>
      <c r="D392" s="32">
        <v>45357</v>
      </c>
      <c r="E392" s="12">
        <v>1245</v>
      </c>
      <c r="F392" s="13" t="s">
        <v>39</v>
      </c>
      <c r="G392" s="14" t="str">
        <f t="shared" si="12"/>
        <v>B</v>
      </c>
      <c r="H392" s="15" t="str">
        <f t="shared" si="13"/>
        <v>The Commissioner &amp; Chief Constable are satisfied the spend represents VFM in accordance with the requirements of Category B</v>
      </c>
      <c r="K392" s="17"/>
      <c r="L392" s="17"/>
    </row>
    <row r="393" spans="1:12" s="20" customFormat="1" x14ac:dyDescent="0.2">
      <c r="A393" s="10" t="s">
        <v>8</v>
      </c>
      <c r="B393" s="11" t="s">
        <v>9</v>
      </c>
      <c r="C393" s="13" t="s">
        <v>355</v>
      </c>
      <c r="D393" s="32">
        <v>45377</v>
      </c>
      <c r="E393" s="12">
        <v>1245</v>
      </c>
      <c r="F393" s="13" t="s">
        <v>94</v>
      </c>
      <c r="G393" s="14" t="str">
        <f t="shared" si="12"/>
        <v>B</v>
      </c>
      <c r="H393" s="15" t="str">
        <f t="shared" si="13"/>
        <v>The Commissioner &amp; Chief Constable are satisfied the spend represents VFM in accordance with the requirements of Category B</v>
      </c>
      <c r="K393" s="17"/>
      <c r="L393" s="17"/>
    </row>
    <row r="394" spans="1:12" s="20" customFormat="1" x14ac:dyDescent="0.2">
      <c r="A394" s="10" t="s">
        <v>8</v>
      </c>
      <c r="B394" s="11" t="s">
        <v>9</v>
      </c>
      <c r="C394" s="13" t="s">
        <v>260</v>
      </c>
      <c r="D394" s="32">
        <v>45372</v>
      </c>
      <c r="E394" s="12">
        <v>1243.6500000000001</v>
      </c>
      <c r="F394" s="13" t="s">
        <v>261</v>
      </c>
      <c r="G394" s="14" t="str">
        <f t="shared" si="12"/>
        <v>B</v>
      </c>
      <c r="H394" s="15" t="str">
        <f t="shared" si="13"/>
        <v>The Commissioner &amp; Chief Constable are satisfied the spend represents VFM in accordance with the requirements of Category B</v>
      </c>
      <c r="K394" s="17"/>
      <c r="L394" s="17"/>
    </row>
    <row r="395" spans="1:12" s="20" customFormat="1" x14ac:dyDescent="0.2">
      <c r="A395" s="10" t="s">
        <v>8</v>
      </c>
      <c r="B395" s="11" t="s">
        <v>9</v>
      </c>
      <c r="C395" s="13" t="s">
        <v>172</v>
      </c>
      <c r="D395" s="32">
        <v>45370</v>
      </c>
      <c r="E395" s="12">
        <v>1236.26</v>
      </c>
      <c r="F395" s="13" t="s">
        <v>39</v>
      </c>
      <c r="G395" s="14" t="str">
        <f t="shared" si="12"/>
        <v>B</v>
      </c>
      <c r="H395" s="15" t="str">
        <f t="shared" si="13"/>
        <v>The Commissioner &amp; Chief Constable are satisfied the spend represents VFM in accordance with the requirements of Category B</v>
      </c>
      <c r="K395" s="17"/>
      <c r="L395" s="17"/>
    </row>
    <row r="396" spans="1:12" s="20" customFormat="1" x14ac:dyDescent="0.2">
      <c r="A396" s="10" t="s">
        <v>8</v>
      </c>
      <c r="B396" s="11" t="s">
        <v>9</v>
      </c>
      <c r="C396" s="13" t="s">
        <v>409</v>
      </c>
      <c r="D396" s="32">
        <v>45369</v>
      </c>
      <c r="E396" s="12">
        <v>1235</v>
      </c>
      <c r="F396" s="13" t="s">
        <v>131</v>
      </c>
      <c r="G396" s="14" t="str">
        <f t="shared" si="12"/>
        <v>B</v>
      </c>
      <c r="H396" s="15" t="str">
        <f t="shared" si="13"/>
        <v>The Commissioner &amp; Chief Constable are satisfied the spend represents VFM in accordance with the requirements of Category B</v>
      </c>
      <c r="K396" s="17"/>
      <c r="L396" s="17"/>
    </row>
    <row r="397" spans="1:12" s="20" customFormat="1" x14ac:dyDescent="0.2">
      <c r="A397" s="10" t="s">
        <v>8</v>
      </c>
      <c r="B397" s="11" t="s">
        <v>9</v>
      </c>
      <c r="C397" s="13" t="s">
        <v>213</v>
      </c>
      <c r="D397" s="32">
        <v>45371</v>
      </c>
      <c r="E397" s="12">
        <v>1225.5</v>
      </c>
      <c r="F397" s="13" t="s">
        <v>131</v>
      </c>
      <c r="G397" s="14" t="str">
        <f t="shared" si="12"/>
        <v>B</v>
      </c>
      <c r="H397" s="15" t="str">
        <f t="shared" si="13"/>
        <v>The Commissioner &amp; Chief Constable are satisfied the spend represents VFM in accordance with the requirements of Category B</v>
      </c>
      <c r="K397" s="17"/>
      <c r="L397" s="17"/>
    </row>
    <row r="398" spans="1:12" x14ac:dyDescent="0.2">
      <c r="A398" s="10" t="s">
        <v>8</v>
      </c>
      <c r="B398" s="11" t="s">
        <v>9</v>
      </c>
      <c r="C398" s="13" t="s">
        <v>407</v>
      </c>
      <c r="D398" s="32">
        <v>45379</v>
      </c>
      <c r="E398" s="12">
        <v>1225</v>
      </c>
      <c r="F398" s="13" t="s">
        <v>106</v>
      </c>
      <c r="G398" s="14" t="str">
        <f t="shared" si="12"/>
        <v>B</v>
      </c>
      <c r="H398" s="15" t="str">
        <f t="shared" si="13"/>
        <v>The Commissioner &amp; Chief Constable are satisfied the spend represents VFM in accordance with the requirements of Category B</v>
      </c>
    </row>
    <row r="399" spans="1:12" x14ac:dyDescent="0.2">
      <c r="A399" s="10" t="s">
        <v>8</v>
      </c>
      <c r="B399" s="11" t="s">
        <v>9</v>
      </c>
      <c r="C399" s="13" t="s">
        <v>161</v>
      </c>
      <c r="D399" s="32">
        <v>45377</v>
      </c>
      <c r="E399" s="12">
        <v>1219.72</v>
      </c>
      <c r="F399" s="13" t="s">
        <v>390</v>
      </c>
      <c r="G399" s="14" t="str">
        <f t="shared" si="12"/>
        <v>B</v>
      </c>
      <c r="H399" s="15" t="str">
        <f t="shared" si="13"/>
        <v>The Commissioner &amp; Chief Constable are satisfied the spend represents VFM in accordance with the requirements of Category B</v>
      </c>
    </row>
    <row r="400" spans="1:12" x14ac:dyDescent="0.2">
      <c r="A400" s="10" t="s">
        <v>8</v>
      </c>
      <c r="B400" s="11" t="s">
        <v>9</v>
      </c>
      <c r="C400" s="13" t="s">
        <v>408</v>
      </c>
      <c r="D400" s="32">
        <v>45372</v>
      </c>
      <c r="E400" s="12">
        <v>1202.3499999999999</v>
      </c>
      <c r="F400" s="13" t="s">
        <v>131</v>
      </c>
      <c r="G400" s="14" t="str">
        <f t="shared" si="12"/>
        <v>B</v>
      </c>
      <c r="H400" s="15" t="str">
        <f t="shared" si="13"/>
        <v>The Commissioner &amp; Chief Constable are satisfied the spend represents VFM in accordance with the requirements of Category B</v>
      </c>
    </row>
    <row r="401" spans="1:12" x14ac:dyDescent="0.2">
      <c r="A401" s="10" t="s">
        <v>8</v>
      </c>
      <c r="B401" s="11" t="s">
        <v>9</v>
      </c>
      <c r="C401" s="13" t="s">
        <v>370</v>
      </c>
      <c r="D401" s="32">
        <v>45352</v>
      </c>
      <c r="E401" s="12">
        <v>1196</v>
      </c>
      <c r="F401" s="13" t="s">
        <v>151</v>
      </c>
      <c r="G401" s="14" t="str">
        <f t="shared" si="12"/>
        <v>B</v>
      </c>
      <c r="H401" s="15" t="str">
        <f t="shared" si="13"/>
        <v>The Commissioner &amp; Chief Constable are satisfied the spend represents VFM in accordance with the requirements of Category B</v>
      </c>
    </row>
    <row r="402" spans="1:12" x14ac:dyDescent="0.2">
      <c r="A402" s="10" t="s">
        <v>8</v>
      </c>
      <c r="B402" s="11" t="s">
        <v>9</v>
      </c>
      <c r="C402" s="13" t="s">
        <v>153</v>
      </c>
      <c r="D402" s="32">
        <v>45371</v>
      </c>
      <c r="E402" s="12">
        <v>1185</v>
      </c>
      <c r="F402" s="13" t="s">
        <v>39</v>
      </c>
      <c r="G402" s="14" t="str">
        <f t="shared" si="12"/>
        <v>B</v>
      </c>
      <c r="H402" s="15" t="str">
        <f t="shared" si="13"/>
        <v>The Commissioner &amp; Chief Constable are satisfied the spend represents VFM in accordance with the requirements of Category B</v>
      </c>
    </row>
    <row r="403" spans="1:12" x14ac:dyDescent="0.2">
      <c r="A403" s="10" t="s">
        <v>8</v>
      </c>
      <c r="B403" s="11" t="s">
        <v>9</v>
      </c>
      <c r="C403" s="13" t="s">
        <v>107</v>
      </c>
      <c r="D403" s="32">
        <v>45358</v>
      </c>
      <c r="E403" s="12">
        <v>1181.4000000000001</v>
      </c>
      <c r="F403" s="13" t="s">
        <v>108</v>
      </c>
      <c r="G403" s="14" t="str">
        <f t="shared" si="12"/>
        <v>B</v>
      </c>
      <c r="H403" s="15" t="str">
        <f t="shared" si="13"/>
        <v>The Commissioner &amp; Chief Constable are satisfied the spend represents VFM in accordance with the requirements of Category B</v>
      </c>
    </row>
    <row r="404" spans="1:12" x14ac:dyDescent="0.2">
      <c r="A404" s="10" t="s">
        <v>8</v>
      </c>
      <c r="B404" s="11" t="s">
        <v>9</v>
      </c>
      <c r="C404" s="13" t="s">
        <v>283</v>
      </c>
      <c r="D404" s="32">
        <v>45358</v>
      </c>
      <c r="E404" s="12">
        <v>1177.92</v>
      </c>
      <c r="F404" s="13" t="s">
        <v>40</v>
      </c>
      <c r="G404" s="14" t="str">
        <f t="shared" si="12"/>
        <v>B</v>
      </c>
      <c r="H404" s="15" t="str">
        <f t="shared" si="13"/>
        <v>The Commissioner &amp; Chief Constable are satisfied the spend represents VFM in accordance with the requirements of Category B</v>
      </c>
    </row>
    <row r="405" spans="1:12" x14ac:dyDescent="0.2">
      <c r="A405" s="10" t="s">
        <v>8</v>
      </c>
      <c r="B405" s="11" t="s">
        <v>9</v>
      </c>
      <c r="C405" s="13" t="s">
        <v>407</v>
      </c>
      <c r="D405" s="32">
        <v>45379</v>
      </c>
      <c r="E405" s="12">
        <v>1175</v>
      </c>
      <c r="F405" s="13" t="s">
        <v>106</v>
      </c>
      <c r="G405" s="14" t="str">
        <f t="shared" si="12"/>
        <v>B</v>
      </c>
      <c r="H405" s="15" t="str">
        <f t="shared" si="13"/>
        <v>The Commissioner &amp; Chief Constable are satisfied the spend represents VFM in accordance with the requirements of Category B</v>
      </c>
    </row>
    <row r="406" spans="1:12" x14ac:dyDescent="0.2">
      <c r="A406" s="10" t="s">
        <v>8</v>
      </c>
      <c r="B406" s="11" t="s">
        <v>9</v>
      </c>
      <c r="C406" s="13" t="s">
        <v>161</v>
      </c>
      <c r="D406" s="32">
        <v>45377</v>
      </c>
      <c r="E406" s="12">
        <v>1174.8</v>
      </c>
      <c r="F406" s="13" t="s">
        <v>390</v>
      </c>
      <c r="G406" s="14" t="str">
        <f t="shared" si="12"/>
        <v>B</v>
      </c>
      <c r="H406" s="15" t="str">
        <f t="shared" si="13"/>
        <v>The Commissioner &amp; Chief Constable are satisfied the spend represents VFM in accordance with the requirements of Category B</v>
      </c>
    </row>
    <row r="407" spans="1:12" x14ac:dyDescent="0.2">
      <c r="A407" s="10" t="s">
        <v>8</v>
      </c>
      <c r="B407" s="11" t="s">
        <v>9</v>
      </c>
      <c r="C407" s="13" t="s">
        <v>197</v>
      </c>
      <c r="D407" s="32">
        <v>45372</v>
      </c>
      <c r="E407" s="12">
        <v>1169.25</v>
      </c>
      <c r="F407" s="13" t="s">
        <v>155</v>
      </c>
      <c r="G407" s="14" t="str">
        <f t="shared" si="12"/>
        <v>B</v>
      </c>
      <c r="H407" s="15" t="str">
        <f t="shared" si="13"/>
        <v>The Commissioner &amp; Chief Constable are satisfied the spend represents VFM in accordance with the requirements of Category B</v>
      </c>
    </row>
    <row r="408" spans="1:12" x14ac:dyDescent="0.2">
      <c r="A408" s="10" t="s">
        <v>8</v>
      </c>
      <c r="B408" s="11" t="s">
        <v>9</v>
      </c>
      <c r="C408" s="13" t="s">
        <v>406</v>
      </c>
      <c r="D408" s="32">
        <v>45372</v>
      </c>
      <c r="E408" s="12">
        <v>1165.8800000000001</v>
      </c>
      <c r="F408" s="13" t="s">
        <v>36</v>
      </c>
      <c r="G408" s="14" t="str">
        <f t="shared" si="12"/>
        <v>B</v>
      </c>
      <c r="H408" s="15" t="str">
        <f t="shared" si="13"/>
        <v>The Commissioner &amp; Chief Constable are satisfied the spend represents VFM in accordance with the requirements of Category B</v>
      </c>
    </row>
    <row r="409" spans="1:12" x14ac:dyDescent="0.2">
      <c r="A409" s="10" t="s">
        <v>8</v>
      </c>
      <c r="B409" s="11" t="s">
        <v>9</v>
      </c>
      <c r="C409" s="13" t="s">
        <v>113</v>
      </c>
      <c r="D409" s="32">
        <v>45379</v>
      </c>
      <c r="E409" s="12">
        <v>1165.76</v>
      </c>
      <c r="F409" s="13" t="s">
        <v>114</v>
      </c>
      <c r="G409" s="14" t="str">
        <f t="shared" si="12"/>
        <v>B</v>
      </c>
      <c r="H409" s="15" t="str">
        <f t="shared" si="13"/>
        <v>The Commissioner &amp; Chief Constable are satisfied the spend represents VFM in accordance with the requirements of Category B</v>
      </c>
    </row>
    <row r="410" spans="1:12" x14ac:dyDescent="0.2">
      <c r="A410" s="10" t="s">
        <v>8</v>
      </c>
      <c r="B410" s="11" t="s">
        <v>9</v>
      </c>
      <c r="C410" s="13" t="s">
        <v>107</v>
      </c>
      <c r="D410" s="32">
        <v>45358</v>
      </c>
      <c r="E410" s="12">
        <v>1163.9000000000001</v>
      </c>
      <c r="F410" s="13" t="s">
        <v>108</v>
      </c>
      <c r="G410" s="14" t="str">
        <f t="shared" si="12"/>
        <v>B</v>
      </c>
      <c r="H410" s="15" t="str">
        <f t="shared" si="13"/>
        <v>The Commissioner &amp; Chief Constable are satisfied the spend represents VFM in accordance with the requirements of Category B</v>
      </c>
    </row>
    <row r="411" spans="1:12" s="20" customFormat="1" x14ac:dyDescent="0.2">
      <c r="A411" s="10" t="s">
        <v>8</v>
      </c>
      <c r="B411" s="11" t="s">
        <v>9</v>
      </c>
      <c r="C411" s="13" t="s">
        <v>405</v>
      </c>
      <c r="D411" s="32">
        <v>45366</v>
      </c>
      <c r="E411" s="12">
        <v>1157.45</v>
      </c>
      <c r="F411" s="13" t="s">
        <v>155</v>
      </c>
      <c r="G411" s="14" t="str">
        <f t="shared" si="12"/>
        <v>B</v>
      </c>
      <c r="H411" s="15" t="str">
        <f t="shared" si="13"/>
        <v>The Commissioner &amp; Chief Constable are satisfied the spend represents VFM in accordance with the requirements of Category B</v>
      </c>
      <c r="K411" s="17"/>
      <c r="L411" s="17"/>
    </row>
    <row r="412" spans="1:12" s="20" customFormat="1" x14ac:dyDescent="0.2">
      <c r="A412" s="10" t="s">
        <v>8</v>
      </c>
      <c r="B412" s="11" t="s">
        <v>9</v>
      </c>
      <c r="C412" s="13" t="s">
        <v>256</v>
      </c>
      <c r="D412" s="32">
        <v>45355</v>
      </c>
      <c r="E412" s="12">
        <v>1120.3599999999999</v>
      </c>
      <c r="F412" s="13" t="s">
        <v>155</v>
      </c>
      <c r="G412" s="14" t="str">
        <f t="shared" si="12"/>
        <v>B</v>
      </c>
      <c r="H412" s="15" t="str">
        <f t="shared" si="13"/>
        <v>The Commissioner &amp; Chief Constable are satisfied the spend represents VFM in accordance with the requirements of Category B</v>
      </c>
      <c r="K412" s="17"/>
      <c r="L412" s="17"/>
    </row>
    <row r="413" spans="1:12" s="20" customFormat="1" x14ac:dyDescent="0.2">
      <c r="A413" s="10" t="s">
        <v>8</v>
      </c>
      <c r="B413" s="11" t="s">
        <v>9</v>
      </c>
      <c r="C413" s="34" t="s">
        <v>181</v>
      </c>
      <c r="D413" s="32">
        <v>45368</v>
      </c>
      <c r="E413" s="12">
        <v>1116.8</v>
      </c>
      <c r="F413" s="13" t="s">
        <v>106</v>
      </c>
      <c r="G413" s="14" t="str">
        <f t="shared" si="12"/>
        <v>B</v>
      </c>
      <c r="H413" s="15" t="str">
        <f t="shared" si="13"/>
        <v>The Commissioner &amp; Chief Constable are satisfied the spend represents VFM in accordance with the requirements of Category B</v>
      </c>
      <c r="K413" s="17"/>
      <c r="L413" s="17"/>
    </row>
    <row r="414" spans="1:12" s="20" customFormat="1" x14ac:dyDescent="0.2">
      <c r="A414" s="10" t="s">
        <v>8</v>
      </c>
      <c r="B414" s="11" t="s">
        <v>9</v>
      </c>
      <c r="C414" s="13" t="s">
        <v>281</v>
      </c>
      <c r="D414" s="32">
        <v>45365</v>
      </c>
      <c r="E414" s="12">
        <v>1113.3</v>
      </c>
      <c r="F414" s="13" t="s">
        <v>209</v>
      </c>
      <c r="G414" s="14" t="str">
        <f t="shared" si="12"/>
        <v>B</v>
      </c>
      <c r="H414" s="15" t="str">
        <f t="shared" si="13"/>
        <v>The Commissioner &amp; Chief Constable are satisfied the spend represents VFM in accordance with the requirements of Category B</v>
      </c>
      <c r="K414" s="17"/>
      <c r="L414" s="17"/>
    </row>
    <row r="415" spans="1:12" s="20" customFormat="1" x14ac:dyDescent="0.2">
      <c r="A415" s="10" t="s">
        <v>8</v>
      </c>
      <c r="B415" s="11" t="s">
        <v>9</v>
      </c>
      <c r="C415" s="13" t="s">
        <v>232</v>
      </c>
      <c r="D415" s="32">
        <v>45359</v>
      </c>
      <c r="E415" s="12">
        <v>1112.8</v>
      </c>
      <c r="F415" s="13" t="s">
        <v>94</v>
      </c>
      <c r="G415" s="14" t="str">
        <f t="shared" si="12"/>
        <v>B</v>
      </c>
      <c r="H415" s="15" t="str">
        <f t="shared" si="13"/>
        <v>The Commissioner &amp; Chief Constable are satisfied the spend represents VFM in accordance with the requirements of Category B</v>
      </c>
      <c r="K415" s="17"/>
      <c r="L415" s="17"/>
    </row>
    <row r="416" spans="1:12" s="20" customFormat="1" x14ac:dyDescent="0.2">
      <c r="A416" s="10" t="s">
        <v>8</v>
      </c>
      <c r="B416" s="11" t="s">
        <v>9</v>
      </c>
      <c r="C416" s="13" t="s">
        <v>74</v>
      </c>
      <c r="D416" s="32">
        <v>45376</v>
      </c>
      <c r="E416" s="12">
        <v>1110</v>
      </c>
      <c r="F416" s="13" t="s">
        <v>89</v>
      </c>
      <c r="G416" s="14" t="str">
        <f t="shared" si="12"/>
        <v>B</v>
      </c>
      <c r="H416" s="15" t="str">
        <f t="shared" si="13"/>
        <v>The Commissioner &amp; Chief Constable are satisfied the spend represents VFM in accordance with the requirements of Category B</v>
      </c>
      <c r="K416" s="17"/>
      <c r="L416" s="17"/>
    </row>
    <row r="417" spans="1:12" s="20" customFormat="1" x14ac:dyDescent="0.2">
      <c r="A417" s="10" t="s">
        <v>8</v>
      </c>
      <c r="B417" s="11" t="s">
        <v>9</v>
      </c>
      <c r="C417" s="13" t="s">
        <v>404</v>
      </c>
      <c r="D417" s="32">
        <v>45366</v>
      </c>
      <c r="E417" s="12">
        <v>1102.2</v>
      </c>
      <c r="F417" s="13" t="s">
        <v>155</v>
      </c>
      <c r="G417" s="14" t="str">
        <f t="shared" si="12"/>
        <v>B</v>
      </c>
      <c r="H417" s="15" t="str">
        <f t="shared" si="13"/>
        <v>The Commissioner &amp; Chief Constable are satisfied the spend represents VFM in accordance with the requirements of Category B</v>
      </c>
      <c r="K417" s="17"/>
      <c r="L417" s="17"/>
    </row>
    <row r="418" spans="1:12" s="20" customFormat="1" x14ac:dyDescent="0.2">
      <c r="A418" s="10" t="s">
        <v>8</v>
      </c>
      <c r="B418" s="11" t="s">
        <v>9</v>
      </c>
      <c r="C418" s="13" t="s">
        <v>161</v>
      </c>
      <c r="D418" s="32">
        <v>45378</v>
      </c>
      <c r="E418" s="12">
        <v>1100</v>
      </c>
      <c r="F418" s="13" t="s">
        <v>75</v>
      </c>
      <c r="G418" s="14" t="str">
        <f t="shared" si="12"/>
        <v>B</v>
      </c>
      <c r="H418" s="15" t="str">
        <f t="shared" si="13"/>
        <v>The Commissioner &amp; Chief Constable are satisfied the spend represents VFM in accordance with the requirements of Category B</v>
      </c>
      <c r="K418" s="17"/>
      <c r="L418" s="17"/>
    </row>
    <row r="419" spans="1:12" s="20" customFormat="1" x14ac:dyDescent="0.2">
      <c r="A419" s="10" t="s">
        <v>8</v>
      </c>
      <c r="B419" s="11" t="s">
        <v>9</v>
      </c>
      <c r="C419" s="13" t="s">
        <v>403</v>
      </c>
      <c r="D419" s="32">
        <v>45379</v>
      </c>
      <c r="E419" s="12">
        <v>1100</v>
      </c>
      <c r="F419" s="13" t="s">
        <v>106</v>
      </c>
      <c r="G419" s="14" t="str">
        <f t="shared" si="12"/>
        <v>B</v>
      </c>
      <c r="H419" s="15" t="str">
        <f t="shared" si="13"/>
        <v>The Commissioner &amp; Chief Constable are satisfied the spend represents VFM in accordance with the requirements of Category B</v>
      </c>
      <c r="K419" s="17"/>
      <c r="L419" s="17"/>
    </row>
    <row r="420" spans="1:12" s="20" customFormat="1" x14ac:dyDescent="0.2">
      <c r="A420" s="10" t="s">
        <v>8</v>
      </c>
      <c r="B420" s="11" t="s">
        <v>9</v>
      </c>
      <c r="C420" s="13" t="s">
        <v>402</v>
      </c>
      <c r="D420" s="32">
        <v>45366</v>
      </c>
      <c r="E420" s="12">
        <v>1095</v>
      </c>
      <c r="F420" s="13" t="s">
        <v>106</v>
      </c>
      <c r="G420" s="14" t="str">
        <f t="shared" si="12"/>
        <v>B</v>
      </c>
      <c r="H420" s="15" t="str">
        <f t="shared" si="13"/>
        <v>The Commissioner &amp; Chief Constable are satisfied the spend represents VFM in accordance with the requirements of Category B</v>
      </c>
      <c r="K420" s="17"/>
      <c r="L420" s="17"/>
    </row>
    <row r="421" spans="1:12" s="20" customFormat="1" x14ac:dyDescent="0.2">
      <c r="A421" s="10" t="s">
        <v>8</v>
      </c>
      <c r="B421" s="11" t="s">
        <v>9</v>
      </c>
      <c r="C421" s="34" t="s">
        <v>230</v>
      </c>
      <c r="D421" s="32">
        <v>45377</v>
      </c>
      <c r="E421" s="12">
        <v>1080</v>
      </c>
      <c r="F421" s="13" t="s">
        <v>40</v>
      </c>
      <c r="G421" s="14" t="str">
        <f t="shared" si="12"/>
        <v>B</v>
      </c>
      <c r="H421" s="15" t="str">
        <f t="shared" si="13"/>
        <v>The Commissioner &amp; Chief Constable are satisfied the spend represents VFM in accordance with the requirements of Category B</v>
      </c>
      <c r="K421" s="17"/>
      <c r="L421" s="17"/>
    </row>
    <row r="422" spans="1:12" s="20" customFormat="1" x14ac:dyDescent="0.2">
      <c r="A422" s="10" t="s">
        <v>8</v>
      </c>
      <c r="B422" s="11" t="s">
        <v>9</v>
      </c>
      <c r="C422" s="13" t="s">
        <v>401</v>
      </c>
      <c r="D422" s="32">
        <v>45376</v>
      </c>
      <c r="E422" s="12">
        <v>1073.47</v>
      </c>
      <c r="F422" s="13" t="s">
        <v>40</v>
      </c>
      <c r="G422" s="14" t="str">
        <f t="shared" si="12"/>
        <v>B</v>
      </c>
      <c r="H422" s="15" t="str">
        <f t="shared" si="13"/>
        <v>The Commissioner &amp; Chief Constable are satisfied the spend represents VFM in accordance with the requirements of Category B</v>
      </c>
      <c r="K422" s="17"/>
      <c r="L422" s="17"/>
    </row>
    <row r="423" spans="1:12" s="20" customFormat="1" x14ac:dyDescent="0.2">
      <c r="A423" s="10" t="s">
        <v>8</v>
      </c>
      <c r="B423" s="11" t="s">
        <v>9</v>
      </c>
      <c r="C423" s="13" t="s">
        <v>276</v>
      </c>
      <c r="D423" s="32">
        <v>45366</v>
      </c>
      <c r="E423" s="12">
        <v>1060.24</v>
      </c>
      <c r="F423" s="13" t="s">
        <v>40</v>
      </c>
      <c r="G423" s="14" t="str">
        <f t="shared" si="12"/>
        <v>B</v>
      </c>
      <c r="H423" s="15" t="str">
        <f t="shared" si="13"/>
        <v>The Commissioner &amp; Chief Constable are satisfied the spend represents VFM in accordance with the requirements of Category B</v>
      </c>
      <c r="K423" s="17"/>
      <c r="L423" s="17"/>
    </row>
    <row r="424" spans="1:12" s="20" customFormat="1" x14ac:dyDescent="0.2">
      <c r="A424" s="10" t="s">
        <v>8</v>
      </c>
      <c r="B424" s="11" t="s">
        <v>9</v>
      </c>
      <c r="C424" s="13" t="s">
        <v>10</v>
      </c>
      <c r="D424" s="32">
        <v>45364</v>
      </c>
      <c r="E424" s="12">
        <v>1060</v>
      </c>
      <c r="F424" s="13" t="s">
        <v>22</v>
      </c>
      <c r="G424" s="14" t="str">
        <f t="shared" si="12"/>
        <v>B</v>
      </c>
      <c r="H424" s="15" t="str">
        <f t="shared" si="13"/>
        <v>The Commissioner &amp; Chief Constable are satisfied the spend represents VFM in accordance with the requirements of Category B</v>
      </c>
      <c r="K424" s="17"/>
      <c r="L424" s="17"/>
    </row>
    <row r="425" spans="1:12" s="20" customFormat="1" x14ac:dyDescent="0.2">
      <c r="A425" s="10" t="s">
        <v>8</v>
      </c>
      <c r="B425" s="11" t="s">
        <v>9</v>
      </c>
      <c r="C425" s="13" t="s">
        <v>294</v>
      </c>
      <c r="D425" s="32">
        <v>45371</v>
      </c>
      <c r="E425" s="12">
        <v>1057.69</v>
      </c>
      <c r="F425" s="13" t="s">
        <v>155</v>
      </c>
      <c r="G425" s="14" t="str">
        <f t="shared" si="12"/>
        <v>B</v>
      </c>
      <c r="H425" s="15" t="str">
        <f t="shared" si="13"/>
        <v>The Commissioner &amp; Chief Constable are satisfied the spend represents VFM in accordance with the requirements of Category B</v>
      </c>
      <c r="K425" s="17"/>
      <c r="L425" s="17"/>
    </row>
    <row r="426" spans="1:12" s="20" customFormat="1" x14ac:dyDescent="0.2">
      <c r="A426" s="10" t="s">
        <v>8</v>
      </c>
      <c r="B426" s="11" t="s">
        <v>9</v>
      </c>
      <c r="C426" s="13" t="s">
        <v>294</v>
      </c>
      <c r="D426" s="32">
        <v>45371</v>
      </c>
      <c r="E426" s="12">
        <v>1057.69</v>
      </c>
      <c r="F426" s="13" t="s">
        <v>155</v>
      </c>
      <c r="G426" s="14" t="str">
        <f t="shared" si="12"/>
        <v>B</v>
      </c>
      <c r="H426" s="15" t="str">
        <f t="shared" si="13"/>
        <v>The Commissioner &amp; Chief Constable are satisfied the spend represents VFM in accordance with the requirements of Category B</v>
      </c>
      <c r="K426" s="17"/>
      <c r="L426" s="17"/>
    </row>
    <row r="427" spans="1:12" s="20" customFormat="1" x14ac:dyDescent="0.2">
      <c r="A427" s="10" t="s">
        <v>8</v>
      </c>
      <c r="B427" s="11" t="s">
        <v>9</v>
      </c>
      <c r="C427" s="13" t="s">
        <v>293</v>
      </c>
      <c r="D427" s="32">
        <v>45376</v>
      </c>
      <c r="E427" s="12">
        <v>1045.51</v>
      </c>
      <c r="F427" s="13" t="s">
        <v>133</v>
      </c>
      <c r="G427" s="14" t="str">
        <f t="shared" si="12"/>
        <v>B</v>
      </c>
      <c r="H427" s="15" t="str">
        <f t="shared" si="13"/>
        <v>The Commissioner &amp; Chief Constable are satisfied the spend represents VFM in accordance with the requirements of Category B</v>
      </c>
      <c r="K427" s="17"/>
      <c r="L427" s="17"/>
    </row>
    <row r="428" spans="1:12" s="20" customFormat="1" x14ac:dyDescent="0.2">
      <c r="A428" s="10" t="s">
        <v>8</v>
      </c>
      <c r="B428" s="11" t="s">
        <v>9</v>
      </c>
      <c r="C428" s="13" t="s">
        <v>400</v>
      </c>
      <c r="D428" s="32">
        <v>45363</v>
      </c>
      <c r="E428" s="12">
        <v>1042.82</v>
      </c>
      <c r="F428" s="13" t="s">
        <v>298</v>
      </c>
      <c r="G428" s="14" t="str">
        <f t="shared" si="12"/>
        <v>B</v>
      </c>
      <c r="H428" s="15" t="str">
        <f t="shared" si="13"/>
        <v>The Commissioner &amp; Chief Constable are satisfied the spend represents VFM in accordance with the requirements of Category B</v>
      </c>
      <c r="K428" s="17"/>
      <c r="L428" s="17"/>
    </row>
    <row r="429" spans="1:12" s="20" customFormat="1" x14ac:dyDescent="0.2">
      <c r="A429" s="10" t="s">
        <v>8</v>
      </c>
      <c r="B429" s="11" t="s">
        <v>9</v>
      </c>
      <c r="C429" s="13" t="s">
        <v>157</v>
      </c>
      <c r="D429" s="32">
        <v>45376</v>
      </c>
      <c r="E429" s="12">
        <v>1035</v>
      </c>
      <c r="F429" s="13" t="s">
        <v>43</v>
      </c>
      <c r="G429" s="14" t="str">
        <f t="shared" si="12"/>
        <v>B</v>
      </c>
      <c r="H429" s="15" t="str">
        <f t="shared" si="13"/>
        <v>The Commissioner &amp; Chief Constable are satisfied the spend represents VFM in accordance with the requirements of Category B</v>
      </c>
      <c r="K429" s="17"/>
      <c r="L429" s="17"/>
    </row>
    <row r="430" spans="1:12" s="20" customFormat="1" x14ac:dyDescent="0.2">
      <c r="A430" s="10" t="s">
        <v>8</v>
      </c>
      <c r="B430" s="11" t="s">
        <v>9</v>
      </c>
      <c r="C430" s="13" t="s">
        <v>293</v>
      </c>
      <c r="D430" s="32">
        <v>45357</v>
      </c>
      <c r="E430" s="12">
        <v>1033.3599999999999</v>
      </c>
      <c r="F430" s="13" t="s">
        <v>133</v>
      </c>
      <c r="G430" s="14" t="str">
        <f t="shared" si="12"/>
        <v>B</v>
      </c>
      <c r="H430" s="15" t="str">
        <f t="shared" si="13"/>
        <v>The Commissioner &amp; Chief Constable are satisfied the spend represents VFM in accordance with the requirements of Category B</v>
      </c>
      <c r="K430" s="17"/>
      <c r="L430" s="17"/>
    </row>
    <row r="431" spans="1:12" s="20" customFormat="1" x14ac:dyDescent="0.2">
      <c r="A431" s="10" t="s">
        <v>8</v>
      </c>
      <c r="B431" s="11" t="s">
        <v>9</v>
      </c>
      <c r="C431" s="13" t="s">
        <v>289</v>
      </c>
      <c r="D431" s="32">
        <v>45371</v>
      </c>
      <c r="E431" s="12">
        <v>1032.49</v>
      </c>
      <c r="F431" s="13" t="s">
        <v>148</v>
      </c>
      <c r="G431" s="14" t="str">
        <f t="shared" si="12"/>
        <v>B</v>
      </c>
      <c r="H431" s="15" t="str">
        <f t="shared" si="13"/>
        <v>The Commissioner &amp; Chief Constable are satisfied the spend represents VFM in accordance with the requirements of Category B</v>
      </c>
      <c r="K431" s="17"/>
      <c r="L431" s="17"/>
    </row>
    <row r="432" spans="1:12" s="20" customFormat="1" x14ac:dyDescent="0.2">
      <c r="A432" s="10" t="s">
        <v>8</v>
      </c>
      <c r="B432" s="11" t="s">
        <v>9</v>
      </c>
      <c r="C432" s="13" t="s">
        <v>369</v>
      </c>
      <c r="D432" s="32">
        <v>45378</v>
      </c>
      <c r="E432" s="12">
        <v>1008</v>
      </c>
      <c r="F432" s="13" t="s">
        <v>39</v>
      </c>
      <c r="G432" s="14" t="str">
        <f t="shared" si="12"/>
        <v>B</v>
      </c>
      <c r="H432" s="15" t="str">
        <f t="shared" si="13"/>
        <v>The Commissioner &amp; Chief Constable are satisfied the spend represents VFM in accordance with the requirements of Category B</v>
      </c>
      <c r="K432" s="17"/>
      <c r="L432" s="17"/>
    </row>
    <row r="433" spans="1:12" s="20" customFormat="1" x14ac:dyDescent="0.2">
      <c r="A433" s="10" t="s">
        <v>8</v>
      </c>
      <c r="B433" s="11" t="s">
        <v>9</v>
      </c>
      <c r="C433" s="13" t="s">
        <v>139</v>
      </c>
      <c r="D433" s="32">
        <v>45376</v>
      </c>
      <c r="E433" s="12">
        <v>1000</v>
      </c>
      <c r="F433" s="13" t="s">
        <v>39</v>
      </c>
      <c r="G433" s="14" t="str">
        <f t="shared" si="12"/>
        <v>A</v>
      </c>
      <c r="H433" s="15" t="str">
        <f t="shared" si="13"/>
        <v>The Commissioner &amp; Chief Constable are satisfied the spend represents VFM in accordance with the requirements of Category A</v>
      </c>
      <c r="K433" s="17"/>
      <c r="L433" s="17"/>
    </row>
    <row r="434" spans="1:12" s="20" customFormat="1" x14ac:dyDescent="0.2">
      <c r="A434" s="10" t="s">
        <v>8</v>
      </c>
      <c r="B434" s="11" t="s">
        <v>9</v>
      </c>
      <c r="C434" s="13" t="s">
        <v>223</v>
      </c>
      <c r="D434" s="32">
        <v>45369</v>
      </c>
      <c r="E434" s="12">
        <v>1000</v>
      </c>
      <c r="F434" s="13" t="s">
        <v>22</v>
      </c>
      <c r="G434" s="14" t="str">
        <f t="shared" si="12"/>
        <v>A</v>
      </c>
      <c r="H434" s="15" t="str">
        <f t="shared" si="13"/>
        <v>The Commissioner &amp; Chief Constable are satisfied the spend represents VFM in accordance with the requirements of Category A</v>
      </c>
      <c r="K434" s="17"/>
      <c r="L434" s="17"/>
    </row>
    <row r="435" spans="1:12" s="20" customFormat="1" x14ac:dyDescent="0.2">
      <c r="A435" s="10" t="s">
        <v>8</v>
      </c>
      <c r="B435" s="11" t="s">
        <v>9</v>
      </c>
      <c r="C435" s="13" t="s">
        <v>399</v>
      </c>
      <c r="D435" s="32">
        <v>45371</v>
      </c>
      <c r="E435" s="12">
        <v>1000</v>
      </c>
      <c r="F435" s="13" t="s">
        <v>22</v>
      </c>
      <c r="G435" s="14" t="str">
        <f t="shared" si="12"/>
        <v>A</v>
      </c>
      <c r="H435" s="15" t="str">
        <f t="shared" si="13"/>
        <v>The Commissioner &amp; Chief Constable are satisfied the spend represents VFM in accordance with the requirements of Category A</v>
      </c>
      <c r="K435" s="17"/>
      <c r="L435" s="17"/>
    </row>
    <row r="436" spans="1:12" s="20" customFormat="1" x14ac:dyDescent="0.2">
      <c r="A436" s="10" t="s">
        <v>8</v>
      </c>
      <c r="B436" s="11" t="s">
        <v>9</v>
      </c>
      <c r="C436" s="13" t="s">
        <v>398</v>
      </c>
      <c r="D436" s="32">
        <v>45373</v>
      </c>
      <c r="E436" s="12">
        <v>1000</v>
      </c>
      <c r="F436" s="13" t="s">
        <v>22</v>
      </c>
      <c r="G436" s="14" t="str">
        <f t="shared" si="12"/>
        <v>A</v>
      </c>
      <c r="H436" s="15" t="str">
        <f t="shared" si="13"/>
        <v>The Commissioner &amp; Chief Constable are satisfied the spend represents VFM in accordance with the requirements of Category A</v>
      </c>
      <c r="K436" s="17"/>
      <c r="L436" s="17"/>
    </row>
    <row r="437" spans="1:12" s="20" customFormat="1" x14ac:dyDescent="0.2">
      <c r="A437" s="10" t="s">
        <v>8</v>
      </c>
      <c r="B437" s="11" t="s">
        <v>9</v>
      </c>
      <c r="C437" s="13" t="s">
        <v>236</v>
      </c>
      <c r="D437" s="32">
        <v>45366</v>
      </c>
      <c r="E437" s="12">
        <v>995</v>
      </c>
      <c r="F437" s="13" t="s">
        <v>237</v>
      </c>
      <c r="G437" s="14" t="str">
        <f t="shared" si="12"/>
        <v>A</v>
      </c>
      <c r="H437" s="15" t="str">
        <f t="shared" si="13"/>
        <v>The Commissioner &amp; Chief Constable are satisfied the spend represents VFM in accordance with the requirements of Category A</v>
      </c>
      <c r="K437" s="17"/>
      <c r="L437" s="17"/>
    </row>
    <row r="438" spans="1:12" s="20" customFormat="1" x14ac:dyDescent="0.2">
      <c r="A438" s="10" t="s">
        <v>8</v>
      </c>
      <c r="B438" s="11" t="s">
        <v>9</v>
      </c>
      <c r="C438" s="13" t="s">
        <v>397</v>
      </c>
      <c r="D438" s="32">
        <v>45362</v>
      </c>
      <c r="E438" s="12">
        <v>995</v>
      </c>
      <c r="F438" s="13" t="s">
        <v>177</v>
      </c>
      <c r="G438" s="14" t="str">
        <f t="shared" si="12"/>
        <v>A</v>
      </c>
      <c r="H438" s="15" t="str">
        <f t="shared" si="13"/>
        <v>The Commissioner &amp; Chief Constable are satisfied the spend represents VFM in accordance with the requirements of Category A</v>
      </c>
      <c r="K438" s="17"/>
      <c r="L438" s="17"/>
    </row>
    <row r="439" spans="1:12" s="20" customFormat="1" x14ac:dyDescent="0.2">
      <c r="A439" s="10" t="s">
        <v>8</v>
      </c>
      <c r="B439" s="11" t="s">
        <v>9</v>
      </c>
      <c r="C439" s="13" t="s">
        <v>90</v>
      </c>
      <c r="D439" s="32">
        <v>45379</v>
      </c>
      <c r="E439" s="12">
        <v>986.11999999999989</v>
      </c>
      <c r="F439" s="13" t="s">
        <v>131</v>
      </c>
      <c r="G439" s="14" t="str">
        <f t="shared" si="12"/>
        <v>A</v>
      </c>
      <c r="H439" s="15" t="str">
        <f t="shared" si="13"/>
        <v>The Commissioner &amp; Chief Constable are satisfied the spend represents VFM in accordance with the requirements of Category A</v>
      </c>
      <c r="K439" s="17"/>
      <c r="L439" s="17"/>
    </row>
    <row r="440" spans="1:12" s="20" customFormat="1" x14ac:dyDescent="0.2">
      <c r="A440" s="10" t="s">
        <v>8</v>
      </c>
      <c r="B440" s="11" t="s">
        <v>9</v>
      </c>
      <c r="C440" s="13" t="s">
        <v>163</v>
      </c>
      <c r="D440" s="32">
        <v>45357</v>
      </c>
      <c r="E440" s="12">
        <v>140</v>
      </c>
      <c r="F440" s="13" t="s">
        <v>45</v>
      </c>
      <c r="G440" s="14" t="str">
        <f t="shared" si="12"/>
        <v>A</v>
      </c>
      <c r="H440" s="15" t="str">
        <f t="shared" si="13"/>
        <v>The Commissioner &amp; Chief Constable are satisfied the spend represents VFM in accordance with the requirements of Category A</v>
      </c>
      <c r="K440" s="17"/>
      <c r="L440" s="17"/>
    </row>
    <row r="441" spans="1:12" s="20" customFormat="1" x14ac:dyDescent="0.2">
      <c r="A441" s="10" t="s">
        <v>8</v>
      </c>
      <c r="B441" s="11" t="s">
        <v>9</v>
      </c>
      <c r="C441" s="13" t="s">
        <v>163</v>
      </c>
      <c r="D441" s="32">
        <v>45357</v>
      </c>
      <c r="E441" s="18">
        <v>836</v>
      </c>
      <c r="F441" s="19" t="s">
        <v>81</v>
      </c>
      <c r="G441" s="14" t="str">
        <f t="shared" si="12"/>
        <v>A</v>
      </c>
      <c r="H441" s="15" t="str">
        <f t="shared" si="13"/>
        <v>The Commissioner &amp; Chief Constable are satisfied the spend represents VFM in accordance with the requirements of Category A</v>
      </c>
      <c r="K441" s="17"/>
      <c r="L441" s="17"/>
    </row>
    <row r="442" spans="1:12" s="20" customFormat="1" x14ac:dyDescent="0.2">
      <c r="A442" s="10" t="s">
        <v>8</v>
      </c>
      <c r="B442" s="11" t="s">
        <v>9</v>
      </c>
      <c r="C442" s="13" t="s">
        <v>370</v>
      </c>
      <c r="D442" s="32">
        <v>45371</v>
      </c>
      <c r="E442" s="12">
        <v>969</v>
      </c>
      <c r="F442" s="13" t="s">
        <v>151</v>
      </c>
      <c r="G442" s="14" t="str">
        <f t="shared" si="12"/>
        <v>A</v>
      </c>
      <c r="H442" s="15" t="str">
        <f t="shared" si="13"/>
        <v>The Commissioner &amp; Chief Constable are satisfied the spend represents VFM in accordance with the requirements of Category A</v>
      </c>
      <c r="K442" s="17"/>
      <c r="L442" s="17"/>
    </row>
    <row r="443" spans="1:12" s="20" customFormat="1" x14ac:dyDescent="0.2">
      <c r="A443" s="10" t="s">
        <v>8</v>
      </c>
      <c r="B443" s="11" t="s">
        <v>9</v>
      </c>
      <c r="C443" s="13" t="s">
        <v>302</v>
      </c>
      <c r="D443" s="32">
        <v>45358</v>
      </c>
      <c r="E443" s="12">
        <v>963.61</v>
      </c>
      <c r="F443" s="13" t="s">
        <v>131</v>
      </c>
      <c r="G443" s="14" t="str">
        <f t="shared" si="12"/>
        <v>A</v>
      </c>
      <c r="H443" s="15" t="str">
        <f t="shared" si="13"/>
        <v>The Commissioner &amp; Chief Constable are satisfied the spend represents VFM in accordance with the requirements of Category A</v>
      </c>
      <c r="K443" s="17"/>
      <c r="L443" s="17"/>
    </row>
    <row r="444" spans="1:12" s="20" customFormat="1" x14ac:dyDescent="0.2">
      <c r="A444" s="10" t="s">
        <v>8</v>
      </c>
      <c r="B444" s="11" t="s">
        <v>9</v>
      </c>
      <c r="C444" s="13" t="s">
        <v>396</v>
      </c>
      <c r="D444" s="32">
        <v>45363</v>
      </c>
      <c r="E444" s="12">
        <v>950</v>
      </c>
      <c r="F444" s="13" t="s">
        <v>22</v>
      </c>
      <c r="G444" s="14" t="str">
        <f t="shared" si="12"/>
        <v>A</v>
      </c>
      <c r="H444" s="15" t="str">
        <f t="shared" si="13"/>
        <v>The Commissioner &amp; Chief Constable are satisfied the spend represents VFM in accordance with the requirements of Category A</v>
      </c>
      <c r="K444" s="17"/>
      <c r="L444" s="17"/>
    </row>
    <row r="445" spans="1:12" s="20" customFormat="1" x14ac:dyDescent="0.2">
      <c r="A445" s="10" t="s">
        <v>8</v>
      </c>
      <c r="B445" s="11" t="s">
        <v>9</v>
      </c>
      <c r="C445" s="13" t="s">
        <v>346</v>
      </c>
      <c r="D445" s="32">
        <v>45365</v>
      </c>
      <c r="E445" s="12">
        <v>920</v>
      </c>
      <c r="F445" s="13" t="s">
        <v>131</v>
      </c>
      <c r="G445" s="14" t="str">
        <f t="shared" si="12"/>
        <v>A</v>
      </c>
      <c r="H445" s="15" t="str">
        <f t="shared" si="13"/>
        <v>The Commissioner &amp; Chief Constable are satisfied the spend represents VFM in accordance with the requirements of Category A</v>
      </c>
      <c r="K445" s="17"/>
      <c r="L445" s="17"/>
    </row>
    <row r="446" spans="1:12" s="20" customFormat="1" x14ac:dyDescent="0.2">
      <c r="A446" s="10" t="s">
        <v>8</v>
      </c>
      <c r="B446" s="11" t="s">
        <v>9</v>
      </c>
      <c r="C446" s="13" t="s">
        <v>256</v>
      </c>
      <c r="D446" s="32">
        <v>45358</v>
      </c>
      <c r="E446" s="12">
        <v>910.63</v>
      </c>
      <c r="F446" s="13" t="s">
        <v>131</v>
      </c>
      <c r="G446" s="14" t="str">
        <f t="shared" si="12"/>
        <v>A</v>
      </c>
      <c r="H446" s="15" t="str">
        <f t="shared" si="13"/>
        <v>The Commissioner &amp; Chief Constable are satisfied the spend represents VFM in accordance with the requirements of Category A</v>
      </c>
      <c r="K446" s="17"/>
      <c r="L446" s="17"/>
    </row>
    <row r="447" spans="1:12" s="20" customFormat="1" x14ac:dyDescent="0.2">
      <c r="A447" s="10" t="s">
        <v>8</v>
      </c>
      <c r="B447" s="11" t="s">
        <v>9</v>
      </c>
      <c r="C447" s="13" t="s">
        <v>256</v>
      </c>
      <c r="D447" s="32">
        <v>45360</v>
      </c>
      <c r="E447" s="12">
        <v>906</v>
      </c>
      <c r="F447" s="13" t="s">
        <v>155</v>
      </c>
      <c r="G447" s="14" t="str">
        <f t="shared" si="12"/>
        <v>A</v>
      </c>
      <c r="H447" s="15" t="str">
        <f t="shared" si="13"/>
        <v>The Commissioner &amp; Chief Constable are satisfied the spend represents VFM in accordance with the requirements of Category A</v>
      </c>
      <c r="K447" s="17"/>
      <c r="L447" s="17"/>
    </row>
    <row r="448" spans="1:12" s="20" customFormat="1" x14ac:dyDescent="0.2">
      <c r="A448" s="10" t="s">
        <v>8</v>
      </c>
      <c r="B448" s="11" t="s">
        <v>9</v>
      </c>
      <c r="C448" s="13" t="s">
        <v>124</v>
      </c>
      <c r="D448" s="32">
        <v>45372</v>
      </c>
      <c r="E448" s="12">
        <v>903.62</v>
      </c>
      <c r="F448" s="13" t="s">
        <v>91</v>
      </c>
      <c r="G448" s="14" t="str">
        <f t="shared" si="12"/>
        <v>A</v>
      </c>
      <c r="H448" s="15" t="str">
        <f t="shared" si="13"/>
        <v>The Commissioner &amp; Chief Constable are satisfied the spend represents VFM in accordance with the requirements of Category A</v>
      </c>
      <c r="K448" s="17"/>
      <c r="L448" s="17"/>
    </row>
    <row r="449" spans="1:12" s="20" customFormat="1" x14ac:dyDescent="0.2">
      <c r="A449" s="10" t="s">
        <v>8</v>
      </c>
      <c r="B449" s="11" t="s">
        <v>9</v>
      </c>
      <c r="C449" s="13" t="s">
        <v>260</v>
      </c>
      <c r="D449" s="32">
        <v>45376</v>
      </c>
      <c r="E449" s="12">
        <v>900.43999999999994</v>
      </c>
      <c r="F449" s="13" t="s">
        <v>261</v>
      </c>
      <c r="G449" s="14" t="str">
        <f t="shared" si="12"/>
        <v>A</v>
      </c>
      <c r="H449" s="15" t="str">
        <f t="shared" si="13"/>
        <v>The Commissioner &amp; Chief Constable are satisfied the spend represents VFM in accordance with the requirements of Category A</v>
      </c>
      <c r="K449" s="17"/>
      <c r="L449" s="17"/>
    </row>
    <row r="450" spans="1:12" s="20" customFormat="1" x14ac:dyDescent="0.2">
      <c r="A450" s="10" t="s">
        <v>8</v>
      </c>
      <c r="B450" s="11" t="s">
        <v>9</v>
      </c>
      <c r="C450" s="13" t="s">
        <v>300</v>
      </c>
      <c r="D450" s="32">
        <v>45369</v>
      </c>
      <c r="E450" s="12">
        <v>900</v>
      </c>
      <c r="F450" s="13" t="s">
        <v>106</v>
      </c>
      <c r="G450" s="14" t="str">
        <f t="shared" ref="G450:G513" si="14">IF(E450&gt;25000,"C",IF(E450&gt;1000,"B","A"))</f>
        <v>A</v>
      </c>
      <c r="H450" s="15" t="str">
        <f t="shared" ref="H450:H513" si="15">VLOOKUP(G450,$K$2:$L$4,2,FALSE)</f>
        <v>The Commissioner &amp; Chief Constable are satisfied the spend represents VFM in accordance with the requirements of Category A</v>
      </c>
      <c r="K450" s="17"/>
      <c r="L450" s="17"/>
    </row>
    <row r="451" spans="1:12" s="20" customFormat="1" x14ac:dyDescent="0.2">
      <c r="A451" s="10" t="s">
        <v>8</v>
      </c>
      <c r="B451" s="11" t="s">
        <v>9</v>
      </c>
      <c r="C451" s="13" t="s">
        <v>395</v>
      </c>
      <c r="D451" s="32">
        <v>45371</v>
      </c>
      <c r="E451" s="12">
        <v>899.25</v>
      </c>
      <c r="F451" s="13" t="s">
        <v>131</v>
      </c>
      <c r="G451" s="14" t="str">
        <f t="shared" si="14"/>
        <v>A</v>
      </c>
      <c r="H451" s="15" t="str">
        <f t="shared" si="15"/>
        <v>The Commissioner &amp; Chief Constable are satisfied the spend represents VFM in accordance with the requirements of Category A</v>
      </c>
      <c r="K451" s="17"/>
      <c r="L451" s="17"/>
    </row>
    <row r="452" spans="1:12" s="20" customFormat="1" x14ac:dyDescent="0.2">
      <c r="A452" s="10" t="s">
        <v>8</v>
      </c>
      <c r="B452" s="11" t="s">
        <v>9</v>
      </c>
      <c r="C452" s="13" t="s">
        <v>234</v>
      </c>
      <c r="D452" s="32">
        <v>45366</v>
      </c>
      <c r="E452" s="12">
        <v>897.4</v>
      </c>
      <c r="F452" s="13" t="s">
        <v>42</v>
      </c>
      <c r="G452" s="14" t="str">
        <f t="shared" si="14"/>
        <v>A</v>
      </c>
      <c r="H452" s="15" t="str">
        <f t="shared" si="15"/>
        <v>The Commissioner &amp; Chief Constable are satisfied the spend represents VFM in accordance with the requirements of Category A</v>
      </c>
      <c r="K452" s="17"/>
      <c r="L452" s="17"/>
    </row>
    <row r="453" spans="1:12" s="20" customFormat="1" x14ac:dyDescent="0.2">
      <c r="A453" s="10" t="s">
        <v>8</v>
      </c>
      <c r="B453" s="11" t="s">
        <v>9</v>
      </c>
      <c r="C453" s="13" t="s">
        <v>74</v>
      </c>
      <c r="D453" s="32">
        <v>45374</v>
      </c>
      <c r="E453" s="12">
        <v>881.53</v>
      </c>
      <c r="F453" s="13" t="s">
        <v>75</v>
      </c>
      <c r="G453" s="14" t="str">
        <f t="shared" si="14"/>
        <v>A</v>
      </c>
      <c r="H453" s="15" t="str">
        <f t="shared" si="15"/>
        <v>The Commissioner &amp; Chief Constable are satisfied the spend represents VFM in accordance with the requirements of Category A</v>
      </c>
      <c r="K453" s="17"/>
      <c r="L453" s="17"/>
    </row>
    <row r="454" spans="1:12" s="20" customFormat="1" x14ac:dyDescent="0.2">
      <c r="A454" s="10" t="s">
        <v>8</v>
      </c>
      <c r="B454" s="11" t="s">
        <v>9</v>
      </c>
      <c r="C454" s="13" t="s">
        <v>394</v>
      </c>
      <c r="D454" s="32">
        <v>45363</v>
      </c>
      <c r="E454" s="12">
        <v>875</v>
      </c>
      <c r="F454" s="13" t="s">
        <v>27</v>
      </c>
      <c r="G454" s="14" t="str">
        <f t="shared" si="14"/>
        <v>A</v>
      </c>
      <c r="H454" s="15" t="str">
        <f t="shared" si="15"/>
        <v>The Commissioner &amp; Chief Constable are satisfied the spend represents VFM in accordance with the requirements of Category A</v>
      </c>
      <c r="K454" s="17"/>
      <c r="L454" s="17"/>
    </row>
    <row r="455" spans="1:12" s="20" customFormat="1" x14ac:dyDescent="0.2">
      <c r="A455" s="10" t="s">
        <v>8</v>
      </c>
      <c r="B455" s="11" t="s">
        <v>9</v>
      </c>
      <c r="C455" s="13" t="s">
        <v>380</v>
      </c>
      <c r="D455" s="32">
        <v>45364</v>
      </c>
      <c r="E455" s="12">
        <v>875</v>
      </c>
      <c r="F455" s="13" t="s">
        <v>27</v>
      </c>
      <c r="G455" s="14" t="str">
        <f t="shared" si="14"/>
        <v>A</v>
      </c>
      <c r="H455" s="15" t="str">
        <f t="shared" si="15"/>
        <v>The Commissioner &amp; Chief Constable are satisfied the spend represents VFM in accordance with the requirements of Category A</v>
      </c>
      <c r="K455" s="17"/>
      <c r="L455" s="17"/>
    </row>
    <row r="456" spans="1:12" s="20" customFormat="1" x14ac:dyDescent="0.2">
      <c r="A456" s="10" t="s">
        <v>8</v>
      </c>
      <c r="B456" s="11" t="s">
        <v>9</v>
      </c>
      <c r="C456" s="13" t="s">
        <v>260</v>
      </c>
      <c r="D456" s="32">
        <v>45366</v>
      </c>
      <c r="E456" s="12">
        <v>867.58999999999992</v>
      </c>
      <c r="F456" s="13" t="s">
        <v>261</v>
      </c>
      <c r="G456" s="14" t="str">
        <f t="shared" si="14"/>
        <v>A</v>
      </c>
      <c r="H456" s="15" t="str">
        <f t="shared" si="15"/>
        <v>The Commissioner &amp; Chief Constable are satisfied the spend represents VFM in accordance with the requirements of Category A</v>
      </c>
      <c r="K456" s="17"/>
      <c r="L456" s="17"/>
    </row>
    <row r="457" spans="1:12" s="20" customFormat="1" x14ac:dyDescent="0.2">
      <c r="A457" s="10" t="s">
        <v>8</v>
      </c>
      <c r="B457" s="11" t="s">
        <v>9</v>
      </c>
      <c r="C457" s="13" t="s">
        <v>134</v>
      </c>
      <c r="D457" s="32">
        <v>45377</v>
      </c>
      <c r="E457" s="12">
        <v>860</v>
      </c>
      <c r="F457" s="13" t="s">
        <v>91</v>
      </c>
      <c r="G457" s="14" t="str">
        <f t="shared" si="14"/>
        <v>A</v>
      </c>
      <c r="H457" s="15" t="str">
        <f t="shared" si="15"/>
        <v>The Commissioner &amp; Chief Constable are satisfied the spend represents VFM in accordance with the requirements of Category A</v>
      </c>
      <c r="K457" s="17"/>
      <c r="L457" s="17"/>
    </row>
    <row r="458" spans="1:12" s="20" customFormat="1" x14ac:dyDescent="0.2">
      <c r="A458" s="10" t="s">
        <v>8</v>
      </c>
      <c r="B458" s="11" t="s">
        <v>9</v>
      </c>
      <c r="C458" s="13" t="s">
        <v>10</v>
      </c>
      <c r="D458" s="32">
        <v>45377</v>
      </c>
      <c r="E458" s="12">
        <v>858</v>
      </c>
      <c r="F458" s="13" t="s">
        <v>22</v>
      </c>
      <c r="G458" s="14" t="str">
        <f t="shared" si="14"/>
        <v>A</v>
      </c>
      <c r="H458" s="15" t="str">
        <f t="shared" si="15"/>
        <v>The Commissioner &amp; Chief Constable are satisfied the spend represents VFM in accordance with the requirements of Category A</v>
      </c>
      <c r="K458" s="17"/>
      <c r="L458" s="17"/>
    </row>
    <row r="459" spans="1:12" x14ac:dyDescent="0.2">
      <c r="A459" s="10" t="s">
        <v>8</v>
      </c>
      <c r="B459" s="11" t="s">
        <v>9</v>
      </c>
      <c r="C459" s="13" t="s">
        <v>304</v>
      </c>
      <c r="D459" s="32">
        <v>45373</v>
      </c>
      <c r="E459" s="12">
        <v>857</v>
      </c>
      <c r="F459" s="13" t="s">
        <v>155</v>
      </c>
      <c r="G459" s="14" t="str">
        <f t="shared" si="14"/>
        <v>A</v>
      </c>
      <c r="H459" s="15" t="str">
        <f t="shared" si="15"/>
        <v>The Commissioner &amp; Chief Constable are satisfied the spend represents VFM in accordance with the requirements of Category A</v>
      </c>
    </row>
    <row r="460" spans="1:12" x14ac:dyDescent="0.2">
      <c r="A460" s="10" t="s">
        <v>8</v>
      </c>
      <c r="B460" s="11" t="s">
        <v>9</v>
      </c>
      <c r="C460" s="13" t="s">
        <v>393</v>
      </c>
      <c r="D460" s="32">
        <v>45369</v>
      </c>
      <c r="E460" s="12">
        <v>853.3</v>
      </c>
      <c r="F460" s="13" t="s">
        <v>392</v>
      </c>
      <c r="G460" s="14" t="str">
        <f t="shared" si="14"/>
        <v>A</v>
      </c>
      <c r="H460" s="15" t="str">
        <f t="shared" si="15"/>
        <v>The Commissioner &amp; Chief Constable are satisfied the spend represents VFM in accordance with the requirements of Category A</v>
      </c>
    </row>
    <row r="461" spans="1:12" x14ac:dyDescent="0.2">
      <c r="A461" s="10" t="s">
        <v>8</v>
      </c>
      <c r="B461" s="11" t="s">
        <v>9</v>
      </c>
      <c r="C461" s="13" t="s">
        <v>142</v>
      </c>
      <c r="D461" s="32">
        <v>45363</v>
      </c>
      <c r="E461" s="12">
        <v>850.64</v>
      </c>
      <c r="F461" s="13" t="s">
        <v>143</v>
      </c>
      <c r="G461" s="14" t="str">
        <f t="shared" si="14"/>
        <v>A</v>
      </c>
      <c r="H461" s="15" t="str">
        <f t="shared" si="15"/>
        <v>The Commissioner &amp; Chief Constable are satisfied the spend represents VFM in accordance with the requirements of Category A</v>
      </c>
    </row>
    <row r="462" spans="1:12" x14ac:dyDescent="0.2">
      <c r="A462" s="10" t="s">
        <v>8</v>
      </c>
      <c r="B462" s="11" t="s">
        <v>9</v>
      </c>
      <c r="C462" s="13" t="s">
        <v>391</v>
      </c>
      <c r="D462" s="32">
        <v>45373</v>
      </c>
      <c r="E462" s="12">
        <v>850</v>
      </c>
      <c r="F462" s="13" t="s">
        <v>131</v>
      </c>
      <c r="G462" s="14" t="str">
        <f t="shared" si="14"/>
        <v>A</v>
      </c>
      <c r="H462" s="15" t="str">
        <f t="shared" si="15"/>
        <v>The Commissioner &amp; Chief Constable are satisfied the spend represents VFM in accordance with the requirements of Category A</v>
      </c>
    </row>
    <row r="463" spans="1:12" x14ac:dyDescent="0.2">
      <c r="A463" s="10" t="s">
        <v>8</v>
      </c>
      <c r="B463" s="11" t="s">
        <v>9</v>
      </c>
      <c r="C463" s="13" t="s">
        <v>161</v>
      </c>
      <c r="D463" s="32">
        <v>45377</v>
      </c>
      <c r="E463" s="12">
        <v>849.83</v>
      </c>
      <c r="F463" s="13" t="s">
        <v>390</v>
      </c>
      <c r="G463" s="14" t="str">
        <f t="shared" si="14"/>
        <v>A</v>
      </c>
      <c r="H463" s="15" t="str">
        <f t="shared" si="15"/>
        <v>The Commissioner &amp; Chief Constable are satisfied the spend represents VFM in accordance with the requirements of Category A</v>
      </c>
    </row>
    <row r="464" spans="1:12" x14ac:dyDescent="0.2">
      <c r="A464" s="10" t="s">
        <v>8</v>
      </c>
      <c r="B464" s="11" t="s">
        <v>9</v>
      </c>
      <c r="C464" s="13" t="s">
        <v>262</v>
      </c>
      <c r="D464" s="32">
        <v>45368</v>
      </c>
      <c r="E464" s="12">
        <v>848.5</v>
      </c>
      <c r="F464" s="13" t="s">
        <v>263</v>
      </c>
      <c r="G464" s="14" t="str">
        <f t="shared" si="14"/>
        <v>A</v>
      </c>
      <c r="H464" s="15" t="str">
        <f t="shared" si="15"/>
        <v>The Commissioner &amp; Chief Constable are satisfied the spend represents VFM in accordance with the requirements of Category A</v>
      </c>
    </row>
    <row r="465" spans="1:8" x14ac:dyDescent="0.2">
      <c r="A465" s="10" t="s">
        <v>8</v>
      </c>
      <c r="B465" s="11" t="s">
        <v>9</v>
      </c>
      <c r="C465" s="13" t="s">
        <v>389</v>
      </c>
      <c r="D465" s="32">
        <v>45359</v>
      </c>
      <c r="E465" s="12">
        <v>832.5</v>
      </c>
      <c r="F465" s="13" t="s">
        <v>388</v>
      </c>
      <c r="G465" s="14" t="str">
        <f t="shared" si="14"/>
        <v>A</v>
      </c>
      <c r="H465" s="15" t="str">
        <f t="shared" si="15"/>
        <v>The Commissioner &amp; Chief Constable are satisfied the spend represents VFM in accordance with the requirements of Category A</v>
      </c>
    </row>
    <row r="466" spans="1:8" x14ac:dyDescent="0.2">
      <c r="A466" s="10" t="s">
        <v>8</v>
      </c>
      <c r="B466" s="11" t="s">
        <v>9</v>
      </c>
      <c r="C466" s="13" t="s">
        <v>128</v>
      </c>
      <c r="D466" s="32">
        <v>45379</v>
      </c>
      <c r="E466" s="12">
        <v>819.7</v>
      </c>
      <c r="F466" s="13" t="s">
        <v>129</v>
      </c>
      <c r="G466" s="14" t="str">
        <f t="shared" si="14"/>
        <v>A</v>
      </c>
      <c r="H466" s="15" t="str">
        <f t="shared" si="15"/>
        <v>The Commissioner &amp; Chief Constable are satisfied the spend represents VFM in accordance with the requirements of Category A</v>
      </c>
    </row>
    <row r="467" spans="1:8" x14ac:dyDescent="0.2">
      <c r="A467" s="10" t="s">
        <v>8</v>
      </c>
      <c r="B467" s="11" t="s">
        <v>9</v>
      </c>
      <c r="C467" s="13" t="s">
        <v>312</v>
      </c>
      <c r="D467" s="32">
        <v>45352</v>
      </c>
      <c r="E467" s="12">
        <v>809</v>
      </c>
      <c r="F467" s="13" t="s">
        <v>151</v>
      </c>
      <c r="G467" s="14" t="str">
        <f t="shared" si="14"/>
        <v>A</v>
      </c>
      <c r="H467" s="15" t="str">
        <f t="shared" si="15"/>
        <v>The Commissioner &amp; Chief Constable are satisfied the spend represents VFM in accordance with the requirements of Category A</v>
      </c>
    </row>
    <row r="468" spans="1:8" x14ac:dyDescent="0.2">
      <c r="A468" s="10" t="s">
        <v>8</v>
      </c>
      <c r="B468" s="11" t="s">
        <v>9</v>
      </c>
      <c r="C468" s="13" t="s">
        <v>312</v>
      </c>
      <c r="D468" s="32">
        <v>45366</v>
      </c>
      <c r="E468" s="12">
        <v>809</v>
      </c>
      <c r="F468" s="13" t="s">
        <v>151</v>
      </c>
      <c r="G468" s="14" t="str">
        <f t="shared" si="14"/>
        <v>A</v>
      </c>
      <c r="H468" s="15" t="str">
        <f t="shared" si="15"/>
        <v>The Commissioner &amp; Chief Constable are satisfied the spend represents VFM in accordance with the requirements of Category A</v>
      </c>
    </row>
    <row r="469" spans="1:8" x14ac:dyDescent="0.2">
      <c r="A469" s="10" t="s">
        <v>8</v>
      </c>
      <c r="B469" s="11" t="s">
        <v>9</v>
      </c>
      <c r="C469" s="13" t="s">
        <v>385</v>
      </c>
      <c r="D469" s="32">
        <v>45377</v>
      </c>
      <c r="E469" s="12">
        <v>803.64</v>
      </c>
      <c r="F469" s="13" t="s">
        <v>112</v>
      </c>
      <c r="G469" s="14" t="str">
        <f t="shared" si="14"/>
        <v>A</v>
      </c>
      <c r="H469" s="15" t="str">
        <f t="shared" si="15"/>
        <v>The Commissioner &amp; Chief Constable are satisfied the spend represents VFM in accordance with the requirements of Category A</v>
      </c>
    </row>
    <row r="470" spans="1:8" x14ac:dyDescent="0.2">
      <c r="A470" s="10" t="s">
        <v>8</v>
      </c>
      <c r="B470" s="11" t="s">
        <v>9</v>
      </c>
      <c r="C470" s="13" t="s">
        <v>385</v>
      </c>
      <c r="D470" s="32">
        <v>45377</v>
      </c>
      <c r="E470" s="12">
        <v>803.64</v>
      </c>
      <c r="F470" s="13" t="s">
        <v>112</v>
      </c>
      <c r="G470" s="14" t="str">
        <f t="shared" si="14"/>
        <v>A</v>
      </c>
      <c r="H470" s="15" t="str">
        <f t="shared" si="15"/>
        <v>The Commissioner &amp; Chief Constable are satisfied the spend represents VFM in accordance with the requirements of Category A</v>
      </c>
    </row>
    <row r="471" spans="1:8" x14ac:dyDescent="0.2">
      <c r="A471" s="10" t="s">
        <v>8</v>
      </c>
      <c r="B471" s="11" t="s">
        <v>9</v>
      </c>
      <c r="C471" s="13" t="s">
        <v>385</v>
      </c>
      <c r="D471" s="32">
        <v>45377</v>
      </c>
      <c r="E471" s="12">
        <v>803.55</v>
      </c>
      <c r="F471" s="13" t="s">
        <v>112</v>
      </c>
      <c r="G471" s="14" t="str">
        <f t="shared" si="14"/>
        <v>A</v>
      </c>
      <c r="H471" s="15" t="str">
        <f t="shared" si="15"/>
        <v>The Commissioner &amp; Chief Constable are satisfied the spend represents VFM in accordance with the requirements of Category A</v>
      </c>
    </row>
    <row r="472" spans="1:8" x14ac:dyDescent="0.2">
      <c r="A472" s="10" t="s">
        <v>8</v>
      </c>
      <c r="B472" s="11" t="s">
        <v>9</v>
      </c>
      <c r="C472" s="13" t="s">
        <v>387</v>
      </c>
      <c r="D472" s="32">
        <v>45377</v>
      </c>
      <c r="E472" s="12">
        <v>800</v>
      </c>
      <c r="F472" s="13" t="s">
        <v>131</v>
      </c>
      <c r="G472" s="14" t="str">
        <f t="shared" si="14"/>
        <v>A</v>
      </c>
      <c r="H472" s="15" t="str">
        <f t="shared" si="15"/>
        <v>The Commissioner &amp; Chief Constable are satisfied the spend represents VFM in accordance with the requirements of Category A</v>
      </c>
    </row>
    <row r="473" spans="1:8" x14ac:dyDescent="0.2">
      <c r="A473" s="10" t="s">
        <v>8</v>
      </c>
      <c r="B473" s="11" t="s">
        <v>9</v>
      </c>
      <c r="C473" s="13" t="s">
        <v>386</v>
      </c>
      <c r="D473" s="32">
        <v>45364</v>
      </c>
      <c r="E473" s="12">
        <v>795</v>
      </c>
      <c r="F473" s="13" t="s">
        <v>106</v>
      </c>
      <c r="G473" s="14" t="str">
        <f t="shared" si="14"/>
        <v>A</v>
      </c>
      <c r="H473" s="15" t="str">
        <f t="shared" si="15"/>
        <v>The Commissioner &amp; Chief Constable are satisfied the spend represents VFM in accordance with the requirements of Category A</v>
      </c>
    </row>
    <row r="474" spans="1:8" x14ac:dyDescent="0.2">
      <c r="A474" s="10" t="s">
        <v>8</v>
      </c>
      <c r="B474" s="11" t="s">
        <v>9</v>
      </c>
      <c r="C474" s="13" t="s">
        <v>385</v>
      </c>
      <c r="D474" s="32">
        <v>45377</v>
      </c>
      <c r="E474" s="12">
        <v>793.95</v>
      </c>
      <c r="F474" s="13" t="s">
        <v>112</v>
      </c>
      <c r="G474" s="14" t="str">
        <f t="shared" si="14"/>
        <v>A</v>
      </c>
      <c r="H474" s="15" t="str">
        <f t="shared" si="15"/>
        <v>The Commissioner &amp; Chief Constable are satisfied the spend represents VFM in accordance with the requirements of Category A</v>
      </c>
    </row>
    <row r="475" spans="1:8" x14ac:dyDescent="0.2">
      <c r="A475" s="10" t="s">
        <v>8</v>
      </c>
      <c r="B475" s="11" t="s">
        <v>9</v>
      </c>
      <c r="C475" s="13" t="s">
        <v>292</v>
      </c>
      <c r="D475" s="32">
        <v>45377</v>
      </c>
      <c r="E475" s="12">
        <v>790</v>
      </c>
      <c r="F475" s="13" t="s">
        <v>84</v>
      </c>
      <c r="G475" s="14" t="str">
        <f t="shared" si="14"/>
        <v>A</v>
      </c>
      <c r="H475" s="15" t="str">
        <f t="shared" si="15"/>
        <v>The Commissioner &amp; Chief Constable are satisfied the spend represents VFM in accordance with the requirements of Category A</v>
      </c>
    </row>
    <row r="476" spans="1:8" x14ac:dyDescent="0.2">
      <c r="A476" s="10" t="s">
        <v>8</v>
      </c>
      <c r="B476" s="11" t="s">
        <v>9</v>
      </c>
      <c r="C476" s="13" t="s">
        <v>256</v>
      </c>
      <c r="D476" s="32">
        <v>45367</v>
      </c>
      <c r="E476" s="12">
        <v>787.5</v>
      </c>
      <c r="F476" s="13" t="s">
        <v>131</v>
      </c>
      <c r="G476" s="14" t="str">
        <f t="shared" si="14"/>
        <v>A</v>
      </c>
      <c r="H476" s="15" t="str">
        <f t="shared" si="15"/>
        <v>The Commissioner &amp; Chief Constable are satisfied the spend represents VFM in accordance with the requirements of Category A</v>
      </c>
    </row>
    <row r="477" spans="1:8" x14ac:dyDescent="0.2">
      <c r="A477" s="10" t="s">
        <v>8</v>
      </c>
      <c r="B477" s="11" t="s">
        <v>9</v>
      </c>
      <c r="C477" s="13" t="s">
        <v>74</v>
      </c>
      <c r="D477" s="32">
        <v>45369</v>
      </c>
      <c r="E477" s="12">
        <v>786.99</v>
      </c>
      <c r="F477" s="13" t="s">
        <v>177</v>
      </c>
      <c r="G477" s="14" t="str">
        <f t="shared" si="14"/>
        <v>A</v>
      </c>
      <c r="H477" s="15" t="str">
        <f t="shared" si="15"/>
        <v>The Commissioner &amp; Chief Constable are satisfied the spend represents VFM in accordance with the requirements of Category A</v>
      </c>
    </row>
    <row r="478" spans="1:8" x14ac:dyDescent="0.2">
      <c r="A478" s="10" t="s">
        <v>8</v>
      </c>
      <c r="B478" s="11" t="s">
        <v>9</v>
      </c>
      <c r="C478" s="13" t="s">
        <v>385</v>
      </c>
      <c r="D478" s="32">
        <v>45377</v>
      </c>
      <c r="E478" s="12">
        <v>783.14</v>
      </c>
      <c r="F478" s="13" t="s">
        <v>112</v>
      </c>
      <c r="G478" s="14" t="str">
        <f t="shared" si="14"/>
        <v>A</v>
      </c>
      <c r="H478" s="15" t="str">
        <f t="shared" si="15"/>
        <v>The Commissioner &amp; Chief Constable are satisfied the spend represents VFM in accordance with the requirements of Category A</v>
      </c>
    </row>
    <row r="479" spans="1:8" x14ac:dyDescent="0.2">
      <c r="A479" s="10" t="s">
        <v>8</v>
      </c>
      <c r="B479" s="11" t="s">
        <v>9</v>
      </c>
      <c r="C479" s="13" t="s">
        <v>316</v>
      </c>
      <c r="D479" s="32">
        <v>45378</v>
      </c>
      <c r="E479" s="12">
        <v>783</v>
      </c>
      <c r="F479" s="13" t="s">
        <v>241</v>
      </c>
      <c r="G479" s="14" t="str">
        <f t="shared" si="14"/>
        <v>A</v>
      </c>
      <c r="H479" s="15" t="str">
        <f t="shared" si="15"/>
        <v>The Commissioner &amp; Chief Constable are satisfied the spend represents VFM in accordance with the requirements of Category A</v>
      </c>
    </row>
    <row r="480" spans="1:8" x14ac:dyDescent="0.2">
      <c r="A480" s="10" t="s">
        <v>8</v>
      </c>
      <c r="B480" s="11" t="s">
        <v>9</v>
      </c>
      <c r="C480" s="13" t="s">
        <v>317</v>
      </c>
      <c r="D480" s="32">
        <v>45355</v>
      </c>
      <c r="E480" s="12">
        <v>782.86</v>
      </c>
      <c r="F480" s="13" t="s">
        <v>102</v>
      </c>
      <c r="G480" s="14" t="str">
        <f t="shared" si="14"/>
        <v>A</v>
      </c>
      <c r="H480" s="15" t="str">
        <f t="shared" si="15"/>
        <v>The Commissioner &amp; Chief Constable are satisfied the spend represents VFM in accordance with the requirements of Category A</v>
      </c>
    </row>
    <row r="481" spans="1:8" x14ac:dyDescent="0.2">
      <c r="A481" s="10" t="s">
        <v>8</v>
      </c>
      <c r="B481" s="11" t="s">
        <v>9</v>
      </c>
      <c r="C481" s="13" t="s">
        <v>317</v>
      </c>
      <c r="D481" s="32">
        <v>45358</v>
      </c>
      <c r="E481" s="12">
        <v>782.86</v>
      </c>
      <c r="F481" s="13" t="s">
        <v>102</v>
      </c>
      <c r="G481" s="14" t="str">
        <f t="shared" si="14"/>
        <v>A</v>
      </c>
      <c r="H481" s="15" t="str">
        <f t="shared" si="15"/>
        <v>The Commissioner &amp; Chief Constable are satisfied the spend represents VFM in accordance with the requirements of Category A</v>
      </c>
    </row>
    <row r="482" spans="1:8" x14ac:dyDescent="0.2">
      <c r="A482" s="10" t="s">
        <v>8</v>
      </c>
      <c r="B482" s="11" t="s">
        <v>9</v>
      </c>
      <c r="C482" s="13" t="s">
        <v>317</v>
      </c>
      <c r="D482" s="32">
        <v>45376</v>
      </c>
      <c r="E482" s="12">
        <v>782.86</v>
      </c>
      <c r="F482" s="13" t="s">
        <v>102</v>
      </c>
      <c r="G482" s="14" t="str">
        <f t="shared" si="14"/>
        <v>A</v>
      </c>
      <c r="H482" s="15" t="str">
        <f t="shared" si="15"/>
        <v>The Commissioner &amp; Chief Constable are satisfied the spend represents VFM in accordance with the requirements of Category A</v>
      </c>
    </row>
    <row r="483" spans="1:8" x14ac:dyDescent="0.2">
      <c r="A483" s="10" t="s">
        <v>8</v>
      </c>
      <c r="B483" s="11" t="s">
        <v>9</v>
      </c>
      <c r="C483" s="13" t="s">
        <v>385</v>
      </c>
      <c r="D483" s="32">
        <v>45377</v>
      </c>
      <c r="E483" s="12">
        <v>782.84</v>
      </c>
      <c r="F483" s="13" t="s">
        <v>112</v>
      </c>
      <c r="G483" s="14" t="str">
        <f t="shared" si="14"/>
        <v>A</v>
      </c>
      <c r="H483" s="15" t="str">
        <f t="shared" si="15"/>
        <v>The Commissioner &amp; Chief Constable are satisfied the spend represents VFM in accordance with the requirements of Category A</v>
      </c>
    </row>
    <row r="484" spans="1:8" x14ac:dyDescent="0.2">
      <c r="A484" s="10" t="s">
        <v>8</v>
      </c>
      <c r="B484" s="11" t="s">
        <v>9</v>
      </c>
      <c r="C484" s="13" t="s">
        <v>332</v>
      </c>
      <c r="D484" s="32">
        <v>45378</v>
      </c>
      <c r="E484" s="12">
        <v>782</v>
      </c>
      <c r="F484" s="13" t="s">
        <v>155</v>
      </c>
      <c r="G484" s="14" t="str">
        <f t="shared" si="14"/>
        <v>A</v>
      </c>
      <c r="H484" s="15" t="str">
        <f t="shared" si="15"/>
        <v>The Commissioner &amp; Chief Constable are satisfied the spend represents VFM in accordance with the requirements of Category A</v>
      </c>
    </row>
    <row r="485" spans="1:8" x14ac:dyDescent="0.2">
      <c r="A485" s="10" t="s">
        <v>8</v>
      </c>
      <c r="B485" s="11" t="s">
        <v>9</v>
      </c>
      <c r="C485" s="13" t="s">
        <v>332</v>
      </c>
      <c r="D485" s="32">
        <v>45366</v>
      </c>
      <c r="E485" s="12">
        <v>782</v>
      </c>
      <c r="F485" s="13" t="s">
        <v>131</v>
      </c>
      <c r="G485" s="14" t="str">
        <f t="shared" si="14"/>
        <v>A</v>
      </c>
      <c r="H485" s="15" t="str">
        <f t="shared" si="15"/>
        <v>The Commissioner &amp; Chief Constable are satisfied the spend represents VFM in accordance with the requirements of Category A</v>
      </c>
    </row>
    <row r="486" spans="1:8" x14ac:dyDescent="0.2">
      <c r="A486" s="10" t="s">
        <v>8</v>
      </c>
      <c r="B486" s="11" t="s">
        <v>9</v>
      </c>
      <c r="C486" s="13" t="s">
        <v>260</v>
      </c>
      <c r="D486" s="32">
        <v>45355</v>
      </c>
      <c r="E486" s="12">
        <v>777.7</v>
      </c>
      <c r="F486" s="13" t="s">
        <v>261</v>
      </c>
      <c r="G486" s="14" t="str">
        <f t="shared" si="14"/>
        <v>A</v>
      </c>
      <c r="H486" s="15" t="str">
        <f t="shared" si="15"/>
        <v>The Commissioner &amp; Chief Constable are satisfied the spend represents VFM in accordance with the requirements of Category A</v>
      </c>
    </row>
    <row r="487" spans="1:8" x14ac:dyDescent="0.2">
      <c r="A487" s="10" t="s">
        <v>8</v>
      </c>
      <c r="B487" s="11" t="s">
        <v>9</v>
      </c>
      <c r="C487" s="13" t="s">
        <v>256</v>
      </c>
      <c r="D487" s="32">
        <v>45362</v>
      </c>
      <c r="E487" s="12">
        <v>770.99</v>
      </c>
      <c r="F487" s="13" t="s">
        <v>131</v>
      </c>
      <c r="G487" s="14" t="str">
        <f t="shared" si="14"/>
        <v>A</v>
      </c>
      <c r="H487" s="15" t="str">
        <f t="shared" si="15"/>
        <v>The Commissioner &amp; Chief Constable are satisfied the spend represents VFM in accordance with the requirements of Category A</v>
      </c>
    </row>
    <row r="488" spans="1:8" x14ac:dyDescent="0.2">
      <c r="A488" s="10" t="s">
        <v>8</v>
      </c>
      <c r="B488" s="11" t="s">
        <v>9</v>
      </c>
      <c r="C488" s="13" t="s">
        <v>74</v>
      </c>
      <c r="D488" s="32">
        <v>45373</v>
      </c>
      <c r="E488" s="12">
        <v>770.79</v>
      </c>
      <c r="F488" s="13" t="s">
        <v>177</v>
      </c>
      <c r="G488" s="14" t="str">
        <f t="shared" si="14"/>
        <v>A</v>
      </c>
      <c r="H488" s="15" t="str">
        <f t="shared" si="15"/>
        <v>The Commissioner &amp; Chief Constable are satisfied the spend represents VFM in accordance with the requirements of Category A</v>
      </c>
    </row>
    <row r="489" spans="1:8" x14ac:dyDescent="0.2">
      <c r="A489" s="10" t="s">
        <v>8</v>
      </c>
      <c r="B489" s="11" t="s">
        <v>9</v>
      </c>
      <c r="C489" s="13" t="s">
        <v>384</v>
      </c>
      <c r="D489" s="32">
        <v>45355</v>
      </c>
      <c r="E489" s="12">
        <v>770</v>
      </c>
      <c r="F489" s="13" t="s">
        <v>131</v>
      </c>
      <c r="G489" s="14" t="str">
        <f t="shared" si="14"/>
        <v>A</v>
      </c>
      <c r="H489" s="15" t="str">
        <f t="shared" si="15"/>
        <v>The Commissioner &amp; Chief Constable are satisfied the spend represents VFM in accordance with the requirements of Category A</v>
      </c>
    </row>
    <row r="490" spans="1:8" x14ac:dyDescent="0.2">
      <c r="A490" s="10" t="s">
        <v>8</v>
      </c>
      <c r="B490" s="11" t="s">
        <v>9</v>
      </c>
      <c r="C490" s="13" t="s">
        <v>260</v>
      </c>
      <c r="D490" s="32">
        <v>45362</v>
      </c>
      <c r="E490" s="12">
        <v>760.8</v>
      </c>
      <c r="F490" s="13" t="s">
        <v>261</v>
      </c>
      <c r="G490" s="14" t="str">
        <f t="shared" si="14"/>
        <v>A</v>
      </c>
      <c r="H490" s="15" t="str">
        <f t="shared" si="15"/>
        <v>The Commissioner &amp; Chief Constable are satisfied the spend represents VFM in accordance with the requirements of Category A</v>
      </c>
    </row>
    <row r="491" spans="1:8" x14ac:dyDescent="0.2">
      <c r="A491" s="10" t="s">
        <v>8</v>
      </c>
      <c r="B491" s="11" t="s">
        <v>9</v>
      </c>
      <c r="C491" s="13" t="s">
        <v>383</v>
      </c>
      <c r="D491" s="32">
        <v>45370</v>
      </c>
      <c r="E491" s="12">
        <v>760.8</v>
      </c>
      <c r="F491" s="13" t="s">
        <v>382</v>
      </c>
      <c r="G491" s="14" t="str">
        <f t="shared" si="14"/>
        <v>A</v>
      </c>
      <c r="H491" s="15" t="str">
        <f t="shared" si="15"/>
        <v>The Commissioner &amp; Chief Constable are satisfied the spend represents VFM in accordance with the requirements of Category A</v>
      </c>
    </row>
    <row r="492" spans="1:8" x14ac:dyDescent="0.2">
      <c r="A492" s="10" t="s">
        <v>8</v>
      </c>
      <c r="B492" s="11" t="s">
        <v>9</v>
      </c>
      <c r="C492" s="13" t="s">
        <v>381</v>
      </c>
      <c r="D492" s="32">
        <v>45355</v>
      </c>
      <c r="E492" s="12">
        <v>760.75</v>
      </c>
      <c r="F492" s="13" t="s">
        <v>330</v>
      </c>
      <c r="G492" s="14" t="str">
        <f t="shared" si="14"/>
        <v>A</v>
      </c>
      <c r="H492" s="15" t="str">
        <f t="shared" si="15"/>
        <v>The Commissioner &amp; Chief Constable are satisfied the spend represents VFM in accordance with the requirements of Category A</v>
      </c>
    </row>
    <row r="493" spans="1:8" x14ac:dyDescent="0.2">
      <c r="A493" s="10" t="s">
        <v>8</v>
      </c>
      <c r="B493" s="11" t="s">
        <v>9</v>
      </c>
      <c r="C493" s="13" t="s">
        <v>380</v>
      </c>
      <c r="D493" s="32">
        <v>45364</v>
      </c>
      <c r="E493" s="12">
        <v>750</v>
      </c>
      <c r="F493" s="13" t="s">
        <v>27</v>
      </c>
      <c r="G493" s="14" t="str">
        <f t="shared" si="14"/>
        <v>A</v>
      </c>
      <c r="H493" s="15" t="str">
        <f t="shared" si="15"/>
        <v>The Commissioner &amp; Chief Constable are satisfied the spend represents VFM in accordance with the requirements of Category A</v>
      </c>
    </row>
    <row r="494" spans="1:8" x14ac:dyDescent="0.2">
      <c r="A494" s="10" t="s">
        <v>8</v>
      </c>
      <c r="B494" s="11" t="s">
        <v>9</v>
      </c>
      <c r="C494" s="13" t="s">
        <v>379</v>
      </c>
      <c r="D494" s="32">
        <v>45379</v>
      </c>
      <c r="E494" s="12">
        <v>750</v>
      </c>
      <c r="F494" s="13" t="s">
        <v>330</v>
      </c>
      <c r="G494" s="14" t="str">
        <f t="shared" si="14"/>
        <v>A</v>
      </c>
      <c r="H494" s="15" t="str">
        <f t="shared" si="15"/>
        <v>The Commissioner &amp; Chief Constable are satisfied the spend represents VFM in accordance with the requirements of Category A</v>
      </c>
    </row>
    <row r="495" spans="1:8" x14ac:dyDescent="0.2">
      <c r="A495" s="10" t="s">
        <v>8</v>
      </c>
      <c r="B495" s="11" t="s">
        <v>9</v>
      </c>
      <c r="C495" s="13" t="s">
        <v>222</v>
      </c>
      <c r="D495" s="32">
        <v>45365</v>
      </c>
      <c r="E495" s="12">
        <v>750</v>
      </c>
      <c r="F495" s="13" t="s">
        <v>22</v>
      </c>
      <c r="G495" s="14" t="str">
        <f t="shared" si="14"/>
        <v>A</v>
      </c>
      <c r="H495" s="15" t="str">
        <f t="shared" si="15"/>
        <v>The Commissioner &amp; Chief Constable are satisfied the spend represents VFM in accordance with the requirements of Category A</v>
      </c>
    </row>
    <row r="496" spans="1:8" x14ac:dyDescent="0.2">
      <c r="A496" s="10" t="s">
        <v>8</v>
      </c>
      <c r="B496" s="11" t="s">
        <v>9</v>
      </c>
      <c r="C496" s="13" t="s">
        <v>252</v>
      </c>
      <c r="D496" s="32">
        <v>45379</v>
      </c>
      <c r="E496" s="12">
        <v>750</v>
      </c>
      <c r="F496" s="13" t="s">
        <v>148</v>
      </c>
      <c r="G496" s="14" t="str">
        <f t="shared" si="14"/>
        <v>A</v>
      </c>
      <c r="H496" s="15" t="str">
        <f t="shared" si="15"/>
        <v>The Commissioner &amp; Chief Constable are satisfied the spend represents VFM in accordance with the requirements of Category A</v>
      </c>
    </row>
    <row r="497" spans="1:8" x14ac:dyDescent="0.2">
      <c r="A497" s="10" t="s">
        <v>8</v>
      </c>
      <c r="B497" s="11" t="s">
        <v>9</v>
      </c>
      <c r="C497" s="13" t="s">
        <v>245</v>
      </c>
      <c r="D497" s="32">
        <v>45365</v>
      </c>
      <c r="E497" s="12">
        <v>750</v>
      </c>
      <c r="F497" s="13" t="s">
        <v>106</v>
      </c>
      <c r="G497" s="14" t="str">
        <f t="shared" si="14"/>
        <v>A</v>
      </c>
      <c r="H497" s="15" t="str">
        <f t="shared" si="15"/>
        <v>The Commissioner &amp; Chief Constable are satisfied the spend represents VFM in accordance with the requirements of Category A</v>
      </c>
    </row>
    <row r="498" spans="1:8" x14ac:dyDescent="0.2">
      <c r="A498" s="10" t="s">
        <v>8</v>
      </c>
      <c r="B498" s="11" t="s">
        <v>9</v>
      </c>
      <c r="C498" s="13" t="s">
        <v>130</v>
      </c>
      <c r="D498" s="32">
        <v>45377</v>
      </c>
      <c r="E498" s="12">
        <v>750</v>
      </c>
      <c r="F498" s="13" t="s">
        <v>38</v>
      </c>
      <c r="G498" s="14" t="str">
        <f t="shared" si="14"/>
        <v>A</v>
      </c>
      <c r="H498" s="15" t="str">
        <f t="shared" si="15"/>
        <v>The Commissioner &amp; Chief Constable are satisfied the spend represents VFM in accordance with the requirements of Category A</v>
      </c>
    </row>
    <row r="499" spans="1:8" x14ac:dyDescent="0.2">
      <c r="A499" s="10" t="s">
        <v>8</v>
      </c>
      <c r="B499" s="11" t="s">
        <v>9</v>
      </c>
      <c r="C499" s="13" t="s">
        <v>222</v>
      </c>
      <c r="D499" s="32">
        <v>45372</v>
      </c>
      <c r="E499" s="12">
        <v>749</v>
      </c>
      <c r="F499" s="13" t="s">
        <v>259</v>
      </c>
      <c r="G499" s="14" t="str">
        <f t="shared" si="14"/>
        <v>A</v>
      </c>
      <c r="H499" s="15" t="str">
        <f t="shared" si="15"/>
        <v>The Commissioner &amp; Chief Constable are satisfied the spend represents VFM in accordance with the requirements of Category A</v>
      </c>
    </row>
    <row r="500" spans="1:8" x14ac:dyDescent="0.2">
      <c r="A500" s="10" t="s">
        <v>8</v>
      </c>
      <c r="B500" s="11" t="s">
        <v>9</v>
      </c>
      <c r="C500" s="13" t="s">
        <v>378</v>
      </c>
      <c r="D500" s="32">
        <v>45369</v>
      </c>
      <c r="E500" s="12">
        <v>732.5</v>
      </c>
      <c r="F500" s="13" t="s">
        <v>106</v>
      </c>
      <c r="G500" s="14" t="str">
        <f t="shared" si="14"/>
        <v>A</v>
      </c>
      <c r="H500" s="15" t="str">
        <f t="shared" si="15"/>
        <v>The Commissioner &amp; Chief Constable are satisfied the spend represents VFM in accordance with the requirements of Category A</v>
      </c>
    </row>
    <row r="501" spans="1:8" x14ac:dyDescent="0.2">
      <c r="A501" s="10" t="s">
        <v>8</v>
      </c>
      <c r="B501" s="11" t="s">
        <v>9</v>
      </c>
      <c r="C501" s="13" t="s">
        <v>362</v>
      </c>
      <c r="D501" s="32">
        <v>45379</v>
      </c>
      <c r="E501" s="12">
        <v>729.17</v>
      </c>
      <c r="F501" s="13" t="s">
        <v>106</v>
      </c>
      <c r="G501" s="14" t="str">
        <f t="shared" si="14"/>
        <v>A</v>
      </c>
      <c r="H501" s="15" t="str">
        <f t="shared" si="15"/>
        <v>The Commissioner &amp; Chief Constable are satisfied the spend represents VFM in accordance with the requirements of Category A</v>
      </c>
    </row>
    <row r="502" spans="1:8" x14ac:dyDescent="0.2">
      <c r="A502" s="10" t="s">
        <v>8</v>
      </c>
      <c r="B502" s="11" t="s">
        <v>9</v>
      </c>
      <c r="C502" s="13" t="s">
        <v>272</v>
      </c>
      <c r="D502" s="32">
        <v>45356</v>
      </c>
      <c r="E502" s="12">
        <v>725</v>
      </c>
      <c r="F502" s="13" t="s">
        <v>22</v>
      </c>
      <c r="G502" s="14" t="str">
        <f t="shared" si="14"/>
        <v>A</v>
      </c>
      <c r="H502" s="15" t="str">
        <f t="shared" si="15"/>
        <v>The Commissioner &amp; Chief Constable are satisfied the spend represents VFM in accordance with the requirements of Category A</v>
      </c>
    </row>
    <row r="503" spans="1:8" x14ac:dyDescent="0.2">
      <c r="A503" s="10" t="s">
        <v>8</v>
      </c>
      <c r="B503" s="11" t="s">
        <v>9</v>
      </c>
      <c r="C503" s="13" t="s">
        <v>370</v>
      </c>
      <c r="D503" s="32">
        <v>45371</v>
      </c>
      <c r="E503" s="12">
        <v>725</v>
      </c>
      <c r="F503" s="13" t="s">
        <v>151</v>
      </c>
      <c r="G503" s="14" t="str">
        <f t="shared" si="14"/>
        <v>A</v>
      </c>
      <c r="H503" s="15" t="str">
        <f t="shared" si="15"/>
        <v>The Commissioner &amp; Chief Constable are satisfied the spend represents VFM in accordance with the requirements of Category A</v>
      </c>
    </row>
    <row r="504" spans="1:8" x14ac:dyDescent="0.2">
      <c r="A504" s="10" t="s">
        <v>8</v>
      </c>
      <c r="B504" s="11" t="s">
        <v>9</v>
      </c>
      <c r="C504" s="13" t="s">
        <v>377</v>
      </c>
      <c r="D504" s="32">
        <v>45359</v>
      </c>
      <c r="E504" s="12">
        <v>720</v>
      </c>
      <c r="F504" s="13" t="s">
        <v>376</v>
      </c>
      <c r="G504" s="14" t="str">
        <f t="shared" si="14"/>
        <v>A</v>
      </c>
      <c r="H504" s="15" t="str">
        <f t="shared" si="15"/>
        <v>The Commissioner &amp; Chief Constable are satisfied the spend represents VFM in accordance with the requirements of Category A</v>
      </c>
    </row>
    <row r="505" spans="1:8" x14ac:dyDescent="0.2">
      <c r="A505" s="10" t="s">
        <v>8</v>
      </c>
      <c r="B505" s="11" t="s">
        <v>9</v>
      </c>
      <c r="C505" s="13" t="s">
        <v>74</v>
      </c>
      <c r="D505" s="32">
        <v>45355</v>
      </c>
      <c r="E505" s="12">
        <v>719.98</v>
      </c>
      <c r="F505" s="13" t="s">
        <v>75</v>
      </c>
      <c r="G505" s="14" t="str">
        <f t="shared" si="14"/>
        <v>A</v>
      </c>
      <c r="H505" s="15" t="str">
        <f t="shared" si="15"/>
        <v>The Commissioner &amp; Chief Constable are satisfied the spend represents VFM in accordance with the requirements of Category A</v>
      </c>
    </row>
    <row r="506" spans="1:8" x14ac:dyDescent="0.2">
      <c r="A506" s="10" t="s">
        <v>8</v>
      </c>
      <c r="B506" s="11" t="s">
        <v>9</v>
      </c>
      <c r="C506" s="13" t="s">
        <v>375</v>
      </c>
      <c r="D506" s="32">
        <v>45355</v>
      </c>
      <c r="E506" s="12">
        <v>711</v>
      </c>
      <c r="F506" s="13" t="s">
        <v>131</v>
      </c>
      <c r="G506" s="14" t="str">
        <f t="shared" si="14"/>
        <v>A</v>
      </c>
      <c r="H506" s="15" t="str">
        <f t="shared" si="15"/>
        <v>The Commissioner &amp; Chief Constable are satisfied the spend represents VFM in accordance with the requirements of Category A</v>
      </c>
    </row>
    <row r="507" spans="1:8" x14ac:dyDescent="0.2">
      <c r="A507" s="10" t="s">
        <v>8</v>
      </c>
      <c r="B507" s="11" t="s">
        <v>9</v>
      </c>
      <c r="C507" s="13" t="s">
        <v>374</v>
      </c>
      <c r="D507" s="32">
        <v>45365</v>
      </c>
      <c r="E507" s="12">
        <v>710.32</v>
      </c>
      <c r="F507" s="13" t="s">
        <v>373</v>
      </c>
      <c r="G507" s="14" t="str">
        <f t="shared" si="14"/>
        <v>A</v>
      </c>
      <c r="H507" s="15" t="str">
        <f t="shared" si="15"/>
        <v>The Commissioner &amp; Chief Constable are satisfied the spend represents VFM in accordance with the requirements of Category A</v>
      </c>
    </row>
    <row r="508" spans="1:8" x14ac:dyDescent="0.2">
      <c r="A508" s="10" t="s">
        <v>8</v>
      </c>
      <c r="B508" s="11" t="s">
        <v>9</v>
      </c>
      <c r="C508" s="13" t="s">
        <v>372</v>
      </c>
      <c r="D508" s="32">
        <v>45379</v>
      </c>
      <c r="E508" s="12">
        <v>700</v>
      </c>
      <c r="F508" s="13" t="s">
        <v>11</v>
      </c>
      <c r="G508" s="14" t="str">
        <f t="shared" si="14"/>
        <v>A</v>
      </c>
      <c r="H508" s="15" t="str">
        <f t="shared" si="15"/>
        <v>The Commissioner &amp; Chief Constable are satisfied the spend represents VFM in accordance with the requirements of Category A</v>
      </c>
    </row>
    <row r="509" spans="1:8" x14ac:dyDescent="0.2">
      <c r="A509" s="10" t="s">
        <v>8</v>
      </c>
      <c r="B509" s="11" t="s">
        <v>9</v>
      </c>
      <c r="C509" s="13" t="s">
        <v>371</v>
      </c>
      <c r="D509" s="32">
        <v>45373</v>
      </c>
      <c r="E509" s="12">
        <v>700</v>
      </c>
      <c r="F509" s="13" t="s">
        <v>330</v>
      </c>
      <c r="G509" s="14" t="str">
        <f t="shared" si="14"/>
        <v>A</v>
      </c>
      <c r="H509" s="15" t="str">
        <f t="shared" si="15"/>
        <v>The Commissioner &amp; Chief Constable are satisfied the spend represents VFM in accordance with the requirements of Category A</v>
      </c>
    </row>
    <row r="510" spans="1:8" x14ac:dyDescent="0.2">
      <c r="A510" s="10" t="s">
        <v>8</v>
      </c>
      <c r="B510" s="11" t="s">
        <v>9</v>
      </c>
      <c r="C510" s="13" t="s">
        <v>370</v>
      </c>
      <c r="D510" s="32">
        <v>45366</v>
      </c>
      <c r="E510" s="12">
        <v>695</v>
      </c>
      <c r="F510" s="13" t="s">
        <v>131</v>
      </c>
      <c r="G510" s="14" t="str">
        <f t="shared" si="14"/>
        <v>A</v>
      </c>
      <c r="H510" s="15" t="str">
        <f t="shared" si="15"/>
        <v>The Commissioner &amp; Chief Constable are satisfied the spend represents VFM in accordance with the requirements of Category A</v>
      </c>
    </row>
    <row r="511" spans="1:8" x14ac:dyDescent="0.2">
      <c r="A511" s="10" t="s">
        <v>8</v>
      </c>
      <c r="B511" s="11" t="s">
        <v>9</v>
      </c>
      <c r="C511" s="13" t="s">
        <v>256</v>
      </c>
      <c r="D511" s="32">
        <v>45360</v>
      </c>
      <c r="E511" s="12">
        <v>683.91</v>
      </c>
      <c r="F511" s="13" t="s">
        <v>155</v>
      </c>
      <c r="G511" s="14" t="str">
        <f t="shared" si="14"/>
        <v>A</v>
      </c>
      <c r="H511" s="15" t="str">
        <f t="shared" si="15"/>
        <v>The Commissioner &amp; Chief Constable are satisfied the spend represents VFM in accordance with the requirements of Category A</v>
      </c>
    </row>
    <row r="512" spans="1:8" x14ac:dyDescent="0.2">
      <c r="A512" s="10" t="s">
        <v>8</v>
      </c>
      <c r="B512" s="11" t="s">
        <v>9</v>
      </c>
      <c r="C512" s="13" t="s">
        <v>351</v>
      </c>
      <c r="D512" s="32">
        <v>45362</v>
      </c>
      <c r="E512" s="12">
        <v>679</v>
      </c>
      <c r="F512" s="13" t="s">
        <v>151</v>
      </c>
      <c r="G512" s="14" t="str">
        <f t="shared" si="14"/>
        <v>A</v>
      </c>
      <c r="H512" s="15" t="str">
        <f t="shared" si="15"/>
        <v>The Commissioner &amp; Chief Constable are satisfied the spend represents VFM in accordance with the requirements of Category A</v>
      </c>
    </row>
    <row r="513" spans="1:8" x14ac:dyDescent="0.2">
      <c r="A513" s="10" t="s">
        <v>8</v>
      </c>
      <c r="B513" s="11" t="s">
        <v>9</v>
      </c>
      <c r="C513" s="13" t="s">
        <v>328</v>
      </c>
      <c r="D513" s="32">
        <v>45359</v>
      </c>
      <c r="E513" s="12">
        <v>675</v>
      </c>
      <c r="F513" s="13" t="s">
        <v>131</v>
      </c>
      <c r="G513" s="14" t="str">
        <f t="shared" si="14"/>
        <v>A</v>
      </c>
      <c r="H513" s="15" t="str">
        <f t="shared" si="15"/>
        <v>The Commissioner &amp; Chief Constable are satisfied the spend represents VFM in accordance with the requirements of Category A</v>
      </c>
    </row>
    <row r="514" spans="1:8" x14ac:dyDescent="0.2">
      <c r="A514" s="10" t="s">
        <v>8</v>
      </c>
      <c r="B514" s="11" t="s">
        <v>9</v>
      </c>
      <c r="C514" s="13" t="s">
        <v>369</v>
      </c>
      <c r="D514" s="32">
        <v>45362</v>
      </c>
      <c r="E514" s="12">
        <v>675</v>
      </c>
      <c r="F514" s="13" t="s">
        <v>39</v>
      </c>
      <c r="G514" s="14" t="str">
        <f t="shared" ref="G514:G566" si="16">IF(E514&gt;25000,"C",IF(E514&gt;1000,"B","A"))</f>
        <v>A</v>
      </c>
      <c r="H514" s="15" t="str">
        <f t="shared" ref="H514:H566" si="17">VLOOKUP(G514,$K$2:$L$4,2,FALSE)</f>
        <v>The Commissioner &amp; Chief Constable are satisfied the spend represents VFM in accordance with the requirements of Category A</v>
      </c>
    </row>
    <row r="515" spans="1:8" x14ac:dyDescent="0.2">
      <c r="A515" s="10" t="s">
        <v>8</v>
      </c>
      <c r="B515" s="11" t="s">
        <v>9</v>
      </c>
      <c r="C515" s="13" t="s">
        <v>294</v>
      </c>
      <c r="D515" s="32">
        <v>45379</v>
      </c>
      <c r="E515" s="12">
        <v>674.5</v>
      </c>
      <c r="F515" s="13" t="s">
        <v>203</v>
      </c>
      <c r="G515" s="14" t="str">
        <f t="shared" si="16"/>
        <v>A</v>
      </c>
      <c r="H515" s="15" t="str">
        <f t="shared" si="17"/>
        <v>The Commissioner &amp; Chief Constable are satisfied the spend represents VFM in accordance with the requirements of Category A</v>
      </c>
    </row>
    <row r="516" spans="1:8" x14ac:dyDescent="0.2">
      <c r="A516" s="10" t="s">
        <v>8</v>
      </c>
      <c r="B516" s="11" t="s">
        <v>9</v>
      </c>
      <c r="C516" s="13" t="s">
        <v>172</v>
      </c>
      <c r="D516" s="32">
        <v>45357</v>
      </c>
      <c r="E516" s="12">
        <v>670.99</v>
      </c>
      <c r="F516" s="13" t="s">
        <v>39</v>
      </c>
      <c r="G516" s="14" t="str">
        <f t="shared" si="16"/>
        <v>A</v>
      </c>
      <c r="H516" s="15" t="str">
        <f t="shared" si="17"/>
        <v>The Commissioner &amp; Chief Constable are satisfied the spend represents VFM in accordance with the requirements of Category A</v>
      </c>
    </row>
    <row r="517" spans="1:8" x14ac:dyDescent="0.2">
      <c r="A517" s="10" t="s">
        <v>8</v>
      </c>
      <c r="B517" s="11" t="s">
        <v>9</v>
      </c>
      <c r="C517" s="13" t="s">
        <v>256</v>
      </c>
      <c r="D517" s="32">
        <v>45367</v>
      </c>
      <c r="E517" s="12">
        <v>669.52</v>
      </c>
      <c r="F517" s="13" t="s">
        <v>106</v>
      </c>
      <c r="G517" s="14" t="str">
        <f t="shared" si="16"/>
        <v>A</v>
      </c>
      <c r="H517" s="15" t="str">
        <f t="shared" si="17"/>
        <v>The Commissioner &amp; Chief Constable are satisfied the spend represents VFM in accordance with the requirements of Category A</v>
      </c>
    </row>
    <row r="518" spans="1:8" x14ac:dyDescent="0.2">
      <c r="A518" s="10" t="s">
        <v>8</v>
      </c>
      <c r="B518" s="11" t="s">
        <v>9</v>
      </c>
      <c r="C518" s="13" t="s">
        <v>68</v>
      </c>
      <c r="D518" s="32">
        <v>45373</v>
      </c>
      <c r="E518" s="12">
        <v>660</v>
      </c>
      <c r="F518" s="13" t="s">
        <v>43</v>
      </c>
      <c r="G518" s="14" t="str">
        <f t="shared" si="16"/>
        <v>A</v>
      </c>
      <c r="H518" s="15" t="str">
        <f t="shared" si="17"/>
        <v>The Commissioner &amp; Chief Constable are satisfied the spend represents VFM in accordance with the requirements of Category A</v>
      </c>
    </row>
    <row r="519" spans="1:8" x14ac:dyDescent="0.2">
      <c r="A519" s="10" t="s">
        <v>8</v>
      </c>
      <c r="B519" s="11" t="s">
        <v>9</v>
      </c>
      <c r="C519" s="13" t="s">
        <v>368</v>
      </c>
      <c r="D519" s="32">
        <v>45362</v>
      </c>
      <c r="E519" s="12">
        <v>660</v>
      </c>
      <c r="F519" s="13" t="s">
        <v>38</v>
      </c>
      <c r="G519" s="14" t="str">
        <f t="shared" si="16"/>
        <v>A</v>
      </c>
      <c r="H519" s="15" t="str">
        <f t="shared" si="17"/>
        <v>The Commissioner &amp; Chief Constable are satisfied the spend represents VFM in accordance with the requirements of Category A</v>
      </c>
    </row>
    <row r="520" spans="1:8" x14ac:dyDescent="0.2">
      <c r="A520" s="10" t="s">
        <v>8</v>
      </c>
      <c r="B520" s="11" t="s">
        <v>9</v>
      </c>
      <c r="C520" s="13" t="s">
        <v>326</v>
      </c>
      <c r="D520" s="32">
        <v>45357</v>
      </c>
      <c r="E520" s="12">
        <v>656</v>
      </c>
      <c r="F520" s="13" t="s">
        <v>38</v>
      </c>
      <c r="G520" s="14" t="str">
        <f t="shared" si="16"/>
        <v>A</v>
      </c>
      <c r="H520" s="15" t="str">
        <f t="shared" si="17"/>
        <v>The Commissioner &amp; Chief Constable are satisfied the spend represents VFM in accordance with the requirements of Category A</v>
      </c>
    </row>
    <row r="521" spans="1:8" x14ac:dyDescent="0.2">
      <c r="A521" s="10" t="s">
        <v>8</v>
      </c>
      <c r="B521" s="11" t="s">
        <v>9</v>
      </c>
      <c r="C521" s="13" t="s">
        <v>367</v>
      </c>
      <c r="D521" s="32">
        <v>45365</v>
      </c>
      <c r="E521" s="12">
        <v>648</v>
      </c>
      <c r="F521" s="13" t="s">
        <v>22</v>
      </c>
      <c r="G521" s="14" t="str">
        <f t="shared" si="16"/>
        <v>A</v>
      </c>
      <c r="H521" s="15" t="str">
        <f t="shared" si="17"/>
        <v>The Commissioner &amp; Chief Constable are satisfied the spend represents VFM in accordance with the requirements of Category A</v>
      </c>
    </row>
    <row r="522" spans="1:8" x14ac:dyDescent="0.2">
      <c r="A522" s="10" t="s">
        <v>8</v>
      </c>
      <c r="B522" s="11" t="s">
        <v>9</v>
      </c>
      <c r="C522" s="13" t="s">
        <v>130</v>
      </c>
      <c r="D522" s="32">
        <v>45377</v>
      </c>
      <c r="E522" s="12">
        <v>630</v>
      </c>
      <c r="F522" s="13" t="s">
        <v>38</v>
      </c>
      <c r="G522" s="14" t="str">
        <f t="shared" si="16"/>
        <v>A</v>
      </c>
      <c r="H522" s="15" t="str">
        <f t="shared" si="17"/>
        <v>The Commissioner &amp; Chief Constable are satisfied the spend represents VFM in accordance with the requirements of Category A</v>
      </c>
    </row>
    <row r="523" spans="1:8" x14ac:dyDescent="0.2">
      <c r="A523" s="10" t="s">
        <v>8</v>
      </c>
      <c r="B523" s="11" t="s">
        <v>9</v>
      </c>
      <c r="C523" s="33" t="s">
        <v>202</v>
      </c>
      <c r="D523" s="32">
        <v>45378</v>
      </c>
      <c r="E523" s="12">
        <v>629.29999999999995</v>
      </c>
      <c r="F523" s="13" t="s">
        <v>203</v>
      </c>
      <c r="G523" s="14" t="str">
        <f t="shared" si="16"/>
        <v>A</v>
      </c>
      <c r="H523" s="15" t="str">
        <f t="shared" si="17"/>
        <v>The Commissioner &amp; Chief Constable are satisfied the spend represents VFM in accordance with the requirements of Category A</v>
      </c>
    </row>
    <row r="524" spans="1:8" x14ac:dyDescent="0.2">
      <c r="A524" s="10" t="s">
        <v>8</v>
      </c>
      <c r="B524" s="11" t="s">
        <v>9</v>
      </c>
      <c r="C524" s="33" t="s">
        <v>362</v>
      </c>
      <c r="D524" s="32">
        <v>45370</v>
      </c>
      <c r="E524" s="12">
        <v>625</v>
      </c>
      <c r="F524" s="13" t="s">
        <v>106</v>
      </c>
      <c r="G524" s="14" t="str">
        <f t="shared" si="16"/>
        <v>A</v>
      </c>
      <c r="H524" s="15" t="str">
        <f t="shared" si="17"/>
        <v>The Commissioner &amp; Chief Constable are satisfied the spend represents VFM in accordance with the requirements of Category A</v>
      </c>
    </row>
    <row r="525" spans="1:8" x14ac:dyDescent="0.2">
      <c r="A525" s="10" t="s">
        <v>8</v>
      </c>
      <c r="B525" s="11" t="s">
        <v>9</v>
      </c>
      <c r="C525" s="13" t="s">
        <v>287</v>
      </c>
      <c r="D525" s="32">
        <v>45369</v>
      </c>
      <c r="E525" s="12">
        <v>613.52</v>
      </c>
      <c r="F525" s="13" t="s">
        <v>158</v>
      </c>
      <c r="G525" s="14" t="str">
        <f t="shared" si="16"/>
        <v>A</v>
      </c>
      <c r="H525" s="15" t="str">
        <f t="shared" si="17"/>
        <v>The Commissioner &amp; Chief Constable are satisfied the spend represents VFM in accordance with the requirements of Category A</v>
      </c>
    </row>
    <row r="526" spans="1:8" x14ac:dyDescent="0.2">
      <c r="A526" s="10" t="s">
        <v>8</v>
      </c>
      <c r="B526" s="11" t="s">
        <v>9</v>
      </c>
      <c r="C526" s="13" t="s">
        <v>287</v>
      </c>
      <c r="D526" s="32">
        <v>45369</v>
      </c>
      <c r="E526" s="12">
        <v>613.52</v>
      </c>
      <c r="F526" s="13" t="s">
        <v>158</v>
      </c>
      <c r="G526" s="14" t="str">
        <f t="shared" si="16"/>
        <v>A</v>
      </c>
      <c r="H526" s="15" t="str">
        <f t="shared" si="17"/>
        <v>The Commissioner &amp; Chief Constable are satisfied the spend represents VFM in accordance with the requirements of Category A</v>
      </c>
    </row>
    <row r="527" spans="1:8" x14ac:dyDescent="0.2">
      <c r="A527" s="10" t="s">
        <v>8</v>
      </c>
      <c r="B527" s="11" t="s">
        <v>9</v>
      </c>
      <c r="C527" s="13" t="s">
        <v>33</v>
      </c>
      <c r="D527" s="32">
        <v>45363</v>
      </c>
      <c r="E527" s="12">
        <v>600</v>
      </c>
      <c r="F527" s="13" t="s">
        <v>106</v>
      </c>
      <c r="G527" s="14" t="str">
        <f t="shared" si="16"/>
        <v>A</v>
      </c>
      <c r="H527" s="15" t="str">
        <f t="shared" si="17"/>
        <v>The Commissioner &amp; Chief Constable are satisfied the spend represents VFM in accordance with the requirements of Category A</v>
      </c>
    </row>
    <row r="528" spans="1:8" x14ac:dyDescent="0.2">
      <c r="A528" s="10" t="s">
        <v>8</v>
      </c>
      <c r="B528" s="11" t="s">
        <v>9</v>
      </c>
      <c r="C528" s="13" t="s">
        <v>366</v>
      </c>
      <c r="D528" s="32">
        <v>45358</v>
      </c>
      <c r="E528" s="12">
        <v>600</v>
      </c>
      <c r="F528" s="13" t="s">
        <v>155</v>
      </c>
      <c r="G528" s="14" t="str">
        <f t="shared" si="16"/>
        <v>A</v>
      </c>
      <c r="H528" s="15" t="str">
        <f t="shared" si="17"/>
        <v>The Commissioner &amp; Chief Constable are satisfied the spend represents VFM in accordance with the requirements of Category A</v>
      </c>
    </row>
    <row r="529" spans="1:8" x14ac:dyDescent="0.2">
      <c r="A529" s="10" t="s">
        <v>8</v>
      </c>
      <c r="B529" s="11" t="s">
        <v>9</v>
      </c>
      <c r="C529" s="13" t="s">
        <v>113</v>
      </c>
      <c r="D529" s="32">
        <v>45369</v>
      </c>
      <c r="E529" s="12">
        <v>588.23</v>
      </c>
      <c r="F529" s="13" t="s">
        <v>114</v>
      </c>
      <c r="G529" s="14" t="str">
        <f t="shared" si="16"/>
        <v>A</v>
      </c>
      <c r="H529" s="15" t="str">
        <f t="shared" si="17"/>
        <v>The Commissioner &amp; Chief Constable are satisfied the spend represents VFM in accordance with the requirements of Category A</v>
      </c>
    </row>
    <row r="530" spans="1:8" x14ac:dyDescent="0.2">
      <c r="A530" s="10" t="s">
        <v>8</v>
      </c>
      <c r="B530" s="11" t="s">
        <v>9</v>
      </c>
      <c r="C530" s="13" t="s">
        <v>33</v>
      </c>
      <c r="D530" s="32">
        <v>45379</v>
      </c>
      <c r="E530" s="12">
        <v>585</v>
      </c>
      <c r="F530" s="13" t="s">
        <v>106</v>
      </c>
      <c r="G530" s="14" t="str">
        <f t="shared" si="16"/>
        <v>A</v>
      </c>
      <c r="H530" s="15" t="str">
        <f t="shared" si="17"/>
        <v>The Commissioner &amp; Chief Constable are satisfied the spend represents VFM in accordance with the requirements of Category A</v>
      </c>
    </row>
    <row r="531" spans="1:8" x14ac:dyDescent="0.2">
      <c r="A531" s="10" t="s">
        <v>8</v>
      </c>
      <c r="B531" s="11" t="s">
        <v>9</v>
      </c>
      <c r="C531" s="13" t="s">
        <v>334</v>
      </c>
      <c r="D531" s="32">
        <v>45377</v>
      </c>
      <c r="E531" s="12">
        <v>585</v>
      </c>
      <c r="F531" s="13" t="s">
        <v>39</v>
      </c>
      <c r="G531" s="14" t="str">
        <f t="shared" si="16"/>
        <v>A</v>
      </c>
      <c r="H531" s="15" t="str">
        <f t="shared" si="17"/>
        <v>The Commissioner &amp; Chief Constable are satisfied the spend represents VFM in accordance with the requirements of Category A</v>
      </c>
    </row>
    <row r="532" spans="1:8" x14ac:dyDescent="0.2">
      <c r="A532" s="10" t="s">
        <v>8</v>
      </c>
      <c r="B532" s="11" t="s">
        <v>9</v>
      </c>
      <c r="C532" s="13" t="s">
        <v>342</v>
      </c>
      <c r="D532" s="32">
        <v>45369</v>
      </c>
      <c r="E532" s="12">
        <v>584</v>
      </c>
      <c r="F532" s="13" t="s">
        <v>38</v>
      </c>
      <c r="G532" s="14" t="str">
        <f t="shared" si="16"/>
        <v>A</v>
      </c>
      <c r="H532" s="15" t="str">
        <f t="shared" si="17"/>
        <v>The Commissioner &amp; Chief Constable are satisfied the spend represents VFM in accordance with the requirements of Category A</v>
      </c>
    </row>
    <row r="533" spans="1:8" x14ac:dyDescent="0.2">
      <c r="A533" s="10" t="s">
        <v>8</v>
      </c>
      <c r="B533" s="11" t="s">
        <v>9</v>
      </c>
      <c r="C533" s="13" t="s">
        <v>359</v>
      </c>
      <c r="D533" s="32">
        <v>45365</v>
      </c>
      <c r="E533" s="12">
        <v>580</v>
      </c>
      <c r="F533" s="13" t="s">
        <v>358</v>
      </c>
      <c r="G533" s="14" t="str">
        <f t="shared" si="16"/>
        <v>A</v>
      </c>
      <c r="H533" s="15" t="str">
        <f t="shared" si="17"/>
        <v>The Commissioner &amp; Chief Constable are satisfied the spend represents VFM in accordance with the requirements of Category A</v>
      </c>
    </row>
    <row r="534" spans="1:8" x14ac:dyDescent="0.2">
      <c r="A534" s="10" t="s">
        <v>8</v>
      </c>
      <c r="B534" s="11" t="s">
        <v>9</v>
      </c>
      <c r="C534" s="13" t="s">
        <v>172</v>
      </c>
      <c r="D534" s="32">
        <v>45370</v>
      </c>
      <c r="E534" s="12">
        <v>578</v>
      </c>
      <c r="F534" s="13" t="s">
        <v>39</v>
      </c>
      <c r="G534" s="14" t="str">
        <f t="shared" si="16"/>
        <v>A</v>
      </c>
      <c r="H534" s="15" t="str">
        <f t="shared" si="17"/>
        <v>The Commissioner &amp; Chief Constable are satisfied the spend represents VFM in accordance with the requirements of Category A</v>
      </c>
    </row>
    <row r="535" spans="1:8" x14ac:dyDescent="0.2">
      <c r="A535" s="10" t="s">
        <v>8</v>
      </c>
      <c r="B535" s="11" t="s">
        <v>9</v>
      </c>
      <c r="C535" s="13" t="s">
        <v>260</v>
      </c>
      <c r="D535" s="32">
        <v>45366</v>
      </c>
      <c r="E535" s="12">
        <v>561.97</v>
      </c>
      <c r="F535" s="13" t="s">
        <v>261</v>
      </c>
      <c r="G535" s="14" t="str">
        <f t="shared" si="16"/>
        <v>A</v>
      </c>
      <c r="H535" s="15" t="str">
        <f t="shared" si="17"/>
        <v>The Commissioner &amp; Chief Constable are satisfied the spend represents VFM in accordance with the requirements of Category A</v>
      </c>
    </row>
    <row r="536" spans="1:8" x14ac:dyDescent="0.2">
      <c r="A536" s="10" t="s">
        <v>8</v>
      </c>
      <c r="B536" s="11" t="s">
        <v>9</v>
      </c>
      <c r="C536" s="13" t="s">
        <v>260</v>
      </c>
      <c r="D536" s="32">
        <v>45376</v>
      </c>
      <c r="E536" s="12">
        <v>556.24</v>
      </c>
      <c r="F536" s="13" t="s">
        <v>261</v>
      </c>
      <c r="G536" s="14" t="str">
        <f t="shared" si="16"/>
        <v>A</v>
      </c>
      <c r="H536" s="15" t="str">
        <f t="shared" si="17"/>
        <v>The Commissioner &amp; Chief Constable are satisfied the spend represents VFM in accordance with the requirements of Category A</v>
      </c>
    </row>
    <row r="537" spans="1:8" x14ac:dyDescent="0.2">
      <c r="A537" s="10" t="s">
        <v>8</v>
      </c>
      <c r="B537" s="11" t="s">
        <v>9</v>
      </c>
      <c r="C537" s="13" t="s">
        <v>333</v>
      </c>
      <c r="D537" s="32">
        <v>45366</v>
      </c>
      <c r="E537" s="12">
        <v>550</v>
      </c>
      <c r="F537" s="13" t="s">
        <v>39</v>
      </c>
      <c r="G537" s="14" t="str">
        <f t="shared" si="16"/>
        <v>A</v>
      </c>
      <c r="H537" s="15" t="str">
        <f t="shared" si="17"/>
        <v>The Commissioner &amp; Chief Constable are satisfied the spend represents VFM in accordance with the requirements of Category A</v>
      </c>
    </row>
    <row r="538" spans="1:8" x14ac:dyDescent="0.2">
      <c r="A538" s="10" t="s">
        <v>8</v>
      </c>
      <c r="B538" s="11" t="s">
        <v>9</v>
      </c>
      <c r="C538" s="13" t="s">
        <v>365</v>
      </c>
      <c r="D538" s="32">
        <v>45357</v>
      </c>
      <c r="E538" s="12">
        <v>550</v>
      </c>
      <c r="F538" s="13" t="s">
        <v>22</v>
      </c>
      <c r="G538" s="14" t="str">
        <f t="shared" si="16"/>
        <v>A</v>
      </c>
      <c r="H538" s="15" t="str">
        <f t="shared" si="17"/>
        <v>The Commissioner &amp; Chief Constable are satisfied the spend represents VFM in accordance with the requirements of Category A</v>
      </c>
    </row>
    <row r="539" spans="1:8" x14ac:dyDescent="0.2">
      <c r="A539" s="10" t="s">
        <v>8</v>
      </c>
      <c r="B539" s="11" t="s">
        <v>9</v>
      </c>
      <c r="C539" s="13" t="s">
        <v>364</v>
      </c>
      <c r="D539" s="32">
        <v>45369</v>
      </c>
      <c r="E539" s="12">
        <v>542.5</v>
      </c>
      <c r="F539" s="13" t="s">
        <v>363</v>
      </c>
      <c r="G539" s="14" t="str">
        <f t="shared" si="16"/>
        <v>A</v>
      </c>
      <c r="H539" s="15" t="str">
        <f t="shared" si="17"/>
        <v>The Commissioner &amp; Chief Constable are satisfied the spend represents VFM in accordance with the requirements of Category A</v>
      </c>
    </row>
    <row r="540" spans="1:8" x14ac:dyDescent="0.2">
      <c r="A540" s="10" t="s">
        <v>8</v>
      </c>
      <c r="B540" s="11" t="s">
        <v>9</v>
      </c>
      <c r="C540" s="13" t="s">
        <v>364</v>
      </c>
      <c r="D540" s="32">
        <v>45369</v>
      </c>
      <c r="E540" s="12">
        <v>542.5</v>
      </c>
      <c r="F540" s="13" t="s">
        <v>363</v>
      </c>
      <c r="G540" s="14" t="str">
        <f t="shared" si="16"/>
        <v>A</v>
      </c>
      <c r="H540" s="15" t="str">
        <f t="shared" si="17"/>
        <v>The Commissioner &amp; Chief Constable are satisfied the spend represents VFM in accordance with the requirements of Category A</v>
      </c>
    </row>
    <row r="541" spans="1:8" x14ac:dyDescent="0.2">
      <c r="A541" s="10" t="s">
        <v>8</v>
      </c>
      <c r="B541" s="11" t="s">
        <v>9</v>
      </c>
      <c r="C541" s="13" t="s">
        <v>292</v>
      </c>
      <c r="D541" s="32">
        <v>45378</v>
      </c>
      <c r="E541" s="12">
        <v>541.66</v>
      </c>
      <c r="F541" s="13" t="s">
        <v>84</v>
      </c>
      <c r="G541" s="14" t="str">
        <f t="shared" si="16"/>
        <v>A</v>
      </c>
      <c r="H541" s="15" t="str">
        <f t="shared" si="17"/>
        <v>The Commissioner &amp; Chief Constable are satisfied the spend represents VFM in accordance with the requirements of Category A</v>
      </c>
    </row>
    <row r="542" spans="1:8" x14ac:dyDescent="0.2">
      <c r="A542" s="10" t="s">
        <v>8</v>
      </c>
      <c r="B542" s="11" t="s">
        <v>9</v>
      </c>
      <c r="C542" s="13" t="s">
        <v>124</v>
      </c>
      <c r="D542" s="32">
        <v>45365</v>
      </c>
      <c r="E542" s="12">
        <v>536.63</v>
      </c>
      <c r="F542" s="13" t="s">
        <v>91</v>
      </c>
      <c r="G542" s="14" t="str">
        <f t="shared" si="16"/>
        <v>A</v>
      </c>
      <c r="H542" s="15" t="str">
        <f t="shared" si="17"/>
        <v>The Commissioner &amp; Chief Constable are satisfied the spend represents VFM in accordance with the requirements of Category A</v>
      </c>
    </row>
    <row r="543" spans="1:8" x14ac:dyDescent="0.2">
      <c r="A543" s="10" t="s">
        <v>8</v>
      </c>
      <c r="B543" s="11" t="s">
        <v>9</v>
      </c>
      <c r="C543" s="13" t="s">
        <v>10</v>
      </c>
      <c r="D543" s="32">
        <v>45366</v>
      </c>
      <c r="E543" s="12">
        <v>530</v>
      </c>
      <c r="F543" s="13" t="s">
        <v>22</v>
      </c>
      <c r="G543" s="14" t="str">
        <f t="shared" si="16"/>
        <v>A</v>
      </c>
      <c r="H543" s="15" t="str">
        <f t="shared" si="17"/>
        <v>The Commissioner &amp; Chief Constable are satisfied the spend represents VFM in accordance with the requirements of Category A</v>
      </c>
    </row>
    <row r="544" spans="1:8" x14ac:dyDescent="0.2">
      <c r="A544" s="10" t="s">
        <v>8</v>
      </c>
      <c r="B544" s="11" t="s">
        <v>9</v>
      </c>
      <c r="C544" s="13" t="s">
        <v>362</v>
      </c>
      <c r="D544" s="32">
        <v>45372</v>
      </c>
      <c r="E544" s="12">
        <v>520.83000000000004</v>
      </c>
      <c r="F544" s="13" t="s">
        <v>106</v>
      </c>
      <c r="G544" s="14" t="str">
        <f t="shared" si="16"/>
        <v>A</v>
      </c>
      <c r="H544" s="15" t="str">
        <f t="shared" si="17"/>
        <v>The Commissioner &amp; Chief Constable are satisfied the spend represents VFM in accordance with the requirements of Category A</v>
      </c>
    </row>
    <row r="545" spans="1:8" x14ac:dyDescent="0.2">
      <c r="A545" s="10" t="s">
        <v>8</v>
      </c>
      <c r="B545" s="11" t="s">
        <v>9</v>
      </c>
      <c r="C545" s="13" t="s">
        <v>361</v>
      </c>
      <c r="D545" s="32">
        <v>45365</v>
      </c>
      <c r="E545" s="12">
        <v>520</v>
      </c>
      <c r="F545" s="13" t="s">
        <v>53</v>
      </c>
      <c r="G545" s="14" t="str">
        <f t="shared" si="16"/>
        <v>A</v>
      </c>
      <c r="H545" s="15" t="str">
        <f t="shared" si="17"/>
        <v>The Commissioner &amp; Chief Constable are satisfied the spend represents VFM in accordance with the requirements of Category A</v>
      </c>
    </row>
    <row r="546" spans="1:8" x14ac:dyDescent="0.2">
      <c r="A546" s="10" t="s">
        <v>8</v>
      </c>
      <c r="B546" s="11" t="s">
        <v>9</v>
      </c>
      <c r="C546" s="13" t="s">
        <v>360</v>
      </c>
      <c r="D546" s="32">
        <v>45359</v>
      </c>
      <c r="E546" s="12">
        <v>515</v>
      </c>
      <c r="F546" s="13" t="s">
        <v>54</v>
      </c>
      <c r="G546" s="14" t="str">
        <f t="shared" si="16"/>
        <v>A</v>
      </c>
      <c r="H546" s="15" t="str">
        <f t="shared" si="17"/>
        <v>The Commissioner &amp; Chief Constable are satisfied the spend represents VFM in accordance with the requirements of Category A</v>
      </c>
    </row>
    <row r="547" spans="1:8" x14ac:dyDescent="0.2">
      <c r="A547" s="10" t="s">
        <v>8</v>
      </c>
      <c r="B547" s="11" t="s">
        <v>9</v>
      </c>
      <c r="C547" s="13" t="s">
        <v>153</v>
      </c>
      <c r="D547" s="32">
        <v>45379</v>
      </c>
      <c r="E547" s="12">
        <v>515</v>
      </c>
      <c r="F547" s="13" t="s">
        <v>39</v>
      </c>
      <c r="G547" s="14" t="str">
        <f t="shared" si="16"/>
        <v>A</v>
      </c>
      <c r="H547" s="15" t="str">
        <f t="shared" si="17"/>
        <v>The Commissioner &amp; Chief Constable are satisfied the spend represents VFM in accordance with the requirements of Category A</v>
      </c>
    </row>
    <row r="548" spans="1:8" x14ac:dyDescent="0.2">
      <c r="A548" s="10" t="s">
        <v>8</v>
      </c>
      <c r="B548" s="11" t="s">
        <v>9</v>
      </c>
      <c r="C548" s="13" t="s">
        <v>181</v>
      </c>
      <c r="D548" s="32">
        <v>45372</v>
      </c>
      <c r="E548" s="12">
        <v>514.5</v>
      </c>
      <c r="F548" s="13" t="s">
        <v>106</v>
      </c>
      <c r="G548" s="14" t="str">
        <f t="shared" si="16"/>
        <v>A</v>
      </c>
      <c r="H548" s="15" t="str">
        <f t="shared" si="17"/>
        <v>The Commissioner &amp; Chief Constable are satisfied the spend represents VFM in accordance with the requirements of Category A</v>
      </c>
    </row>
    <row r="549" spans="1:8" x14ac:dyDescent="0.2">
      <c r="A549" s="10" t="s">
        <v>8</v>
      </c>
      <c r="B549" s="11" t="s">
        <v>9</v>
      </c>
      <c r="C549" s="13" t="s">
        <v>234</v>
      </c>
      <c r="D549" s="32">
        <v>45379</v>
      </c>
      <c r="E549" s="12">
        <v>513.44000000000005</v>
      </c>
      <c r="F549" s="13" t="s">
        <v>131</v>
      </c>
      <c r="G549" s="14" t="str">
        <f t="shared" si="16"/>
        <v>A</v>
      </c>
      <c r="H549" s="15" t="str">
        <f t="shared" si="17"/>
        <v>The Commissioner &amp; Chief Constable are satisfied the spend represents VFM in accordance with the requirements of Category A</v>
      </c>
    </row>
    <row r="550" spans="1:8" x14ac:dyDescent="0.2">
      <c r="A550" s="10" t="s">
        <v>8</v>
      </c>
      <c r="B550" s="11" t="s">
        <v>9</v>
      </c>
      <c r="C550" s="13" t="s">
        <v>33</v>
      </c>
      <c r="D550" s="32">
        <v>45364</v>
      </c>
      <c r="E550" s="12">
        <v>504.7</v>
      </c>
      <c r="F550" s="13" t="s">
        <v>58</v>
      </c>
      <c r="G550" s="14" t="str">
        <f t="shared" si="16"/>
        <v>A</v>
      </c>
      <c r="H550" s="15" t="str">
        <f t="shared" si="17"/>
        <v>The Commissioner &amp; Chief Constable are satisfied the spend represents VFM in accordance with the requirements of Category A</v>
      </c>
    </row>
    <row r="551" spans="1:8" x14ac:dyDescent="0.2">
      <c r="A551" s="10" t="s">
        <v>8</v>
      </c>
      <c r="B551" s="11" t="s">
        <v>9</v>
      </c>
      <c r="C551" s="16" t="s">
        <v>264</v>
      </c>
      <c r="D551" s="32">
        <v>45362</v>
      </c>
      <c r="E551" s="12">
        <v>502</v>
      </c>
      <c r="F551" s="13" t="s">
        <v>131</v>
      </c>
      <c r="G551" s="14" t="str">
        <f t="shared" si="16"/>
        <v>A</v>
      </c>
      <c r="H551" s="15" t="str">
        <f t="shared" si="17"/>
        <v>The Commissioner &amp; Chief Constable are satisfied the spend represents VFM in accordance with the requirements of Category A</v>
      </c>
    </row>
    <row r="552" spans="1:8" x14ac:dyDescent="0.2">
      <c r="A552" s="10" t="s">
        <v>8</v>
      </c>
      <c r="B552" s="11" t="s">
        <v>9</v>
      </c>
      <c r="C552" s="16" t="s">
        <v>359</v>
      </c>
      <c r="D552" s="32">
        <v>45377</v>
      </c>
      <c r="E552" s="12">
        <v>500</v>
      </c>
      <c r="F552" s="13" t="s">
        <v>358</v>
      </c>
      <c r="G552" s="14" t="str">
        <f t="shared" si="16"/>
        <v>A</v>
      </c>
      <c r="H552" s="15" t="str">
        <f t="shared" si="17"/>
        <v>The Commissioner &amp; Chief Constable are satisfied the spend represents VFM in accordance with the requirements of Category A</v>
      </c>
    </row>
    <row r="553" spans="1:8" x14ac:dyDescent="0.2">
      <c r="A553" s="10" t="s">
        <v>8</v>
      </c>
      <c r="B553" s="11" t="s">
        <v>9</v>
      </c>
      <c r="C553" s="16" t="s">
        <v>357</v>
      </c>
      <c r="D553" s="32">
        <v>45377</v>
      </c>
      <c r="E553" s="12">
        <v>500</v>
      </c>
      <c r="F553" s="13" t="s">
        <v>98</v>
      </c>
      <c r="G553" s="14" t="str">
        <f t="shared" si="16"/>
        <v>A</v>
      </c>
      <c r="H553" s="15" t="str">
        <f t="shared" si="17"/>
        <v>The Commissioner &amp; Chief Constable are satisfied the spend represents VFM in accordance with the requirements of Category A</v>
      </c>
    </row>
    <row r="554" spans="1:8" x14ac:dyDescent="0.2">
      <c r="A554" s="10" t="s">
        <v>8</v>
      </c>
      <c r="B554" s="11" t="s">
        <v>9</v>
      </c>
      <c r="C554" s="16" t="s">
        <v>33</v>
      </c>
      <c r="D554" s="32">
        <v>45373</v>
      </c>
      <c r="E554" s="12">
        <v>-600</v>
      </c>
      <c r="F554" s="13" t="s">
        <v>106</v>
      </c>
      <c r="G554" s="14" t="str">
        <f t="shared" si="16"/>
        <v>A</v>
      </c>
      <c r="H554" s="15" t="str">
        <f t="shared" si="17"/>
        <v>The Commissioner &amp; Chief Constable are satisfied the spend represents VFM in accordance with the requirements of Category A</v>
      </c>
    </row>
    <row r="555" spans="1:8" x14ac:dyDescent="0.2">
      <c r="A555" s="10" t="s">
        <v>8</v>
      </c>
      <c r="B555" s="11" t="s">
        <v>9</v>
      </c>
      <c r="C555" s="16" t="s">
        <v>356</v>
      </c>
      <c r="D555" s="32">
        <v>45364</v>
      </c>
      <c r="E555" s="12">
        <v>-665</v>
      </c>
      <c r="F555" s="13" t="s">
        <v>54</v>
      </c>
      <c r="G555" s="14" t="str">
        <f t="shared" si="16"/>
        <v>A</v>
      </c>
      <c r="H555" s="15" t="str">
        <f t="shared" si="17"/>
        <v>The Commissioner &amp; Chief Constable are satisfied the spend represents VFM in accordance with the requirements of Category A</v>
      </c>
    </row>
    <row r="556" spans="1:8" x14ac:dyDescent="0.2">
      <c r="A556" s="10" t="s">
        <v>8</v>
      </c>
      <c r="B556" s="11" t="s">
        <v>9</v>
      </c>
      <c r="C556" s="16" t="s">
        <v>113</v>
      </c>
      <c r="D556" s="32">
        <v>45379</v>
      </c>
      <c r="E556" s="12">
        <v>-1165.76</v>
      </c>
      <c r="F556" s="13" t="s">
        <v>114</v>
      </c>
      <c r="G556" s="14" t="str">
        <f t="shared" si="16"/>
        <v>A</v>
      </c>
      <c r="H556" s="15" t="str">
        <f t="shared" si="17"/>
        <v>The Commissioner &amp; Chief Constable are satisfied the spend represents VFM in accordance with the requirements of Category A</v>
      </c>
    </row>
    <row r="557" spans="1:8" x14ac:dyDescent="0.2">
      <c r="A557" s="10" t="s">
        <v>8</v>
      </c>
      <c r="B557" s="11" t="s">
        <v>9</v>
      </c>
      <c r="C557" s="16" t="s">
        <v>10</v>
      </c>
      <c r="D557" s="32">
        <v>45377</v>
      </c>
      <c r="E557" s="12">
        <v>-1188</v>
      </c>
      <c r="F557" s="13" t="s">
        <v>11</v>
      </c>
      <c r="G557" s="14" t="str">
        <f t="shared" si="16"/>
        <v>A</v>
      </c>
      <c r="H557" s="15" t="str">
        <f t="shared" si="17"/>
        <v>The Commissioner &amp; Chief Constable are satisfied the spend represents VFM in accordance with the requirements of Category A</v>
      </c>
    </row>
    <row r="558" spans="1:8" x14ac:dyDescent="0.2">
      <c r="A558" s="10" t="s">
        <v>8</v>
      </c>
      <c r="B558" s="11" t="s">
        <v>9</v>
      </c>
      <c r="C558" s="16" t="s">
        <v>355</v>
      </c>
      <c r="D558" s="32">
        <v>45377</v>
      </c>
      <c r="E558" s="12">
        <v>-1245</v>
      </c>
      <c r="F558" s="13" t="s">
        <v>94</v>
      </c>
      <c r="G558" s="14" t="str">
        <f t="shared" si="16"/>
        <v>A</v>
      </c>
      <c r="H558" s="15" t="str">
        <f t="shared" si="17"/>
        <v>The Commissioner &amp; Chief Constable are satisfied the spend represents VFM in accordance with the requirements of Category A</v>
      </c>
    </row>
    <row r="559" spans="1:8" x14ac:dyDescent="0.2">
      <c r="A559" s="10" t="s">
        <v>8</v>
      </c>
      <c r="B559" s="11" t="s">
        <v>9</v>
      </c>
      <c r="C559" s="16" t="s">
        <v>354</v>
      </c>
      <c r="D559" s="32">
        <v>45371</v>
      </c>
      <c r="E559" s="12">
        <v>-1500</v>
      </c>
      <c r="F559" s="13" t="s">
        <v>27</v>
      </c>
      <c r="G559" s="14" t="str">
        <f t="shared" si="16"/>
        <v>A</v>
      </c>
      <c r="H559" s="15" t="str">
        <f t="shared" si="17"/>
        <v>The Commissioner &amp; Chief Constable are satisfied the spend represents VFM in accordance with the requirements of Category A</v>
      </c>
    </row>
    <row r="560" spans="1:8" x14ac:dyDescent="0.2">
      <c r="A560" s="10" t="s">
        <v>8</v>
      </c>
      <c r="B560" s="11" t="s">
        <v>9</v>
      </c>
      <c r="C560" s="16" t="s">
        <v>140</v>
      </c>
      <c r="D560" s="32">
        <v>45376</v>
      </c>
      <c r="E560" s="12">
        <v>-1928.64</v>
      </c>
      <c r="F560" s="13" t="s">
        <v>42</v>
      </c>
      <c r="G560" s="14" t="str">
        <f t="shared" si="16"/>
        <v>A</v>
      </c>
      <c r="H560" s="15" t="str">
        <f t="shared" si="17"/>
        <v>The Commissioner &amp; Chief Constable are satisfied the spend represents VFM in accordance with the requirements of Category A</v>
      </c>
    </row>
    <row r="561" spans="1:8" x14ac:dyDescent="0.2">
      <c r="A561" s="10" t="s">
        <v>8</v>
      </c>
      <c r="B561" s="11" t="s">
        <v>9</v>
      </c>
      <c r="C561" s="16" t="s">
        <v>353</v>
      </c>
      <c r="D561" s="32">
        <v>45357</v>
      </c>
      <c r="E561" s="12">
        <v>-3039.76</v>
      </c>
      <c r="F561" s="13" t="s">
        <v>58</v>
      </c>
      <c r="G561" s="14" t="str">
        <f t="shared" si="16"/>
        <v>A</v>
      </c>
      <c r="H561" s="15" t="str">
        <f t="shared" si="17"/>
        <v>The Commissioner &amp; Chief Constable are satisfied the spend represents VFM in accordance with the requirements of Category A</v>
      </c>
    </row>
    <row r="562" spans="1:8" x14ac:dyDescent="0.2">
      <c r="A562" s="10" t="s">
        <v>8</v>
      </c>
      <c r="B562" s="11" t="s">
        <v>9</v>
      </c>
      <c r="C562" s="16" t="s">
        <v>178</v>
      </c>
      <c r="D562" s="32">
        <v>45357</v>
      </c>
      <c r="E562" s="12">
        <v>-3923.24</v>
      </c>
      <c r="F562" s="13" t="s">
        <v>39</v>
      </c>
      <c r="G562" s="14" t="str">
        <f t="shared" si="16"/>
        <v>A</v>
      </c>
      <c r="H562" s="15" t="str">
        <f t="shared" si="17"/>
        <v>The Commissioner &amp; Chief Constable are satisfied the spend represents VFM in accordance with the requirements of Category A</v>
      </c>
    </row>
    <row r="563" spans="1:8" x14ac:dyDescent="0.2">
      <c r="A563" s="10" t="s">
        <v>8</v>
      </c>
      <c r="B563" s="11" t="s">
        <v>9</v>
      </c>
      <c r="C563" s="16" t="s">
        <v>352</v>
      </c>
      <c r="D563" s="32">
        <v>45362</v>
      </c>
      <c r="E563" s="12">
        <v>-4364.66</v>
      </c>
      <c r="F563" s="13" t="s">
        <v>58</v>
      </c>
      <c r="G563" s="14" t="str">
        <f t="shared" si="16"/>
        <v>A</v>
      </c>
      <c r="H563" s="15" t="str">
        <f t="shared" si="17"/>
        <v>The Commissioner &amp; Chief Constable are satisfied the spend represents VFM in accordance with the requirements of Category A</v>
      </c>
    </row>
    <row r="564" spans="1:8" x14ac:dyDescent="0.2">
      <c r="A564" s="10" t="s">
        <v>8</v>
      </c>
      <c r="B564" s="11" t="s">
        <v>9</v>
      </c>
      <c r="C564" s="16" t="s">
        <v>183</v>
      </c>
      <c r="D564" s="32">
        <v>45358</v>
      </c>
      <c r="E564" s="12">
        <v>-4809</v>
      </c>
      <c r="F564" s="13" t="s">
        <v>129</v>
      </c>
      <c r="G564" s="14" t="str">
        <f t="shared" si="16"/>
        <v>A</v>
      </c>
      <c r="H564" s="15" t="str">
        <f t="shared" si="17"/>
        <v>The Commissioner &amp; Chief Constable are satisfied the spend represents VFM in accordance with the requirements of Category A</v>
      </c>
    </row>
    <row r="565" spans="1:8" x14ac:dyDescent="0.2">
      <c r="A565" s="10" t="s">
        <v>8</v>
      </c>
      <c r="B565" s="11" t="s">
        <v>9</v>
      </c>
      <c r="C565" s="16" t="s">
        <v>351</v>
      </c>
      <c r="D565" s="32">
        <v>45366</v>
      </c>
      <c r="E565" s="12">
        <v>-5341</v>
      </c>
      <c r="F565" s="13" t="s">
        <v>131</v>
      </c>
      <c r="G565" s="14" t="str">
        <f t="shared" si="16"/>
        <v>A</v>
      </c>
      <c r="H565" s="15" t="str">
        <f t="shared" si="17"/>
        <v>The Commissioner &amp; Chief Constable are satisfied the spend represents VFM in accordance with the requirements of Category A</v>
      </c>
    </row>
    <row r="566" spans="1:8" x14ac:dyDescent="0.2">
      <c r="A566" s="10" t="s">
        <v>8</v>
      </c>
      <c r="B566" s="11" t="s">
        <v>9</v>
      </c>
      <c r="C566" s="16" t="s">
        <v>74</v>
      </c>
      <c r="D566" s="32">
        <v>45378</v>
      </c>
      <c r="E566" s="12">
        <v>-12738.8</v>
      </c>
      <c r="F566" s="13" t="s">
        <v>158</v>
      </c>
      <c r="G566" s="14" t="str">
        <f t="shared" si="16"/>
        <v>A</v>
      </c>
      <c r="H566" s="15" t="str">
        <f t="shared" si="17"/>
        <v>The Commissioner &amp; Chief Constable are satisfied the spend represents VFM in accordance with the requirements of Category A</v>
      </c>
    </row>
  </sheetData>
  <autoFilter ref="A1:M566" xr:uid="{AF5110F1-25C9-4B77-8A24-8633EEED045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5A02-AE0F-430C-9F78-23199B5E54E8}">
  <sheetPr>
    <pageSetUpPr fitToPage="1"/>
  </sheetPr>
  <dimension ref="A1:M522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"/>
  <cols>
    <col min="1" max="1" width="35.28515625" style="47" bestFit="1" customWidth="1"/>
    <col min="2" max="2" width="18.85546875" style="47" bestFit="1" customWidth="1"/>
    <col min="3" max="3" width="44.85546875" style="42" bestFit="1" customWidth="1"/>
    <col min="4" max="4" width="20" style="46" customWidth="1"/>
    <col min="5" max="5" width="10.28515625" style="45" customWidth="1"/>
    <col min="6" max="6" width="11.140625" style="44" bestFit="1" customWidth="1"/>
    <col min="7" max="7" width="38.85546875" style="42" bestFit="1" customWidth="1"/>
    <col min="8" max="8" width="11.7109375" style="43" bestFit="1" customWidth="1"/>
    <col min="9" max="9" width="93.42578125" style="42" bestFit="1" customWidth="1"/>
    <col min="10" max="10" width="1.7109375" style="42" customWidth="1"/>
    <col min="11" max="11" width="16.140625" style="42" bestFit="1" customWidth="1"/>
    <col min="12" max="13" width="5.7109375" style="41" hidden="1" customWidth="1"/>
    <col min="14" max="14" width="5.7109375" style="41" bestFit="1" customWidth="1"/>
    <col min="15" max="16384" width="9.140625" style="41"/>
  </cols>
  <sheetData>
    <row r="1" spans="1:13" s="61" customFormat="1" ht="32.25" thickBot="1" x14ac:dyDescent="0.3">
      <c r="A1" s="70" t="s">
        <v>0</v>
      </c>
      <c r="B1" s="69" t="s">
        <v>1</v>
      </c>
      <c r="C1" s="68" t="s">
        <v>669</v>
      </c>
      <c r="D1" s="67" t="s">
        <v>668</v>
      </c>
      <c r="E1" s="66" t="s">
        <v>667</v>
      </c>
      <c r="F1" s="65" t="s">
        <v>4</v>
      </c>
      <c r="G1" s="64"/>
      <c r="H1" s="64" t="s">
        <v>6</v>
      </c>
      <c r="I1" s="63" t="s">
        <v>7</v>
      </c>
      <c r="K1" s="62"/>
    </row>
    <row r="2" spans="1:13" x14ac:dyDescent="0.2">
      <c r="A2" s="56" t="s">
        <v>8</v>
      </c>
      <c r="B2" s="55" t="s">
        <v>9</v>
      </c>
      <c r="C2" s="54" t="s">
        <v>592</v>
      </c>
      <c r="D2" s="53">
        <v>3067653</v>
      </c>
      <c r="E2" s="52">
        <v>45404</v>
      </c>
      <c r="F2" s="51">
        <v>584913.63</v>
      </c>
      <c r="G2" s="50" t="s">
        <v>345</v>
      </c>
      <c r="H2" s="49" t="str">
        <f t="shared" ref="H2:H65" si="0">IF(F2&gt;25000,"C",IF(F2&gt;1000,"B","A"))</f>
        <v>C</v>
      </c>
      <c r="I2" s="48" t="str">
        <f t="shared" ref="I2:I65" si="1">VLOOKUP(H2,$L$2:$M$4,2,FALSE)</f>
        <v>The Commissioner &amp; Chief Constable are satisfied the spend represents VFM in accordance with the requirements of Category C</v>
      </c>
      <c r="J2" s="60"/>
      <c r="K2" s="60"/>
      <c r="L2" s="41" t="s">
        <v>12</v>
      </c>
      <c r="M2" s="48" t="s">
        <v>13</v>
      </c>
    </row>
    <row r="3" spans="1:13" x14ac:dyDescent="0.2">
      <c r="A3" s="56" t="s">
        <v>8</v>
      </c>
      <c r="B3" s="55" t="s">
        <v>9</v>
      </c>
      <c r="C3" s="54" t="s">
        <v>70</v>
      </c>
      <c r="D3" s="53">
        <v>7171157</v>
      </c>
      <c r="E3" s="52">
        <v>45384</v>
      </c>
      <c r="F3" s="51">
        <v>499715</v>
      </c>
      <c r="G3" s="50" t="s">
        <v>229</v>
      </c>
      <c r="H3" s="49" t="str">
        <f t="shared" si="0"/>
        <v>C</v>
      </c>
      <c r="I3" s="48" t="str">
        <f t="shared" si="1"/>
        <v>The Commissioner &amp; Chief Constable are satisfied the spend represents VFM in accordance with the requirements of Category C</v>
      </c>
      <c r="J3" s="60"/>
      <c r="K3" s="60"/>
      <c r="L3" s="41" t="s">
        <v>16</v>
      </c>
      <c r="M3" s="48" t="s">
        <v>17</v>
      </c>
    </row>
    <row r="4" spans="1:13" x14ac:dyDescent="0.2">
      <c r="A4" s="56" t="s">
        <v>8</v>
      </c>
      <c r="B4" s="55" t="s">
        <v>9</v>
      </c>
      <c r="C4" s="54" t="s">
        <v>10</v>
      </c>
      <c r="D4" s="53">
        <v>3067659</v>
      </c>
      <c r="E4" s="52">
        <v>45406</v>
      </c>
      <c r="F4" s="51">
        <v>386471.24</v>
      </c>
      <c r="G4" s="50" t="s">
        <v>11</v>
      </c>
      <c r="H4" s="49" t="str">
        <f t="shared" si="0"/>
        <v>C</v>
      </c>
      <c r="I4" s="48" t="str">
        <f t="shared" si="1"/>
        <v>The Commissioner &amp; Chief Constable are satisfied the spend represents VFM in accordance with the requirements of Category C</v>
      </c>
      <c r="J4" s="60"/>
      <c r="K4" s="60"/>
      <c r="L4" s="41" t="s">
        <v>20</v>
      </c>
      <c r="M4" s="48" t="s">
        <v>21</v>
      </c>
    </row>
    <row r="5" spans="1:13" x14ac:dyDescent="0.2">
      <c r="A5" s="56" t="s">
        <v>8</v>
      </c>
      <c r="B5" s="55" t="s">
        <v>9</v>
      </c>
      <c r="C5" s="54" t="s">
        <v>666</v>
      </c>
      <c r="D5" s="53">
        <v>9034552</v>
      </c>
      <c r="E5" s="52">
        <v>45405</v>
      </c>
      <c r="F5" s="51">
        <v>309838.49</v>
      </c>
      <c r="G5" s="50" t="s">
        <v>19</v>
      </c>
      <c r="H5" s="49" t="str">
        <f t="shared" si="0"/>
        <v>C</v>
      </c>
      <c r="I5" s="48" t="str">
        <f t="shared" si="1"/>
        <v>The Commissioner &amp; Chief Constable are satisfied the spend represents VFM in accordance with the requirements of Category C</v>
      </c>
      <c r="J5" s="60"/>
      <c r="K5" s="60"/>
    </row>
    <row r="6" spans="1:13" x14ac:dyDescent="0.2">
      <c r="A6" s="56" t="s">
        <v>8</v>
      </c>
      <c r="B6" s="55" t="s">
        <v>9</v>
      </c>
      <c r="C6" s="57" t="s">
        <v>105</v>
      </c>
      <c r="D6" s="53">
        <v>7171210</v>
      </c>
      <c r="E6" s="52">
        <v>45400</v>
      </c>
      <c r="F6" s="51">
        <v>212464.26</v>
      </c>
      <c r="G6" s="50" t="s">
        <v>665</v>
      </c>
      <c r="H6" s="49" t="str">
        <f t="shared" si="0"/>
        <v>C</v>
      </c>
      <c r="I6" s="48" t="str">
        <f t="shared" si="1"/>
        <v>The Commissioner &amp; Chief Constable are satisfied the spend represents VFM in accordance with the requirements of Category C</v>
      </c>
      <c r="J6" s="60"/>
      <c r="K6" s="60"/>
    </row>
    <row r="7" spans="1:13" x14ac:dyDescent="0.2">
      <c r="A7" s="56" t="s">
        <v>8</v>
      </c>
      <c r="B7" s="55" t="s">
        <v>9</v>
      </c>
      <c r="C7" s="54" t="s">
        <v>252</v>
      </c>
      <c r="D7" s="53">
        <v>7170451</v>
      </c>
      <c r="E7" s="52">
        <v>45393</v>
      </c>
      <c r="F7" s="51">
        <v>205120</v>
      </c>
      <c r="G7" s="50" t="s">
        <v>75</v>
      </c>
      <c r="H7" s="49" t="str">
        <f t="shared" si="0"/>
        <v>C</v>
      </c>
      <c r="I7" s="48" t="str">
        <f t="shared" si="1"/>
        <v>The Commissioner &amp; Chief Constable are satisfied the spend represents VFM in accordance with the requirements of Category C</v>
      </c>
      <c r="J7" s="60"/>
      <c r="K7" s="60"/>
    </row>
    <row r="8" spans="1:13" x14ac:dyDescent="0.2">
      <c r="A8" s="56" t="s">
        <v>8</v>
      </c>
      <c r="B8" s="55" t="s">
        <v>9</v>
      </c>
      <c r="C8" s="57" t="s">
        <v>173</v>
      </c>
      <c r="D8" s="53">
        <v>7170732</v>
      </c>
      <c r="E8" s="52">
        <v>45386</v>
      </c>
      <c r="F8" s="51">
        <v>178848.67</v>
      </c>
      <c r="G8" s="50" t="s">
        <v>229</v>
      </c>
      <c r="H8" s="49" t="str">
        <f t="shared" si="0"/>
        <v>C</v>
      </c>
      <c r="I8" s="48" t="str">
        <f t="shared" si="1"/>
        <v>The Commissioner &amp; Chief Constable are satisfied the spend represents VFM in accordance with the requirements of Category C</v>
      </c>
      <c r="J8" s="60"/>
      <c r="K8" s="60"/>
    </row>
    <row r="9" spans="1:13" x14ac:dyDescent="0.2">
      <c r="A9" s="56" t="s">
        <v>8</v>
      </c>
      <c r="B9" s="55" t="s">
        <v>9</v>
      </c>
      <c r="C9" s="54" t="s">
        <v>74</v>
      </c>
      <c r="D9" s="53">
        <v>7171162</v>
      </c>
      <c r="E9" s="52">
        <v>45396</v>
      </c>
      <c r="F9" s="51">
        <v>173376.9</v>
      </c>
      <c r="G9" s="50" t="s">
        <v>218</v>
      </c>
      <c r="H9" s="49" t="str">
        <f t="shared" si="0"/>
        <v>C</v>
      </c>
      <c r="I9" s="48" t="str">
        <f t="shared" si="1"/>
        <v>The Commissioner &amp; Chief Constable are satisfied the spend represents VFM in accordance with the requirements of Category C</v>
      </c>
      <c r="J9" s="60"/>
      <c r="K9" s="60"/>
    </row>
    <row r="10" spans="1:13" x14ac:dyDescent="0.2">
      <c r="A10" s="56" t="s">
        <v>8</v>
      </c>
      <c r="B10" s="55" t="s">
        <v>9</v>
      </c>
      <c r="C10" s="54" t="s">
        <v>23</v>
      </c>
      <c r="D10" s="53">
        <v>7171872</v>
      </c>
      <c r="E10" s="52">
        <v>45412</v>
      </c>
      <c r="F10" s="51">
        <v>173018.49</v>
      </c>
      <c r="G10" s="50" t="s">
        <v>24</v>
      </c>
      <c r="H10" s="49" t="str">
        <f t="shared" si="0"/>
        <v>C</v>
      </c>
      <c r="I10" s="48" t="str">
        <f t="shared" si="1"/>
        <v>The Commissioner &amp; Chief Constable are satisfied the spend represents VFM in accordance with the requirements of Category C</v>
      </c>
      <c r="J10" s="60"/>
      <c r="K10" s="60"/>
    </row>
    <row r="11" spans="1:13" x14ac:dyDescent="0.2">
      <c r="A11" s="56" t="s">
        <v>8</v>
      </c>
      <c r="B11" s="55" t="s">
        <v>9</v>
      </c>
      <c r="C11" s="54" t="s">
        <v>30</v>
      </c>
      <c r="D11" s="53">
        <v>7171307</v>
      </c>
      <c r="E11" s="52">
        <v>45386</v>
      </c>
      <c r="F11" s="58">
        <v>112494.58</v>
      </c>
      <c r="G11" s="50" t="s">
        <v>31</v>
      </c>
      <c r="H11" s="49" t="str">
        <f t="shared" si="0"/>
        <v>C</v>
      </c>
      <c r="I11" s="48" t="str">
        <f t="shared" si="1"/>
        <v>The Commissioner &amp; Chief Constable are satisfied the spend represents VFM in accordance with the requirements of Category C</v>
      </c>
      <c r="J11" s="60"/>
      <c r="K11" s="60"/>
    </row>
    <row r="12" spans="1:13" x14ac:dyDescent="0.2">
      <c r="A12" s="56" t="s">
        <v>8</v>
      </c>
      <c r="B12" s="55" t="s">
        <v>9</v>
      </c>
      <c r="C12" s="54" t="s">
        <v>30</v>
      </c>
      <c r="D12" s="53">
        <v>7171307</v>
      </c>
      <c r="E12" s="52">
        <v>45386</v>
      </c>
      <c r="F12" s="51">
        <v>7.92</v>
      </c>
      <c r="G12" s="59" t="s">
        <v>32</v>
      </c>
      <c r="H12" s="49" t="str">
        <f t="shared" si="0"/>
        <v>A</v>
      </c>
      <c r="I12" s="48" t="str">
        <f t="shared" si="1"/>
        <v>The Commissioner &amp; Chief Constable are satisfied the spend represents VFM in accordance with the requirements of Category A</v>
      </c>
      <c r="J12" s="60"/>
      <c r="K12" s="60"/>
    </row>
    <row r="13" spans="1:13" x14ac:dyDescent="0.2">
      <c r="A13" s="56" t="s">
        <v>8</v>
      </c>
      <c r="B13" s="55" t="s">
        <v>9</v>
      </c>
      <c r="C13" s="57" t="s">
        <v>140</v>
      </c>
      <c r="D13" s="53">
        <v>7170700</v>
      </c>
      <c r="E13" s="52">
        <v>45387</v>
      </c>
      <c r="F13" s="58">
        <v>109724.79</v>
      </c>
      <c r="G13" s="50" t="s">
        <v>34</v>
      </c>
      <c r="H13" s="49" t="str">
        <f t="shared" si="0"/>
        <v>C</v>
      </c>
      <c r="I13" s="48" t="str">
        <f t="shared" si="1"/>
        <v>The Commissioner &amp; Chief Constable are satisfied the spend represents VFM in accordance with the requirements of Category C</v>
      </c>
      <c r="J13" s="60"/>
      <c r="K13" s="60"/>
    </row>
    <row r="14" spans="1:13" x14ac:dyDescent="0.2">
      <c r="A14" s="56" t="s">
        <v>8</v>
      </c>
      <c r="B14" s="55" t="s">
        <v>9</v>
      </c>
      <c r="C14" s="54" t="s">
        <v>267</v>
      </c>
      <c r="D14" s="53">
        <v>7171170</v>
      </c>
      <c r="E14" s="52">
        <v>45384</v>
      </c>
      <c r="F14" s="58">
        <v>99161.69</v>
      </c>
      <c r="G14" s="50" t="s">
        <v>131</v>
      </c>
      <c r="H14" s="49" t="str">
        <f t="shared" si="0"/>
        <v>C</v>
      </c>
      <c r="I14" s="48" t="str">
        <f t="shared" si="1"/>
        <v>The Commissioner &amp; Chief Constable are satisfied the spend represents VFM in accordance with the requirements of Category C</v>
      </c>
      <c r="J14" s="60"/>
      <c r="K14" s="60"/>
    </row>
    <row r="15" spans="1:13" x14ac:dyDescent="0.2">
      <c r="A15" s="56" t="s">
        <v>8</v>
      </c>
      <c r="B15" s="55" t="s">
        <v>9</v>
      </c>
      <c r="C15" s="54" t="s">
        <v>267</v>
      </c>
      <c r="D15" s="53">
        <v>7171170</v>
      </c>
      <c r="E15" s="52">
        <v>45384</v>
      </c>
      <c r="F15" s="58">
        <v>4387.25</v>
      </c>
      <c r="G15" s="59" t="s">
        <v>106</v>
      </c>
      <c r="H15" s="49" t="str">
        <f t="shared" si="0"/>
        <v>B</v>
      </c>
      <c r="I15" s="48" t="str">
        <f t="shared" si="1"/>
        <v>The Commissioner &amp; Chief Constable are satisfied the spend represents VFM in accordance with the requirements of Category B</v>
      </c>
      <c r="J15" s="60"/>
      <c r="K15" s="60"/>
    </row>
    <row r="16" spans="1:13" x14ac:dyDescent="0.2">
      <c r="A16" s="56" t="s">
        <v>8</v>
      </c>
      <c r="B16" s="55" t="s">
        <v>9</v>
      </c>
      <c r="C16" s="54" t="s">
        <v>74</v>
      </c>
      <c r="D16" s="53">
        <v>7170902</v>
      </c>
      <c r="E16" s="52">
        <v>45405</v>
      </c>
      <c r="F16" s="58">
        <v>101621.67</v>
      </c>
      <c r="G16" s="50" t="s">
        <v>15</v>
      </c>
      <c r="H16" s="49" t="str">
        <f t="shared" si="0"/>
        <v>C</v>
      </c>
      <c r="I16" s="48" t="str">
        <f t="shared" si="1"/>
        <v>The Commissioner &amp; Chief Constable are satisfied the spend represents VFM in accordance with the requirements of Category C</v>
      </c>
      <c r="J16" s="60"/>
      <c r="K16" s="60"/>
    </row>
    <row r="17" spans="1:11" x14ac:dyDescent="0.2">
      <c r="A17" s="56" t="s">
        <v>8</v>
      </c>
      <c r="B17" s="55" t="s">
        <v>9</v>
      </c>
      <c r="C17" s="57" t="s">
        <v>33</v>
      </c>
      <c r="D17" s="53">
        <v>7171060</v>
      </c>
      <c r="E17" s="52">
        <v>45384</v>
      </c>
      <c r="F17" s="58">
        <v>101344.13</v>
      </c>
      <c r="G17" s="50" t="s">
        <v>664</v>
      </c>
      <c r="H17" s="49" t="str">
        <f t="shared" si="0"/>
        <v>C</v>
      </c>
      <c r="I17" s="48" t="str">
        <f t="shared" si="1"/>
        <v>The Commissioner &amp; Chief Constable are satisfied the spend represents VFM in accordance with the requirements of Category C</v>
      </c>
      <c r="J17" s="60"/>
      <c r="K17" s="60"/>
    </row>
    <row r="18" spans="1:11" x14ac:dyDescent="0.2">
      <c r="A18" s="56" t="s">
        <v>8</v>
      </c>
      <c r="B18" s="55" t="s">
        <v>9</v>
      </c>
      <c r="C18" s="54" t="s">
        <v>140</v>
      </c>
      <c r="D18" s="53">
        <v>7171477</v>
      </c>
      <c r="E18" s="52">
        <v>45411</v>
      </c>
      <c r="F18" s="58">
        <v>99879.38</v>
      </c>
      <c r="G18" s="50" t="s">
        <v>34</v>
      </c>
      <c r="H18" s="49" t="str">
        <f t="shared" si="0"/>
        <v>C</v>
      </c>
      <c r="I18" s="48" t="str">
        <f t="shared" si="1"/>
        <v>The Commissioner &amp; Chief Constable are satisfied the spend represents VFM in accordance with the requirements of Category C</v>
      </c>
      <c r="J18" s="60"/>
      <c r="K18" s="60"/>
    </row>
    <row r="19" spans="1:11" x14ac:dyDescent="0.2">
      <c r="A19" s="56" t="s">
        <v>8</v>
      </c>
      <c r="B19" s="55" t="s">
        <v>9</v>
      </c>
      <c r="C19" s="57" t="s">
        <v>661</v>
      </c>
      <c r="D19" s="53">
        <v>7172101</v>
      </c>
      <c r="E19" s="52">
        <v>45411</v>
      </c>
      <c r="F19" s="58">
        <v>97979.8</v>
      </c>
      <c r="G19" s="50" t="s">
        <v>27</v>
      </c>
      <c r="H19" s="49" t="str">
        <f t="shared" si="0"/>
        <v>C</v>
      </c>
      <c r="I19" s="48" t="str">
        <f t="shared" si="1"/>
        <v>The Commissioner &amp; Chief Constable are satisfied the spend represents VFM in accordance with the requirements of Category C</v>
      </c>
      <c r="J19" s="60"/>
      <c r="K19" s="60"/>
    </row>
    <row r="20" spans="1:11" x14ac:dyDescent="0.2">
      <c r="A20" s="56" t="s">
        <v>8</v>
      </c>
      <c r="B20" s="55" t="s">
        <v>9</v>
      </c>
      <c r="C20" s="54" t="s">
        <v>74</v>
      </c>
      <c r="D20" s="53">
        <v>7172050</v>
      </c>
      <c r="E20" s="52">
        <v>45407</v>
      </c>
      <c r="F20" s="58">
        <v>85405.9</v>
      </c>
      <c r="G20" s="50" t="s">
        <v>158</v>
      </c>
      <c r="H20" s="49" t="str">
        <f t="shared" si="0"/>
        <v>C</v>
      </c>
      <c r="I20" s="48" t="str">
        <f t="shared" si="1"/>
        <v>The Commissioner &amp; Chief Constable are satisfied the spend represents VFM in accordance with the requirements of Category C</v>
      </c>
      <c r="J20" s="60"/>
      <c r="K20" s="60"/>
    </row>
    <row r="21" spans="1:11" x14ac:dyDescent="0.2">
      <c r="A21" s="56" t="s">
        <v>8</v>
      </c>
      <c r="B21" s="55" t="s">
        <v>9</v>
      </c>
      <c r="C21" s="57" t="s">
        <v>663</v>
      </c>
      <c r="D21" s="53">
        <v>7171592</v>
      </c>
      <c r="E21" s="52">
        <v>45400</v>
      </c>
      <c r="F21" s="58">
        <v>84063</v>
      </c>
      <c r="G21" s="50" t="s">
        <v>27</v>
      </c>
      <c r="H21" s="49" t="str">
        <f t="shared" si="0"/>
        <v>C</v>
      </c>
      <c r="I21" s="48" t="str">
        <f t="shared" si="1"/>
        <v>The Commissioner &amp; Chief Constable are satisfied the spend represents VFM in accordance with the requirements of Category C</v>
      </c>
      <c r="J21" s="60"/>
      <c r="K21" s="60"/>
    </row>
    <row r="22" spans="1:11" x14ac:dyDescent="0.2">
      <c r="A22" s="56" t="s">
        <v>8</v>
      </c>
      <c r="B22" s="55" t="s">
        <v>9</v>
      </c>
      <c r="C22" s="54" t="s">
        <v>46</v>
      </c>
      <c r="D22" s="53">
        <v>7171183</v>
      </c>
      <c r="E22" s="52">
        <v>45384</v>
      </c>
      <c r="F22" s="58">
        <v>80949.009999999995</v>
      </c>
      <c r="G22" s="50" t="s">
        <v>47</v>
      </c>
      <c r="H22" s="49" t="str">
        <f t="shared" si="0"/>
        <v>C</v>
      </c>
      <c r="I22" s="48" t="str">
        <f t="shared" si="1"/>
        <v>The Commissioner &amp; Chief Constable are satisfied the spend represents VFM in accordance with the requirements of Category C</v>
      </c>
      <c r="J22" s="60"/>
      <c r="K22" s="60"/>
    </row>
    <row r="23" spans="1:11" x14ac:dyDescent="0.2">
      <c r="A23" s="56" t="s">
        <v>8</v>
      </c>
      <c r="B23" s="55" t="s">
        <v>9</v>
      </c>
      <c r="C23" s="54" t="s">
        <v>48</v>
      </c>
      <c r="D23" s="53">
        <v>7171399</v>
      </c>
      <c r="E23" s="52">
        <v>45387</v>
      </c>
      <c r="F23" s="51">
        <v>80609.25</v>
      </c>
      <c r="G23" s="50" t="s">
        <v>49</v>
      </c>
      <c r="H23" s="49" t="str">
        <f t="shared" si="0"/>
        <v>C</v>
      </c>
      <c r="I23" s="48" t="str">
        <f t="shared" si="1"/>
        <v>The Commissioner &amp; Chief Constable are satisfied the spend represents VFM in accordance with the requirements of Category C</v>
      </c>
      <c r="J23" s="60"/>
      <c r="K23" s="60"/>
    </row>
    <row r="24" spans="1:11" x14ac:dyDescent="0.2">
      <c r="A24" s="56" t="s">
        <v>8</v>
      </c>
      <c r="B24" s="55" t="s">
        <v>9</v>
      </c>
      <c r="C24" s="54" t="s">
        <v>268</v>
      </c>
      <c r="D24" s="53">
        <v>7171062</v>
      </c>
      <c r="E24" s="52">
        <v>45386</v>
      </c>
      <c r="F24" s="51">
        <v>79064.75</v>
      </c>
      <c r="G24" s="50" t="s">
        <v>177</v>
      </c>
      <c r="H24" s="49" t="str">
        <f t="shared" si="0"/>
        <v>C</v>
      </c>
      <c r="I24" s="48" t="str">
        <f t="shared" si="1"/>
        <v>The Commissioner &amp; Chief Constable are satisfied the spend represents VFM in accordance with the requirements of Category C</v>
      </c>
      <c r="J24" s="60"/>
      <c r="K24" s="60"/>
    </row>
    <row r="25" spans="1:11" x14ac:dyDescent="0.2">
      <c r="A25" s="56" t="s">
        <v>8</v>
      </c>
      <c r="B25" s="55" t="s">
        <v>9</v>
      </c>
      <c r="C25" s="57" t="s">
        <v>50</v>
      </c>
      <c r="D25" s="53">
        <v>7171941</v>
      </c>
      <c r="E25" s="52">
        <v>45412</v>
      </c>
      <c r="F25" s="51">
        <v>77657.649999999994</v>
      </c>
      <c r="G25" s="50" t="s">
        <v>36</v>
      </c>
      <c r="H25" s="49" t="str">
        <f t="shared" si="0"/>
        <v>C</v>
      </c>
      <c r="I25" s="48" t="str">
        <f t="shared" si="1"/>
        <v>The Commissioner &amp; Chief Constable are satisfied the spend represents VFM in accordance with the requirements of Category C</v>
      </c>
      <c r="J25" s="60"/>
      <c r="K25" s="60"/>
    </row>
    <row r="26" spans="1:11" x14ac:dyDescent="0.2">
      <c r="A26" s="56" t="s">
        <v>8</v>
      </c>
      <c r="B26" s="55" t="s">
        <v>9</v>
      </c>
      <c r="C26" s="54" t="s">
        <v>74</v>
      </c>
      <c r="D26" s="53">
        <v>7171601</v>
      </c>
      <c r="E26" s="52">
        <v>45397</v>
      </c>
      <c r="F26" s="51">
        <v>75271.62</v>
      </c>
      <c r="G26" s="50" t="s">
        <v>218</v>
      </c>
      <c r="H26" s="49" t="str">
        <f t="shared" si="0"/>
        <v>C</v>
      </c>
      <c r="I26" s="48" t="str">
        <f t="shared" si="1"/>
        <v>The Commissioner &amp; Chief Constable are satisfied the spend represents VFM in accordance with the requirements of Category C</v>
      </c>
      <c r="J26" s="60"/>
      <c r="K26" s="60"/>
    </row>
    <row r="27" spans="1:11" x14ac:dyDescent="0.2">
      <c r="A27" s="56" t="s">
        <v>8</v>
      </c>
      <c r="B27" s="55" t="s">
        <v>9</v>
      </c>
      <c r="C27" s="54" t="s">
        <v>44</v>
      </c>
      <c r="D27" s="53">
        <v>7171551</v>
      </c>
      <c r="E27" s="52">
        <v>45392</v>
      </c>
      <c r="F27" s="51">
        <v>62642</v>
      </c>
      <c r="G27" s="50" t="s">
        <v>45</v>
      </c>
      <c r="H27" s="49" t="str">
        <f t="shared" si="0"/>
        <v>C</v>
      </c>
      <c r="I27" s="48" t="str">
        <f t="shared" si="1"/>
        <v>The Commissioner &amp; Chief Constable are satisfied the spend represents VFM in accordance with the requirements of Category C</v>
      </c>
      <c r="J27" s="60"/>
      <c r="K27" s="60"/>
    </row>
    <row r="28" spans="1:11" x14ac:dyDescent="0.2">
      <c r="A28" s="56" t="s">
        <v>8</v>
      </c>
      <c r="B28" s="55" t="s">
        <v>9</v>
      </c>
      <c r="C28" s="54" t="s">
        <v>77</v>
      </c>
      <c r="D28" s="53">
        <v>7171857</v>
      </c>
      <c r="E28" s="52">
        <v>45404</v>
      </c>
      <c r="F28" s="51">
        <v>60873</v>
      </c>
      <c r="G28" s="50" t="s">
        <v>22</v>
      </c>
      <c r="H28" s="49" t="str">
        <f t="shared" si="0"/>
        <v>C</v>
      </c>
      <c r="I28" s="48" t="str">
        <f t="shared" si="1"/>
        <v>The Commissioner &amp; Chief Constable are satisfied the spend represents VFM in accordance with the requirements of Category C</v>
      </c>
      <c r="J28" s="60"/>
      <c r="K28" s="60"/>
    </row>
    <row r="29" spans="1:11" x14ac:dyDescent="0.2">
      <c r="A29" s="56" t="s">
        <v>8</v>
      </c>
      <c r="B29" s="55" t="s">
        <v>9</v>
      </c>
      <c r="C29" s="54" t="s">
        <v>33</v>
      </c>
      <c r="D29" s="53">
        <v>7167889</v>
      </c>
      <c r="E29" s="52">
        <v>45384</v>
      </c>
      <c r="F29" s="51">
        <v>10722.89</v>
      </c>
      <c r="G29" s="50" t="s">
        <v>34</v>
      </c>
      <c r="H29" s="49" t="str">
        <f t="shared" si="0"/>
        <v>B</v>
      </c>
      <c r="I29" s="48" t="str">
        <f t="shared" si="1"/>
        <v>The Commissioner &amp; Chief Constable are satisfied the spend represents VFM in accordance with the requirements of Category B</v>
      </c>
      <c r="J29" s="60"/>
      <c r="K29" s="60"/>
    </row>
    <row r="30" spans="1:11" x14ac:dyDescent="0.2">
      <c r="A30" s="56" t="s">
        <v>8</v>
      </c>
      <c r="B30" s="55" t="s">
        <v>9</v>
      </c>
      <c r="C30" s="54" t="s">
        <v>33</v>
      </c>
      <c r="D30" s="53">
        <v>7167889</v>
      </c>
      <c r="E30" s="52">
        <v>45384</v>
      </c>
      <c r="F30" s="51">
        <v>10281.39</v>
      </c>
      <c r="G30" s="59" t="s">
        <v>24</v>
      </c>
      <c r="H30" s="49" t="str">
        <f t="shared" si="0"/>
        <v>B</v>
      </c>
      <c r="I30" s="48" t="str">
        <f t="shared" si="1"/>
        <v>The Commissioner &amp; Chief Constable are satisfied the spend represents VFM in accordance with the requirements of Category B</v>
      </c>
      <c r="J30" s="60"/>
      <c r="K30" s="60"/>
    </row>
    <row r="31" spans="1:11" x14ac:dyDescent="0.2">
      <c r="A31" s="56" t="s">
        <v>8</v>
      </c>
      <c r="B31" s="55" t="s">
        <v>9</v>
      </c>
      <c r="C31" s="54" t="s">
        <v>33</v>
      </c>
      <c r="D31" s="53">
        <v>7167889</v>
      </c>
      <c r="E31" s="52">
        <v>45384</v>
      </c>
      <c r="F31" s="51">
        <v>746.24</v>
      </c>
      <c r="G31" s="59" t="s">
        <v>35</v>
      </c>
      <c r="H31" s="49" t="str">
        <f t="shared" si="0"/>
        <v>A</v>
      </c>
      <c r="I31" s="48" t="str">
        <f t="shared" si="1"/>
        <v>The Commissioner &amp; Chief Constable are satisfied the spend represents VFM in accordance with the requirements of Category A</v>
      </c>
      <c r="J31" s="60"/>
      <c r="K31" s="60"/>
    </row>
    <row r="32" spans="1:11" x14ac:dyDescent="0.2">
      <c r="A32" s="56" t="s">
        <v>8</v>
      </c>
      <c r="B32" s="55" t="s">
        <v>9</v>
      </c>
      <c r="C32" s="54" t="s">
        <v>33</v>
      </c>
      <c r="D32" s="53">
        <v>7167889</v>
      </c>
      <c r="E32" s="52">
        <v>45384</v>
      </c>
      <c r="F32" s="51">
        <v>8871</v>
      </c>
      <c r="G32" s="59" t="s">
        <v>37</v>
      </c>
      <c r="H32" s="49" t="str">
        <f t="shared" si="0"/>
        <v>B</v>
      </c>
      <c r="I32" s="48" t="str">
        <f t="shared" si="1"/>
        <v>The Commissioner &amp; Chief Constable are satisfied the spend represents VFM in accordance with the requirements of Category B</v>
      </c>
      <c r="J32" s="60"/>
      <c r="K32" s="60"/>
    </row>
    <row r="33" spans="1:11" x14ac:dyDescent="0.2">
      <c r="A33" s="56" t="s">
        <v>8</v>
      </c>
      <c r="B33" s="55" t="s">
        <v>9</v>
      </c>
      <c r="C33" s="54" t="s">
        <v>33</v>
      </c>
      <c r="D33" s="53">
        <v>7167889</v>
      </c>
      <c r="E33" s="52">
        <v>45384</v>
      </c>
      <c r="F33" s="51">
        <v>15131.01</v>
      </c>
      <c r="G33" s="59" t="s">
        <v>38</v>
      </c>
      <c r="H33" s="49" t="str">
        <f t="shared" si="0"/>
        <v>B</v>
      </c>
      <c r="I33" s="48" t="str">
        <f t="shared" si="1"/>
        <v>The Commissioner &amp; Chief Constable are satisfied the spend represents VFM in accordance with the requirements of Category B</v>
      </c>
      <c r="J33" s="60"/>
      <c r="K33" s="60"/>
    </row>
    <row r="34" spans="1:11" x14ac:dyDescent="0.2">
      <c r="A34" s="56" t="s">
        <v>8</v>
      </c>
      <c r="B34" s="55" t="s">
        <v>9</v>
      </c>
      <c r="C34" s="54" t="s">
        <v>33</v>
      </c>
      <c r="D34" s="53">
        <v>7167889</v>
      </c>
      <c r="E34" s="52">
        <v>45384</v>
      </c>
      <c r="F34" s="51">
        <v>8076.94</v>
      </c>
      <c r="G34" s="59" t="s">
        <v>39</v>
      </c>
      <c r="H34" s="49" t="str">
        <f t="shared" si="0"/>
        <v>B</v>
      </c>
      <c r="I34" s="48" t="str">
        <f t="shared" si="1"/>
        <v>The Commissioner &amp; Chief Constable are satisfied the spend represents VFM in accordance with the requirements of Category B</v>
      </c>
      <c r="J34" s="60"/>
      <c r="K34" s="60"/>
    </row>
    <row r="35" spans="1:11" x14ac:dyDescent="0.2">
      <c r="A35" s="56" t="s">
        <v>8</v>
      </c>
      <c r="B35" s="55" t="s">
        <v>9</v>
      </c>
      <c r="C35" s="57" t="s">
        <v>33</v>
      </c>
      <c r="D35" s="53">
        <v>7167889</v>
      </c>
      <c r="E35" s="52">
        <v>45384</v>
      </c>
      <c r="F35" s="51">
        <v>5803.11</v>
      </c>
      <c r="G35" s="59" t="s">
        <v>40</v>
      </c>
      <c r="H35" s="49" t="str">
        <f t="shared" si="0"/>
        <v>B</v>
      </c>
      <c r="I35" s="48" t="str">
        <f t="shared" si="1"/>
        <v>The Commissioner &amp; Chief Constable are satisfied the spend represents VFM in accordance with the requirements of Category B</v>
      </c>
      <c r="J35" s="60"/>
      <c r="K35" s="60"/>
    </row>
    <row r="36" spans="1:11" x14ac:dyDescent="0.2">
      <c r="A36" s="56" t="s">
        <v>8</v>
      </c>
      <c r="B36" s="55" t="s">
        <v>9</v>
      </c>
      <c r="C36" s="54" t="s">
        <v>33</v>
      </c>
      <c r="D36" s="53">
        <v>7167889</v>
      </c>
      <c r="E36" s="52">
        <v>45384</v>
      </c>
      <c r="F36" s="51">
        <v>117.58</v>
      </c>
      <c r="G36" s="59" t="s">
        <v>41</v>
      </c>
      <c r="H36" s="49" t="str">
        <f t="shared" si="0"/>
        <v>A</v>
      </c>
      <c r="I36" s="48" t="str">
        <f t="shared" si="1"/>
        <v>The Commissioner &amp; Chief Constable are satisfied the spend represents VFM in accordance with the requirements of Category A</v>
      </c>
      <c r="J36" s="60"/>
      <c r="K36" s="60"/>
    </row>
    <row r="37" spans="1:11" x14ac:dyDescent="0.2">
      <c r="A37" s="56" t="s">
        <v>8</v>
      </c>
      <c r="B37" s="55" t="s">
        <v>9</v>
      </c>
      <c r="C37" s="54" t="s">
        <v>33</v>
      </c>
      <c r="D37" s="53">
        <v>7167889</v>
      </c>
      <c r="E37" s="52">
        <v>45384</v>
      </c>
      <c r="F37" s="51">
        <v>275.54000000000002</v>
      </c>
      <c r="G37" s="59" t="s">
        <v>42</v>
      </c>
      <c r="H37" s="49" t="str">
        <f t="shared" si="0"/>
        <v>A</v>
      </c>
      <c r="I37" s="48" t="str">
        <f t="shared" si="1"/>
        <v>The Commissioner &amp; Chief Constable are satisfied the spend represents VFM in accordance with the requirements of Category A</v>
      </c>
      <c r="J37" s="60"/>
      <c r="K37" s="60"/>
    </row>
    <row r="38" spans="1:11" x14ac:dyDescent="0.2">
      <c r="A38" s="56" t="s">
        <v>8</v>
      </c>
      <c r="B38" s="55" t="s">
        <v>9</v>
      </c>
      <c r="C38" s="54" t="s">
        <v>33</v>
      </c>
      <c r="D38" s="53">
        <v>7167889</v>
      </c>
      <c r="E38" s="52">
        <v>45384</v>
      </c>
      <c r="F38" s="51">
        <v>794.85</v>
      </c>
      <c r="G38" s="59" t="s">
        <v>43</v>
      </c>
      <c r="H38" s="49" t="str">
        <f t="shared" si="0"/>
        <v>A</v>
      </c>
      <c r="I38" s="48" t="str">
        <f t="shared" si="1"/>
        <v>The Commissioner &amp; Chief Constable are satisfied the spend represents VFM in accordance with the requirements of Category A</v>
      </c>
      <c r="J38" s="60"/>
      <c r="K38" s="60"/>
    </row>
    <row r="39" spans="1:11" x14ac:dyDescent="0.2">
      <c r="A39" s="56" t="s">
        <v>8</v>
      </c>
      <c r="B39" s="55" t="s">
        <v>9</v>
      </c>
      <c r="C39" s="54" t="s">
        <v>105</v>
      </c>
      <c r="D39" s="53">
        <v>7171204</v>
      </c>
      <c r="E39" s="52">
        <v>45384</v>
      </c>
      <c r="F39" s="58">
        <v>60000</v>
      </c>
      <c r="G39" s="50" t="s">
        <v>133</v>
      </c>
      <c r="H39" s="49" t="str">
        <f t="shared" si="0"/>
        <v>C</v>
      </c>
      <c r="I39" s="48" t="str">
        <f t="shared" si="1"/>
        <v>The Commissioner &amp; Chief Constable are satisfied the spend represents VFM in accordance with the requirements of Category C</v>
      </c>
      <c r="J39" s="60"/>
      <c r="K39" s="60"/>
    </row>
    <row r="40" spans="1:11" x14ac:dyDescent="0.2">
      <c r="A40" s="56" t="s">
        <v>8</v>
      </c>
      <c r="B40" s="55" t="s">
        <v>9</v>
      </c>
      <c r="C40" s="54" t="s">
        <v>52</v>
      </c>
      <c r="D40" s="53">
        <v>7171397</v>
      </c>
      <c r="E40" s="52">
        <v>45390</v>
      </c>
      <c r="F40" s="51">
        <v>59092</v>
      </c>
      <c r="G40" s="50" t="s">
        <v>45</v>
      </c>
      <c r="H40" s="49" t="str">
        <f t="shared" si="0"/>
        <v>C</v>
      </c>
      <c r="I40" s="48" t="str">
        <f t="shared" si="1"/>
        <v>The Commissioner &amp; Chief Constable are satisfied the spend represents VFM in accordance with the requirements of Category C</v>
      </c>
      <c r="J40" s="60"/>
      <c r="K40" s="60"/>
    </row>
    <row r="41" spans="1:11" x14ac:dyDescent="0.2">
      <c r="A41" s="56" t="s">
        <v>8</v>
      </c>
      <c r="B41" s="55" t="s">
        <v>9</v>
      </c>
      <c r="C41" s="54" t="s">
        <v>662</v>
      </c>
      <c r="D41" s="53">
        <v>7172132</v>
      </c>
      <c r="E41" s="52">
        <v>45411</v>
      </c>
      <c r="F41" s="51">
        <v>57750</v>
      </c>
      <c r="G41" s="50" t="s">
        <v>15</v>
      </c>
      <c r="H41" s="49" t="str">
        <f t="shared" si="0"/>
        <v>C</v>
      </c>
      <c r="I41" s="48" t="str">
        <f t="shared" si="1"/>
        <v>The Commissioner &amp; Chief Constable are satisfied the spend represents VFM in accordance with the requirements of Category C</v>
      </c>
      <c r="J41" s="60"/>
      <c r="K41" s="60"/>
    </row>
    <row r="42" spans="1:11" x14ac:dyDescent="0.2">
      <c r="A42" s="56" t="s">
        <v>8</v>
      </c>
      <c r="B42" s="55" t="s">
        <v>9</v>
      </c>
      <c r="C42" s="54" t="s">
        <v>267</v>
      </c>
      <c r="D42" s="53">
        <v>7171273</v>
      </c>
      <c r="E42" s="52">
        <v>45385</v>
      </c>
      <c r="F42" s="51">
        <v>54000</v>
      </c>
      <c r="G42" s="50" t="s">
        <v>106</v>
      </c>
      <c r="H42" s="49" t="str">
        <f t="shared" si="0"/>
        <v>C</v>
      </c>
      <c r="I42" s="48" t="str">
        <f t="shared" si="1"/>
        <v>The Commissioner &amp; Chief Constable are satisfied the spend represents VFM in accordance with the requirements of Category C</v>
      </c>
      <c r="J42" s="60"/>
      <c r="K42" s="60"/>
    </row>
    <row r="43" spans="1:11" x14ac:dyDescent="0.2">
      <c r="A43" s="56" t="s">
        <v>8</v>
      </c>
      <c r="B43" s="55" t="s">
        <v>9</v>
      </c>
      <c r="C43" s="54" t="s">
        <v>448</v>
      </c>
      <c r="D43" s="53">
        <v>7172012</v>
      </c>
      <c r="E43" s="52">
        <v>45411</v>
      </c>
      <c r="F43" s="51">
        <v>51567</v>
      </c>
      <c r="G43" s="50" t="s">
        <v>27</v>
      </c>
      <c r="H43" s="49" t="str">
        <f t="shared" si="0"/>
        <v>C</v>
      </c>
      <c r="I43" s="48" t="str">
        <f t="shared" si="1"/>
        <v>The Commissioner &amp; Chief Constable are satisfied the spend represents VFM in accordance with the requirements of Category C</v>
      </c>
      <c r="J43" s="60"/>
      <c r="K43" s="60"/>
    </row>
    <row r="44" spans="1:11" x14ac:dyDescent="0.2">
      <c r="A44" s="56" t="s">
        <v>8</v>
      </c>
      <c r="B44" s="55" t="s">
        <v>9</v>
      </c>
      <c r="C44" s="54" t="s">
        <v>26</v>
      </c>
      <c r="D44" s="53">
        <v>7171524</v>
      </c>
      <c r="E44" s="52">
        <v>45392</v>
      </c>
      <c r="F44" s="51">
        <v>51212.959999999999</v>
      </c>
      <c r="G44" s="50" t="s">
        <v>53</v>
      </c>
      <c r="H44" s="49" t="str">
        <f t="shared" si="0"/>
        <v>C</v>
      </c>
      <c r="I44" s="48" t="str">
        <f t="shared" si="1"/>
        <v>The Commissioner &amp; Chief Constable are satisfied the spend represents VFM in accordance with the requirements of Category C</v>
      </c>
      <c r="J44" s="60"/>
      <c r="K44" s="60"/>
    </row>
    <row r="45" spans="1:11" x14ac:dyDescent="0.2">
      <c r="A45" s="56" t="s">
        <v>8</v>
      </c>
      <c r="B45" s="55" t="s">
        <v>9</v>
      </c>
      <c r="C45" s="54" t="s">
        <v>661</v>
      </c>
      <c r="D45" s="53">
        <v>7171732</v>
      </c>
      <c r="E45" s="52">
        <v>45411</v>
      </c>
      <c r="F45" s="51">
        <v>50666</v>
      </c>
      <c r="G45" s="50" t="s">
        <v>27</v>
      </c>
      <c r="H45" s="49" t="str">
        <f t="shared" si="0"/>
        <v>C</v>
      </c>
      <c r="I45" s="48" t="str">
        <f t="shared" si="1"/>
        <v>The Commissioner &amp; Chief Constable are satisfied the spend represents VFM in accordance with the requirements of Category C</v>
      </c>
      <c r="J45" s="60"/>
      <c r="K45" s="60"/>
    </row>
    <row r="46" spans="1:11" x14ac:dyDescent="0.2">
      <c r="A46" s="56" t="s">
        <v>8</v>
      </c>
      <c r="B46" s="55" t="s">
        <v>9</v>
      </c>
      <c r="C46" s="54" t="s">
        <v>658</v>
      </c>
      <c r="D46" s="53">
        <v>7171191</v>
      </c>
      <c r="E46" s="52">
        <v>45385</v>
      </c>
      <c r="F46" s="51">
        <v>49957.25</v>
      </c>
      <c r="G46" s="50" t="s">
        <v>80</v>
      </c>
      <c r="H46" s="49" t="str">
        <f t="shared" si="0"/>
        <v>C</v>
      </c>
      <c r="I46" s="48" t="str">
        <f t="shared" si="1"/>
        <v>The Commissioner &amp; Chief Constable are satisfied the spend represents VFM in accordance with the requirements of Category C</v>
      </c>
      <c r="J46" s="60"/>
      <c r="K46" s="60"/>
    </row>
    <row r="47" spans="1:11" x14ac:dyDescent="0.2">
      <c r="A47" s="56" t="s">
        <v>8</v>
      </c>
      <c r="B47" s="55" t="s">
        <v>9</v>
      </c>
      <c r="C47" s="54" t="s">
        <v>623</v>
      </c>
      <c r="D47" s="53">
        <v>7171208</v>
      </c>
      <c r="E47" s="52">
        <v>45390</v>
      </c>
      <c r="F47" s="51">
        <v>48300</v>
      </c>
      <c r="G47" s="50" t="s">
        <v>27</v>
      </c>
      <c r="H47" s="49" t="str">
        <f t="shared" si="0"/>
        <v>C</v>
      </c>
      <c r="I47" s="48" t="str">
        <f t="shared" si="1"/>
        <v>The Commissioner &amp; Chief Constable are satisfied the spend represents VFM in accordance with the requirements of Category C</v>
      </c>
      <c r="J47" s="60"/>
      <c r="K47" s="60"/>
    </row>
    <row r="48" spans="1:11" x14ac:dyDescent="0.2">
      <c r="A48" s="56" t="s">
        <v>8</v>
      </c>
      <c r="B48" s="55" t="s">
        <v>9</v>
      </c>
      <c r="C48" s="54" t="s">
        <v>74</v>
      </c>
      <c r="D48" s="53">
        <v>7171145</v>
      </c>
      <c r="E48" s="52">
        <v>45384</v>
      </c>
      <c r="F48" s="51">
        <v>42675.66</v>
      </c>
      <c r="G48" s="50" t="s">
        <v>345</v>
      </c>
      <c r="H48" s="49" t="str">
        <f t="shared" si="0"/>
        <v>C</v>
      </c>
      <c r="I48" s="48" t="str">
        <f t="shared" si="1"/>
        <v>The Commissioner &amp; Chief Constable are satisfied the spend represents VFM in accordance with the requirements of Category C</v>
      </c>
      <c r="J48" s="60"/>
      <c r="K48" s="60"/>
    </row>
    <row r="49" spans="1:11" x14ac:dyDescent="0.2">
      <c r="A49" s="56" t="s">
        <v>8</v>
      </c>
      <c r="B49" s="55" t="s">
        <v>9</v>
      </c>
      <c r="C49" s="54" t="s">
        <v>660</v>
      </c>
      <c r="D49" s="53">
        <v>7172122</v>
      </c>
      <c r="E49" s="52">
        <v>45411</v>
      </c>
      <c r="F49" s="51">
        <v>40150</v>
      </c>
      <c r="G49" s="50" t="s">
        <v>15</v>
      </c>
      <c r="H49" s="49" t="str">
        <f t="shared" si="0"/>
        <v>C</v>
      </c>
      <c r="I49" s="48" t="str">
        <f t="shared" si="1"/>
        <v>The Commissioner &amp; Chief Constable are satisfied the spend represents VFM in accordance with the requirements of Category C</v>
      </c>
      <c r="J49" s="60"/>
      <c r="K49" s="60"/>
    </row>
    <row r="50" spans="1:11" x14ac:dyDescent="0.2">
      <c r="A50" s="56" t="s">
        <v>8</v>
      </c>
      <c r="B50" s="55" t="s">
        <v>9</v>
      </c>
      <c r="C50" s="54" t="s">
        <v>67</v>
      </c>
      <c r="D50" s="53">
        <v>7171289</v>
      </c>
      <c r="E50" s="52">
        <v>45391</v>
      </c>
      <c r="F50" s="51">
        <v>39632.5</v>
      </c>
      <c r="G50" s="50" t="s">
        <v>27</v>
      </c>
      <c r="H50" s="49" t="str">
        <f t="shared" si="0"/>
        <v>C</v>
      </c>
      <c r="I50" s="48" t="str">
        <f t="shared" si="1"/>
        <v>The Commissioner &amp; Chief Constable are satisfied the spend represents VFM in accordance with the requirements of Category C</v>
      </c>
      <c r="J50" s="60"/>
      <c r="K50" s="60"/>
    </row>
    <row r="51" spans="1:11" x14ac:dyDescent="0.2">
      <c r="A51" s="56" t="s">
        <v>8</v>
      </c>
      <c r="B51" s="55" t="s">
        <v>9</v>
      </c>
      <c r="C51" s="54" t="s">
        <v>26</v>
      </c>
      <c r="D51" s="53">
        <v>7171144</v>
      </c>
      <c r="E51" s="52">
        <v>45384</v>
      </c>
      <c r="F51" s="51">
        <v>39256.22</v>
      </c>
      <c r="G51" s="50" t="s">
        <v>88</v>
      </c>
      <c r="H51" s="49" t="str">
        <f t="shared" si="0"/>
        <v>C</v>
      </c>
      <c r="I51" s="48" t="str">
        <f t="shared" si="1"/>
        <v>The Commissioner &amp; Chief Constable are satisfied the spend represents VFM in accordance with the requirements of Category C</v>
      </c>
      <c r="J51" s="60"/>
      <c r="K51" s="60"/>
    </row>
    <row r="52" spans="1:11" x14ac:dyDescent="0.2">
      <c r="A52" s="56" t="s">
        <v>8</v>
      </c>
      <c r="B52" s="55" t="s">
        <v>9</v>
      </c>
      <c r="C52" s="54" t="s">
        <v>659</v>
      </c>
      <c r="D52" s="53">
        <v>7172141</v>
      </c>
      <c r="E52" s="52">
        <v>45411</v>
      </c>
      <c r="F52" s="51">
        <v>37061</v>
      </c>
      <c r="G52" s="50" t="s">
        <v>106</v>
      </c>
      <c r="H52" s="49" t="str">
        <f t="shared" si="0"/>
        <v>C</v>
      </c>
      <c r="I52" s="48" t="str">
        <f t="shared" si="1"/>
        <v>The Commissioner &amp; Chief Constable are satisfied the spend represents VFM in accordance with the requirements of Category C</v>
      </c>
      <c r="J52" s="60"/>
      <c r="K52" s="60"/>
    </row>
    <row r="53" spans="1:11" x14ac:dyDescent="0.2">
      <c r="A53" s="56" t="s">
        <v>8</v>
      </c>
      <c r="B53" s="55" t="s">
        <v>9</v>
      </c>
      <c r="C53" s="54" t="s">
        <v>223</v>
      </c>
      <c r="D53" s="53">
        <v>7171544</v>
      </c>
      <c r="E53" s="52">
        <v>45404</v>
      </c>
      <c r="F53" s="51">
        <v>36810.400000000001</v>
      </c>
      <c r="G53" s="50" t="s">
        <v>22</v>
      </c>
      <c r="H53" s="49" t="str">
        <f t="shared" si="0"/>
        <v>C</v>
      </c>
      <c r="I53" s="48" t="str">
        <f t="shared" si="1"/>
        <v>The Commissioner &amp; Chief Constable are satisfied the spend represents VFM in accordance with the requirements of Category C</v>
      </c>
      <c r="J53" s="60"/>
      <c r="K53" s="60"/>
    </row>
    <row r="54" spans="1:11" x14ac:dyDescent="0.2">
      <c r="A54" s="56" t="s">
        <v>8</v>
      </c>
      <c r="B54" s="55" t="s">
        <v>9</v>
      </c>
      <c r="C54" s="54" t="s">
        <v>415</v>
      </c>
      <c r="D54" s="53">
        <v>7171137</v>
      </c>
      <c r="E54" s="52">
        <v>45384</v>
      </c>
      <c r="F54" s="51">
        <v>34974</v>
      </c>
      <c r="G54" s="50" t="s">
        <v>590</v>
      </c>
      <c r="H54" s="49" t="str">
        <f t="shared" si="0"/>
        <v>C</v>
      </c>
      <c r="I54" s="48" t="str">
        <f t="shared" si="1"/>
        <v>The Commissioner &amp; Chief Constable are satisfied the spend represents VFM in accordance with the requirements of Category C</v>
      </c>
      <c r="J54" s="60"/>
      <c r="K54" s="60"/>
    </row>
    <row r="55" spans="1:11" x14ac:dyDescent="0.2">
      <c r="A55" s="56" t="s">
        <v>8</v>
      </c>
      <c r="B55" s="55" t="s">
        <v>9</v>
      </c>
      <c r="C55" s="54" t="s">
        <v>48</v>
      </c>
      <c r="D55" s="53">
        <v>7171361</v>
      </c>
      <c r="E55" s="52">
        <v>45387</v>
      </c>
      <c r="F55" s="51">
        <v>34563.54</v>
      </c>
      <c r="G55" s="50" t="s">
        <v>58</v>
      </c>
      <c r="H55" s="49" t="str">
        <f t="shared" si="0"/>
        <v>C</v>
      </c>
      <c r="I55" s="48" t="str">
        <f t="shared" si="1"/>
        <v>The Commissioner &amp; Chief Constable are satisfied the spend represents VFM in accordance with the requirements of Category C</v>
      </c>
      <c r="J55" s="60"/>
      <c r="K55" s="60"/>
    </row>
    <row r="56" spans="1:11" x14ac:dyDescent="0.2">
      <c r="A56" s="56" t="s">
        <v>8</v>
      </c>
      <c r="B56" s="55" t="s">
        <v>9</v>
      </c>
      <c r="C56" s="54" t="s">
        <v>658</v>
      </c>
      <c r="D56" s="53">
        <v>7171192</v>
      </c>
      <c r="E56" s="52">
        <v>45385</v>
      </c>
      <c r="F56" s="58">
        <v>33997.9</v>
      </c>
      <c r="G56" s="50" t="s">
        <v>80</v>
      </c>
      <c r="H56" s="49" t="str">
        <f t="shared" si="0"/>
        <v>C</v>
      </c>
      <c r="I56" s="48" t="str">
        <f t="shared" si="1"/>
        <v>The Commissioner &amp; Chief Constable are satisfied the spend represents VFM in accordance with the requirements of Category C</v>
      </c>
      <c r="J56" s="60"/>
      <c r="K56" s="60"/>
    </row>
    <row r="57" spans="1:11" x14ac:dyDescent="0.2">
      <c r="A57" s="56" t="s">
        <v>8</v>
      </c>
      <c r="B57" s="55" t="s">
        <v>9</v>
      </c>
      <c r="C57" s="54" t="s">
        <v>448</v>
      </c>
      <c r="D57" s="53">
        <v>7172167</v>
      </c>
      <c r="E57" s="52">
        <v>45412</v>
      </c>
      <c r="F57" s="51">
        <v>33733.75</v>
      </c>
      <c r="G57" s="50" t="s">
        <v>27</v>
      </c>
      <c r="H57" s="49" t="str">
        <f t="shared" si="0"/>
        <v>C</v>
      </c>
      <c r="I57" s="48" t="str">
        <f t="shared" si="1"/>
        <v>The Commissioner &amp; Chief Constable are satisfied the spend represents VFM in accordance with the requirements of Category C</v>
      </c>
      <c r="J57" s="60"/>
      <c r="K57" s="60"/>
    </row>
    <row r="58" spans="1:11" x14ac:dyDescent="0.2">
      <c r="A58" s="56" t="s">
        <v>8</v>
      </c>
      <c r="B58" s="55" t="s">
        <v>9</v>
      </c>
      <c r="C58" s="54" t="s">
        <v>455</v>
      </c>
      <c r="D58" s="53">
        <v>7171565</v>
      </c>
      <c r="E58" s="52">
        <v>45393</v>
      </c>
      <c r="F58" s="58">
        <v>33400</v>
      </c>
      <c r="G58" s="50" t="s">
        <v>133</v>
      </c>
      <c r="H58" s="49" t="str">
        <f t="shared" si="0"/>
        <v>C</v>
      </c>
      <c r="I58" s="48" t="str">
        <f t="shared" si="1"/>
        <v>The Commissioner &amp; Chief Constable are satisfied the spend represents VFM in accordance with the requirements of Category C</v>
      </c>
      <c r="J58" s="60"/>
      <c r="K58" s="60"/>
    </row>
    <row r="59" spans="1:11" x14ac:dyDescent="0.2">
      <c r="A59" s="56" t="s">
        <v>8</v>
      </c>
      <c r="B59" s="55" t="s">
        <v>9</v>
      </c>
      <c r="C59" s="54" t="s">
        <v>52</v>
      </c>
      <c r="D59" s="53">
        <v>7171339</v>
      </c>
      <c r="E59" s="52">
        <v>45386</v>
      </c>
      <c r="F59" s="51">
        <v>3742.5</v>
      </c>
      <c r="G59" s="50" t="s">
        <v>45</v>
      </c>
      <c r="H59" s="49" t="str">
        <f t="shared" si="0"/>
        <v>B</v>
      </c>
      <c r="I59" s="48" t="str">
        <f t="shared" si="1"/>
        <v>The Commissioner &amp; Chief Constable are satisfied the spend represents VFM in accordance with the requirements of Category B</v>
      </c>
      <c r="J59" s="60"/>
      <c r="K59" s="60"/>
    </row>
    <row r="60" spans="1:11" x14ac:dyDescent="0.2">
      <c r="A60" s="56" t="s">
        <v>8</v>
      </c>
      <c r="B60" s="55" t="s">
        <v>9</v>
      </c>
      <c r="C60" s="54" t="s">
        <v>52</v>
      </c>
      <c r="D60" s="53">
        <v>7171339</v>
      </c>
      <c r="E60" s="52">
        <v>45386</v>
      </c>
      <c r="F60" s="58">
        <v>21991</v>
      </c>
      <c r="G60" s="59" t="s">
        <v>81</v>
      </c>
      <c r="H60" s="49" t="str">
        <f t="shared" si="0"/>
        <v>B</v>
      </c>
      <c r="I60" s="48" t="str">
        <f t="shared" si="1"/>
        <v>The Commissioner &amp; Chief Constable are satisfied the spend represents VFM in accordance with the requirements of Category B</v>
      </c>
      <c r="J60" s="60"/>
      <c r="K60" s="60"/>
    </row>
    <row r="61" spans="1:11" x14ac:dyDescent="0.2">
      <c r="A61" s="56" t="s">
        <v>8</v>
      </c>
      <c r="B61" s="55" t="s">
        <v>9</v>
      </c>
      <c r="C61" s="54" t="s">
        <v>52</v>
      </c>
      <c r="D61" s="53">
        <v>7171339</v>
      </c>
      <c r="E61" s="52">
        <v>45386</v>
      </c>
      <c r="F61" s="51">
        <v>5446</v>
      </c>
      <c r="G61" s="59" t="s">
        <v>82</v>
      </c>
      <c r="H61" s="49" t="str">
        <f t="shared" si="0"/>
        <v>B</v>
      </c>
      <c r="I61" s="48" t="str">
        <f t="shared" si="1"/>
        <v>The Commissioner &amp; Chief Constable are satisfied the spend represents VFM in accordance with the requirements of Category B</v>
      </c>
      <c r="J61" s="60"/>
      <c r="K61" s="60"/>
    </row>
    <row r="62" spans="1:11" x14ac:dyDescent="0.2">
      <c r="A62" s="56" t="s">
        <v>8</v>
      </c>
      <c r="B62" s="55" t="s">
        <v>9</v>
      </c>
      <c r="C62" s="54" t="s">
        <v>589</v>
      </c>
      <c r="D62" s="53">
        <v>7171555</v>
      </c>
      <c r="E62" s="52">
        <v>45392</v>
      </c>
      <c r="F62" s="58">
        <v>30662.25</v>
      </c>
      <c r="G62" s="50" t="s">
        <v>62</v>
      </c>
      <c r="H62" s="49" t="str">
        <f t="shared" si="0"/>
        <v>C</v>
      </c>
      <c r="I62" s="48" t="str">
        <f t="shared" si="1"/>
        <v>The Commissioner &amp; Chief Constable are satisfied the spend represents VFM in accordance with the requirements of Category C</v>
      </c>
      <c r="J62" s="60"/>
      <c r="K62" s="60"/>
    </row>
    <row r="63" spans="1:11" x14ac:dyDescent="0.2">
      <c r="A63" s="56" t="s">
        <v>8</v>
      </c>
      <c r="B63" s="55" t="s">
        <v>9</v>
      </c>
      <c r="C63" s="54" t="s">
        <v>589</v>
      </c>
      <c r="D63" s="53">
        <v>7171555</v>
      </c>
      <c r="E63" s="52">
        <v>45392</v>
      </c>
      <c r="F63" s="51">
        <v>55</v>
      </c>
      <c r="G63" s="59" t="s">
        <v>63</v>
      </c>
      <c r="H63" s="49" t="str">
        <f t="shared" si="0"/>
        <v>A</v>
      </c>
      <c r="I63" s="48" t="str">
        <f t="shared" si="1"/>
        <v>The Commissioner &amp; Chief Constable are satisfied the spend represents VFM in accordance with the requirements of Category A</v>
      </c>
      <c r="J63" s="60"/>
      <c r="K63" s="60"/>
    </row>
    <row r="64" spans="1:11" x14ac:dyDescent="0.2">
      <c r="A64" s="56" t="s">
        <v>8</v>
      </c>
      <c r="B64" s="55" t="s">
        <v>9</v>
      </c>
      <c r="C64" s="57" t="s">
        <v>589</v>
      </c>
      <c r="D64" s="53">
        <v>7172247</v>
      </c>
      <c r="E64" s="52">
        <v>45412</v>
      </c>
      <c r="F64" s="58">
        <v>30634.99</v>
      </c>
      <c r="G64" s="50" t="s">
        <v>62</v>
      </c>
      <c r="H64" s="49" t="str">
        <f t="shared" si="0"/>
        <v>C</v>
      </c>
      <c r="I64" s="48" t="str">
        <f t="shared" si="1"/>
        <v>The Commissioner &amp; Chief Constable are satisfied the spend represents VFM in accordance with the requirements of Category C</v>
      </c>
      <c r="J64" s="60"/>
      <c r="K64" s="60"/>
    </row>
    <row r="65" spans="1:11" x14ac:dyDescent="0.2">
      <c r="A65" s="56" t="s">
        <v>8</v>
      </c>
      <c r="B65" s="55" t="s">
        <v>9</v>
      </c>
      <c r="C65" s="54" t="s">
        <v>589</v>
      </c>
      <c r="D65" s="53">
        <v>7172247</v>
      </c>
      <c r="E65" s="52">
        <v>45412</v>
      </c>
      <c r="F65" s="51">
        <v>55</v>
      </c>
      <c r="G65" s="59" t="s">
        <v>63</v>
      </c>
      <c r="H65" s="49" t="str">
        <f t="shared" si="0"/>
        <v>A</v>
      </c>
      <c r="I65" s="48" t="str">
        <f t="shared" si="1"/>
        <v>The Commissioner &amp; Chief Constable are satisfied the spend represents VFM in accordance with the requirements of Category A</v>
      </c>
      <c r="J65" s="60"/>
      <c r="K65" s="60"/>
    </row>
    <row r="66" spans="1:11" x14ac:dyDescent="0.2">
      <c r="A66" s="56" t="s">
        <v>8</v>
      </c>
      <c r="B66" s="55" t="s">
        <v>9</v>
      </c>
      <c r="C66" s="54" t="s">
        <v>266</v>
      </c>
      <c r="D66" s="53">
        <v>7171768</v>
      </c>
      <c r="E66" s="52">
        <v>45412</v>
      </c>
      <c r="F66" s="58">
        <v>28251.47</v>
      </c>
      <c r="G66" s="50" t="s">
        <v>84</v>
      </c>
      <c r="H66" s="49" t="str">
        <f t="shared" ref="H66:H129" si="2">IF(F66&gt;25000,"C",IF(F66&gt;1000,"B","A"))</f>
        <v>C</v>
      </c>
      <c r="I66" s="48" t="str">
        <f t="shared" ref="I66:I129" si="3">VLOOKUP(H66,$L$2:$M$4,2,FALSE)</f>
        <v>The Commissioner &amp; Chief Constable are satisfied the spend represents VFM in accordance with the requirements of Category C</v>
      </c>
      <c r="J66" s="60"/>
      <c r="K66" s="60"/>
    </row>
    <row r="67" spans="1:11" x14ac:dyDescent="0.2">
      <c r="A67" s="56" t="s">
        <v>8</v>
      </c>
      <c r="B67" s="55" t="s">
        <v>9</v>
      </c>
      <c r="C67" s="54" t="s">
        <v>266</v>
      </c>
      <c r="D67" s="53">
        <v>7171769</v>
      </c>
      <c r="E67" s="52">
        <v>45412</v>
      </c>
      <c r="F67" s="51">
        <v>28251.45</v>
      </c>
      <c r="G67" s="50" t="s">
        <v>84</v>
      </c>
      <c r="H67" s="49" t="str">
        <f t="shared" si="2"/>
        <v>C</v>
      </c>
      <c r="I67" s="48" t="str">
        <f t="shared" si="3"/>
        <v>The Commissioner &amp; Chief Constable are satisfied the spend represents VFM in accordance with the requirements of Category C</v>
      </c>
      <c r="J67" s="60"/>
      <c r="K67" s="60"/>
    </row>
    <row r="68" spans="1:11" x14ac:dyDescent="0.2">
      <c r="A68" s="56" t="s">
        <v>8</v>
      </c>
      <c r="B68" s="55" t="s">
        <v>9</v>
      </c>
      <c r="C68" s="54" t="s">
        <v>74</v>
      </c>
      <c r="D68" s="53">
        <v>7171427</v>
      </c>
      <c r="E68" s="52">
        <v>45392</v>
      </c>
      <c r="F68" s="51">
        <v>27139.5</v>
      </c>
      <c r="G68" s="50" t="s">
        <v>177</v>
      </c>
      <c r="H68" s="49" t="str">
        <f t="shared" si="2"/>
        <v>C</v>
      </c>
      <c r="I68" s="48" t="str">
        <f t="shared" si="3"/>
        <v>The Commissioner &amp; Chief Constable are satisfied the spend represents VFM in accordance with the requirements of Category C</v>
      </c>
      <c r="J68" s="60"/>
      <c r="K68" s="60"/>
    </row>
    <row r="69" spans="1:11" x14ac:dyDescent="0.2">
      <c r="A69" s="56" t="s">
        <v>8</v>
      </c>
      <c r="B69" s="55" t="s">
        <v>9</v>
      </c>
      <c r="C69" s="54" t="s">
        <v>72</v>
      </c>
      <c r="D69" s="53">
        <v>7172197</v>
      </c>
      <c r="E69" s="52">
        <v>45412</v>
      </c>
      <c r="F69" s="51">
        <v>26981.13</v>
      </c>
      <c r="G69" s="50" t="s">
        <v>27</v>
      </c>
      <c r="H69" s="49" t="str">
        <f t="shared" si="2"/>
        <v>C</v>
      </c>
      <c r="I69" s="48" t="str">
        <f t="shared" si="3"/>
        <v>The Commissioner &amp; Chief Constable are satisfied the spend represents VFM in accordance with the requirements of Category C</v>
      </c>
      <c r="J69" s="60"/>
      <c r="K69" s="60"/>
    </row>
    <row r="70" spans="1:11" x14ac:dyDescent="0.2">
      <c r="A70" s="56" t="s">
        <v>8</v>
      </c>
      <c r="B70" s="55" t="s">
        <v>9</v>
      </c>
      <c r="C70" s="57" t="s">
        <v>72</v>
      </c>
      <c r="D70" s="53">
        <v>7171207</v>
      </c>
      <c r="E70" s="52">
        <v>45391</v>
      </c>
      <c r="F70" s="58">
        <v>26981.13</v>
      </c>
      <c r="G70" s="50" t="s">
        <v>27</v>
      </c>
      <c r="H70" s="49" t="str">
        <f t="shared" si="2"/>
        <v>C</v>
      </c>
      <c r="I70" s="48" t="str">
        <f t="shared" si="3"/>
        <v>The Commissioner &amp; Chief Constable are satisfied the spend represents VFM in accordance with the requirements of Category C</v>
      </c>
      <c r="J70" s="60"/>
      <c r="K70" s="60"/>
    </row>
    <row r="71" spans="1:11" x14ac:dyDescent="0.2">
      <c r="A71" s="56" t="s">
        <v>8</v>
      </c>
      <c r="B71" s="55" t="s">
        <v>9</v>
      </c>
      <c r="C71" s="57" t="s">
        <v>48</v>
      </c>
      <c r="D71" s="53">
        <v>7171605</v>
      </c>
      <c r="E71" s="52">
        <v>45394</v>
      </c>
      <c r="F71" s="58">
        <v>26721.64</v>
      </c>
      <c r="G71" s="50" t="s">
        <v>58</v>
      </c>
      <c r="H71" s="49" t="str">
        <f t="shared" si="2"/>
        <v>C</v>
      </c>
      <c r="I71" s="48" t="str">
        <f t="shared" si="3"/>
        <v>The Commissioner &amp; Chief Constable are satisfied the spend represents VFM in accordance with the requirements of Category C</v>
      </c>
      <c r="J71" s="60"/>
      <c r="K71" s="60"/>
    </row>
    <row r="72" spans="1:11" x14ac:dyDescent="0.2">
      <c r="A72" s="56" t="s">
        <v>8</v>
      </c>
      <c r="B72" s="55" t="s">
        <v>9</v>
      </c>
      <c r="C72" s="54" t="s">
        <v>657</v>
      </c>
      <c r="D72" s="53">
        <v>9034410</v>
      </c>
      <c r="E72" s="52">
        <v>45392</v>
      </c>
      <c r="F72" s="51">
        <v>26094.7</v>
      </c>
      <c r="G72" s="50" t="s">
        <v>80</v>
      </c>
      <c r="H72" s="49" t="str">
        <f t="shared" si="2"/>
        <v>C</v>
      </c>
      <c r="I72" s="48" t="str">
        <f t="shared" si="3"/>
        <v>The Commissioner &amp; Chief Constable are satisfied the spend represents VFM in accordance with the requirements of Category C</v>
      </c>
      <c r="J72" s="60"/>
      <c r="K72" s="60"/>
    </row>
    <row r="73" spans="1:11" x14ac:dyDescent="0.2">
      <c r="A73" s="56" t="s">
        <v>8</v>
      </c>
      <c r="B73" s="55" t="s">
        <v>9</v>
      </c>
      <c r="C73" s="57" t="s">
        <v>163</v>
      </c>
      <c r="D73" s="53">
        <v>7171405</v>
      </c>
      <c r="E73" s="52">
        <v>45390</v>
      </c>
      <c r="F73" s="51">
        <v>25896</v>
      </c>
      <c r="G73" s="50" t="s">
        <v>45</v>
      </c>
      <c r="H73" s="49" t="str">
        <f t="shared" si="2"/>
        <v>C</v>
      </c>
      <c r="I73" s="48" t="str">
        <f t="shared" si="3"/>
        <v>The Commissioner &amp; Chief Constable are satisfied the spend represents VFM in accordance with the requirements of Category C</v>
      </c>
      <c r="J73" s="60"/>
      <c r="K73" s="60"/>
    </row>
    <row r="74" spans="1:11" x14ac:dyDescent="0.2">
      <c r="A74" s="56" t="s">
        <v>8</v>
      </c>
      <c r="B74" s="55" t="s">
        <v>9</v>
      </c>
      <c r="C74" s="57" t="s">
        <v>170</v>
      </c>
      <c r="D74" s="53">
        <v>7171754</v>
      </c>
      <c r="E74" s="52">
        <v>45408</v>
      </c>
      <c r="F74" s="58">
        <v>25000</v>
      </c>
      <c r="G74" s="50" t="s">
        <v>27</v>
      </c>
      <c r="H74" s="49" t="str">
        <f t="shared" si="2"/>
        <v>B</v>
      </c>
      <c r="I74" s="48" t="str">
        <f t="shared" si="3"/>
        <v>The Commissioner &amp; Chief Constable are satisfied the spend represents VFM in accordance with the requirements of Category B</v>
      </c>
      <c r="J74" s="60"/>
      <c r="K74" s="60"/>
    </row>
    <row r="75" spans="1:11" x14ac:dyDescent="0.2">
      <c r="A75" s="56" t="s">
        <v>8</v>
      </c>
      <c r="B75" s="55" t="s">
        <v>9</v>
      </c>
      <c r="C75" s="57" t="s">
        <v>77</v>
      </c>
      <c r="D75" s="53">
        <v>7172094</v>
      </c>
      <c r="E75" s="52">
        <v>45412</v>
      </c>
      <c r="F75" s="51">
        <v>24629.3</v>
      </c>
      <c r="G75" s="50" t="s">
        <v>58</v>
      </c>
      <c r="H75" s="49" t="str">
        <f t="shared" si="2"/>
        <v>B</v>
      </c>
      <c r="I75" s="48" t="str">
        <f t="shared" si="3"/>
        <v>The Commissioner &amp; Chief Constable are satisfied the spend represents VFM in accordance with the requirements of Category B</v>
      </c>
      <c r="J75" s="60"/>
      <c r="K75" s="60"/>
    </row>
    <row r="76" spans="1:11" x14ac:dyDescent="0.2">
      <c r="A76" s="56" t="s">
        <v>8</v>
      </c>
      <c r="B76" s="55" t="s">
        <v>9</v>
      </c>
      <c r="C76" s="57" t="s">
        <v>648</v>
      </c>
      <c r="D76" s="53">
        <v>7169711</v>
      </c>
      <c r="E76" s="52">
        <v>45391</v>
      </c>
      <c r="F76" s="51">
        <v>24556</v>
      </c>
      <c r="G76" s="50" t="s">
        <v>49</v>
      </c>
      <c r="H76" s="49" t="str">
        <f t="shared" si="2"/>
        <v>B</v>
      </c>
      <c r="I76" s="48" t="str">
        <f t="shared" si="3"/>
        <v>The Commissioner &amp; Chief Constable are satisfied the spend represents VFM in accordance with the requirements of Category B</v>
      </c>
      <c r="J76" s="60"/>
      <c r="K76" s="60"/>
    </row>
    <row r="77" spans="1:11" x14ac:dyDescent="0.2">
      <c r="A77" s="56" t="s">
        <v>8</v>
      </c>
      <c r="B77" s="55" t="s">
        <v>9</v>
      </c>
      <c r="C77" s="54" t="s">
        <v>44</v>
      </c>
      <c r="D77" s="53">
        <v>7171262</v>
      </c>
      <c r="E77" s="52">
        <v>45386</v>
      </c>
      <c r="F77" s="51">
        <v>2693.88</v>
      </c>
      <c r="G77" s="50" t="s">
        <v>45</v>
      </c>
      <c r="H77" s="49" t="str">
        <f t="shared" si="2"/>
        <v>B</v>
      </c>
      <c r="I77" s="48" t="str">
        <f t="shared" si="3"/>
        <v>The Commissioner &amp; Chief Constable are satisfied the spend represents VFM in accordance with the requirements of Category B</v>
      </c>
      <c r="J77" s="60"/>
      <c r="K77" s="60"/>
    </row>
    <row r="78" spans="1:11" x14ac:dyDescent="0.2">
      <c r="A78" s="56" t="s">
        <v>8</v>
      </c>
      <c r="B78" s="55" t="s">
        <v>9</v>
      </c>
      <c r="C78" s="57" t="s">
        <v>44</v>
      </c>
      <c r="D78" s="53">
        <v>7171262</v>
      </c>
      <c r="E78" s="52">
        <v>45386</v>
      </c>
      <c r="F78" s="51">
        <v>15076</v>
      </c>
      <c r="G78" s="59" t="s">
        <v>81</v>
      </c>
      <c r="H78" s="49" t="str">
        <f t="shared" si="2"/>
        <v>B</v>
      </c>
      <c r="I78" s="48" t="str">
        <f t="shared" si="3"/>
        <v>The Commissioner &amp; Chief Constable are satisfied the spend represents VFM in accordance with the requirements of Category B</v>
      </c>
      <c r="J78" s="60"/>
      <c r="K78" s="60"/>
    </row>
    <row r="79" spans="1:11" x14ac:dyDescent="0.2">
      <c r="A79" s="56" t="s">
        <v>8</v>
      </c>
      <c r="B79" s="55" t="s">
        <v>9</v>
      </c>
      <c r="C79" s="57" t="s">
        <v>44</v>
      </c>
      <c r="D79" s="53">
        <v>7171262</v>
      </c>
      <c r="E79" s="52">
        <v>45386</v>
      </c>
      <c r="F79" s="51">
        <v>6338</v>
      </c>
      <c r="G79" s="59" t="s">
        <v>82</v>
      </c>
      <c r="H79" s="49" t="str">
        <f t="shared" si="2"/>
        <v>B</v>
      </c>
      <c r="I79" s="48" t="str">
        <f t="shared" si="3"/>
        <v>The Commissioner &amp; Chief Constable are satisfied the spend represents VFM in accordance with the requirements of Category B</v>
      </c>
      <c r="J79" s="60"/>
      <c r="K79" s="60"/>
    </row>
    <row r="80" spans="1:11" x14ac:dyDescent="0.2">
      <c r="A80" s="56" t="s">
        <v>8</v>
      </c>
      <c r="B80" s="55" t="s">
        <v>9</v>
      </c>
      <c r="C80" s="54" t="s">
        <v>48</v>
      </c>
      <c r="D80" s="53">
        <v>7171765</v>
      </c>
      <c r="E80" s="52">
        <v>45399</v>
      </c>
      <c r="F80" s="51">
        <v>24106.799999999999</v>
      </c>
      <c r="G80" s="50" t="s">
        <v>15</v>
      </c>
      <c r="H80" s="49" t="str">
        <f t="shared" si="2"/>
        <v>B</v>
      </c>
      <c r="I80" s="48" t="str">
        <f t="shared" si="3"/>
        <v>The Commissioner &amp; Chief Constable are satisfied the spend represents VFM in accordance with the requirements of Category B</v>
      </c>
      <c r="J80" s="60"/>
      <c r="K80" s="60"/>
    </row>
    <row r="81" spans="1:11" x14ac:dyDescent="0.2">
      <c r="A81" s="56" t="s">
        <v>8</v>
      </c>
      <c r="B81" s="55" t="s">
        <v>9</v>
      </c>
      <c r="C81" s="57" t="s">
        <v>78</v>
      </c>
      <c r="D81" s="53">
        <v>7171194</v>
      </c>
      <c r="E81" s="52">
        <v>45384</v>
      </c>
      <c r="F81" s="51">
        <v>23885.63</v>
      </c>
      <c r="G81" s="50" t="s">
        <v>62</v>
      </c>
      <c r="H81" s="49" t="str">
        <f t="shared" si="2"/>
        <v>B</v>
      </c>
      <c r="I81" s="48" t="str">
        <f t="shared" si="3"/>
        <v>The Commissioner &amp; Chief Constable are satisfied the spend represents VFM in accordance with the requirements of Category B</v>
      </c>
      <c r="J81" s="60"/>
      <c r="K81" s="60"/>
    </row>
    <row r="82" spans="1:11" x14ac:dyDescent="0.2">
      <c r="A82" s="56" t="s">
        <v>8</v>
      </c>
      <c r="B82" s="55" t="s">
        <v>9</v>
      </c>
      <c r="C82" s="57" t="s">
        <v>78</v>
      </c>
      <c r="D82" s="53">
        <v>7171194</v>
      </c>
      <c r="E82" s="52">
        <v>45384</v>
      </c>
      <c r="F82" s="51">
        <v>55</v>
      </c>
      <c r="G82" s="59" t="s">
        <v>63</v>
      </c>
      <c r="H82" s="49" t="str">
        <f t="shared" si="2"/>
        <v>A</v>
      </c>
      <c r="I82" s="48" t="str">
        <f t="shared" si="3"/>
        <v>The Commissioner &amp; Chief Constable are satisfied the spend represents VFM in accordance with the requirements of Category A</v>
      </c>
      <c r="J82" s="60"/>
      <c r="K82" s="60"/>
    </row>
    <row r="83" spans="1:11" x14ac:dyDescent="0.2">
      <c r="A83" s="56" t="s">
        <v>8</v>
      </c>
      <c r="B83" s="55" t="s">
        <v>9</v>
      </c>
      <c r="C83" s="54" t="s">
        <v>78</v>
      </c>
      <c r="D83" s="53">
        <v>7171195</v>
      </c>
      <c r="E83" s="52">
        <v>45384</v>
      </c>
      <c r="F83" s="51">
        <v>23885.63</v>
      </c>
      <c r="G83" s="50" t="s">
        <v>62</v>
      </c>
      <c r="H83" s="49" t="str">
        <f t="shared" si="2"/>
        <v>B</v>
      </c>
      <c r="I83" s="48" t="str">
        <f t="shared" si="3"/>
        <v>The Commissioner &amp; Chief Constable are satisfied the spend represents VFM in accordance with the requirements of Category B</v>
      </c>
      <c r="J83" s="60"/>
      <c r="K83" s="60"/>
    </row>
    <row r="84" spans="1:11" x14ac:dyDescent="0.2">
      <c r="A84" s="56" t="s">
        <v>8</v>
      </c>
      <c r="B84" s="55" t="s">
        <v>9</v>
      </c>
      <c r="C84" s="57" t="s">
        <v>78</v>
      </c>
      <c r="D84" s="53">
        <v>7171195</v>
      </c>
      <c r="E84" s="52">
        <v>45384</v>
      </c>
      <c r="F84" s="51">
        <v>55</v>
      </c>
      <c r="G84" s="59" t="s">
        <v>63</v>
      </c>
      <c r="H84" s="49" t="str">
        <f t="shared" si="2"/>
        <v>A</v>
      </c>
      <c r="I84" s="48" t="str">
        <f t="shared" si="3"/>
        <v>The Commissioner &amp; Chief Constable are satisfied the spend represents VFM in accordance with the requirements of Category A</v>
      </c>
      <c r="J84" s="60"/>
      <c r="K84" s="60"/>
    </row>
    <row r="85" spans="1:11" x14ac:dyDescent="0.2">
      <c r="A85" s="56" t="s">
        <v>8</v>
      </c>
      <c r="B85" s="55" t="s">
        <v>9</v>
      </c>
      <c r="C85" s="57" t="s">
        <v>78</v>
      </c>
      <c r="D85" s="53">
        <v>7171196</v>
      </c>
      <c r="E85" s="52">
        <v>45384</v>
      </c>
      <c r="F85" s="51">
        <v>23885.63</v>
      </c>
      <c r="G85" s="50" t="s">
        <v>62</v>
      </c>
      <c r="H85" s="49" t="str">
        <f t="shared" si="2"/>
        <v>B</v>
      </c>
      <c r="I85" s="48" t="str">
        <f t="shared" si="3"/>
        <v>The Commissioner &amp; Chief Constable are satisfied the spend represents VFM in accordance with the requirements of Category B</v>
      </c>
      <c r="J85" s="60"/>
      <c r="K85" s="60"/>
    </row>
    <row r="86" spans="1:11" x14ac:dyDescent="0.2">
      <c r="A86" s="56" t="s">
        <v>8</v>
      </c>
      <c r="B86" s="55" t="s">
        <v>9</v>
      </c>
      <c r="C86" s="54" t="s">
        <v>78</v>
      </c>
      <c r="D86" s="53">
        <v>7171196</v>
      </c>
      <c r="E86" s="52">
        <v>45384</v>
      </c>
      <c r="F86" s="51">
        <v>55</v>
      </c>
      <c r="G86" s="59" t="s">
        <v>63</v>
      </c>
      <c r="H86" s="49" t="str">
        <f t="shared" si="2"/>
        <v>A</v>
      </c>
      <c r="I86" s="48" t="str">
        <f t="shared" si="3"/>
        <v>The Commissioner &amp; Chief Constable are satisfied the spend represents VFM in accordance with the requirements of Category A</v>
      </c>
      <c r="J86" s="60"/>
      <c r="K86" s="60"/>
    </row>
    <row r="87" spans="1:11" x14ac:dyDescent="0.2">
      <c r="A87" s="56" t="s">
        <v>8</v>
      </c>
      <c r="B87" s="55" t="s">
        <v>9</v>
      </c>
      <c r="C87" s="57" t="s">
        <v>78</v>
      </c>
      <c r="D87" s="53">
        <v>7171172</v>
      </c>
      <c r="E87" s="52">
        <v>45384</v>
      </c>
      <c r="F87" s="51">
        <v>23940.63</v>
      </c>
      <c r="G87" s="50" t="s">
        <v>62</v>
      </c>
      <c r="H87" s="49" t="str">
        <f t="shared" si="2"/>
        <v>B</v>
      </c>
      <c r="I87" s="48" t="str">
        <f t="shared" si="3"/>
        <v>The Commissioner &amp; Chief Constable are satisfied the spend represents VFM in accordance with the requirements of Category B</v>
      </c>
      <c r="J87" s="60"/>
      <c r="K87" s="60"/>
    </row>
    <row r="88" spans="1:11" x14ac:dyDescent="0.2">
      <c r="A88" s="56" t="s">
        <v>8</v>
      </c>
      <c r="B88" s="55" t="s">
        <v>9</v>
      </c>
      <c r="C88" s="57" t="s">
        <v>78</v>
      </c>
      <c r="D88" s="53">
        <v>7171193</v>
      </c>
      <c r="E88" s="52">
        <v>45384</v>
      </c>
      <c r="F88" s="51">
        <v>23885.63</v>
      </c>
      <c r="G88" s="50" t="s">
        <v>62</v>
      </c>
      <c r="H88" s="49" t="str">
        <f t="shared" si="2"/>
        <v>B</v>
      </c>
      <c r="I88" s="48" t="str">
        <f t="shared" si="3"/>
        <v>The Commissioner &amp; Chief Constable are satisfied the spend represents VFM in accordance with the requirements of Category B</v>
      </c>
      <c r="J88" s="60"/>
      <c r="K88" s="60"/>
    </row>
    <row r="89" spans="1:11" x14ac:dyDescent="0.2">
      <c r="A89" s="56" t="s">
        <v>8</v>
      </c>
      <c r="B89" s="55" t="s">
        <v>9</v>
      </c>
      <c r="C89" s="54" t="s">
        <v>78</v>
      </c>
      <c r="D89" s="53">
        <v>7171193</v>
      </c>
      <c r="E89" s="52">
        <v>45384</v>
      </c>
      <c r="F89" s="51">
        <v>55</v>
      </c>
      <c r="G89" s="59" t="s">
        <v>63</v>
      </c>
      <c r="H89" s="49" t="str">
        <f t="shared" si="2"/>
        <v>A</v>
      </c>
      <c r="I89" s="48" t="str">
        <f t="shared" si="3"/>
        <v>The Commissioner &amp; Chief Constable are satisfied the spend represents VFM in accordance with the requirements of Category A</v>
      </c>
      <c r="J89" s="60"/>
      <c r="K89" s="60"/>
    </row>
    <row r="90" spans="1:11" x14ac:dyDescent="0.2">
      <c r="A90" s="56" t="s">
        <v>8</v>
      </c>
      <c r="B90" s="55" t="s">
        <v>9</v>
      </c>
      <c r="C90" s="57" t="s">
        <v>78</v>
      </c>
      <c r="D90" s="53">
        <v>7171197</v>
      </c>
      <c r="E90" s="52">
        <v>45384</v>
      </c>
      <c r="F90" s="51">
        <v>23885.63</v>
      </c>
      <c r="G90" s="50" t="s">
        <v>62</v>
      </c>
      <c r="H90" s="49" t="str">
        <f t="shared" si="2"/>
        <v>B</v>
      </c>
      <c r="I90" s="48" t="str">
        <f t="shared" si="3"/>
        <v>The Commissioner &amp; Chief Constable are satisfied the spend represents VFM in accordance with the requirements of Category B</v>
      </c>
      <c r="J90" s="60"/>
      <c r="K90" s="60"/>
    </row>
    <row r="91" spans="1:11" x14ac:dyDescent="0.2">
      <c r="A91" s="56" t="s">
        <v>8</v>
      </c>
      <c r="B91" s="55" t="s">
        <v>9</v>
      </c>
      <c r="C91" s="57" t="s">
        <v>78</v>
      </c>
      <c r="D91" s="53">
        <v>7171197</v>
      </c>
      <c r="E91" s="52">
        <v>45384</v>
      </c>
      <c r="F91" s="51">
        <v>55</v>
      </c>
      <c r="G91" s="59" t="s">
        <v>63</v>
      </c>
      <c r="H91" s="49" t="str">
        <f t="shared" si="2"/>
        <v>A</v>
      </c>
      <c r="I91" s="48" t="str">
        <f t="shared" si="3"/>
        <v>The Commissioner &amp; Chief Constable are satisfied the spend represents VFM in accordance with the requirements of Category A</v>
      </c>
      <c r="J91" s="60"/>
      <c r="K91" s="60"/>
    </row>
    <row r="92" spans="1:11" x14ac:dyDescent="0.2">
      <c r="A92" s="56" t="s">
        <v>8</v>
      </c>
      <c r="B92" s="55" t="s">
        <v>9</v>
      </c>
      <c r="C92" s="54" t="s">
        <v>78</v>
      </c>
      <c r="D92" s="53">
        <v>7171198</v>
      </c>
      <c r="E92" s="52">
        <v>45384</v>
      </c>
      <c r="F92" s="51">
        <v>23885.63</v>
      </c>
      <c r="G92" s="50" t="s">
        <v>62</v>
      </c>
      <c r="H92" s="49" t="str">
        <f t="shared" si="2"/>
        <v>B</v>
      </c>
      <c r="I92" s="48" t="str">
        <f t="shared" si="3"/>
        <v>The Commissioner &amp; Chief Constable are satisfied the spend represents VFM in accordance with the requirements of Category B</v>
      </c>
      <c r="J92" s="60"/>
      <c r="K92" s="60"/>
    </row>
    <row r="93" spans="1:11" x14ac:dyDescent="0.2">
      <c r="A93" s="56" t="s">
        <v>8</v>
      </c>
      <c r="B93" s="55" t="s">
        <v>9</v>
      </c>
      <c r="C93" s="57" t="s">
        <v>78</v>
      </c>
      <c r="D93" s="53">
        <v>7171198</v>
      </c>
      <c r="E93" s="52">
        <v>45384</v>
      </c>
      <c r="F93" s="51">
        <v>55</v>
      </c>
      <c r="G93" s="59" t="s">
        <v>63</v>
      </c>
      <c r="H93" s="49" t="str">
        <f t="shared" si="2"/>
        <v>A</v>
      </c>
      <c r="I93" s="48" t="str">
        <f t="shared" si="3"/>
        <v>The Commissioner &amp; Chief Constable are satisfied the spend represents VFM in accordance with the requirements of Category A</v>
      </c>
      <c r="J93" s="60"/>
      <c r="K93" s="60"/>
    </row>
    <row r="94" spans="1:11" x14ac:dyDescent="0.2">
      <c r="A94" s="56" t="s">
        <v>8</v>
      </c>
      <c r="B94" s="55" t="s">
        <v>9</v>
      </c>
      <c r="C94" s="57" t="s">
        <v>656</v>
      </c>
      <c r="D94" s="53">
        <v>7157013</v>
      </c>
      <c r="E94" s="52">
        <v>45384</v>
      </c>
      <c r="F94" s="51">
        <v>23400</v>
      </c>
      <c r="G94" s="50" t="s">
        <v>131</v>
      </c>
      <c r="H94" s="49" t="str">
        <f t="shared" si="2"/>
        <v>B</v>
      </c>
      <c r="I94" s="48" t="str">
        <f t="shared" si="3"/>
        <v>The Commissioner &amp; Chief Constable are satisfied the spend represents VFM in accordance with the requirements of Category B</v>
      </c>
      <c r="J94" s="60"/>
      <c r="K94" s="60"/>
    </row>
    <row r="95" spans="1:11" x14ac:dyDescent="0.2">
      <c r="A95" s="56" t="s">
        <v>8</v>
      </c>
      <c r="B95" s="55" t="s">
        <v>9</v>
      </c>
      <c r="C95" s="54" t="s">
        <v>28</v>
      </c>
      <c r="D95" s="53">
        <v>7171728</v>
      </c>
      <c r="E95" s="52">
        <v>45408</v>
      </c>
      <c r="F95" s="51">
        <v>22241.68</v>
      </c>
      <c r="G95" s="50" t="s">
        <v>27</v>
      </c>
      <c r="H95" s="49" t="str">
        <f t="shared" si="2"/>
        <v>B</v>
      </c>
      <c r="I95" s="48" t="str">
        <f t="shared" si="3"/>
        <v>The Commissioner &amp; Chief Constable are satisfied the spend represents VFM in accordance with the requirements of Category B</v>
      </c>
      <c r="J95" s="60"/>
      <c r="K95" s="60"/>
    </row>
    <row r="96" spans="1:11" x14ac:dyDescent="0.2">
      <c r="A96" s="56" t="s">
        <v>8</v>
      </c>
      <c r="B96" s="55" t="s">
        <v>9</v>
      </c>
      <c r="C96" s="57" t="s">
        <v>215</v>
      </c>
      <c r="D96" s="53">
        <v>7171729</v>
      </c>
      <c r="E96" s="52">
        <v>45408</v>
      </c>
      <c r="F96" s="51">
        <v>21618.959999999999</v>
      </c>
      <c r="G96" s="50" t="s">
        <v>27</v>
      </c>
      <c r="H96" s="49" t="str">
        <f t="shared" si="2"/>
        <v>B</v>
      </c>
      <c r="I96" s="48" t="str">
        <f t="shared" si="3"/>
        <v>The Commissioner &amp; Chief Constable are satisfied the spend represents VFM in accordance with the requirements of Category B</v>
      </c>
      <c r="J96" s="60"/>
      <c r="K96" s="60"/>
    </row>
    <row r="97" spans="1:11" x14ac:dyDescent="0.2">
      <c r="A97" s="56" t="s">
        <v>8</v>
      </c>
      <c r="B97" s="55" t="s">
        <v>9</v>
      </c>
      <c r="C97" s="57" t="s">
        <v>74</v>
      </c>
      <c r="D97" s="53">
        <v>7172182</v>
      </c>
      <c r="E97" s="52">
        <v>45412</v>
      </c>
      <c r="F97" s="51">
        <v>20457.95</v>
      </c>
      <c r="G97" s="50" t="s">
        <v>75</v>
      </c>
      <c r="H97" s="49" t="str">
        <f t="shared" si="2"/>
        <v>B</v>
      </c>
      <c r="I97" s="48" t="str">
        <f t="shared" si="3"/>
        <v>The Commissioner &amp; Chief Constable are satisfied the spend represents VFM in accordance with the requirements of Category B</v>
      </c>
      <c r="J97" s="60"/>
      <c r="K97" s="60"/>
    </row>
    <row r="98" spans="1:11" x14ac:dyDescent="0.2">
      <c r="A98" s="56" t="s">
        <v>8</v>
      </c>
      <c r="B98" s="55" t="s">
        <v>9</v>
      </c>
      <c r="C98" s="54" t="s">
        <v>419</v>
      </c>
      <c r="D98" s="53">
        <v>7171030</v>
      </c>
      <c r="E98" s="52">
        <v>45384</v>
      </c>
      <c r="F98" s="51">
        <v>20071</v>
      </c>
      <c r="G98" s="50" t="s">
        <v>22</v>
      </c>
      <c r="H98" s="49" t="str">
        <f t="shared" si="2"/>
        <v>B</v>
      </c>
      <c r="I98" s="48" t="str">
        <f t="shared" si="3"/>
        <v>The Commissioner &amp; Chief Constable are satisfied the spend represents VFM in accordance with the requirements of Category B</v>
      </c>
      <c r="J98" s="60"/>
      <c r="K98" s="60"/>
    </row>
    <row r="99" spans="1:11" x14ac:dyDescent="0.2">
      <c r="A99" s="56" t="s">
        <v>8</v>
      </c>
      <c r="B99" s="55" t="s">
        <v>9</v>
      </c>
      <c r="C99" s="57" t="s">
        <v>655</v>
      </c>
      <c r="D99" s="53">
        <v>7171263</v>
      </c>
      <c r="E99" s="52">
        <v>45384</v>
      </c>
      <c r="F99" s="51">
        <v>20000</v>
      </c>
      <c r="G99" s="50" t="s">
        <v>133</v>
      </c>
      <c r="H99" s="49" t="str">
        <f t="shared" si="2"/>
        <v>B</v>
      </c>
      <c r="I99" s="48" t="str">
        <f t="shared" si="3"/>
        <v>The Commissioner &amp; Chief Constable are satisfied the spend represents VFM in accordance with the requirements of Category B</v>
      </c>
      <c r="J99" s="60"/>
      <c r="K99" s="60"/>
    </row>
    <row r="100" spans="1:11" x14ac:dyDescent="0.2">
      <c r="A100" s="56" t="s">
        <v>8</v>
      </c>
      <c r="B100" s="55" t="s">
        <v>9</v>
      </c>
      <c r="C100" s="57" t="s">
        <v>137</v>
      </c>
      <c r="D100" s="53">
        <v>7171408</v>
      </c>
      <c r="E100" s="52">
        <v>45390</v>
      </c>
      <c r="F100" s="51">
        <v>18085.12</v>
      </c>
      <c r="G100" s="50" t="s">
        <v>138</v>
      </c>
      <c r="H100" s="49" t="str">
        <f t="shared" si="2"/>
        <v>B</v>
      </c>
      <c r="I100" s="48" t="str">
        <f t="shared" si="3"/>
        <v>The Commissioner &amp; Chief Constable are satisfied the spend represents VFM in accordance with the requirements of Category B</v>
      </c>
      <c r="J100" s="60"/>
      <c r="K100" s="60"/>
    </row>
    <row r="101" spans="1:11" x14ac:dyDescent="0.2">
      <c r="A101" s="56" t="s">
        <v>8</v>
      </c>
      <c r="B101" s="55" t="s">
        <v>9</v>
      </c>
      <c r="C101" s="54" t="s">
        <v>448</v>
      </c>
      <c r="D101" s="53">
        <v>7171519</v>
      </c>
      <c r="E101" s="52">
        <v>45397</v>
      </c>
      <c r="F101" s="51">
        <v>17900</v>
      </c>
      <c r="G101" s="50" t="s">
        <v>27</v>
      </c>
      <c r="H101" s="49" t="str">
        <f t="shared" si="2"/>
        <v>B</v>
      </c>
      <c r="I101" s="48" t="str">
        <f t="shared" si="3"/>
        <v>The Commissioner &amp; Chief Constable are satisfied the spend represents VFM in accordance with the requirements of Category B</v>
      </c>
      <c r="J101" s="60"/>
      <c r="K101" s="60"/>
    </row>
    <row r="102" spans="1:11" x14ac:dyDescent="0.2">
      <c r="A102" s="56" t="s">
        <v>8</v>
      </c>
      <c r="B102" s="55" t="s">
        <v>9</v>
      </c>
      <c r="C102" s="57" t="s">
        <v>26</v>
      </c>
      <c r="D102" s="53">
        <v>7172038</v>
      </c>
      <c r="E102" s="52">
        <v>45408</v>
      </c>
      <c r="F102" s="51">
        <v>17620</v>
      </c>
      <c r="G102" s="50" t="s">
        <v>27</v>
      </c>
      <c r="H102" s="49" t="str">
        <f t="shared" si="2"/>
        <v>B</v>
      </c>
      <c r="I102" s="48" t="str">
        <f t="shared" si="3"/>
        <v>The Commissioner &amp; Chief Constable are satisfied the spend represents VFM in accordance with the requirements of Category B</v>
      </c>
      <c r="J102" s="60"/>
      <c r="K102" s="60"/>
    </row>
    <row r="103" spans="1:11" x14ac:dyDescent="0.2">
      <c r="A103" s="56" t="s">
        <v>8</v>
      </c>
      <c r="B103" s="55" t="s">
        <v>9</v>
      </c>
      <c r="C103" s="57" t="s">
        <v>639</v>
      </c>
      <c r="D103" s="53">
        <v>7171727</v>
      </c>
      <c r="E103" s="52">
        <v>45408</v>
      </c>
      <c r="F103" s="51">
        <v>17273.560000000001</v>
      </c>
      <c r="G103" s="50" t="s">
        <v>27</v>
      </c>
      <c r="H103" s="49" t="str">
        <f t="shared" si="2"/>
        <v>B</v>
      </c>
      <c r="I103" s="48" t="str">
        <f t="shared" si="3"/>
        <v>The Commissioner &amp; Chief Constable are satisfied the spend represents VFM in accordance with the requirements of Category B</v>
      </c>
      <c r="J103" s="60"/>
      <c r="K103" s="60"/>
    </row>
    <row r="104" spans="1:11" x14ac:dyDescent="0.2">
      <c r="A104" s="56" t="s">
        <v>8</v>
      </c>
      <c r="B104" s="55" t="s">
        <v>9</v>
      </c>
      <c r="C104" s="54" t="s">
        <v>181</v>
      </c>
      <c r="D104" s="53">
        <v>7171976</v>
      </c>
      <c r="E104" s="52">
        <v>45405</v>
      </c>
      <c r="F104" s="51">
        <v>17245.400000000001</v>
      </c>
      <c r="G104" s="50" t="s">
        <v>98</v>
      </c>
      <c r="H104" s="49" t="str">
        <f t="shared" si="2"/>
        <v>B</v>
      </c>
      <c r="I104" s="48" t="str">
        <f t="shared" si="3"/>
        <v>The Commissioner &amp; Chief Constable are satisfied the spend represents VFM in accordance with the requirements of Category B</v>
      </c>
      <c r="J104" s="60"/>
      <c r="K104" s="60"/>
    </row>
    <row r="105" spans="1:11" x14ac:dyDescent="0.2">
      <c r="A105" s="56" t="s">
        <v>8</v>
      </c>
      <c r="B105" s="55" t="s">
        <v>9</v>
      </c>
      <c r="C105" s="57" t="s">
        <v>654</v>
      </c>
      <c r="D105" s="53">
        <v>7172120</v>
      </c>
      <c r="E105" s="52">
        <v>45411</v>
      </c>
      <c r="F105" s="51">
        <v>17194.05</v>
      </c>
      <c r="G105" s="50" t="s">
        <v>98</v>
      </c>
      <c r="H105" s="49" t="str">
        <f t="shared" si="2"/>
        <v>B</v>
      </c>
      <c r="I105" s="48" t="str">
        <f t="shared" si="3"/>
        <v>The Commissioner &amp; Chief Constable are satisfied the spend represents VFM in accordance with the requirements of Category B</v>
      </c>
      <c r="J105" s="60"/>
      <c r="K105" s="60"/>
    </row>
    <row r="106" spans="1:11" x14ac:dyDescent="0.2">
      <c r="A106" s="56" t="s">
        <v>8</v>
      </c>
      <c r="B106" s="55" t="s">
        <v>9</v>
      </c>
      <c r="C106" s="57" t="s">
        <v>653</v>
      </c>
      <c r="D106" s="53">
        <v>7171761</v>
      </c>
      <c r="E106" s="52">
        <v>45408</v>
      </c>
      <c r="F106" s="51">
        <v>17192</v>
      </c>
      <c r="G106" s="50" t="s">
        <v>27</v>
      </c>
      <c r="H106" s="49" t="str">
        <f t="shared" si="2"/>
        <v>B</v>
      </c>
      <c r="I106" s="48" t="str">
        <f t="shared" si="3"/>
        <v>The Commissioner &amp; Chief Constable are satisfied the spend represents VFM in accordance with the requirements of Category B</v>
      </c>
      <c r="J106" s="60"/>
      <c r="K106" s="60"/>
    </row>
    <row r="107" spans="1:11" x14ac:dyDescent="0.2">
      <c r="A107" s="56" t="s">
        <v>8</v>
      </c>
      <c r="B107" s="55" t="s">
        <v>9</v>
      </c>
      <c r="C107" s="54" t="s">
        <v>652</v>
      </c>
      <c r="D107" s="53">
        <v>3067652</v>
      </c>
      <c r="E107" s="52">
        <v>45404</v>
      </c>
      <c r="F107" s="51">
        <v>16677</v>
      </c>
      <c r="G107" s="50" t="s">
        <v>131</v>
      </c>
      <c r="H107" s="49" t="str">
        <f t="shared" si="2"/>
        <v>B</v>
      </c>
      <c r="I107" s="48" t="str">
        <f t="shared" si="3"/>
        <v>The Commissioner &amp; Chief Constable are satisfied the spend represents VFM in accordance with the requirements of Category B</v>
      </c>
      <c r="J107" s="60"/>
      <c r="K107" s="60"/>
    </row>
    <row r="108" spans="1:11" x14ac:dyDescent="0.2">
      <c r="A108" s="56" t="s">
        <v>8</v>
      </c>
      <c r="B108" s="55" t="s">
        <v>9</v>
      </c>
      <c r="C108" s="54" t="s">
        <v>48</v>
      </c>
      <c r="D108" s="53">
        <v>7171681</v>
      </c>
      <c r="E108" s="52">
        <v>45397</v>
      </c>
      <c r="F108" s="51">
        <v>16581.25</v>
      </c>
      <c r="G108" s="50" t="s">
        <v>15</v>
      </c>
      <c r="H108" s="49" t="str">
        <f t="shared" si="2"/>
        <v>B</v>
      </c>
      <c r="I108" s="48" t="str">
        <f t="shared" si="3"/>
        <v>The Commissioner &amp; Chief Constable are satisfied the spend represents VFM in accordance with the requirements of Category B</v>
      </c>
      <c r="J108" s="60"/>
      <c r="K108" s="60"/>
    </row>
    <row r="109" spans="1:11" x14ac:dyDescent="0.2">
      <c r="A109" s="56" t="s">
        <v>8</v>
      </c>
      <c r="B109" s="55" t="s">
        <v>9</v>
      </c>
      <c r="C109" s="54" t="s">
        <v>651</v>
      </c>
      <c r="D109" s="53">
        <v>7171412</v>
      </c>
      <c r="E109" s="52">
        <v>45395</v>
      </c>
      <c r="F109" s="51">
        <v>16490.23</v>
      </c>
      <c r="G109" s="50" t="s">
        <v>24</v>
      </c>
      <c r="H109" s="49" t="str">
        <f t="shared" si="2"/>
        <v>B</v>
      </c>
      <c r="I109" s="48" t="str">
        <f t="shared" si="3"/>
        <v>The Commissioner &amp; Chief Constable are satisfied the spend represents VFM in accordance with the requirements of Category B</v>
      </c>
      <c r="J109" s="60"/>
      <c r="K109" s="60"/>
    </row>
    <row r="110" spans="1:11" x14ac:dyDescent="0.2">
      <c r="A110" s="56" t="s">
        <v>8</v>
      </c>
      <c r="B110" s="55" t="s">
        <v>9</v>
      </c>
      <c r="C110" s="54" t="s">
        <v>115</v>
      </c>
      <c r="D110" s="53">
        <v>7172063</v>
      </c>
      <c r="E110" s="52">
        <v>45406</v>
      </c>
      <c r="F110" s="51">
        <v>16213.78</v>
      </c>
      <c r="G110" s="50" t="s">
        <v>116</v>
      </c>
      <c r="H110" s="49" t="str">
        <f t="shared" si="2"/>
        <v>B</v>
      </c>
      <c r="I110" s="48" t="str">
        <f t="shared" si="3"/>
        <v>The Commissioner &amp; Chief Constable are satisfied the spend represents VFM in accordance with the requirements of Category B</v>
      </c>
      <c r="J110" s="60"/>
      <c r="K110" s="60"/>
    </row>
    <row r="111" spans="1:11" x14ac:dyDescent="0.2">
      <c r="A111" s="56" t="s">
        <v>8</v>
      </c>
      <c r="B111" s="55" t="s">
        <v>9</v>
      </c>
      <c r="C111" s="57" t="s">
        <v>631</v>
      </c>
      <c r="D111" s="53">
        <v>7172116</v>
      </c>
      <c r="E111" s="52">
        <v>45411</v>
      </c>
      <c r="F111" s="51">
        <v>15962.5</v>
      </c>
      <c r="G111" s="50" t="s">
        <v>133</v>
      </c>
      <c r="H111" s="49" t="str">
        <f t="shared" si="2"/>
        <v>B</v>
      </c>
      <c r="I111" s="48" t="str">
        <f t="shared" si="3"/>
        <v>The Commissioner &amp; Chief Constable are satisfied the spend represents VFM in accordance with the requirements of Category B</v>
      </c>
      <c r="J111" s="60"/>
      <c r="K111" s="60"/>
    </row>
    <row r="112" spans="1:11" x14ac:dyDescent="0.2">
      <c r="A112" s="56" t="s">
        <v>8</v>
      </c>
      <c r="B112" s="55" t="s">
        <v>9</v>
      </c>
      <c r="C112" s="54" t="s">
        <v>650</v>
      </c>
      <c r="D112" s="53">
        <v>7172039</v>
      </c>
      <c r="E112" s="52">
        <v>45411</v>
      </c>
      <c r="F112" s="51">
        <v>15945</v>
      </c>
      <c r="G112" s="50" t="s">
        <v>91</v>
      </c>
      <c r="H112" s="49" t="str">
        <f t="shared" si="2"/>
        <v>B</v>
      </c>
      <c r="I112" s="48" t="str">
        <f t="shared" si="3"/>
        <v>The Commissioner &amp; Chief Constable are satisfied the spend represents VFM in accordance with the requirements of Category B</v>
      </c>
      <c r="J112" s="60"/>
      <c r="K112" s="60"/>
    </row>
    <row r="113" spans="1:11" x14ac:dyDescent="0.2">
      <c r="A113" s="56" t="s">
        <v>8</v>
      </c>
      <c r="B113" s="55" t="s">
        <v>9</v>
      </c>
      <c r="C113" s="54" t="s">
        <v>454</v>
      </c>
      <c r="D113" s="53">
        <v>7171340</v>
      </c>
      <c r="E113" s="52">
        <v>45386</v>
      </c>
      <c r="F113" s="51">
        <v>15894.99</v>
      </c>
      <c r="G113" s="50" t="s">
        <v>38</v>
      </c>
      <c r="H113" s="49" t="str">
        <f t="shared" si="2"/>
        <v>B</v>
      </c>
      <c r="I113" s="48" t="str">
        <f t="shared" si="3"/>
        <v>The Commissioner &amp; Chief Constable are satisfied the spend represents VFM in accordance with the requirements of Category B</v>
      </c>
      <c r="J113" s="60"/>
      <c r="K113" s="60"/>
    </row>
    <row r="114" spans="1:11" x14ac:dyDescent="0.2">
      <c r="A114" s="56" t="s">
        <v>8</v>
      </c>
      <c r="B114" s="55" t="s">
        <v>9</v>
      </c>
      <c r="C114" s="54" t="s">
        <v>86</v>
      </c>
      <c r="D114" s="53">
        <v>7171240</v>
      </c>
      <c r="E114" s="52">
        <v>45384</v>
      </c>
      <c r="F114" s="51">
        <v>15818.039999999999</v>
      </c>
      <c r="G114" s="50" t="s">
        <v>87</v>
      </c>
      <c r="H114" s="49" t="str">
        <f t="shared" si="2"/>
        <v>B</v>
      </c>
      <c r="I114" s="48" t="str">
        <f t="shared" si="3"/>
        <v>The Commissioner &amp; Chief Constable are satisfied the spend represents VFM in accordance with the requirements of Category B</v>
      </c>
      <c r="J114" s="60"/>
      <c r="K114" s="60"/>
    </row>
    <row r="115" spans="1:11" x14ac:dyDescent="0.2">
      <c r="A115" s="56" t="s">
        <v>8</v>
      </c>
      <c r="B115" s="55" t="s">
        <v>9</v>
      </c>
      <c r="C115" s="54" t="s">
        <v>144</v>
      </c>
      <c r="D115" s="53">
        <v>7171919</v>
      </c>
      <c r="E115" s="52">
        <v>45405</v>
      </c>
      <c r="F115" s="51">
        <v>13450</v>
      </c>
      <c r="G115" s="50" t="s">
        <v>145</v>
      </c>
      <c r="H115" s="49" t="str">
        <f t="shared" si="2"/>
        <v>B</v>
      </c>
      <c r="I115" s="48" t="str">
        <f t="shared" si="3"/>
        <v>The Commissioner &amp; Chief Constable are satisfied the spend represents VFM in accordance with the requirements of Category B</v>
      </c>
      <c r="J115" s="60"/>
      <c r="K115" s="60"/>
    </row>
    <row r="116" spans="1:11" x14ac:dyDescent="0.2">
      <c r="A116" s="56" t="s">
        <v>8</v>
      </c>
      <c r="B116" s="55" t="s">
        <v>9</v>
      </c>
      <c r="C116" s="54" t="s">
        <v>389</v>
      </c>
      <c r="D116" s="53">
        <v>7171545</v>
      </c>
      <c r="E116" s="52">
        <v>45393</v>
      </c>
      <c r="F116" s="51">
        <v>13019.38</v>
      </c>
      <c r="G116" s="50" t="s">
        <v>15</v>
      </c>
      <c r="H116" s="49" t="str">
        <f t="shared" si="2"/>
        <v>B</v>
      </c>
      <c r="I116" s="48" t="str">
        <f t="shared" si="3"/>
        <v>The Commissioner &amp; Chief Constable are satisfied the spend represents VFM in accordance with the requirements of Category B</v>
      </c>
      <c r="J116" s="60"/>
      <c r="K116" s="60"/>
    </row>
    <row r="117" spans="1:11" x14ac:dyDescent="0.2">
      <c r="A117" s="56" t="s">
        <v>8</v>
      </c>
      <c r="B117" s="55" t="s">
        <v>9</v>
      </c>
      <c r="C117" s="54" t="s">
        <v>170</v>
      </c>
      <c r="D117" s="53">
        <v>7171755</v>
      </c>
      <c r="E117" s="52">
        <v>45408</v>
      </c>
      <c r="F117" s="51">
        <v>12500</v>
      </c>
      <c r="G117" s="50" t="s">
        <v>27</v>
      </c>
      <c r="H117" s="49" t="str">
        <f t="shared" si="2"/>
        <v>B</v>
      </c>
      <c r="I117" s="48" t="str">
        <f t="shared" si="3"/>
        <v>The Commissioner &amp; Chief Constable are satisfied the spend represents VFM in accordance with the requirements of Category B</v>
      </c>
      <c r="J117" s="60"/>
      <c r="K117" s="60"/>
    </row>
    <row r="118" spans="1:11" x14ac:dyDescent="0.2">
      <c r="A118" s="56" t="s">
        <v>8</v>
      </c>
      <c r="B118" s="55" t="s">
        <v>9</v>
      </c>
      <c r="C118" s="54" t="s">
        <v>109</v>
      </c>
      <c r="D118" s="53">
        <v>7172010</v>
      </c>
      <c r="E118" s="52">
        <v>45406</v>
      </c>
      <c r="F118" s="51">
        <v>12500</v>
      </c>
      <c r="G118" s="50" t="s">
        <v>27</v>
      </c>
      <c r="H118" s="49" t="str">
        <f t="shared" si="2"/>
        <v>B</v>
      </c>
      <c r="I118" s="48" t="str">
        <f t="shared" si="3"/>
        <v>The Commissioner &amp; Chief Constable are satisfied the spend represents VFM in accordance with the requirements of Category B</v>
      </c>
    </row>
    <row r="119" spans="1:11" x14ac:dyDescent="0.2">
      <c r="A119" s="56" t="s">
        <v>8</v>
      </c>
      <c r="B119" s="55" t="s">
        <v>9</v>
      </c>
      <c r="C119" s="54" t="s">
        <v>107</v>
      </c>
      <c r="D119" s="53">
        <v>7171381</v>
      </c>
      <c r="E119" s="52">
        <v>45387</v>
      </c>
      <c r="F119" s="51">
        <v>12496.83</v>
      </c>
      <c r="G119" s="50" t="s">
        <v>108</v>
      </c>
      <c r="H119" s="49" t="str">
        <f t="shared" si="2"/>
        <v>B</v>
      </c>
      <c r="I119" s="48" t="str">
        <f t="shared" si="3"/>
        <v>The Commissioner &amp; Chief Constable are satisfied the spend represents VFM in accordance with the requirements of Category B</v>
      </c>
    </row>
    <row r="120" spans="1:11" x14ac:dyDescent="0.2">
      <c r="A120" s="56" t="s">
        <v>8</v>
      </c>
      <c r="B120" s="55" t="s">
        <v>9</v>
      </c>
      <c r="C120" s="57" t="s">
        <v>649</v>
      </c>
      <c r="D120" s="53">
        <v>7171725</v>
      </c>
      <c r="E120" s="52">
        <v>45408</v>
      </c>
      <c r="F120" s="51">
        <v>12396.93</v>
      </c>
      <c r="G120" s="50" t="s">
        <v>27</v>
      </c>
      <c r="H120" s="49" t="str">
        <f t="shared" si="2"/>
        <v>B</v>
      </c>
      <c r="I120" s="48" t="str">
        <f t="shared" si="3"/>
        <v>The Commissioner &amp; Chief Constable are satisfied the spend represents VFM in accordance with the requirements of Category B</v>
      </c>
    </row>
    <row r="121" spans="1:11" x14ac:dyDescent="0.2">
      <c r="A121" s="56" t="s">
        <v>8</v>
      </c>
      <c r="B121" s="55" t="s">
        <v>9</v>
      </c>
      <c r="C121" s="54" t="s">
        <v>648</v>
      </c>
      <c r="D121" s="53">
        <v>7169706</v>
      </c>
      <c r="E121" s="52">
        <v>45390</v>
      </c>
      <c r="F121" s="51">
        <v>12355</v>
      </c>
      <c r="G121" s="50" t="s">
        <v>49</v>
      </c>
      <c r="H121" s="49" t="str">
        <f t="shared" si="2"/>
        <v>B</v>
      </c>
      <c r="I121" s="48" t="str">
        <f t="shared" si="3"/>
        <v>The Commissioner &amp; Chief Constable are satisfied the spend represents VFM in accordance with the requirements of Category B</v>
      </c>
    </row>
    <row r="122" spans="1:11" x14ac:dyDescent="0.2">
      <c r="A122" s="56" t="s">
        <v>8</v>
      </c>
      <c r="B122" s="55" t="s">
        <v>9</v>
      </c>
      <c r="C122" s="54" t="s">
        <v>100</v>
      </c>
      <c r="D122" s="53">
        <v>7171346</v>
      </c>
      <c r="E122" s="52">
        <v>45386</v>
      </c>
      <c r="F122" s="51">
        <v>11994</v>
      </c>
      <c r="G122" s="50" t="s">
        <v>164</v>
      </c>
      <c r="H122" s="49" t="str">
        <f t="shared" si="2"/>
        <v>B</v>
      </c>
      <c r="I122" s="48" t="str">
        <f t="shared" si="3"/>
        <v>The Commissioner &amp; Chief Constable are satisfied the spend represents VFM in accordance with the requirements of Category B</v>
      </c>
    </row>
    <row r="123" spans="1:11" x14ac:dyDescent="0.2">
      <c r="A123" s="56" t="s">
        <v>8</v>
      </c>
      <c r="B123" s="55" t="s">
        <v>9</v>
      </c>
      <c r="C123" s="54" t="s">
        <v>478</v>
      </c>
      <c r="D123" s="53">
        <v>7171413</v>
      </c>
      <c r="E123" s="52">
        <v>45391</v>
      </c>
      <c r="F123" s="51">
        <v>11893.27</v>
      </c>
      <c r="G123" s="50" t="s">
        <v>89</v>
      </c>
      <c r="H123" s="49" t="str">
        <f t="shared" si="2"/>
        <v>B</v>
      </c>
      <c r="I123" s="48" t="str">
        <f t="shared" si="3"/>
        <v>The Commissioner &amp; Chief Constable are satisfied the spend represents VFM in accordance with the requirements of Category B</v>
      </c>
    </row>
    <row r="124" spans="1:11" x14ac:dyDescent="0.2">
      <c r="A124" s="56" t="s">
        <v>8</v>
      </c>
      <c r="B124" s="55" t="s">
        <v>9</v>
      </c>
      <c r="C124" s="54" t="s">
        <v>448</v>
      </c>
      <c r="D124" s="53">
        <v>7172169</v>
      </c>
      <c r="E124" s="52">
        <v>45412</v>
      </c>
      <c r="F124" s="51">
        <v>11662.58</v>
      </c>
      <c r="G124" s="50" t="s">
        <v>27</v>
      </c>
      <c r="H124" s="49" t="str">
        <f t="shared" si="2"/>
        <v>B</v>
      </c>
      <c r="I124" s="48" t="str">
        <f t="shared" si="3"/>
        <v>The Commissioner &amp; Chief Constable are satisfied the spend represents VFM in accordance with the requirements of Category B</v>
      </c>
    </row>
    <row r="125" spans="1:11" x14ac:dyDescent="0.2">
      <c r="A125" s="56" t="s">
        <v>8</v>
      </c>
      <c r="B125" s="55" t="s">
        <v>9</v>
      </c>
      <c r="C125" s="54" t="s">
        <v>127</v>
      </c>
      <c r="D125" s="53">
        <v>7171182</v>
      </c>
      <c r="E125" s="52">
        <v>45383</v>
      </c>
      <c r="F125" s="51">
        <v>11452.46</v>
      </c>
      <c r="G125" s="50" t="s">
        <v>49</v>
      </c>
      <c r="H125" s="49" t="str">
        <f t="shared" si="2"/>
        <v>B</v>
      </c>
      <c r="I125" s="48" t="str">
        <f t="shared" si="3"/>
        <v>The Commissioner &amp; Chief Constable are satisfied the spend represents VFM in accordance with the requirements of Category B</v>
      </c>
    </row>
    <row r="126" spans="1:11" x14ac:dyDescent="0.2">
      <c r="A126" s="56" t="s">
        <v>8</v>
      </c>
      <c r="B126" s="55" t="s">
        <v>9</v>
      </c>
      <c r="C126" s="54" t="s">
        <v>113</v>
      </c>
      <c r="D126" s="53">
        <v>7171691</v>
      </c>
      <c r="E126" s="52">
        <v>45397</v>
      </c>
      <c r="F126" s="51">
        <v>11194.51</v>
      </c>
      <c r="G126" s="50" t="s">
        <v>114</v>
      </c>
      <c r="H126" s="49" t="str">
        <f t="shared" si="2"/>
        <v>B</v>
      </c>
      <c r="I126" s="48" t="str">
        <f t="shared" si="3"/>
        <v>The Commissioner &amp; Chief Constable are satisfied the spend represents VFM in accordance with the requirements of Category B</v>
      </c>
    </row>
    <row r="127" spans="1:11" x14ac:dyDescent="0.2">
      <c r="A127" s="56" t="s">
        <v>8</v>
      </c>
      <c r="B127" s="55" t="s">
        <v>9</v>
      </c>
      <c r="C127" s="54" t="s">
        <v>26</v>
      </c>
      <c r="D127" s="53">
        <v>7171525</v>
      </c>
      <c r="E127" s="52">
        <v>45391</v>
      </c>
      <c r="F127" s="51">
        <v>11193.64</v>
      </c>
      <c r="G127" s="50" t="s">
        <v>53</v>
      </c>
      <c r="H127" s="49" t="str">
        <f t="shared" si="2"/>
        <v>B</v>
      </c>
      <c r="I127" s="48" t="str">
        <f t="shared" si="3"/>
        <v>The Commissioner &amp; Chief Constable are satisfied the spend represents VFM in accordance with the requirements of Category B</v>
      </c>
    </row>
    <row r="128" spans="1:11" x14ac:dyDescent="0.2">
      <c r="A128" s="56" t="s">
        <v>8</v>
      </c>
      <c r="B128" s="55" t="s">
        <v>9</v>
      </c>
      <c r="C128" s="54" t="s">
        <v>647</v>
      </c>
      <c r="D128" s="53">
        <v>7172194</v>
      </c>
      <c r="E128" s="52">
        <v>45412</v>
      </c>
      <c r="F128" s="51">
        <v>11105.25</v>
      </c>
      <c r="G128" s="50" t="s">
        <v>94</v>
      </c>
      <c r="H128" s="49" t="str">
        <f t="shared" si="2"/>
        <v>B</v>
      </c>
      <c r="I128" s="48" t="str">
        <f t="shared" si="3"/>
        <v>The Commissioner &amp; Chief Constable are satisfied the spend represents VFM in accordance with the requirements of Category B</v>
      </c>
    </row>
    <row r="129" spans="1:13" x14ac:dyDescent="0.2">
      <c r="A129" s="56" t="s">
        <v>8</v>
      </c>
      <c r="B129" s="55" t="s">
        <v>9</v>
      </c>
      <c r="C129" s="54" t="s">
        <v>646</v>
      </c>
      <c r="D129" s="53">
        <v>7171810</v>
      </c>
      <c r="E129" s="52">
        <v>45399</v>
      </c>
      <c r="F129" s="51">
        <v>11050</v>
      </c>
      <c r="G129" s="50" t="s">
        <v>22</v>
      </c>
      <c r="H129" s="49" t="str">
        <f t="shared" si="2"/>
        <v>B</v>
      </c>
      <c r="I129" s="48" t="str">
        <f t="shared" si="3"/>
        <v>The Commissioner &amp; Chief Constable are satisfied the spend represents VFM in accordance with the requirements of Category B</v>
      </c>
    </row>
    <row r="130" spans="1:13" x14ac:dyDescent="0.2">
      <c r="A130" s="56" t="s">
        <v>8</v>
      </c>
      <c r="B130" s="55" t="s">
        <v>9</v>
      </c>
      <c r="C130" s="54" t="s">
        <v>419</v>
      </c>
      <c r="D130" s="53">
        <v>7171571</v>
      </c>
      <c r="E130" s="52">
        <v>45394</v>
      </c>
      <c r="F130" s="51">
        <v>11028.75</v>
      </c>
      <c r="G130" s="50" t="s">
        <v>22</v>
      </c>
      <c r="H130" s="49" t="str">
        <f t="shared" ref="H130:H193" si="4">IF(F130&gt;25000,"C",IF(F130&gt;1000,"B","A"))</f>
        <v>B</v>
      </c>
      <c r="I130" s="48" t="str">
        <f t="shared" ref="I130:I193" si="5">VLOOKUP(H130,$L$2:$M$4,2,FALSE)</f>
        <v>The Commissioner &amp; Chief Constable are satisfied the spend represents VFM in accordance with the requirements of Category B</v>
      </c>
    </row>
    <row r="131" spans="1:13" x14ac:dyDescent="0.2">
      <c r="A131" s="56" t="s">
        <v>8</v>
      </c>
      <c r="B131" s="55" t="s">
        <v>9</v>
      </c>
      <c r="C131" s="54" t="s">
        <v>419</v>
      </c>
      <c r="D131" s="53">
        <v>7171416</v>
      </c>
      <c r="E131" s="52">
        <v>45390</v>
      </c>
      <c r="F131" s="51">
        <v>11028.75</v>
      </c>
      <c r="G131" s="50" t="s">
        <v>22</v>
      </c>
      <c r="H131" s="49" t="str">
        <f t="shared" si="4"/>
        <v>B</v>
      </c>
      <c r="I131" s="48" t="str">
        <f t="shared" si="5"/>
        <v>The Commissioner &amp; Chief Constable are satisfied the spend represents VFM in accordance with the requirements of Category B</v>
      </c>
    </row>
    <row r="132" spans="1:13" x14ac:dyDescent="0.2">
      <c r="A132" s="56" t="s">
        <v>8</v>
      </c>
      <c r="B132" s="55" t="s">
        <v>9</v>
      </c>
      <c r="C132" s="54" t="s">
        <v>419</v>
      </c>
      <c r="D132" s="53">
        <v>7171860</v>
      </c>
      <c r="E132" s="52">
        <v>45401</v>
      </c>
      <c r="F132" s="51">
        <v>11028.75</v>
      </c>
      <c r="G132" s="50" t="s">
        <v>22</v>
      </c>
      <c r="H132" s="49" t="str">
        <f t="shared" si="4"/>
        <v>B</v>
      </c>
      <c r="I132" s="48" t="str">
        <f t="shared" si="5"/>
        <v>The Commissioner &amp; Chief Constable are satisfied the spend represents VFM in accordance with the requirements of Category B</v>
      </c>
    </row>
    <row r="133" spans="1:13" x14ac:dyDescent="0.2">
      <c r="A133" s="56" t="s">
        <v>8</v>
      </c>
      <c r="B133" s="55" t="s">
        <v>9</v>
      </c>
      <c r="C133" s="54" t="s">
        <v>103</v>
      </c>
      <c r="D133" s="53">
        <v>7171515</v>
      </c>
      <c r="E133" s="52">
        <v>45391</v>
      </c>
      <c r="F133" s="51">
        <v>10900</v>
      </c>
      <c r="G133" s="50" t="s">
        <v>112</v>
      </c>
      <c r="H133" s="49" t="str">
        <f t="shared" si="4"/>
        <v>B</v>
      </c>
      <c r="I133" s="48" t="str">
        <f t="shared" si="5"/>
        <v>The Commissioner &amp; Chief Constable are satisfied the spend represents VFM in accordance with the requirements of Category B</v>
      </c>
    </row>
    <row r="134" spans="1:13" x14ac:dyDescent="0.2">
      <c r="A134" s="56" t="s">
        <v>8</v>
      </c>
      <c r="B134" s="55" t="s">
        <v>9</v>
      </c>
      <c r="C134" s="57" t="s">
        <v>26</v>
      </c>
      <c r="D134" s="53">
        <v>7171099</v>
      </c>
      <c r="E134" s="52">
        <v>45385</v>
      </c>
      <c r="F134" s="51">
        <v>10841.47</v>
      </c>
      <c r="G134" s="50" t="s">
        <v>76</v>
      </c>
      <c r="H134" s="49" t="str">
        <f t="shared" si="4"/>
        <v>B</v>
      </c>
      <c r="I134" s="48" t="str">
        <f t="shared" si="5"/>
        <v>The Commissioner &amp; Chief Constable are satisfied the spend represents VFM in accordance with the requirements of Category B</v>
      </c>
    </row>
    <row r="135" spans="1:13" x14ac:dyDescent="0.2">
      <c r="A135" s="56" t="s">
        <v>8</v>
      </c>
      <c r="B135" s="55" t="s">
        <v>9</v>
      </c>
      <c r="C135" s="57" t="s">
        <v>107</v>
      </c>
      <c r="D135" s="53">
        <v>7171380</v>
      </c>
      <c r="E135" s="52">
        <v>45387</v>
      </c>
      <c r="F135" s="51">
        <v>10758.13</v>
      </c>
      <c r="G135" s="50" t="s">
        <v>108</v>
      </c>
      <c r="H135" s="49" t="str">
        <f t="shared" si="4"/>
        <v>B</v>
      </c>
      <c r="I135" s="48" t="str">
        <f t="shared" si="5"/>
        <v>The Commissioner &amp; Chief Constable are satisfied the spend represents VFM in accordance with the requirements of Category B</v>
      </c>
    </row>
    <row r="136" spans="1:13" x14ac:dyDescent="0.2">
      <c r="A136" s="56" t="s">
        <v>8</v>
      </c>
      <c r="B136" s="55" t="s">
        <v>9</v>
      </c>
      <c r="C136" s="54" t="s">
        <v>645</v>
      </c>
      <c r="D136" s="53">
        <v>7171353</v>
      </c>
      <c r="E136" s="52">
        <v>45390</v>
      </c>
      <c r="F136" s="51">
        <v>10398.24</v>
      </c>
      <c r="G136" s="50" t="s">
        <v>155</v>
      </c>
      <c r="H136" s="49" t="str">
        <f t="shared" si="4"/>
        <v>B</v>
      </c>
      <c r="I136" s="48" t="str">
        <f t="shared" si="5"/>
        <v>The Commissioner &amp; Chief Constable are satisfied the spend represents VFM in accordance with the requirements of Category B</v>
      </c>
    </row>
    <row r="137" spans="1:13" s="42" customFormat="1" x14ac:dyDescent="0.2">
      <c r="A137" s="56" t="s">
        <v>8</v>
      </c>
      <c r="B137" s="55" t="s">
        <v>9</v>
      </c>
      <c r="C137" s="54" t="s">
        <v>26</v>
      </c>
      <c r="D137" s="53">
        <v>7171987</v>
      </c>
      <c r="E137" s="52">
        <v>45411</v>
      </c>
      <c r="F137" s="51">
        <v>10244.99</v>
      </c>
      <c r="G137" s="50" t="s">
        <v>76</v>
      </c>
      <c r="H137" s="49" t="str">
        <f t="shared" si="4"/>
        <v>B</v>
      </c>
      <c r="I137" s="48" t="str">
        <f t="shared" si="5"/>
        <v>The Commissioner &amp; Chief Constable are satisfied the spend represents VFM in accordance with the requirements of Category B</v>
      </c>
      <c r="L137" s="41"/>
      <c r="M137" s="41"/>
    </row>
    <row r="138" spans="1:13" s="42" customFormat="1" x14ac:dyDescent="0.2">
      <c r="A138" s="56" t="s">
        <v>8</v>
      </c>
      <c r="B138" s="55" t="s">
        <v>9</v>
      </c>
      <c r="C138" s="54" t="s">
        <v>644</v>
      </c>
      <c r="D138" s="53">
        <v>7172096</v>
      </c>
      <c r="E138" s="52">
        <v>45408</v>
      </c>
      <c r="F138" s="51">
        <v>10150</v>
      </c>
      <c r="G138" s="50" t="s">
        <v>27</v>
      </c>
      <c r="H138" s="49" t="str">
        <f t="shared" si="4"/>
        <v>B</v>
      </c>
      <c r="I138" s="48" t="str">
        <f t="shared" si="5"/>
        <v>The Commissioner &amp; Chief Constable are satisfied the spend represents VFM in accordance with the requirements of Category B</v>
      </c>
      <c r="L138" s="41"/>
      <c r="M138" s="41"/>
    </row>
    <row r="139" spans="1:13" s="42" customFormat="1" x14ac:dyDescent="0.2">
      <c r="A139" s="56" t="s">
        <v>8</v>
      </c>
      <c r="B139" s="55" t="s">
        <v>9</v>
      </c>
      <c r="C139" s="54" t="s">
        <v>643</v>
      </c>
      <c r="D139" s="53">
        <v>9034313</v>
      </c>
      <c r="E139" s="52">
        <v>45385</v>
      </c>
      <c r="F139" s="51">
        <v>10000</v>
      </c>
      <c r="G139" s="50" t="s">
        <v>80</v>
      </c>
      <c r="H139" s="49" t="str">
        <f t="shared" si="4"/>
        <v>B</v>
      </c>
      <c r="I139" s="48" t="str">
        <f t="shared" si="5"/>
        <v>The Commissioner &amp; Chief Constable are satisfied the spend represents VFM in accordance with the requirements of Category B</v>
      </c>
      <c r="L139" s="41"/>
      <c r="M139" s="41"/>
    </row>
    <row r="140" spans="1:13" s="42" customFormat="1" x14ac:dyDescent="0.2">
      <c r="A140" s="56" t="s">
        <v>8</v>
      </c>
      <c r="B140" s="55" t="s">
        <v>9</v>
      </c>
      <c r="C140" s="54" t="s">
        <v>48</v>
      </c>
      <c r="D140" s="53">
        <v>7171202</v>
      </c>
      <c r="E140" s="52">
        <v>45384</v>
      </c>
      <c r="F140" s="51">
        <v>10000</v>
      </c>
      <c r="G140" s="50" t="s">
        <v>15</v>
      </c>
      <c r="H140" s="49" t="str">
        <f t="shared" si="4"/>
        <v>B</v>
      </c>
      <c r="I140" s="48" t="str">
        <f t="shared" si="5"/>
        <v>The Commissioner &amp; Chief Constable are satisfied the spend represents VFM in accordance with the requirements of Category B</v>
      </c>
      <c r="L140" s="41"/>
      <c r="M140" s="41"/>
    </row>
    <row r="141" spans="1:13" s="42" customFormat="1" x14ac:dyDescent="0.2">
      <c r="A141" s="56" t="s">
        <v>8</v>
      </c>
      <c r="B141" s="55" t="s">
        <v>9</v>
      </c>
      <c r="C141" s="57" t="s">
        <v>121</v>
      </c>
      <c r="D141" s="53">
        <v>7171201</v>
      </c>
      <c r="E141" s="52">
        <v>45384</v>
      </c>
      <c r="F141" s="51">
        <v>9842.16</v>
      </c>
      <c r="G141" s="50" t="s">
        <v>122</v>
      </c>
      <c r="H141" s="49" t="str">
        <f t="shared" si="4"/>
        <v>B</v>
      </c>
      <c r="I141" s="48" t="str">
        <f t="shared" si="5"/>
        <v>The Commissioner &amp; Chief Constable are satisfied the spend represents VFM in accordance with the requirements of Category B</v>
      </c>
      <c r="L141" s="41"/>
      <c r="M141" s="41"/>
    </row>
    <row r="142" spans="1:13" s="42" customFormat="1" x14ac:dyDescent="0.2">
      <c r="A142" s="56" t="s">
        <v>8</v>
      </c>
      <c r="B142" s="55" t="s">
        <v>9</v>
      </c>
      <c r="C142" s="54" t="s">
        <v>222</v>
      </c>
      <c r="D142" s="53">
        <v>7171664</v>
      </c>
      <c r="E142" s="52">
        <v>45397</v>
      </c>
      <c r="F142" s="51">
        <v>9743</v>
      </c>
      <c r="G142" s="50" t="s">
        <v>22</v>
      </c>
      <c r="H142" s="49" t="str">
        <f t="shared" si="4"/>
        <v>B</v>
      </c>
      <c r="I142" s="48" t="str">
        <f t="shared" si="5"/>
        <v>The Commissioner &amp; Chief Constable are satisfied the spend represents VFM in accordance with the requirements of Category B</v>
      </c>
      <c r="L142" s="41"/>
      <c r="M142" s="41"/>
    </row>
    <row r="143" spans="1:13" s="42" customFormat="1" x14ac:dyDescent="0.2">
      <c r="A143" s="56" t="s">
        <v>8</v>
      </c>
      <c r="B143" s="55" t="s">
        <v>9</v>
      </c>
      <c r="C143" s="54" t="s">
        <v>117</v>
      </c>
      <c r="D143" s="53">
        <v>7171499</v>
      </c>
      <c r="E143" s="52">
        <v>45391</v>
      </c>
      <c r="F143" s="51">
        <v>9674.5499999999993</v>
      </c>
      <c r="G143" s="50" t="s">
        <v>118</v>
      </c>
      <c r="H143" s="49" t="str">
        <f t="shared" si="4"/>
        <v>B</v>
      </c>
      <c r="I143" s="48" t="str">
        <f t="shared" si="5"/>
        <v>The Commissioner &amp; Chief Constable are satisfied the spend represents VFM in accordance with the requirements of Category B</v>
      </c>
      <c r="L143" s="41"/>
      <c r="M143" s="41"/>
    </row>
    <row r="144" spans="1:13" s="42" customFormat="1" x14ac:dyDescent="0.2">
      <c r="A144" s="56" t="s">
        <v>8</v>
      </c>
      <c r="B144" s="55" t="s">
        <v>9</v>
      </c>
      <c r="C144" s="54" t="s">
        <v>90</v>
      </c>
      <c r="D144" s="53">
        <v>7171158</v>
      </c>
      <c r="E144" s="52">
        <v>45384</v>
      </c>
      <c r="F144" s="51">
        <v>9412.23</v>
      </c>
      <c r="G144" s="50" t="s">
        <v>91</v>
      </c>
      <c r="H144" s="49" t="str">
        <f t="shared" si="4"/>
        <v>B</v>
      </c>
      <c r="I144" s="48" t="str">
        <f t="shared" si="5"/>
        <v>The Commissioner &amp; Chief Constable are satisfied the spend represents VFM in accordance with the requirements of Category B</v>
      </c>
      <c r="L144" s="41"/>
      <c r="M144" s="41"/>
    </row>
    <row r="145" spans="1:13" s="42" customFormat="1" x14ac:dyDescent="0.2">
      <c r="A145" s="56" t="s">
        <v>8</v>
      </c>
      <c r="B145" s="55" t="s">
        <v>9</v>
      </c>
      <c r="C145" s="54" t="s">
        <v>642</v>
      </c>
      <c r="D145" s="53">
        <v>7171331</v>
      </c>
      <c r="E145" s="52">
        <v>45397</v>
      </c>
      <c r="F145" s="51">
        <v>8850</v>
      </c>
      <c r="G145" s="50" t="s">
        <v>98</v>
      </c>
      <c r="H145" s="49" t="str">
        <f t="shared" si="4"/>
        <v>B</v>
      </c>
      <c r="I145" s="48" t="str">
        <f t="shared" si="5"/>
        <v>The Commissioner &amp; Chief Constable are satisfied the spend represents VFM in accordance with the requirements of Category B</v>
      </c>
      <c r="L145" s="41"/>
      <c r="M145" s="41"/>
    </row>
    <row r="146" spans="1:13" s="42" customFormat="1" x14ac:dyDescent="0.2">
      <c r="A146" s="56" t="s">
        <v>8</v>
      </c>
      <c r="B146" s="55" t="s">
        <v>9</v>
      </c>
      <c r="C146" s="54" t="s">
        <v>74</v>
      </c>
      <c r="D146" s="53">
        <v>7171878</v>
      </c>
      <c r="E146" s="52">
        <v>45401</v>
      </c>
      <c r="F146" s="51">
        <v>8716.89</v>
      </c>
      <c r="G146" s="50" t="s">
        <v>75</v>
      </c>
      <c r="H146" s="49" t="str">
        <f t="shared" si="4"/>
        <v>B</v>
      </c>
      <c r="I146" s="48" t="str">
        <f t="shared" si="5"/>
        <v>The Commissioner &amp; Chief Constable are satisfied the spend represents VFM in accordance with the requirements of Category B</v>
      </c>
      <c r="L146" s="41"/>
      <c r="M146" s="41"/>
    </row>
    <row r="147" spans="1:13" s="42" customFormat="1" x14ac:dyDescent="0.2">
      <c r="A147" s="56" t="s">
        <v>8</v>
      </c>
      <c r="B147" s="55" t="s">
        <v>9</v>
      </c>
      <c r="C147" s="54" t="s">
        <v>157</v>
      </c>
      <c r="D147" s="53">
        <v>7171027</v>
      </c>
      <c r="E147" s="52">
        <v>45384</v>
      </c>
      <c r="F147" s="51">
        <v>8684.9</v>
      </c>
      <c r="G147" s="50" t="s">
        <v>43</v>
      </c>
      <c r="H147" s="49" t="str">
        <f t="shared" si="4"/>
        <v>B</v>
      </c>
      <c r="I147" s="48" t="str">
        <f t="shared" si="5"/>
        <v>The Commissioner &amp; Chief Constable are satisfied the spend represents VFM in accordance with the requirements of Category B</v>
      </c>
      <c r="L147" s="41"/>
      <c r="M147" s="41"/>
    </row>
    <row r="148" spans="1:13" s="42" customFormat="1" x14ac:dyDescent="0.2">
      <c r="A148" s="56" t="s">
        <v>8</v>
      </c>
      <c r="B148" s="55" t="s">
        <v>9</v>
      </c>
      <c r="C148" s="54" t="s">
        <v>350</v>
      </c>
      <c r="D148" s="53">
        <v>7171424</v>
      </c>
      <c r="E148" s="52">
        <v>45390</v>
      </c>
      <c r="F148" s="51">
        <v>8620.3700000000008</v>
      </c>
      <c r="G148" s="50" t="s">
        <v>102</v>
      </c>
      <c r="H148" s="49" t="str">
        <f t="shared" si="4"/>
        <v>B</v>
      </c>
      <c r="I148" s="48" t="str">
        <f t="shared" si="5"/>
        <v>The Commissioner &amp; Chief Constable are satisfied the spend represents VFM in accordance with the requirements of Category B</v>
      </c>
      <c r="L148" s="41"/>
      <c r="M148" s="41"/>
    </row>
    <row r="149" spans="1:13" s="42" customFormat="1" x14ac:dyDescent="0.2">
      <c r="A149" s="56" t="s">
        <v>8</v>
      </c>
      <c r="B149" s="55" t="s">
        <v>9</v>
      </c>
      <c r="C149" s="57" t="s">
        <v>26</v>
      </c>
      <c r="D149" s="53">
        <v>7171304</v>
      </c>
      <c r="E149" s="52">
        <v>45385</v>
      </c>
      <c r="F149" s="51">
        <v>8465.32</v>
      </c>
      <c r="G149" s="50" t="s">
        <v>76</v>
      </c>
      <c r="H149" s="49" t="str">
        <f t="shared" si="4"/>
        <v>B</v>
      </c>
      <c r="I149" s="48" t="str">
        <f t="shared" si="5"/>
        <v>The Commissioner &amp; Chief Constable are satisfied the spend represents VFM in accordance with the requirements of Category B</v>
      </c>
      <c r="L149" s="41"/>
      <c r="M149" s="41"/>
    </row>
    <row r="150" spans="1:13" s="42" customFormat="1" x14ac:dyDescent="0.2">
      <c r="A150" s="56" t="s">
        <v>8</v>
      </c>
      <c r="B150" s="55" t="s">
        <v>9</v>
      </c>
      <c r="C150" s="54" t="s">
        <v>109</v>
      </c>
      <c r="D150" s="53">
        <v>7172011</v>
      </c>
      <c r="E150" s="52">
        <v>45406</v>
      </c>
      <c r="F150" s="51">
        <v>8325.6200000000008</v>
      </c>
      <c r="G150" s="50" t="s">
        <v>27</v>
      </c>
      <c r="H150" s="49" t="str">
        <f t="shared" si="4"/>
        <v>B</v>
      </c>
      <c r="I150" s="48" t="str">
        <f t="shared" si="5"/>
        <v>The Commissioner &amp; Chief Constable are satisfied the spend represents VFM in accordance with the requirements of Category B</v>
      </c>
      <c r="L150" s="41"/>
      <c r="M150" s="41"/>
    </row>
    <row r="151" spans="1:13" s="42" customFormat="1" x14ac:dyDescent="0.2">
      <c r="A151" s="56" t="s">
        <v>8</v>
      </c>
      <c r="B151" s="55" t="s">
        <v>9</v>
      </c>
      <c r="C151" s="54" t="s">
        <v>74</v>
      </c>
      <c r="D151" s="53">
        <v>7171879</v>
      </c>
      <c r="E151" s="52">
        <v>45401</v>
      </c>
      <c r="F151" s="51">
        <v>8214.7999999999993</v>
      </c>
      <c r="G151" s="50" t="s">
        <v>75</v>
      </c>
      <c r="H151" s="49" t="str">
        <f t="shared" si="4"/>
        <v>B</v>
      </c>
      <c r="I151" s="48" t="str">
        <f t="shared" si="5"/>
        <v>The Commissioner &amp; Chief Constable are satisfied the spend represents VFM in accordance with the requirements of Category B</v>
      </c>
      <c r="L151" s="41"/>
      <c r="M151" s="41"/>
    </row>
    <row r="152" spans="1:13" s="42" customFormat="1" x14ac:dyDescent="0.2">
      <c r="A152" s="56" t="s">
        <v>8</v>
      </c>
      <c r="B152" s="55" t="s">
        <v>9</v>
      </c>
      <c r="C152" s="57" t="s">
        <v>119</v>
      </c>
      <c r="D152" s="53">
        <v>7171660</v>
      </c>
      <c r="E152" s="52">
        <v>45397</v>
      </c>
      <c r="F152" s="51">
        <v>8141.61</v>
      </c>
      <c r="G152" s="50" t="s">
        <v>120</v>
      </c>
      <c r="H152" s="49" t="str">
        <f t="shared" si="4"/>
        <v>B</v>
      </c>
      <c r="I152" s="48" t="str">
        <f t="shared" si="5"/>
        <v>The Commissioner &amp; Chief Constable are satisfied the spend represents VFM in accordance with the requirements of Category B</v>
      </c>
      <c r="L152" s="41"/>
      <c r="M152" s="41"/>
    </row>
    <row r="153" spans="1:13" s="42" customFormat="1" x14ac:dyDescent="0.2">
      <c r="A153" s="56" t="s">
        <v>8</v>
      </c>
      <c r="B153" s="55" t="s">
        <v>9</v>
      </c>
      <c r="C153" s="57" t="s">
        <v>419</v>
      </c>
      <c r="D153" s="53">
        <v>7171868</v>
      </c>
      <c r="E153" s="52">
        <v>45401</v>
      </c>
      <c r="F153" s="58">
        <v>8023.25</v>
      </c>
      <c r="G153" s="50" t="s">
        <v>22</v>
      </c>
      <c r="H153" s="49" t="str">
        <f t="shared" si="4"/>
        <v>B</v>
      </c>
      <c r="I153" s="48" t="str">
        <f t="shared" si="5"/>
        <v>The Commissioner &amp; Chief Constable are satisfied the spend represents VFM in accordance with the requirements of Category B</v>
      </c>
      <c r="L153" s="41"/>
      <c r="M153" s="41"/>
    </row>
    <row r="154" spans="1:13" s="42" customFormat="1" x14ac:dyDescent="0.2">
      <c r="A154" s="56" t="s">
        <v>8</v>
      </c>
      <c r="B154" s="55" t="s">
        <v>9</v>
      </c>
      <c r="C154" s="54" t="s">
        <v>419</v>
      </c>
      <c r="D154" s="53">
        <v>7171867</v>
      </c>
      <c r="E154" s="52">
        <v>45401</v>
      </c>
      <c r="F154" s="58">
        <v>8023.25</v>
      </c>
      <c r="G154" s="50" t="s">
        <v>22</v>
      </c>
      <c r="H154" s="49" t="str">
        <f t="shared" si="4"/>
        <v>B</v>
      </c>
      <c r="I154" s="48" t="str">
        <f t="shared" si="5"/>
        <v>The Commissioner &amp; Chief Constable are satisfied the spend represents VFM in accordance with the requirements of Category B</v>
      </c>
      <c r="L154" s="41"/>
      <c r="M154" s="41"/>
    </row>
    <row r="155" spans="1:13" s="42" customFormat="1" x14ac:dyDescent="0.2">
      <c r="A155" s="56" t="s">
        <v>8</v>
      </c>
      <c r="B155" s="55" t="s">
        <v>9</v>
      </c>
      <c r="C155" s="54" t="s">
        <v>641</v>
      </c>
      <c r="D155" s="53">
        <v>7171398</v>
      </c>
      <c r="E155" s="52">
        <v>45387</v>
      </c>
      <c r="F155" s="58">
        <v>8000</v>
      </c>
      <c r="G155" s="50" t="s">
        <v>382</v>
      </c>
      <c r="H155" s="49" t="str">
        <f t="shared" si="4"/>
        <v>B</v>
      </c>
      <c r="I155" s="48" t="str">
        <f t="shared" si="5"/>
        <v>The Commissioner &amp; Chief Constable are satisfied the spend represents VFM in accordance with the requirements of Category B</v>
      </c>
      <c r="L155" s="41"/>
      <c r="M155" s="41"/>
    </row>
    <row r="156" spans="1:13" s="42" customFormat="1" x14ac:dyDescent="0.2">
      <c r="A156" s="56" t="s">
        <v>8</v>
      </c>
      <c r="B156" s="55" t="s">
        <v>9</v>
      </c>
      <c r="C156" s="54" t="s">
        <v>567</v>
      </c>
      <c r="D156" s="53">
        <v>7171206</v>
      </c>
      <c r="E156" s="52">
        <v>45385</v>
      </c>
      <c r="F156" s="51">
        <v>7878.86</v>
      </c>
      <c r="G156" s="50" t="s">
        <v>15</v>
      </c>
      <c r="H156" s="49" t="str">
        <f t="shared" si="4"/>
        <v>B</v>
      </c>
      <c r="I156" s="48" t="str">
        <f t="shared" si="5"/>
        <v>The Commissioner &amp; Chief Constable are satisfied the spend represents VFM in accordance with the requirements of Category B</v>
      </c>
      <c r="L156" s="41"/>
      <c r="M156" s="41"/>
    </row>
    <row r="157" spans="1:13" s="42" customFormat="1" x14ac:dyDescent="0.2">
      <c r="A157" s="56" t="s">
        <v>8</v>
      </c>
      <c r="B157" s="55" t="s">
        <v>9</v>
      </c>
      <c r="C157" s="54" t="s">
        <v>215</v>
      </c>
      <c r="D157" s="53">
        <v>7172103</v>
      </c>
      <c r="E157" s="52">
        <v>45409</v>
      </c>
      <c r="F157" s="51">
        <v>7853</v>
      </c>
      <c r="G157" s="50" t="s">
        <v>54</v>
      </c>
      <c r="H157" s="49" t="str">
        <f t="shared" si="4"/>
        <v>B</v>
      </c>
      <c r="I157" s="48" t="str">
        <f t="shared" si="5"/>
        <v>The Commissioner &amp; Chief Constable are satisfied the spend represents VFM in accordance with the requirements of Category B</v>
      </c>
      <c r="L157" s="41"/>
      <c r="M157" s="41"/>
    </row>
    <row r="158" spans="1:13" s="42" customFormat="1" x14ac:dyDescent="0.2">
      <c r="A158" s="56" t="s">
        <v>8</v>
      </c>
      <c r="B158" s="55" t="s">
        <v>9</v>
      </c>
      <c r="C158" s="54" t="s">
        <v>640</v>
      </c>
      <c r="D158" s="53">
        <v>7170371</v>
      </c>
      <c r="E158" s="52">
        <v>45385</v>
      </c>
      <c r="F158" s="51">
        <v>7797</v>
      </c>
      <c r="G158" s="50" t="s">
        <v>158</v>
      </c>
      <c r="H158" s="49" t="str">
        <f t="shared" si="4"/>
        <v>B</v>
      </c>
      <c r="I158" s="48" t="str">
        <f t="shared" si="5"/>
        <v>The Commissioner &amp; Chief Constable are satisfied the spend represents VFM in accordance with the requirements of Category B</v>
      </c>
      <c r="L158" s="41"/>
      <c r="M158" s="41"/>
    </row>
    <row r="159" spans="1:13" s="42" customFormat="1" x14ac:dyDescent="0.2">
      <c r="A159" s="56" t="s">
        <v>8</v>
      </c>
      <c r="B159" s="55" t="s">
        <v>9</v>
      </c>
      <c r="C159" s="54" t="s">
        <v>639</v>
      </c>
      <c r="D159" s="53">
        <v>7171726</v>
      </c>
      <c r="E159" s="52">
        <v>45408</v>
      </c>
      <c r="F159" s="51">
        <v>7726.44</v>
      </c>
      <c r="G159" s="50" t="s">
        <v>27</v>
      </c>
      <c r="H159" s="49" t="str">
        <f t="shared" si="4"/>
        <v>B</v>
      </c>
      <c r="I159" s="48" t="str">
        <f t="shared" si="5"/>
        <v>The Commissioner &amp; Chief Constable are satisfied the spend represents VFM in accordance with the requirements of Category B</v>
      </c>
      <c r="L159" s="41"/>
      <c r="M159" s="41"/>
    </row>
    <row r="160" spans="1:13" s="42" customFormat="1" x14ac:dyDescent="0.2">
      <c r="A160" s="56" t="s">
        <v>8</v>
      </c>
      <c r="B160" s="55" t="s">
        <v>9</v>
      </c>
      <c r="C160" s="54" t="s">
        <v>179</v>
      </c>
      <c r="D160" s="53">
        <v>7171154</v>
      </c>
      <c r="E160" s="52">
        <v>45384</v>
      </c>
      <c r="F160" s="51">
        <v>7500</v>
      </c>
      <c r="G160" s="50" t="s">
        <v>49</v>
      </c>
      <c r="H160" s="49" t="str">
        <f t="shared" si="4"/>
        <v>B</v>
      </c>
      <c r="I160" s="48" t="str">
        <f t="shared" si="5"/>
        <v>The Commissioner &amp; Chief Constable are satisfied the spend represents VFM in accordance with the requirements of Category B</v>
      </c>
      <c r="L160" s="41"/>
      <c r="M160" s="41"/>
    </row>
    <row r="161" spans="1:13" s="42" customFormat="1" x14ac:dyDescent="0.2">
      <c r="A161" s="56" t="s">
        <v>8</v>
      </c>
      <c r="B161" s="55" t="s">
        <v>9</v>
      </c>
      <c r="C161" s="54" t="s">
        <v>572</v>
      </c>
      <c r="D161" s="53">
        <v>7171276</v>
      </c>
      <c r="E161" s="52">
        <v>45384</v>
      </c>
      <c r="F161" s="51">
        <v>7500</v>
      </c>
      <c r="G161" s="50" t="s">
        <v>259</v>
      </c>
      <c r="H161" s="49" t="str">
        <f t="shared" si="4"/>
        <v>B</v>
      </c>
      <c r="I161" s="48" t="str">
        <f t="shared" si="5"/>
        <v>The Commissioner &amp; Chief Constable are satisfied the spend represents VFM in accordance with the requirements of Category B</v>
      </c>
      <c r="L161" s="41"/>
      <c r="M161" s="41"/>
    </row>
    <row r="162" spans="1:13" s="42" customFormat="1" x14ac:dyDescent="0.2">
      <c r="A162" s="56" t="s">
        <v>8</v>
      </c>
      <c r="B162" s="55" t="s">
        <v>9</v>
      </c>
      <c r="C162" s="54" t="s">
        <v>572</v>
      </c>
      <c r="D162" s="53">
        <v>7171277</v>
      </c>
      <c r="E162" s="52">
        <v>45384</v>
      </c>
      <c r="F162" s="51">
        <v>7500</v>
      </c>
      <c r="G162" s="50" t="s">
        <v>259</v>
      </c>
      <c r="H162" s="49" t="str">
        <f t="shared" si="4"/>
        <v>B</v>
      </c>
      <c r="I162" s="48" t="str">
        <f t="shared" si="5"/>
        <v>The Commissioner &amp; Chief Constable are satisfied the spend represents VFM in accordance with the requirements of Category B</v>
      </c>
      <c r="L162" s="41"/>
      <c r="M162" s="41"/>
    </row>
    <row r="163" spans="1:13" s="42" customFormat="1" x14ac:dyDescent="0.2">
      <c r="A163" s="56" t="s">
        <v>8</v>
      </c>
      <c r="B163" s="55" t="s">
        <v>9</v>
      </c>
      <c r="C163" s="54" t="s">
        <v>126</v>
      </c>
      <c r="D163" s="53">
        <v>7171264</v>
      </c>
      <c r="E163" s="52">
        <v>45395</v>
      </c>
      <c r="F163" s="51">
        <v>7401.33</v>
      </c>
      <c r="G163" s="50" t="s">
        <v>41</v>
      </c>
      <c r="H163" s="49" t="str">
        <f t="shared" si="4"/>
        <v>B</v>
      </c>
      <c r="I163" s="48" t="str">
        <f t="shared" si="5"/>
        <v>The Commissioner &amp; Chief Constable are satisfied the spend represents VFM in accordance with the requirements of Category B</v>
      </c>
      <c r="L163" s="41"/>
      <c r="M163" s="41"/>
    </row>
    <row r="164" spans="1:13" s="42" customFormat="1" x14ac:dyDescent="0.2">
      <c r="A164" s="56" t="s">
        <v>8</v>
      </c>
      <c r="B164" s="55" t="s">
        <v>9</v>
      </c>
      <c r="C164" s="57" t="s">
        <v>150</v>
      </c>
      <c r="D164" s="53">
        <v>7171832</v>
      </c>
      <c r="E164" s="52">
        <v>45406</v>
      </c>
      <c r="F164" s="51">
        <v>7331.5</v>
      </c>
      <c r="G164" s="50" t="s">
        <v>151</v>
      </c>
      <c r="H164" s="49" t="str">
        <f t="shared" si="4"/>
        <v>B</v>
      </c>
      <c r="I164" s="48" t="str">
        <f t="shared" si="5"/>
        <v>The Commissioner &amp; Chief Constable are satisfied the spend represents VFM in accordance with the requirements of Category B</v>
      </c>
      <c r="L164" s="41"/>
      <c r="M164" s="41"/>
    </row>
    <row r="165" spans="1:13" s="42" customFormat="1" x14ac:dyDescent="0.2">
      <c r="A165" s="56" t="s">
        <v>8</v>
      </c>
      <c r="B165" s="55" t="s">
        <v>9</v>
      </c>
      <c r="C165" s="54" t="s">
        <v>103</v>
      </c>
      <c r="D165" s="53">
        <v>7171644</v>
      </c>
      <c r="E165" s="52">
        <v>45394</v>
      </c>
      <c r="F165" s="51">
        <v>7252.8</v>
      </c>
      <c r="G165" s="50" t="s">
        <v>91</v>
      </c>
      <c r="H165" s="49" t="str">
        <f t="shared" si="4"/>
        <v>B</v>
      </c>
      <c r="I165" s="48" t="str">
        <f t="shared" si="5"/>
        <v>The Commissioner &amp; Chief Constable are satisfied the spend represents VFM in accordance with the requirements of Category B</v>
      </c>
      <c r="L165" s="41"/>
      <c r="M165" s="41"/>
    </row>
    <row r="166" spans="1:13" s="42" customFormat="1" x14ac:dyDescent="0.2">
      <c r="A166" s="56" t="s">
        <v>8</v>
      </c>
      <c r="B166" s="55" t="s">
        <v>9</v>
      </c>
      <c r="C166" s="54" t="s">
        <v>638</v>
      </c>
      <c r="D166" s="53">
        <v>7171243</v>
      </c>
      <c r="E166" s="52">
        <v>45384</v>
      </c>
      <c r="F166" s="51">
        <v>7000</v>
      </c>
      <c r="G166" s="50" t="s">
        <v>106</v>
      </c>
      <c r="H166" s="49" t="str">
        <f t="shared" si="4"/>
        <v>B</v>
      </c>
      <c r="I166" s="48" t="str">
        <f t="shared" si="5"/>
        <v>The Commissioner &amp; Chief Constable are satisfied the spend represents VFM in accordance with the requirements of Category B</v>
      </c>
      <c r="L166" s="41"/>
      <c r="M166" s="41"/>
    </row>
    <row r="167" spans="1:13" s="42" customFormat="1" x14ac:dyDescent="0.2">
      <c r="A167" s="56" t="s">
        <v>8</v>
      </c>
      <c r="B167" s="55" t="s">
        <v>9</v>
      </c>
      <c r="C167" s="54" t="s">
        <v>268</v>
      </c>
      <c r="D167" s="53">
        <v>7166798</v>
      </c>
      <c r="E167" s="52">
        <v>45384</v>
      </c>
      <c r="F167" s="51">
        <v>7000</v>
      </c>
      <c r="G167" s="50" t="s">
        <v>177</v>
      </c>
      <c r="H167" s="49" t="str">
        <f t="shared" si="4"/>
        <v>B</v>
      </c>
      <c r="I167" s="48" t="str">
        <f t="shared" si="5"/>
        <v>The Commissioner &amp; Chief Constable are satisfied the spend represents VFM in accordance with the requirements of Category B</v>
      </c>
      <c r="L167" s="41"/>
      <c r="M167" s="41"/>
    </row>
    <row r="168" spans="1:13" s="42" customFormat="1" x14ac:dyDescent="0.2">
      <c r="A168" s="56" t="s">
        <v>8</v>
      </c>
      <c r="B168" s="55" t="s">
        <v>9</v>
      </c>
      <c r="C168" s="54" t="s">
        <v>74</v>
      </c>
      <c r="D168" s="53">
        <v>7171795</v>
      </c>
      <c r="E168" s="52">
        <v>45408</v>
      </c>
      <c r="F168" s="51">
        <v>6970.34</v>
      </c>
      <c r="G168" s="50" t="s">
        <v>131</v>
      </c>
      <c r="H168" s="49" t="str">
        <f t="shared" si="4"/>
        <v>B</v>
      </c>
      <c r="I168" s="48" t="str">
        <f t="shared" si="5"/>
        <v>The Commissioner &amp; Chief Constable are satisfied the spend represents VFM in accordance with the requirements of Category B</v>
      </c>
      <c r="L168" s="41"/>
      <c r="M168" s="41"/>
    </row>
    <row r="169" spans="1:13" s="42" customFormat="1" x14ac:dyDescent="0.2">
      <c r="A169" s="56" t="s">
        <v>8</v>
      </c>
      <c r="B169" s="55" t="s">
        <v>9</v>
      </c>
      <c r="C169" s="54" t="s">
        <v>142</v>
      </c>
      <c r="D169" s="53">
        <v>7172112</v>
      </c>
      <c r="E169" s="52">
        <v>45411</v>
      </c>
      <c r="F169" s="51">
        <v>6940.55</v>
      </c>
      <c r="G169" s="50" t="s">
        <v>143</v>
      </c>
      <c r="H169" s="49" t="str">
        <f t="shared" si="4"/>
        <v>B</v>
      </c>
      <c r="I169" s="48" t="str">
        <f t="shared" si="5"/>
        <v>The Commissioner &amp; Chief Constable are satisfied the spend represents VFM in accordance with the requirements of Category B</v>
      </c>
      <c r="L169" s="41"/>
      <c r="M169" s="41"/>
    </row>
    <row r="170" spans="1:13" s="42" customFormat="1" x14ac:dyDescent="0.2">
      <c r="A170" s="56" t="s">
        <v>8</v>
      </c>
      <c r="B170" s="55" t="s">
        <v>9</v>
      </c>
      <c r="C170" s="54" t="s">
        <v>48</v>
      </c>
      <c r="D170" s="53">
        <v>7170791</v>
      </c>
      <c r="E170" s="52">
        <v>45384</v>
      </c>
      <c r="F170" s="51">
        <v>6891.69</v>
      </c>
      <c r="G170" s="50" t="s">
        <v>58</v>
      </c>
      <c r="H170" s="49" t="str">
        <f t="shared" si="4"/>
        <v>B</v>
      </c>
      <c r="I170" s="48" t="str">
        <f t="shared" si="5"/>
        <v>The Commissioner &amp; Chief Constable are satisfied the spend represents VFM in accordance with the requirements of Category B</v>
      </c>
      <c r="L170" s="41"/>
      <c r="M170" s="41"/>
    </row>
    <row r="171" spans="1:13" s="42" customFormat="1" x14ac:dyDescent="0.2">
      <c r="A171" s="56" t="s">
        <v>8</v>
      </c>
      <c r="B171" s="55" t="s">
        <v>9</v>
      </c>
      <c r="C171" s="54" t="s">
        <v>48</v>
      </c>
      <c r="D171" s="53">
        <v>7171616</v>
      </c>
      <c r="E171" s="52">
        <v>45394</v>
      </c>
      <c r="F171" s="51">
        <v>6865.57</v>
      </c>
      <c r="G171" s="50" t="s">
        <v>58</v>
      </c>
      <c r="H171" s="49" t="str">
        <f t="shared" si="4"/>
        <v>B</v>
      </c>
      <c r="I171" s="48" t="str">
        <f t="shared" si="5"/>
        <v>The Commissioner &amp; Chief Constable are satisfied the spend represents VFM in accordance with the requirements of Category B</v>
      </c>
      <c r="L171" s="41"/>
      <c r="M171" s="41"/>
    </row>
    <row r="172" spans="1:13" s="42" customFormat="1" x14ac:dyDescent="0.2">
      <c r="A172" s="56" t="s">
        <v>8</v>
      </c>
      <c r="B172" s="55" t="s">
        <v>9</v>
      </c>
      <c r="C172" s="54" t="s">
        <v>415</v>
      </c>
      <c r="D172" s="53">
        <v>7171190</v>
      </c>
      <c r="E172" s="52">
        <v>45385</v>
      </c>
      <c r="F172" s="51">
        <v>6600</v>
      </c>
      <c r="G172" s="50" t="s">
        <v>376</v>
      </c>
      <c r="H172" s="49" t="str">
        <f t="shared" si="4"/>
        <v>B</v>
      </c>
      <c r="I172" s="48" t="str">
        <f t="shared" si="5"/>
        <v>The Commissioner &amp; Chief Constable are satisfied the spend represents VFM in accordance with the requirements of Category B</v>
      </c>
      <c r="L172" s="41"/>
      <c r="M172" s="41"/>
    </row>
    <row r="173" spans="1:13" s="42" customFormat="1" x14ac:dyDescent="0.2">
      <c r="A173" s="56" t="s">
        <v>8</v>
      </c>
      <c r="B173" s="55" t="s">
        <v>9</v>
      </c>
      <c r="C173" s="54" t="s">
        <v>637</v>
      </c>
      <c r="D173" s="53">
        <v>7171439</v>
      </c>
      <c r="E173" s="52">
        <v>45390</v>
      </c>
      <c r="F173" s="51">
        <v>6572.1</v>
      </c>
      <c r="G173" s="50" t="s">
        <v>91</v>
      </c>
      <c r="H173" s="49" t="str">
        <f t="shared" si="4"/>
        <v>B</v>
      </c>
      <c r="I173" s="48" t="str">
        <f t="shared" si="5"/>
        <v>The Commissioner &amp; Chief Constable are satisfied the spend represents VFM in accordance with the requirements of Category B</v>
      </c>
      <c r="L173" s="41"/>
      <c r="M173" s="41"/>
    </row>
    <row r="174" spans="1:13" s="42" customFormat="1" x14ac:dyDescent="0.2">
      <c r="A174" s="56" t="s">
        <v>8</v>
      </c>
      <c r="B174" s="55" t="s">
        <v>9</v>
      </c>
      <c r="C174" s="54" t="s">
        <v>33</v>
      </c>
      <c r="D174" s="53">
        <v>7170813</v>
      </c>
      <c r="E174" s="52">
        <v>45390</v>
      </c>
      <c r="F174" s="51">
        <v>6301.99</v>
      </c>
      <c r="G174" s="50" t="s">
        <v>58</v>
      </c>
      <c r="H174" s="49" t="str">
        <f t="shared" si="4"/>
        <v>B</v>
      </c>
      <c r="I174" s="48" t="str">
        <f t="shared" si="5"/>
        <v>The Commissioner &amp; Chief Constable are satisfied the spend represents VFM in accordance with the requirements of Category B</v>
      </c>
      <c r="L174" s="41"/>
      <c r="M174" s="41"/>
    </row>
    <row r="175" spans="1:13" s="42" customFormat="1" x14ac:dyDescent="0.2">
      <c r="A175" s="56" t="s">
        <v>8</v>
      </c>
      <c r="B175" s="55" t="s">
        <v>9</v>
      </c>
      <c r="C175" s="54" t="s">
        <v>636</v>
      </c>
      <c r="D175" s="53">
        <v>7170943</v>
      </c>
      <c r="E175" s="52">
        <v>45384</v>
      </c>
      <c r="F175" s="51">
        <v>6144</v>
      </c>
      <c r="G175" s="50" t="s">
        <v>251</v>
      </c>
      <c r="H175" s="49" t="str">
        <f t="shared" si="4"/>
        <v>B</v>
      </c>
      <c r="I175" s="48" t="str">
        <f t="shared" si="5"/>
        <v>The Commissioner &amp; Chief Constable are satisfied the spend represents VFM in accordance with the requirements of Category B</v>
      </c>
      <c r="L175" s="41"/>
      <c r="M175" s="41"/>
    </row>
    <row r="176" spans="1:13" s="42" customFormat="1" x14ac:dyDescent="0.2">
      <c r="A176" s="56" t="s">
        <v>8</v>
      </c>
      <c r="B176" s="55" t="s">
        <v>9</v>
      </c>
      <c r="C176" s="54" t="s">
        <v>635</v>
      </c>
      <c r="D176" s="53">
        <v>7171338</v>
      </c>
      <c r="E176" s="52">
        <v>45397</v>
      </c>
      <c r="F176" s="51">
        <v>6089.64</v>
      </c>
      <c r="G176" s="50" t="s">
        <v>131</v>
      </c>
      <c r="H176" s="49" t="str">
        <f t="shared" si="4"/>
        <v>B</v>
      </c>
      <c r="I176" s="48" t="str">
        <f t="shared" si="5"/>
        <v>The Commissioner &amp; Chief Constable are satisfied the spend represents VFM in accordance with the requirements of Category B</v>
      </c>
      <c r="L176" s="41"/>
      <c r="M176" s="41"/>
    </row>
    <row r="177" spans="1:13" s="42" customFormat="1" x14ac:dyDescent="0.2">
      <c r="A177" s="56" t="s">
        <v>8</v>
      </c>
      <c r="B177" s="55" t="s">
        <v>9</v>
      </c>
      <c r="C177" s="54" t="s">
        <v>423</v>
      </c>
      <c r="D177" s="53">
        <v>7171581</v>
      </c>
      <c r="E177" s="52">
        <v>45392</v>
      </c>
      <c r="F177" s="51">
        <v>6041.5</v>
      </c>
      <c r="G177" s="50" t="s">
        <v>390</v>
      </c>
      <c r="H177" s="49" t="str">
        <f t="shared" si="4"/>
        <v>B</v>
      </c>
      <c r="I177" s="48" t="str">
        <f t="shared" si="5"/>
        <v>The Commissioner &amp; Chief Constable are satisfied the spend represents VFM in accordance with the requirements of Category B</v>
      </c>
      <c r="L177" s="41"/>
      <c r="M177" s="41"/>
    </row>
    <row r="178" spans="1:13" s="42" customFormat="1" x14ac:dyDescent="0.2">
      <c r="A178" s="56" t="s">
        <v>8</v>
      </c>
      <c r="B178" s="55" t="s">
        <v>9</v>
      </c>
      <c r="C178" s="54" t="s">
        <v>634</v>
      </c>
      <c r="D178" s="53">
        <v>7171217</v>
      </c>
      <c r="E178" s="52">
        <v>45394</v>
      </c>
      <c r="F178" s="51">
        <v>6000</v>
      </c>
      <c r="G178" s="50" t="s">
        <v>133</v>
      </c>
      <c r="H178" s="49" t="str">
        <f t="shared" si="4"/>
        <v>B</v>
      </c>
      <c r="I178" s="48" t="str">
        <f t="shared" si="5"/>
        <v>The Commissioner &amp; Chief Constable are satisfied the spend represents VFM in accordance with the requirements of Category B</v>
      </c>
      <c r="L178" s="41"/>
      <c r="M178" s="41"/>
    </row>
    <row r="179" spans="1:13" s="42" customFormat="1" x14ac:dyDescent="0.2">
      <c r="A179" s="56" t="s">
        <v>8</v>
      </c>
      <c r="B179" s="55" t="s">
        <v>9</v>
      </c>
      <c r="C179" s="54" t="s">
        <v>74</v>
      </c>
      <c r="D179" s="53">
        <v>7172076</v>
      </c>
      <c r="E179" s="52">
        <v>45407</v>
      </c>
      <c r="F179" s="51">
        <v>5868</v>
      </c>
      <c r="G179" s="50" t="s">
        <v>177</v>
      </c>
      <c r="H179" s="49" t="str">
        <f t="shared" si="4"/>
        <v>B</v>
      </c>
      <c r="I179" s="48" t="str">
        <f t="shared" si="5"/>
        <v>The Commissioner &amp; Chief Constable are satisfied the spend represents VFM in accordance with the requirements of Category B</v>
      </c>
      <c r="L179" s="41"/>
      <c r="M179" s="41"/>
    </row>
    <row r="180" spans="1:13" s="42" customFormat="1" x14ac:dyDescent="0.2">
      <c r="A180" s="56" t="s">
        <v>8</v>
      </c>
      <c r="B180" s="55" t="s">
        <v>9</v>
      </c>
      <c r="C180" s="54" t="s">
        <v>127</v>
      </c>
      <c r="D180" s="53">
        <v>7171690</v>
      </c>
      <c r="E180" s="52">
        <v>45398</v>
      </c>
      <c r="F180" s="51">
        <v>5862.27</v>
      </c>
      <c r="G180" s="50" t="s">
        <v>49</v>
      </c>
      <c r="H180" s="49" t="str">
        <f t="shared" si="4"/>
        <v>B</v>
      </c>
      <c r="I180" s="48" t="str">
        <f t="shared" si="5"/>
        <v>The Commissioner &amp; Chief Constable are satisfied the spend represents VFM in accordance with the requirements of Category B</v>
      </c>
      <c r="L180" s="41"/>
      <c r="M180" s="41"/>
    </row>
    <row r="181" spans="1:13" s="42" customFormat="1" x14ac:dyDescent="0.2">
      <c r="A181" s="56" t="s">
        <v>8</v>
      </c>
      <c r="B181" s="55" t="s">
        <v>9</v>
      </c>
      <c r="C181" s="54" t="s">
        <v>128</v>
      </c>
      <c r="D181" s="53">
        <v>7172234</v>
      </c>
      <c r="E181" s="52">
        <v>45412</v>
      </c>
      <c r="F181" s="51">
        <v>5823.78</v>
      </c>
      <c r="G181" s="50" t="s">
        <v>129</v>
      </c>
      <c r="H181" s="49" t="str">
        <f t="shared" si="4"/>
        <v>B</v>
      </c>
      <c r="I181" s="48" t="str">
        <f t="shared" si="5"/>
        <v>The Commissioner &amp; Chief Constable are satisfied the spend represents VFM in accordance with the requirements of Category B</v>
      </c>
      <c r="L181" s="41"/>
      <c r="M181" s="41"/>
    </row>
    <row r="182" spans="1:13" s="42" customFormat="1" x14ac:dyDescent="0.2">
      <c r="A182" s="56" t="s">
        <v>8</v>
      </c>
      <c r="B182" s="55" t="s">
        <v>9</v>
      </c>
      <c r="C182" s="54" t="s">
        <v>184</v>
      </c>
      <c r="D182" s="53">
        <v>7171026</v>
      </c>
      <c r="E182" s="52">
        <v>45391</v>
      </c>
      <c r="F182" s="51">
        <v>5680</v>
      </c>
      <c r="G182" s="50" t="s">
        <v>38</v>
      </c>
      <c r="H182" s="49" t="str">
        <f t="shared" si="4"/>
        <v>B</v>
      </c>
      <c r="I182" s="48" t="str">
        <f t="shared" si="5"/>
        <v>The Commissioner &amp; Chief Constable are satisfied the spend represents VFM in accordance with the requirements of Category B</v>
      </c>
      <c r="L182" s="41"/>
      <c r="M182" s="41"/>
    </row>
    <row r="183" spans="1:13" s="42" customFormat="1" x14ac:dyDescent="0.2">
      <c r="A183" s="56" t="s">
        <v>8</v>
      </c>
      <c r="B183" s="55" t="s">
        <v>9</v>
      </c>
      <c r="C183" s="54" t="s">
        <v>159</v>
      </c>
      <c r="D183" s="53">
        <v>7171222</v>
      </c>
      <c r="E183" s="52">
        <v>45384</v>
      </c>
      <c r="F183" s="51">
        <v>5623.18</v>
      </c>
      <c r="G183" s="50" t="s">
        <v>22</v>
      </c>
      <c r="H183" s="49" t="str">
        <f t="shared" si="4"/>
        <v>B</v>
      </c>
      <c r="I183" s="48" t="str">
        <f t="shared" si="5"/>
        <v>The Commissioner &amp; Chief Constable are satisfied the spend represents VFM in accordance with the requirements of Category B</v>
      </c>
      <c r="L183" s="41"/>
      <c r="M183" s="41"/>
    </row>
    <row r="184" spans="1:13" s="42" customFormat="1" x14ac:dyDescent="0.2">
      <c r="A184" s="56" t="s">
        <v>8</v>
      </c>
      <c r="B184" s="55" t="s">
        <v>9</v>
      </c>
      <c r="C184" s="54" t="s">
        <v>161</v>
      </c>
      <c r="D184" s="53">
        <v>7171844</v>
      </c>
      <c r="E184" s="52">
        <v>45401</v>
      </c>
      <c r="F184" s="51">
        <v>5620.66</v>
      </c>
      <c r="G184" s="50" t="s">
        <v>15</v>
      </c>
      <c r="H184" s="49" t="str">
        <f t="shared" si="4"/>
        <v>B</v>
      </c>
      <c r="I184" s="48" t="str">
        <f t="shared" si="5"/>
        <v>The Commissioner &amp; Chief Constable are satisfied the spend represents VFM in accordance with the requirements of Category B</v>
      </c>
      <c r="L184" s="41"/>
      <c r="M184" s="41"/>
    </row>
    <row r="185" spans="1:13" s="42" customFormat="1" x14ac:dyDescent="0.2">
      <c r="A185" s="56" t="s">
        <v>8</v>
      </c>
      <c r="B185" s="55" t="s">
        <v>9</v>
      </c>
      <c r="C185" s="54" t="s">
        <v>26</v>
      </c>
      <c r="D185" s="53">
        <v>7171303</v>
      </c>
      <c r="E185" s="52">
        <v>45385</v>
      </c>
      <c r="F185" s="51">
        <v>5543.95</v>
      </c>
      <c r="G185" s="50" t="s">
        <v>76</v>
      </c>
      <c r="H185" s="49" t="str">
        <f t="shared" si="4"/>
        <v>B</v>
      </c>
      <c r="I185" s="48" t="str">
        <f t="shared" si="5"/>
        <v>The Commissioner &amp; Chief Constable are satisfied the spend represents VFM in accordance with the requirements of Category B</v>
      </c>
      <c r="L185" s="41"/>
      <c r="M185" s="41"/>
    </row>
    <row r="186" spans="1:13" s="42" customFormat="1" x14ac:dyDescent="0.2">
      <c r="A186" s="56" t="s">
        <v>8</v>
      </c>
      <c r="B186" s="55" t="s">
        <v>9</v>
      </c>
      <c r="C186" s="54" t="s">
        <v>119</v>
      </c>
      <c r="D186" s="53">
        <v>7171656</v>
      </c>
      <c r="E186" s="52">
        <v>45397</v>
      </c>
      <c r="F186" s="51">
        <v>5321.13</v>
      </c>
      <c r="G186" s="50" t="s">
        <v>120</v>
      </c>
      <c r="H186" s="49" t="str">
        <f t="shared" si="4"/>
        <v>B</v>
      </c>
      <c r="I186" s="48" t="str">
        <f t="shared" si="5"/>
        <v>The Commissioner &amp; Chief Constable are satisfied the spend represents VFM in accordance with the requirements of Category B</v>
      </c>
      <c r="L186" s="41"/>
      <c r="M186" s="41"/>
    </row>
    <row r="187" spans="1:13" s="42" customFormat="1" x14ac:dyDescent="0.2">
      <c r="A187" s="56" t="s">
        <v>8</v>
      </c>
      <c r="B187" s="55" t="s">
        <v>9</v>
      </c>
      <c r="C187" s="54" t="s">
        <v>152</v>
      </c>
      <c r="D187" s="53">
        <v>7171903</v>
      </c>
      <c r="E187" s="52">
        <v>45401</v>
      </c>
      <c r="F187" s="51">
        <v>5296.81</v>
      </c>
      <c r="G187" s="50" t="s">
        <v>129</v>
      </c>
      <c r="H187" s="49" t="str">
        <f t="shared" si="4"/>
        <v>B</v>
      </c>
      <c r="I187" s="48" t="str">
        <f t="shared" si="5"/>
        <v>The Commissioner &amp; Chief Constable are satisfied the spend represents VFM in accordance with the requirements of Category B</v>
      </c>
      <c r="L187" s="41"/>
      <c r="M187" s="41"/>
    </row>
    <row r="188" spans="1:13" s="42" customFormat="1" x14ac:dyDescent="0.2">
      <c r="A188" s="56" t="s">
        <v>8</v>
      </c>
      <c r="B188" s="55" t="s">
        <v>9</v>
      </c>
      <c r="C188" s="54" t="s">
        <v>633</v>
      </c>
      <c r="D188" s="53">
        <v>7171274</v>
      </c>
      <c r="E188" s="52">
        <v>45397</v>
      </c>
      <c r="F188" s="51">
        <v>5259.09</v>
      </c>
      <c r="G188" s="50" t="s">
        <v>91</v>
      </c>
      <c r="H188" s="49" t="str">
        <f t="shared" si="4"/>
        <v>B</v>
      </c>
      <c r="I188" s="48" t="str">
        <f t="shared" si="5"/>
        <v>The Commissioner &amp; Chief Constable are satisfied the spend represents VFM in accordance with the requirements of Category B</v>
      </c>
      <c r="L188" s="41"/>
      <c r="M188" s="41"/>
    </row>
    <row r="189" spans="1:13" s="42" customFormat="1" x14ac:dyDescent="0.2">
      <c r="A189" s="56" t="s">
        <v>8</v>
      </c>
      <c r="B189" s="55" t="s">
        <v>9</v>
      </c>
      <c r="C189" s="54" t="s">
        <v>450</v>
      </c>
      <c r="D189" s="53">
        <v>7171846</v>
      </c>
      <c r="E189" s="52">
        <v>45401</v>
      </c>
      <c r="F189" s="51">
        <v>5250.5</v>
      </c>
      <c r="G189" s="50" t="s">
        <v>89</v>
      </c>
      <c r="H189" s="49" t="str">
        <f t="shared" si="4"/>
        <v>B</v>
      </c>
      <c r="I189" s="48" t="str">
        <f t="shared" si="5"/>
        <v>The Commissioner &amp; Chief Constable are satisfied the spend represents VFM in accordance with the requirements of Category B</v>
      </c>
      <c r="L189" s="41"/>
      <c r="M189" s="41"/>
    </row>
    <row r="190" spans="1:13" s="42" customFormat="1" x14ac:dyDescent="0.2">
      <c r="A190" s="56" t="s">
        <v>8</v>
      </c>
      <c r="B190" s="55" t="s">
        <v>9</v>
      </c>
      <c r="C190" s="54" t="s">
        <v>48</v>
      </c>
      <c r="D190" s="53">
        <v>7171200</v>
      </c>
      <c r="E190" s="52">
        <v>45385</v>
      </c>
      <c r="F190" s="51">
        <v>5197.5</v>
      </c>
      <c r="G190" s="50" t="s">
        <v>229</v>
      </c>
      <c r="H190" s="49" t="str">
        <f t="shared" si="4"/>
        <v>B</v>
      </c>
      <c r="I190" s="48" t="str">
        <f t="shared" si="5"/>
        <v>The Commissioner &amp; Chief Constable are satisfied the spend represents VFM in accordance with the requirements of Category B</v>
      </c>
      <c r="L190" s="41"/>
      <c r="M190" s="41"/>
    </row>
    <row r="191" spans="1:13" s="42" customFormat="1" x14ac:dyDescent="0.2">
      <c r="A191" s="56" t="s">
        <v>8</v>
      </c>
      <c r="B191" s="55" t="s">
        <v>9</v>
      </c>
      <c r="C191" s="54" t="s">
        <v>83</v>
      </c>
      <c r="D191" s="53">
        <v>7172130</v>
      </c>
      <c r="E191" s="52">
        <v>45412</v>
      </c>
      <c r="F191" s="51">
        <v>5040</v>
      </c>
      <c r="G191" s="50" t="s">
        <v>84</v>
      </c>
      <c r="H191" s="49" t="str">
        <f t="shared" si="4"/>
        <v>B</v>
      </c>
      <c r="I191" s="48" t="str">
        <f t="shared" si="5"/>
        <v>The Commissioner &amp; Chief Constable are satisfied the spend represents VFM in accordance with the requirements of Category B</v>
      </c>
      <c r="L191" s="41"/>
      <c r="M191" s="41"/>
    </row>
    <row r="192" spans="1:13" s="42" customFormat="1" x14ac:dyDescent="0.2">
      <c r="A192" s="56" t="s">
        <v>8</v>
      </c>
      <c r="B192" s="55" t="s">
        <v>9</v>
      </c>
      <c r="C192" s="54" t="s">
        <v>128</v>
      </c>
      <c r="D192" s="53">
        <v>7171119</v>
      </c>
      <c r="E192" s="52">
        <v>45384</v>
      </c>
      <c r="F192" s="51">
        <v>5038.8</v>
      </c>
      <c r="G192" s="50" t="s">
        <v>129</v>
      </c>
      <c r="H192" s="49" t="str">
        <f t="shared" si="4"/>
        <v>B</v>
      </c>
      <c r="I192" s="48" t="str">
        <f t="shared" si="5"/>
        <v>The Commissioner &amp; Chief Constable are satisfied the spend represents VFM in accordance with the requirements of Category B</v>
      </c>
      <c r="L192" s="41"/>
      <c r="M192" s="41"/>
    </row>
    <row r="193" spans="1:13" s="42" customFormat="1" x14ac:dyDescent="0.2">
      <c r="A193" s="56" t="s">
        <v>8</v>
      </c>
      <c r="B193" s="55" t="s">
        <v>9</v>
      </c>
      <c r="C193" s="54" t="s">
        <v>632</v>
      </c>
      <c r="D193" s="53">
        <v>7170279</v>
      </c>
      <c r="E193" s="52">
        <v>45386</v>
      </c>
      <c r="F193" s="51">
        <v>5000</v>
      </c>
      <c r="G193" s="50" t="s">
        <v>54</v>
      </c>
      <c r="H193" s="49" t="str">
        <f t="shared" si="4"/>
        <v>B</v>
      </c>
      <c r="I193" s="48" t="str">
        <f t="shared" si="5"/>
        <v>The Commissioner &amp; Chief Constable are satisfied the spend represents VFM in accordance with the requirements of Category B</v>
      </c>
      <c r="L193" s="41"/>
      <c r="M193" s="41"/>
    </row>
    <row r="194" spans="1:13" s="42" customFormat="1" x14ac:dyDescent="0.2">
      <c r="A194" s="56" t="s">
        <v>8</v>
      </c>
      <c r="B194" s="55" t="s">
        <v>9</v>
      </c>
      <c r="C194" s="54" t="s">
        <v>168</v>
      </c>
      <c r="D194" s="53">
        <v>3067658</v>
      </c>
      <c r="E194" s="52">
        <v>45405</v>
      </c>
      <c r="F194" s="51">
        <v>5000</v>
      </c>
      <c r="G194" s="50" t="s">
        <v>169</v>
      </c>
      <c r="H194" s="49" t="str">
        <f t="shared" ref="H194:H257" si="6">IF(F194&gt;25000,"C",IF(F194&gt;1000,"B","A"))</f>
        <v>B</v>
      </c>
      <c r="I194" s="48" t="str">
        <f t="shared" ref="I194:I257" si="7">VLOOKUP(H194,$L$2:$M$4,2,FALSE)</f>
        <v>The Commissioner &amp; Chief Constable are satisfied the spend represents VFM in accordance with the requirements of Category B</v>
      </c>
      <c r="L194" s="41"/>
      <c r="M194" s="41"/>
    </row>
    <row r="195" spans="1:13" s="42" customFormat="1" x14ac:dyDescent="0.2">
      <c r="A195" s="56" t="s">
        <v>8</v>
      </c>
      <c r="B195" s="55" t="s">
        <v>9</v>
      </c>
      <c r="C195" s="54" t="s">
        <v>448</v>
      </c>
      <c r="D195" s="53">
        <v>7172166</v>
      </c>
      <c r="E195" s="52">
        <v>45412</v>
      </c>
      <c r="F195" s="51">
        <v>5000</v>
      </c>
      <c r="G195" s="50" t="s">
        <v>27</v>
      </c>
      <c r="H195" s="49" t="str">
        <f t="shared" si="6"/>
        <v>B</v>
      </c>
      <c r="I195" s="48" t="str">
        <f t="shared" si="7"/>
        <v>The Commissioner &amp; Chief Constable are satisfied the spend represents VFM in accordance with the requirements of Category B</v>
      </c>
      <c r="L195" s="41"/>
      <c r="M195" s="41"/>
    </row>
    <row r="196" spans="1:13" s="42" customFormat="1" x14ac:dyDescent="0.2">
      <c r="A196" s="56" t="s">
        <v>8</v>
      </c>
      <c r="B196" s="55" t="s">
        <v>9</v>
      </c>
      <c r="C196" s="54" t="s">
        <v>168</v>
      </c>
      <c r="D196" s="53">
        <v>3067564</v>
      </c>
      <c r="E196" s="52">
        <v>45385</v>
      </c>
      <c r="F196" s="51">
        <v>5000</v>
      </c>
      <c r="G196" s="50" t="s">
        <v>169</v>
      </c>
      <c r="H196" s="49" t="str">
        <f t="shared" si="6"/>
        <v>B</v>
      </c>
      <c r="I196" s="48" t="str">
        <f t="shared" si="7"/>
        <v>The Commissioner &amp; Chief Constable are satisfied the spend represents VFM in accordance with the requirements of Category B</v>
      </c>
      <c r="L196" s="41"/>
      <c r="M196" s="41"/>
    </row>
    <row r="197" spans="1:13" s="42" customFormat="1" x14ac:dyDescent="0.2">
      <c r="A197" s="56" t="s">
        <v>8</v>
      </c>
      <c r="B197" s="55" t="s">
        <v>9</v>
      </c>
      <c r="C197" s="54" t="s">
        <v>569</v>
      </c>
      <c r="D197" s="53">
        <v>7171553</v>
      </c>
      <c r="E197" s="52">
        <v>45392</v>
      </c>
      <c r="F197" s="51">
        <v>4660</v>
      </c>
      <c r="G197" s="50" t="s">
        <v>123</v>
      </c>
      <c r="H197" s="49" t="str">
        <f t="shared" si="6"/>
        <v>B</v>
      </c>
      <c r="I197" s="48" t="str">
        <f t="shared" si="7"/>
        <v>The Commissioner &amp; Chief Constable are satisfied the spend represents VFM in accordance with the requirements of Category B</v>
      </c>
      <c r="L197" s="41"/>
      <c r="M197" s="41"/>
    </row>
    <row r="198" spans="1:13" s="42" customFormat="1" x14ac:dyDescent="0.2">
      <c r="A198" s="56" t="s">
        <v>8</v>
      </c>
      <c r="B198" s="55" t="s">
        <v>9</v>
      </c>
      <c r="C198" s="54" t="s">
        <v>142</v>
      </c>
      <c r="D198" s="53">
        <v>7171905</v>
      </c>
      <c r="E198" s="52">
        <v>45411</v>
      </c>
      <c r="F198" s="51">
        <v>4652.88</v>
      </c>
      <c r="G198" s="50" t="s">
        <v>143</v>
      </c>
      <c r="H198" s="49" t="str">
        <f t="shared" si="6"/>
        <v>B</v>
      </c>
      <c r="I198" s="48" t="str">
        <f t="shared" si="7"/>
        <v>The Commissioner &amp; Chief Constable are satisfied the spend represents VFM in accordance with the requirements of Category B</v>
      </c>
      <c r="L198" s="41"/>
      <c r="M198" s="41"/>
    </row>
    <row r="199" spans="1:13" s="42" customFormat="1" x14ac:dyDescent="0.2">
      <c r="A199" s="56" t="s">
        <v>8</v>
      </c>
      <c r="B199" s="55" t="s">
        <v>9</v>
      </c>
      <c r="C199" s="54" t="s">
        <v>173</v>
      </c>
      <c r="D199" s="53">
        <v>7170690</v>
      </c>
      <c r="E199" s="52">
        <v>45398</v>
      </c>
      <c r="F199" s="51">
        <v>4647.42</v>
      </c>
      <c r="G199" s="50" t="s">
        <v>229</v>
      </c>
      <c r="H199" s="49" t="str">
        <f t="shared" si="6"/>
        <v>B</v>
      </c>
      <c r="I199" s="48" t="str">
        <f t="shared" si="7"/>
        <v>The Commissioner &amp; Chief Constable are satisfied the spend represents VFM in accordance with the requirements of Category B</v>
      </c>
      <c r="L199" s="41"/>
      <c r="M199" s="41"/>
    </row>
    <row r="200" spans="1:13" s="42" customFormat="1" x14ac:dyDescent="0.2">
      <c r="A200" s="56" t="s">
        <v>8</v>
      </c>
      <c r="B200" s="55" t="s">
        <v>9</v>
      </c>
      <c r="C200" s="54" t="s">
        <v>277</v>
      </c>
      <c r="D200" s="53">
        <v>7171700</v>
      </c>
      <c r="E200" s="52">
        <v>45397</v>
      </c>
      <c r="F200" s="51">
        <v>4632</v>
      </c>
      <c r="G200" s="50" t="s">
        <v>278</v>
      </c>
      <c r="H200" s="49" t="str">
        <f t="shared" si="6"/>
        <v>B</v>
      </c>
      <c r="I200" s="48" t="str">
        <f t="shared" si="7"/>
        <v>The Commissioner &amp; Chief Constable are satisfied the spend represents VFM in accordance with the requirements of Category B</v>
      </c>
      <c r="L200" s="41"/>
      <c r="M200" s="41"/>
    </row>
    <row r="201" spans="1:13" s="42" customFormat="1" x14ac:dyDescent="0.2">
      <c r="A201" s="56" t="s">
        <v>8</v>
      </c>
      <c r="B201" s="55" t="s">
        <v>9</v>
      </c>
      <c r="C201" s="54" t="s">
        <v>173</v>
      </c>
      <c r="D201" s="53">
        <v>7172007</v>
      </c>
      <c r="E201" s="52">
        <v>45407</v>
      </c>
      <c r="F201" s="51">
        <v>4405.63</v>
      </c>
      <c r="G201" s="50" t="s">
        <v>80</v>
      </c>
      <c r="H201" s="49" t="str">
        <f t="shared" si="6"/>
        <v>B</v>
      </c>
      <c r="I201" s="48" t="str">
        <f t="shared" si="7"/>
        <v>The Commissioner &amp; Chief Constable are satisfied the spend represents VFM in accordance with the requirements of Category B</v>
      </c>
      <c r="L201" s="41"/>
      <c r="M201" s="41"/>
    </row>
    <row r="202" spans="1:13" s="42" customFormat="1" x14ac:dyDescent="0.2">
      <c r="A202" s="56" t="s">
        <v>8</v>
      </c>
      <c r="B202" s="55" t="s">
        <v>9</v>
      </c>
      <c r="C202" s="54" t="s">
        <v>23</v>
      </c>
      <c r="D202" s="53">
        <v>7171411</v>
      </c>
      <c r="E202" s="52">
        <v>45395</v>
      </c>
      <c r="F202" s="51">
        <v>4400.1400000000003</v>
      </c>
      <c r="G202" s="50" t="s">
        <v>24</v>
      </c>
      <c r="H202" s="49" t="str">
        <f t="shared" si="6"/>
        <v>B</v>
      </c>
      <c r="I202" s="48" t="str">
        <f t="shared" si="7"/>
        <v>The Commissioner &amp; Chief Constable are satisfied the spend represents VFM in accordance with the requirements of Category B</v>
      </c>
      <c r="L202" s="41"/>
      <c r="M202" s="41"/>
    </row>
    <row r="203" spans="1:13" s="42" customFormat="1" x14ac:dyDescent="0.2">
      <c r="A203" s="56" t="s">
        <v>8</v>
      </c>
      <c r="B203" s="55" t="s">
        <v>9</v>
      </c>
      <c r="C203" s="54" t="s">
        <v>139</v>
      </c>
      <c r="D203" s="53">
        <v>7171564</v>
      </c>
      <c r="E203" s="52">
        <v>45393</v>
      </c>
      <c r="F203" s="51">
        <v>4001</v>
      </c>
      <c r="G203" s="50" t="s">
        <v>39</v>
      </c>
      <c r="H203" s="49" t="str">
        <f t="shared" si="6"/>
        <v>B</v>
      </c>
      <c r="I203" s="48" t="str">
        <f t="shared" si="7"/>
        <v>The Commissioner &amp; Chief Constable are satisfied the spend represents VFM in accordance with the requirements of Category B</v>
      </c>
      <c r="L203" s="41"/>
      <c r="M203" s="41"/>
    </row>
    <row r="204" spans="1:13" s="42" customFormat="1" x14ac:dyDescent="0.2">
      <c r="A204" s="56" t="s">
        <v>8</v>
      </c>
      <c r="B204" s="55" t="s">
        <v>9</v>
      </c>
      <c r="C204" s="54" t="s">
        <v>415</v>
      </c>
      <c r="D204" s="53">
        <v>7171155</v>
      </c>
      <c r="E204" s="52">
        <v>45385</v>
      </c>
      <c r="F204" s="51">
        <v>3970</v>
      </c>
      <c r="G204" s="50" t="s">
        <v>38</v>
      </c>
      <c r="H204" s="49" t="str">
        <f t="shared" si="6"/>
        <v>B</v>
      </c>
      <c r="I204" s="48" t="str">
        <f t="shared" si="7"/>
        <v>The Commissioner &amp; Chief Constable are satisfied the spend represents VFM in accordance with the requirements of Category B</v>
      </c>
      <c r="L204" s="41"/>
      <c r="M204" s="41"/>
    </row>
    <row r="205" spans="1:13" s="42" customFormat="1" x14ac:dyDescent="0.2">
      <c r="A205" s="56" t="s">
        <v>8</v>
      </c>
      <c r="B205" s="55" t="s">
        <v>9</v>
      </c>
      <c r="C205" s="54" t="s">
        <v>163</v>
      </c>
      <c r="D205" s="53">
        <v>7171357</v>
      </c>
      <c r="E205" s="52">
        <v>45386</v>
      </c>
      <c r="F205" s="58">
        <v>140</v>
      </c>
      <c r="G205" s="50" t="s">
        <v>45</v>
      </c>
      <c r="H205" s="49" t="str">
        <f t="shared" si="6"/>
        <v>A</v>
      </c>
      <c r="I205" s="48" t="str">
        <f t="shared" si="7"/>
        <v>The Commissioner &amp; Chief Constable are satisfied the spend represents VFM in accordance with the requirements of Category A</v>
      </c>
      <c r="L205" s="41"/>
      <c r="M205" s="41"/>
    </row>
    <row r="206" spans="1:13" s="42" customFormat="1" x14ac:dyDescent="0.2">
      <c r="A206" s="56" t="s">
        <v>8</v>
      </c>
      <c r="B206" s="55" t="s">
        <v>9</v>
      </c>
      <c r="C206" s="54" t="s">
        <v>163</v>
      </c>
      <c r="D206" s="53">
        <v>7171357</v>
      </c>
      <c r="E206" s="52">
        <v>45386</v>
      </c>
      <c r="F206" s="51">
        <v>2950</v>
      </c>
      <c r="G206" s="59" t="s">
        <v>81</v>
      </c>
      <c r="H206" s="49" t="str">
        <f t="shared" si="6"/>
        <v>B</v>
      </c>
      <c r="I206" s="48" t="str">
        <f t="shared" si="7"/>
        <v>The Commissioner &amp; Chief Constable are satisfied the spend represents VFM in accordance with the requirements of Category B</v>
      </c>
      <c r="L206" s="41"/>
      <c r="M206" s="41"/>
    </row>
    <row r="207" spans="1:13" s="42" customFormat="1" x14ac:dyDescent="0.2">
      <c r="A207" s="56" t="s">
        <v>8</v>
      </c>
      <c r="B207" s="55" t="s">
        <v>9</v>
      </c>
      <c r="C207" s="54" t="s">
        <v>163</v>
      </c>
      <c r="D207" s="53">
        <v>7171357</v>
      </c>
      <c r="E207" s="52">
        <v>45386</v>
      </c>
      <c r="F207" s="51">
        <v>684</v>
      </c>
      <c r="G207" s="59" t="s">
        <v>82</v>
      </c>
      <c r="H207" s="49" t="str">
        <f t="shared" si="6"/>
        <v>A</v>
      </c>
      <c r="I207" s="48" t="str">
        <f t="shared" si="7"/>
        <v>The Commissioner &amp; Chief Constable are satisfied the spend represents VFM in accordance with the requirements of Category A</v>
      </c>
      <c r="L207" s="41"/>
      <c r="M207" s="41"/>
    </row>
    <row r="208" spans="1:13" s="42" customFormat="1" x14ac:dyDescent="0.2">
      <c r="A208" s="56" t="s">
        <v>8</v>
      </c>
      <c r="B208" s="55" t="s">
        <v>9</v>
      </c>
      <c r="C208" s="54" t="s">
        <v>631</v>
      </c>
      <c r="D208" s="53">
        <v>7170843</v>
      </c>
      <c r="E208" s="52">
        <v>45384</v>
      </c>
      <c r="F208" s="51">
        <v>3674</v>
      </c>
      <c r="G208" s="50" t="s">
        <v>106</v>
      </c>
      <c r="H208" s="49" t="str">
        <f t="shared" si="6"/>
        <v>B</v>
      </c>
      <c r="I208" s="48" t="str">
        <f t="shared" si="7"/>
        <v>The Commissioner &amp; Chief Constable are satisfied the spend represents VFM in accordance with the requirements of Category B</v>
      </c>
      <c r="L208" s="41"/>
      <c r="M208" s="41"/>
    </row>
    <row r="209" spans="1:13" s="42" customFormat="1" x14ac:dyDescent="0.2">
      <c r="A209" s="56" t="s">
        <v>8</v>
      </c>
      <c r="B209" s="55" t="s">
        <v>9</v>
      </c>
      <c r="C209" s="54" t="s">
        <v>267</v>
      </c>
      <c r="D209" s="53">
        <v>7170757</v>
      </c>
      <c r="E209" s="52">
        <v>45384</v>
      </c>
      <c r="F209" s="51">
        <v>3600</v>
      </c>
      <c r="G209" s="50" t="s">
        <v>106</v>
      </c>
      <c r="H209" s="49" t="str">
        <f t="shared" si="6"/>
        <v>B</v>
      </c>
      <c r="I209" s="48" t="str">
        <f t="shared" si="7"/>
        <v>The Commissioner &amp; Chief Constable are satisfied the spend represents VFM in accordance with the requirements of Category B</v>
      </c>
      <c r="L209" s="41"/>
      <c r="M209" s="41"/>
    </row>
    <row r="210" spans="1:13" s="42" customFormat="1" x14ac:dyDescent="0.2">
      <c r="A210" s="56" t="s">
        <v>8</v>
      </c>
      <c r="B210" s="55" t="s">
        <v>9</v>
      </c>
      <c r="C210" s="54" t="s">
        <v>630</v>
      </c>
      <c r="D210" s="53">
        <v>7171983</v>
      </c>
      <c r="E210" s="52">
        <v>45406</v>
      </c>
      <c r="F210" s="58">
        <v>3600</v>
      </c>
      <c r="G210" s="50" t="s">
        <v>345</v>
      </c>
      <c r="H210" s="49" t="str">
        <f t="shared" si="6"/>
        <v>B</v>
      </c>
      <c r="I210" s="48" t="str">
        <f t="shared" si="7"/>
        <v>The Commissioner &amp; Chief Constable are satisfied the spend represents VFM in accordance with the requirements of Category B</v>
      </c>
      <c r="L210" s="41"/>
      <c r="M210" s="41"/>
    </row>
    <row r="211" spans="1:13" s="42" customFormat="1" x14ac:dyDescent="0.2">
      <c r="A211" s="56" t="s">
        <v>8</v>
      </c>
      <c r="B211" s="55" t="s">
        <v>9</v>
      </c>
      <c r="C211" s="54" t="s">
        <v>629</v>
      </c>
      <c r="D211" s="53">
        <v>7171711</v>
      </c>
      <c r="E211" s="52">
        <v>45397</v>
      </c>
      <c r="F211" s="51">
        <v>3500</v>
      </c>
      <c r="G211" s="50" t="s">
        <v>27</v>
      </c>
      <c r="H211" s="49" t="str">
        <f t="shared" si="6"/>
        <v>B</v>
      </c>
      <c r="I211" s="48" t="str">
        <f t="shared" si="7"/>
        <v>The Commissioner &amp; Chief Constable are satisfied the spend represents VFM in accordance with the requirements of Category B</v>
      </c>
      <c r="L211" s="41"/>
      <c r="M211" s="41"/>
    </row>
    <row r="212" spans="1:13" s="42" customFormat="1" x14ac:dyDescent="0.2">
      <c r="A212" s="56" t="s">
        <v>8</v>
      </c>
      <c r="B212" s="55" t="s">
        <v>9</v>
      </c>
      <c r="C212" s="54" t="s">
        <v>628</v>
      </c>
      <c r="D212" s="53">
        <v>7171710</v>
      </c>
      <c r="E212" s="52">
        <v>45397</v>
      </c>
      <c r="F212" s="51">
        <v>3500</v>
      </c>
      <c r="G212" s="50" t="s">
        <v>27</v>
      </c>
      <c r="H212" s="49" t="str">
        <f t="shared" si="6"/>
        <v>B</v>
      </c>
      <c r="I212" s="48" t="str">
        <f t="shared" si="7"/>
        <v>The Commissioner &amp; Chief Constable are satisfied the spend represents VFM in accordance with the requirements of Category B</v>
      </c>
      <c r="L212" s="41"/>
      <c r="M212" s="41"/>
    </row>
    <row r="213" spans="1:13" s="42" customFormat="1" x14ac:dyDescent="0.2">
      <c r="A213" s="56" t="s">
        <v>8</v>
      </c>
      <c r="B213" s="55" t="s">
        <v>9</v>
      </c>
      <c r="C213" s="54" t="s">
        <v>149</v>
      </c>
      <c r="D213" s="53">
        <v>7171019</v>
      </c>
      <c r="E213" s="52">
        <v>45386</v>
      </c>
      <c r="F213" s="51">
        <v>3420.53</v>
      </c>
      <c r="G213" s="50" t="s">
        <v>138</v>
      </c>
      <c r="H213" s="49" t="str">
        <f t="shared" si="6"/>
        <v>B</v>
      </c>
      <c r="I213" s="48" t="str">
        <f t="shared" si="7"/>
        <v>The Commissioner &amp; Chief Constable are satisfied the spend represents VFM in accordance with the requirements of Category B</v>
      </c>
      <c r="L213" s="41"/>
      <c r="M213" s="41"/>
    </row>
    <row r="214" spans="1:13" s="42" customFormat="1" x14ac:dyDescent="0.2">
      <c r="A214" s="56" t="s">
        <v>8</v>
      </c>
      <c r="B214" s="55" t="s">
        <v>9</v>
      </c>
      <c r="C214" s="54" t="s">
        <v>448</v>
      </c>
      <c r="D214" s="53">
        <v>7172164</v>
      </c>
      <c r="E214" s="52">
        <v>45412</v>
      </c>
      <c r="F214" s="51">
        <v>3325</v>
      </c>
      <c r="G214" s="50" t="s">
        <v>27</v>
      </c>
      <c r="H214" s="49" t="str">
        <f t="shared" si="6"/>
        <v>B</v>
      </c>
      <c r="I214" s="48" t="str">
        <f t="shared" si="7"/>
        <v>The Commissioner &amp; Chief Constable are satisfied the spend represents VFM in accordance with the requirements of Category B</v>
      </c>
      <c r="L214" s="41"/>
      <c r="M214" s="41"/>
    </row>
    <row r="215" spans="1:13" s="42" customFormat="1" x14ac:dyDescent="0.2">
      <c r="A215" s="56" t="s">
        <v>8</v>
      </c>
      <c r="B215" s="55" t="s">
        <v>9</v>
      </c>
      <c r="C215" s="54" t="s">
        <v>627</v>
      </c>
      <c r="D215" s="53">
        <v>7171763</v>
      </c>
      <c r="E215" s="52">
        <v>45401</v>
      </c>
      <c r="F215" s="51">
        <v>3315.29</v>
      </c>
      <c r="G215" s="50" t="s">
        <v>22</v>
      </c>
      <c r="H215" s="49" t="str">
        <f t="shared" si="6"/>
        <v>B</v>
      </c>
      <c r="I215" s="48" t="str">
        <f t="shared" si="7"/>
        <v>The Commissioner &amp; Chief Constable are satisfied the spend represents VFM in accordance with the requirements of Category B</v>
      </c>
      <c r="L215" s="41"/>
      <c r="M215" s="41"/>
    </row>
    <row r="216" spans="1:13" s="42" customFormat="1" x14ac:dyDescent="0.2">
      <c r="A216" s="56" t="s">
        <v>8</v>
      </c>
      <c r="B216" s="55" t="s">
        <v>9</v>
      </c>
      <c r="C216" s="54" t="s">
        <v>48</v>
      </c>
      <c r="D216" s="53">
        <v>7171530</v>
      </c>
      <c r="E216" s="52">
        <v>45392</v>
      </c>
      <c r="F216" s="51">
        <v>3255.8</v>
      </c>
      <c r="G216" s="50" t="s">
        <v>58</v>
      </c>
      <c r="H216" s="49" t="str">
        <f t="shared" si="6"/>
        <v>B</v>
      </c>
      <c r="I216" s="48" t="str">
        <f t="shared" si="7"/>
        <v>The Commissioner &amp; Chief Constable are satisfied the spend represents VFM in accordance with the requirements of Category B</v>
      </c>
      <c r="L216" s="41"/>
      <c r="M216" s="41"/>
    </row>
    <row r="217" spans="1:13" s="42" customFormat="1" x14ac:dyDescent="0.2">
      <c r="A217" s="56" t="s">
        <v>8</v>
      </c>
      <c r="B217" s="55" t="s">
        <v>9</v>
      </c>
      <c r="C217" s="54" t="s">
        <v>150</v>
      </c>
      <c r="D217" s="53">
        <v>7171272</v>
      </c>
      <c r="E217" s="52">
        <v>45385</v>
      </c>
      <c r="F217" s="51">
        <v>3234.0400000000004</v>
      </c>
      <c r="G217" s="50" t="s">
        <v>151</v>
      </c>
      <c r="H217" s="49" t="str">
        <f t="shared" si="6"/>
        <v>B</v>
      </c>
      <c r="I217" s="48" t="str">
        <f t="shared" si="7"/>
        <v>The Commissioner &amp; Chief Constable are satisfied the spend represents VFM in accordance with the requirements of Category B</v>
      </c>
      <c r="L217" s="41"/>
      <c r="M217" s="41"/>
    </row>
    <row r="218" spans="1:13" s="42" customFormat="1" x14ac:dyDescent="0.2">
      <c r="A218" s="56" t="s">
        <v>8</v>
      </c>
      <c r="B218" s="55" t="s">
        <v>9</v>
      </c>
      <c r="C218" s="54" t="s">
        <v>626</v>
      </c>
      <c r="D218" s="53">
        <v>7171546</v>
      </c>
      <c r="E218" s="52">
        <v>45392</v>
      </c>
      <c r="F218" s="51">
        <v>3200</v>
      </c>
      <c r="G218" s="50" t="s">
        <v>106</v>
      </c>
      <c r="H218" s="49" t="str">
        <f t="shared" si="6"/>
        <v>B</v>
      </c>
      <c r="I218" s="48" t="str">
        <f t="shared" si="7"/>
        <v>The Commissioner &amp; Chief Constable are satisfied the spend represents VFM in accordance with the requirements of Category B</v>
      </c>
      <c r="L218" s="41"/>
      <c r="M218" s="41"/>
    </row>
    <row r="219" spans="1:13" s="42" customFormat="1" x14ac:dyDescent="0.2">
      <c r="A219" s="56" t="s">
        <v>8</v>
      </c>
      <c r="B219" s="55" t="s">
        <v>9</v>
      </c>
      <c r="C219" s="54" t="s">
        <v>77</v>
      </c>
      <c r="D219" s="53">
        <v>7171374</v>
      </c>
      <c r="E219" s="52">
        <v>45387</v>
      </c>
      <c r="F219" s="51">
        <v>3176.74</v>
      </c>
      <c r="G219" s="50" t="s">
        <v>58</v>
      </c>
      <c r="H219" s="49" t="str">
        <f t="shared" si="6"/>
        <v>B</v>
      </c>
      <c r="I219" s="48" t="str">
        <f t="shared" si="7"/>
        <v>The Commissioner &amp; Chief Constable are satisfied the spend represents VFM in accordance with the requirements of Category B</v>
      </c>
      <c r="L219" s="41"/>
      <c r="M219" s="41"/>
    </row>
    <row r="220" spans="1:13" s="42" customFormat="1" x14ac:dyDescent="0.2">
      <c r="A220" s="56" t="s">
        <v>8</v>
      </c>
      <c r="B220" s="55" t="s">
        <v>9</v>
      </c>
      <c r="C220" s="54" t="s">
        <v>221</v>
      </c>
      <c r="D220" s="53">
        <v>7170607</v>
      </c>
      <c r="E220" s="52">
        <v>45405</v>
      </c>
      <c r="F220" s="51">
        <v>3150</v>
      </c>
      <c r="G220" s="50" t="s">
        <v>106</v>
      </c>
      <c r="H220" s="49" t="str">
        <f t="shared" si="6"/>
        <v>B</v>
      </c>
      <c r="I220" s="48" t="str">
        <f t="shared" si="7"/>
        <v>The Commissioner &amp; Chief Constable are satisfied the spend represents VFM in accordance with the requirements of Category B</v>
      </c>
      <c r="L220" s="41"/>
      <c r="M220" s="41"/>
    </row>
    <row r="221" spans="1:13" s="42" customFormat="1" x14ac:dyDescent="0.2">
      <c r="A221" s="56" t="s">
        <v>8</v>
      </c>
      <c r="B221" s="55" t="s">
        <v>9</v>
      </c>
      <c r="C221" s="54" t="s">
        <v>395</v>
      </c>
      <c r="D221" s="53">
        <v>7171757</v>
      </c>
      <c r="E221" s="52">
        <v>45398</v>
      </c>
      <c r="F221" s="51">
        <v>3139.5</v>
      </c>
      <c r="G221" s="50" t="s">
        <v>94</v>
      </c>
      <c r="H221" s="49" t="str">
        <f t="shared" si="6"/>
        <v>B</v>
      </c>
      <c r="I221" s="48" t="str">
        <f t="shared" si="7"/>
        <v>The Commissioner &amp; Chief Constable are satisfied the spend represents VFM in accordance with the requirements of Category B</v>
      </c>
      <c r="L221" s="41"/>
      <c r="M221" s="41"/>
    </row>
    <row r="222" spans="1:13" s="42" customFormat="1" x14ac:dyDescent="0.2">
      <c r="A222" s="56" t="s">
        <v>8</v>
      </c>
      <c r="B222" s="55" t="s">
        <v>9</v>
      </c>
      <c r="C222" s="54" t="s">
        <v>527</v>
      </c>
      <c r="D222" s="53">
        <v>7172189</v>
      </c>
      <c r="E222" s="52">
        <v>45411</v>
      </c>
      <c r="F222" s="51">
        <v>3124.82</v>
      </c>
      <c r="G222" s="50" t="s">
        <v>296</v>
      </c>
      <c r="H222" s="49" t="str">
        <f t="shared" si="6"/>
        <v>B</v>
      </c>
      <c r="I222" s="48" t="str">
        <f t="shared" si="7"/>
        <v>The Commissioner &amp; Chief Constable are satisfied the spend represents VFM in accordance with the requirements of Category B</v>
      </c>
      <c r="L222" s="41"/>
      <c r="M222" s="41"/>
    </row>
    <row r="223" spans="1:13" s="42" customFormat="1" x14ac:dyDescent="0.2">
      <c r="A223" s="56" t="s">
        <v>8</v>
      </c>
      <c r="B223" s="55" t="s">
        <v>9</v>
      </c>
      <c r="C223" s="54" t="s">
        <v>196</v>
      </c>
      <c r="D223" s="53">
        <v>7172198</v>
      </c>
      <c r="E223" s="52">
        <v>45412</v>
      </c>
      <c r="F223" s="51">
        <v>3002.16</v>
      </c>
      <c r="G223" s="50" t="s">
        <v>169</v>
      </c>
      <c r="H223" s="49" t="str">
        <f t="shared" si="6"/>
        <v>B</v>
      </c>
      <c r="I223" s="48" t="str">
        <f t="shared" si="7"/>
        <v>The Commissioner &amp; Chief Constable are satisfied the spend represents VFM in accordance with the requirements of Category B</v>
      </c>
      <c r="L223" s="41"/>
      <c r="M223" s="41"/>
    </row>
    <row r="224" spans="1:13" s="42" customFormat="1" x14ac:dyDescent="0.2">
      <c r="A224" s="56" t="s">
        <v>8</v>
      </c>
      <c r="B224" s="55" t="s">
        <v>9</v>
      </c>
      <c r="C224" s="54" t="s">
        <v>625</v>
      </c>
      <c r="D224" s="53">
        <v>7171659</v>
      </c>
      <c r="E224" s="52">
        <v>45401</v>
      </c>
      <c r="F224" s="51">
        <v>2995</v>
      </c>
      <c r="G224" s="50" t="s">
        <v>106</v>
      </c>
      <c r="H224" s="49" t="str">
        <f t="shared" si="6"/>
        <v>B</v>
      </c>
      <c r="I224" s="48" t="str">
        <f t="shared" si="7"/>
        <v>The Commissioner &amp; Chief Constable are satisfied the spend represents VFM in accordance with the requirements of Category B</v>
      </c>
      <c r="L224" s="41"/>
      <c r="M224" s="41"/>
    </row>
    <row r="225" spans="1:13" s="42" customFormat="1" x14ac:dyDescent="0.2">
      <c r="A225" s="56" t="s">
        <v>8</v>
      </c>
      <c r="B225" s="55" t="s">
        <v>9</v>
      </c>
      <c r="C225" s="54" t="s">
        <v>193</v>
      </c>
      <c r="D225" s="53">
        <v>7171822</v>
      </c>
      <c r="E225" s="52">
        <v>45399</v>
      </c>
      <c r="F225" s="51">
        <v>2991.94</v>
      </c>
      <c r="G225" s="50" t="s">
        <v>194</v>
      </c>
      <c r="H225" s="49" t="str">
        <f t="shared" si="6"/>
        <v>B</v>
      </c>
      <c r="I225" s="48" t="str">
        <f t="shared" si="7"/>
        <v>The Commissioner &amp; Chief Constable are satisfied the spend represents VFM in accordance with the requirements of Category B</v>
      </c>
      <c r="L225" s="41"/>
      <c r="M225" s="41"/>
    </row>
    <row r="226" spans="1:13" s="42" customFormat="1" x14ac:dyDescent="0.2">
      <c r="A226" s="56" t="s">
        <v>8</v>
      </c>
      <c r="B226" s="55" t="s">
        <v>9</v>
      </c>
      <c r="C226" s="54" t="s">
        <v>193</v>
      </c>
      <c r="D226" s="53">
        <v>7171824</v>
      </c>
      <c r="E226" s="52">
        <v>45399</v>
      </c>
      <c r="F226" s="51">
        <v>2991.94</v>
      </c>
      <c r="G226" s="50" t="s">
        <v>194</v>
      </c>
      <c r="H226" s="49" t="str">
        <f t="shared" si="6"/>
        <v>B</v>
      </c>
      <c r="I226" s="48" t="str">
        <f t="shared" si="7"/>
        <v>The Commissioner &amp; Chief Constable are satisfied the spend represents VFM in accordance with the requirements of Category B</v>
      </c>
      <c r="L226" s="41"/>
      <c r="M226" s="41"/>
    </row>
    <row r="227" spans="1:13" s="42" customFormat="1" x14ac:dyDescent="0.2">
      <c r="A227" s="56" t="s">
        <v>8</v>
      </c>
      <c r="B227" s="55" t="s">
        <v>9</v>
      </c>
      <c r="C227" s="54" t="s">
        <v>193</v>
      </c>
      <c r="D227" s="53">
        <v>7171823</v>
      </c>
      <c r="E227" s="52">
        <v>45399</v>
      </c>
      <c r="F227" s="51">
        <v>2991.94</v>
      </c>
      <c r="G227" s="50" t="s">
        <v>194</v>
      </c>
      <c r="H227" s="49" t="str">
        <f t="shared" si="6"/>
        <v>B</v>
      </c>
      <c r="I227" s="48" t="str">
        <f t="shared" si="7"/>
        <v>The Commissioner &amp; Chief Constable are satisfied the spend represents VFM in accordance with the requirements of Category B</v>
      </c>
      <c r="L227" s="41"/>
      <c r="M227" s="41"/>
    </row>
    <row r="228" spans="1:13" s="42" customFormat="1" x14ac:dyDescent="0.2">
      <c r="A228" s="56" t="s">
        <v>8</v>
      </c>
      <c r="B228" s="55" t="s">
        <v>9</v>
      </c>
      <c r="C228" s="54" t="s">
        <v>172</v>
      </c>
      <c r="D228" s="53">
        <v>7171337</v>
      </c>
      <c r="E228" s="52">
        <v>45390</v>
      </c>
      <c r="F228" s="51">
        <v>2941.66</v>
      </c>
      <c r="G228" s="50" t="s">
        <v>39</v>
      </c>
      <c r="H228" s="49" t="str">
        <f t="shared" si="6"/>
        <v>B</v>
      </c>
      <c r="I228" s="48" t="str">
        <f t="shared" si="7"/>
        <v>The Commissioner &amp; Chief Constable are satisfied the spend represents VFM in accordance with the requirements of Category B</v>
      </c>
      <c r="L228" s="41"/>
      <c r="M228" s="41"/>
    </row>
    <row r="229" spans="1:13" s="42" customFormat="1" x14ac:dyDescent="0.2">
      <c r="A229" s="56" t="s">
        <v>8</v>
      </c>
      <c r="B229" s="55" t="s">
        <v>9</v>
      </c>
      <c r="C229" s="54" t="s">
        <v>119</v>
      </c>
      <c r="D229" s="53">
        <v>7171655</v>
      </c>
      <c r="E229" s="52">
        <v>45397</v>
      </c>
      <c r="F229" s="51">
        <v>2939.55</v>
      </c>
      <c r="G229" s="50" t="s">
        <v>120</v>
      </c>
      <c r="H229" s="49" t="str">
        <f t="shared" si="6"/>
        <v>B</v>
      </c>
      <c r="I229" s="48" t="str">
        <f t="shared" si="7"/>
        <v>The Commissioner &amp; Chief Constable are satisfied the spend represents VFM in accordance with the requirements of Category B</v>
      </c>
      <c r="L229" s="41"/>
      <c r="M229" s="41"/>
    </row>
    <row r="230" spans="1:13" s="42" customFormat="1" x14ac:dyDescent="0.2">
      <c r="A230" s="56" t="s">
        <v>8</v>
      </c>
      <c r="B230" s="55" t="s">
        <v>9</v>
      </c>
      <c r="C230" s="54" t="s">
        <v>149</v>
      </c>
      <c r="D230" s="53">
        <v>7171488</v>
      </c>
      <c r="E230" s="52">
        <v>45394</v>
      </c>
      <c r="F230" s="51">
        <v>2848.95</v>
      </c>
      <c r="G230" s="50" t="s">
        <v>138</v>
      </c>
      <c r="H230" s="49" t="str">
        <f t="shared" si="6"/>
        <v>B</v>
      </c>
      <c r="I230" s="48" t="str">
        <f t="shared" si="7"/>
        <v>The Commissioner &amp; Chief Constable are satisfied the spend represents VFM in accordance with the requirements of Category B</v>
      </c>
      <c r="L230" s="41"/>
      <c r="M230" s="41"/>
    </row>
    <row r="231" spans="1:13" s="42" customFormat="1" x14ac:dyDescent="0.2">
      <c r="A231" s="56" t="s">
        <v>8</v>
      </c>
      <c r="B231" s="55" t="s">
        <v>9</v>
      </c>
      <c r="C231" s="54" t="s">
        <v>597</v>
      </c>
      <c r="D231" s="53">
        <v>7171406</v>
      </c>
      <c r="E231" s="52">
        <v>45397</v>
      </c>
      <c r="F231" s="51">
        <v>2837.7</v>
      </c>
      <c r="G231" s="50" t="s">
        <v>131</v>
      </c>
      <c r="H231" s="49" t="str">
        <f t="shared" si="6"/>
        <v>B</v>
      </c>
      <c r="I231" s="48" t="str">
        <f t="shared" si="7"/>
        <v>The Commissioner &amp; Chief Constable are satisfied the spend represents VFM in accordance with the requirements of Category B</v>
      </c>
      <c r="L231" s="41"/>
      <c r="M231" s="41"/>
    </row>
    <row r="232" spans="1:13" s="42" customFormat="1" x14ac:dyDescent="0.2">
      <c r="A232" s="56" t="s">
        <v>8</v>
      </c>
      <c r="B232" s="55" t="s">
        <v>9</v>
      </c>
      <c r="C232" s="54" t="s">
        <v>128</v>
      </c>
      <c r="D232" s="53">
        <v>7171639</v>
      </c>
      <c r="E232" s="52">
        <v>45397</v>
      </c>
      <c r="F232" s="51">
        <v>2835</v>
      </c>
      <c r="G232" s="50" t="s">
        <v>131</v>
      </c>
      <c r="H232" s="49" t="str">
        <f t="shared" si="6"/>
        <v>B</v>
      </c>
      <c r="I232" s="48" t="str">
        <f t="shared" si="7"/>
        <v>The Commissioner &amp; Chief Constable are satisfied the spend represents VFM in accordance with the requirements of Category B</v>
      </c>
      <c r="L232" s="41"/>
      <c r="M232" s="41"/>
    </row>
    <row r="233" spans="1:13" s="42" customFormat="1" x14ac:dyDescent="0.2">
      <c r="A233" s="56" t="s">
        <v>8</v>
      </c>
      <c r="B233" s="55" t="s">
        <v>9</v>
      </c>
      <c r="C233" s="57" t="s">
        <v>593</v>
      </c>
      <c r="D233" s="53">
        <v>7171348</v>
      </c>
      <c r="E233" s="52">
        <v>45404</v>
      </c>
      <c r="F233" s="51">
        <v>2800</v>
      </c>
      <c r="G233" s="50" t="s">
        <v>251</v>
      </c>
      <c r="H233" s="49" t="str">
        <f t="shared" si="6"/>
        <v>B</v>
      </c>
      <c r="I233" s="48" t="str">
        <f t="shared" si="7"/>
        <v>The Commissioner &amp; Chief Constable are satisfied the spend represents VFM in accordance with the requirements of Category B</v>
      </c>
      <c r="L233" s="41"/>
      <c r="M233" s="41"/>
    </row>
    <row r="234" spans="1:13" s="42" customFormat="1" x14ac:dyDescent="0.2">
      <c r="A234" s="56" t="s">
        <v>8</v>
      </c>
      <c r="B234" s="55" t="s">
        <v>9</v>
      </c>
      <c r="C234" s="54" t="s">
        <v>593</v>
      </c>
      <c r="D234" s="53">
        <v>7171940</v>
      </c>
      <c r="E234" s="52">
        <v>45411</v>
      </c>
      <c r="F234" s="51">
        <v>2800</v>
      </c>
      <c r="G234" s="50" t="s">
        <v>251</v>
      </c>
      <c r="H234" s="49" t="str">
        <f t="shared" si="6"/>
        <v>B</v>
      </c>
      <c r="I234" s="48" t="str">
        <f t="shared" si="7"/>
        <v>The Commissioner &amp; Chief Constable are satisfied the spend represents VFM in accordance with the requirements of Category B</v>
      </c>
      <c r="L234" s="41"/>
      <c r="M234" s="41"/>
    </row>
    <row r="235" spans="1:13" s="42" customFormat="1" x14ac:dyDescent="0.2">
      <c r="A235" s="56" t="s">
        <v>8</v>
      </c>
      <c r="B235" s="55" t="s">
        <v>9</v>
      </c>
      <c r="C235" s="54" t="s">
        <v>593</v>
      </c>
      <c r="D235" s="53">
        <v>7171384</v>
      </c>
      <c r="E235" s="52">
        <v>45404</v>
      </c>
      <c r="F235" s="58">
        <v>2800</v>
      </c>
      <c r="G235" s="50" t="s">
        <v>251</v>
      </c>
      <c r="H235" s="49" t="str">
        <f t="shared" si="6"/>
        <v>B</v>
      </c>
      <c r="I235" s="48" t="str">
        <f t="shared" si="7"/>
        <v>The Commissioner &amp; Chief Constable are satisfied the spend represents VFM in accordance with the requirements of Category B</v>
      </c>
      <c r="L235" s="41"/>
      <c r="M235" s="41"/>
    </row>
    <row r="236" spans="1:13" s="42" customFormat="1" x14ac:dyDescent="0.2">
      <c r="A236" s="56" t="s">
        <v>8</v>
      </c>
      <c r="B236" s="55" t="s">
        <v>9</v>
      </c>
      <c r="C236" s="54" t="s">
        <v>593</v>
      </c>
      <c r="D236" s="53">
        <v>7171351</v>
      </c>
      <c r="E236" s="52">
        <v>45404</v>
      </c>
      <c r="F236" s="51">
        <v>2800</v>
      </c>
      <c r="G236" s="50" t="s">
        <v>251</v>
      </c>
      <c r="H236" s="49" t="str">
        <f t="shared" si="6"/>
        <v>B</v>
      </c>
      <c r="I236" s="48" t="str">
        <f t="shared" si="7"/>
        <v>The Commissioner &amp; Chief Constable are satisfied the spend represents VFM in accordance with the requirements of Category B</v>
      </c>
      <c r="L236" s="41"/>
      <c r="M236" s="41"/>
    </row>
    <row r="237" spans="1:13" s="42" customFormat="1" x14ac:dyDescent="0.2">
      <c r="A237" s="56" t="s">
        <v>8</v>
      </c>
      <c r="B237" s="55" t="s">
        <v>9</v>
      </c>
      <c r="C237" s="54" t="s">
        <v>207</v>
      </c>
      <c r="D237" s="53">
        <v>7171345</v>
      </c>
      <c r="E237" s="52">
        <v>45386</v>
      </c>
      <c r="F237" s="51">
        <v>2795.53</v>
      </c>
      <c r="G237" s="50" t="s">
        <v>114</v>
      </c>
      <c r="H237" s="49" t="str">
        <f t="shared" si="6"/>
        <v>B</v>
      </c>
      <c r="I237" s="48" t="str">
        <f t="shared" si="7"/>
        <v>The Commissioner &amp; Chief Constable are satisfied the spend represents VFM in accordance with the requirements of Category B</v>
      </c>
      <c r="L237" s="41"/>
      <c r="M237" s="41"/>
    </row>
    <row r="238" spans="1:13" s="42" customFormat="1" x14ac:dyDescent="0.2">
      <c r="A238" s="56" t="s">
        <v>8</v>
      </c>
      <c r="B238" s="55" t="s">
        <v>9</v>
      </c>
      <c r="C238" s="54" t="s">
        <v>413</v>
      </c>
      <c r="D238" s="53">
        <v>7171431</v>
      </c>
      <c r="E238" s="52">
        <v>45406</v>
      </c>
      <c r="F238" s="51">
        <v>2795</v>
      </c>
      <c r="G238" s="50" t="s">
        <v>22</v>
      </c>
      <c r="H238" s="49" t="str">
        <f t="shared" si="6"/>
        <v>B</v>
      </c>
      <c r="I238" s="48" t="str">
        <f t="shared" si="7"/>
        <v>The Commissioner &amp; Chief Constable are satisfied the spend represents VFM in accordance with the requirements of Category B</v>
      </c>
      <c r="L238" s="41"/>
      <c r="M238" s="41"/>
    </row>
    <row r="239" spans="1:13" s="42" customFormat="1" x14ac:dyDescent="0.2">
      <c r="A239" s="56" t="s">
        <v>8</v>
      </c>
      <c r="B239" s="55" t="s">
        <v>9</v>
      </c>
      <c r="C239" s="54" t="s">
        <v>196</v>
      </c>
      <c r="D239" s="53">
        <v>7171179</v>
      </c>
      <c r="E239" s="52">
        <v>45383</v>
      </c>
      <c r="F239" s="51">
        <v>2776.02</v>
      </c>
      <c r="G239" s="50" t="s">
        <v>169</v>
      </c>
      <c r="H239" s="49" t="str">
        <f t="shared" si="6"/>
        <v>B</v>
      </c>
      <c r="I239" s="48" t="str">
        <f t="shared" si="7"/>
        <v>The Commissioner &amp; Chief Constable are satisfied the spend represents VFM in accordance with the requirements of Category B</v>
      </c>
      <c r="L239" s="41"/>
      <c r="M239" s="41"/>
    </row>
    <row r="240" spans="1:13" s="42" customFormat="1" x14ac:dyDescent="0.2">
      <c r="A240" s="56" t="s">
        <v>8</v>
      </c>
      <c r="B240" s="55" t="s">
        <v>9</v>
      </c>
      <c r="C240" s="54" t="s">
        <v>115</v>
      </c>
      <c r="D240" s="53">
        <v>7171801</v>
      </c>
      <c r="E240" s="52">
        <v>45406</v>
      </c>
      <c r="F240" s="51">
        <v>2767.71</v>
      </c>
      <c r="G240" s="50" t="s">
        <v>116</v>
      </c>
      <c r="H240" s="49" t="str">
        <f t="shared" si="6"/>
        <v>B</v>
      </c>
      <c r="I240" s="48" t="str">
        <f t="shared" si="7"/>
        <v>The Commissioner &amp; Chief Constable are satisfied the spend represents VFM in accordance with the requirements of Category B</v>
      </c>
      <c r="L240" s="41"/>
      <c r="M240" s="41"/>
    </row>
    <row r="241" spans="1:13" s="42" customFormat="1" x14ac:dyDescent="0.2">
      <c r="A241" s="56" t="s">
        <v>8</v>
      </c>
      <c r="B241" s="55" t="s">
        <v>9</v>
      </c>
      <c r="C241" s="54" t="s">
        <v>213</v>
      </c>
      <c r="D241" s="53">
        <v>7170663</v>
      </c>
      <c r="E241" s="52">
        <v>45392</v>
      </c>
      <c r="F241" s="51">
        <v>2684.2</v>
      </c>
      <c r="G241" s="50" t="s">
        <v>131</v>
      </c>
      <c r="H241" s="49" t="str">
        <f t="shared" si="6"/>
        <v>B</v>
      </c>
      <c r="I241" s="48" t="str">
        <f t="shared" si="7"/>
        <v>The Commissioner &amp; Chief Constable are satisfied the spend represents VFM in accordance with the requirements of Category B</v>
      </c>
      <c r="L241" s="41"/>
      <c r="M241" s="41"/>
    </row>
    <row r="242" spans="1:13" s="42" customFormat="1" x14ac:dyDescent="0.2">
      <c r="A242" s="56" t="s">
        <v>8</v>
      </c>
      <c r="B242" s="55" t="s">
        <v>9</v>
      </c>
      <c r="C242" s="54" t="s">
        <v>139</v>
      </c>
      <c r="D242" s="53">
        <v>7171341</v>
      </c>
      <c r="E242" s="52">
        <v>45386</v>
      </c>
      <c r="F242" s="51">
        <v>2681</v>
      </c>
      <c r="G242" s="50" t="s">
        <v>39</v>
      </c>
      <c r="H242" s="49" t="str">
        <f t="shared" si="6"/>
        <v>B</v>
      </c>
      <c r="I242" s="48" t="str">
        <f t="shared" si="7"/>
        <v>The Commissioner &amp; Chief Constable are satisfied the spend represents VFM in accordance with the requirements of Category B</v>
      </c>
      <c r="L242" s="41"/>
      <c r="M242" s="41"/>
    </row>
    <row r="243" spans="1:13" s="42" customFormat="1" x14ac:dyDescent="0.2">
      <c r="A243" s="56" t="s">
        <v>8</v>
      </c>
      <c r="B243" s="55" t="s">
        <v>9</v>
      </c>
      <c r="C243" s="54" t="s">
        <v>196</v>
      </c>
      <c r="D243" s="53">
        <v>7171689</v>
      </c>
      <c r="E243" s="52">
        <v>45398</v>
      </c>
      <c r="F243" s="51">
        <v>2652.77</v>
      </c>
      <c r="G243" s="50" t="s">
        <v>169</v>
      </c>
      <c r="H243" s="49" t="str">
        <f t="shared" si="6"/>
        <v>B</v>
      </c>
      <c r="I243" s="48" t="str">
        <f t="shared" si="7"/>
        <v>The Commissioner &amp; Chief Constable are satisfied the spend represents VFM in accordance with the requirements of Category B</v>
      </c>
      <c r="L243" s="41"/>
      <c r="M243" s="41"/>
    </row>
    <row r="244" spans="1:13" s="42" customFormat="1" x14ac:dyDescent="0.2">
      <c r="A244" s="56" t="s">
        <v>8</v>
      </c>
      <c r="B244" s="55" t="s">
        <v>9</v>
      </c>
      <c r="C244" s="54" t="s">
        <v>221</v>
      </c>
      <c r="D244" s="53">
        <v>7170608</v>
      </c>
      <c r="E244" s="52">
        <v>45405</v>
      </c>
      <c r="F244" s="51">
        <v>2611.6</v>
      </c>
      <c r="G244" s="50" t="s">
        <v>106</v>
      </c>
      <c r="H244" s="49" t="str">
        <f t="shared" si="6"/>
        <v>B</v>
      </c>
      <c r="I244" s="48" t="str">
        <f t="shared" si="7"/>
        <v>The Commissioner &amp; Chief Constable are satisfied the spend represents VFM in accordance with the requirements of Category B</v>
      </c>
      <c r="L244" s="41"/>
      <c r="M244" s="41"/>
    </row>
    <row r="245" spans="1:13" s="42" customFormat="1" x14ac:dyDescent="0.2">
      <c r="A245" s="56" t="s">
        <v>8</v>
      </c>
      <c r="B245" s="55" t="s">
        <v>9</v>
      </c>
      <c r="C245" s="54" t="s">
        <v>10</v>
      </c>
      <c r="D245" s="53">
        <v>7171737</v>
      </c>
      <c r="E245" s="52">
        <v>45404</v>
      </c>
      <c r="F245" s="51">
        <v>2601.5</v>
      </c>
      <c r="G245" s="50" t="s">
        <v>11</v>
      </c>
      <c r="H245" s="49" t="str">
        <f t="shared" si="6"/>
        <v>B</v>
      </c>
      <c r="I245" s="48" t="str">
        <f t="shared" si="7"/>
        <v>The Commissioner &amp; Chief Constable are satisfied the spend represents VFM in accordance with the requirements of Category B</v>
      </c>
      <c r="L245" s="41"/>
      <c r="M245" s="41"/>
    </row>
    <row r="246" spans="1:13" s="42" customFormat="1" x14ac:dyDescent="0.2">
      <c r="A246" s="56" t="s">
        <v>8</v>
      </c>
      <c r="B246" s="55" t="s">
        <v>9</v>
      </c>
      <c r="C246" s="54" t="s">
        <v>624</v>
      </c>
      <c r="D246" s="53">
        <v>7172208</v>
      </c>
      <c r="E246" s="52">
        <v>45412</v>
      </c>
      <c r="F246" s="51">
        <v>2600</v>
      </c>
      <c r="G246" s="50" t="s">
        <v>106</v>
      </c>
      <c r="H246" s="49" t="str">
        <f t="shared" si="6"/>
        <v>B</v>
      </c>
      <c r="I246" s="48" t="str">
        <f t="shared" si="7"/>
        <v>The Commissioner &amp; Chief Constable are satisfied the spend represents VFM in accordance with the requirements of Category B</v>
      </c>
      <c r="L246" s="41"/>
      <c r="M246" s="41"/>
    </row>
    <row r="247" spans="1:13" s="42" customFormat="1" x14ac:dyDescent="0.2">
      <c r="A247" s="56" t="s">
        <v>8</v>
      </c>
      <c r="B247" s="55" t="s">
        <v>9</v>
      </c>
      <c r="C247" s="54" t="s">
        <v>142</v>
      </c>
      <c r="D247" s="53">
        <v>7171906</v>
      </c>
      <c r="E247" s="52">
        <v>45411</v>
      </c>
      <c r="F247" s="51">
        <v>2528.4</v>
      </c>
      <c r="G247" s="50" t="s">
        <v>143</v>
      </c>
      <c r="H247" s="49" t="str">
        <f t="shared" si="6"/>
        <v>B</v>
      </c>
      <c r="I247" s="48" t="str">
        <f t="shared" si="7"/>
        <v>The Commissioner &amp; Chief Constable are satisfied the spend represents VFM in accordance with the requirements of Category B</v>
      </c>
      <c r="L247" s="41"/>
      <c r="M247" s="41"/>
    </row>
    <row r="248" spans="1:13" s="42" customFormat="1" x14ac:dyDescent="0.2">
      <c r="A248" s="56" t="s">
        <v>8</v>
      </c>
      <c r="B248" s="55" t="s">
        <v>9</v>
      </c>
      <c r="C248" s="54" t="s">
        <v>623</v>
      </c>
      <c r="D248" s="53">
        <v>7171209</v>
      </c>
      <c r="E248" s="52">
        <v>45384</v>
      </c>
      <c r="F248" s="51">
        <v>2500</v>
      </c>
      <c r="G248" s="50" t="s">
        <v>133</v>
      </c>
      <c r="H248" s="49" t="str">
        <f t="shared" si="6"/>
        <v>B</v>
      </c>
      <c r="I248" s="48" t="str">
        <f t="shared" si="7"/>
        <v>The Commissioner &amp; Chief Constable are satisfied the spend represents VFM in accordance with the requirements of Category B</v>
      </c>
      <c r="L248" s="41"/>
      <c r="M248" s="41"/>
    </row>
    <row r="249" spans="1:13" s="42" customFormat="1" x14ac:dyDescent="0.2">
      <c r="A249" s="56" t="s">
        <v>8</v>
      </c>
      <c r="B249" s="55" t="s">
        <v>9</v>
      </c>
      <c r="C249" s="57" t="s">
        <v>622</v>
      </c>
      <c r="D249" s="53">
        <v>7171712</v>
      </c>
      <c r="E249" s="52">
        <v>45397</v>
      </c>
      <c r="F249" s="51">
        <v>2500</v>
      </c>
      <c r="G249" s="50" t="s">
        <v>27</v>
      </c>
      <c r="H249" s="49" t="str">
        <f t="shared" si="6"/>
        <v>B</v>
      </c>
      <c r="I249" s="48" t="str">
        <f t="shared" si="7"/>
        <v>The Commissioner &amp; Chief Constable are satisfied the spend represents VFM in accordance with the requirements of Category B</v>
      </c>
      <c r="L249" s="41"/>
      <c r="M249" s="41"/>
    </row>
    <row r="250" spans="1:13" s="42" customFormat="1" x14ac:dyDescent="0.2">
      <c r="A250" s="56" t="s">
        <v>8</v>
      </c>
      <c r="B250" s="55" t="s">
        <v>9</v>
      </c>
      <c r="C250" s="54" t="s">
        <v>621</v>
      </c>
      <c r="D250" s="53">
        <v>7171205</v>
      </c>
      <c r="E250" s="52">
        <v>45384</v>
      </c>
      <c r="F250" s="51">
        <v>2500</v>
      </c>
      <c r="G250" s="50" t="s">
        <v>106</v>
      </c>
      <c r="H250" s="49" t="str">
        <f t="shared" si="6"/>
        <v>B</v>
      </c>
      <c r="I250" s="48" t="str">
        <f t="shared" si="7"/>
        <v>The Commissioner &amp; Chief Constable are satisfied the spend represents VFM in accordance with the requirements of Category B</v>
      </c>
      <c r="L250" s="41"/>
      <c r="M250" s="41"/>
    </row>
    <row r="251" spans="1:13" s="42" customFormat="1" x14ac:dyDescent="0.2">
      <c r="A251" s="56" t="s">
        <v>8</v>
      </c>
      <c r="B251" s="55" t="s">
        <v>9</v>
      </c>
      <c r="C251" s="54" t="s">
        <v>208</v>
      </c>
      <c r="D251" s="53">
        <v>7171547</v>
      </c>
      <c r="E251" s="52">
        <v>45393</v>
      </c>
      <c r="F251" s="51">
        <v>2475.75</v>
      </c>
      <c r="G251" s="50" t="s">
        <v>209</v>
      </c>
      <c r="H251" s="49" t="str">
        <f t="shared" si="6"/>
        <v>B</v>
      </c>
      <c r="I251" s="48" t="str">
        <f t="shared" si="7"/>
        <v>The Commissioner &amp; Chief Constable are satisfied the spend represents VFM in accordance with the requirements of Category B</v>
      </c>
      <c r="L251" s="41"/>
      <c r="M251" s="41"/>
    </row>
    <row r="252" spans="1:13" s="42" customFormat="1" x14ac:dyDescent="0.2">
      <c r="A252" s="56" t="s">
        <v>8</v>
      </c>
      <c r="B252" s="55" t="s">
        <v>9</v>
      </c>
      <c r="C252" s="54" t="s">
        <v>30</v>
      </c>
      <c r="D252" s="53">
        <v>7171306</v>
      </c>
      <c r="E252" s="52">
        <v>45385</v>
      </c>
      <c r="F252" s="51">
        <v>2471.04</v>
      </c>
      <c r="G252" s="50" t="s">
        <v>31</v>
      </c>
      <c r="H252" s="49" t="str">
        <f t="shared" si="6"/>
        <v>B</v>
      </c>
      <c r="I252" s="48" t="str">
        <f t="shared" si="7"/>
        <v>The Commissioner &amp; Chief Constable are satisfied the spend represents VFM in accordance with the requirements of Category B</v>
      </c>
      <c r="L252" s="41"/>
      <c r="M252" s="41"/>
    </row>
    <row r="253" spans="1:13" s="42" customFormat="1" x14ac:dyDescent="0.2">
      <c r="A253" s="56" t="s">
        <v>8</v>
      </c>
      <c r="B253" s="55" t="s">
        <v>9</v>
      </c>
      <c r="C253" s="54" t="s">
        <v>346</v>
      </c>
      <c r="D253" s="53">
        <v>7172148</v>
      </c>
      <c r="E253" s="52">
        <v>45408</v>
      </c>
      <c r="F253" s="51">
        <v>2420</v>
      </c>
      <c r="G253" s="50" t="s">
        <v>131</v>
      </c>
      <c r="H253" s="49" t="str">
        <f t="shared" si="6"/>
        <v>B</v>
      </c>
      <c r="I253" s="48" t="str">
        <f t="shared" si="7"/>
        <v>The Commissioner &amp; Chief Constable are satisfied the spend represents VFM in accordance with the requirements of Category B</v>
      </c>
      <c r="L253" s="41"/>
      <c r="M253" s="41"/>
    </row>
    <row r="254" spans="1:13" s="42" customFormat="1" x14ac:dyDescent="0.2">
      <c r="A254" s="56" t="s">
        <v>8</v>
      </c>
      <c r="B254" s="55" t="s">
        <v>9</v>
      </c>
      <c r="C254" s="54" t="s">
        <v>540</v>
      </c>
      <c r="D254" s="53">
        <v>7172196</v>
      </c>
      <c r="E254" s="52">
        <v>45412</v>
      </c>
      <c r="F254" s="51">
        <v>2401.41</v>
      </c>
      <c r="G254" s="50" t="s">
        <v>58</v>
      </c>
      <c r="H254" s="49" t="str">
        <f t="shared" si="6"/>
        <v>B</v>
      </c>
      <c r="I254" s="48" t="str">
        <f t="shared" si="7"/>
        <v>The Commissioner &amp; Chief Constable are satisfied the spend represents VFM in accordance with the requirements of Category B</v>
      </c>
      <c r="L254" s="41"/>
      <c r="M254" s="41"/>
    </row>
    <row r="255" spans="1:13" s="42" customFormat="1" x14ac:dyDescent="0.2">
      <c r="A255" s="56" t="s">
        <v>8</v>
      </c>
      <c r="B255" s="55" t="s">
        <v>9</v>
      </c>
      <c r="C255" s="54" t="s">
        <v>221</v>
      </c>
      <c r="D255" s="53">
        <v>7171433</v>
      </c>
      <c r="E255" s="52">
        <v>45396</v>
      </c>
      <c r="F255" s="51">
        <v>2400</v>
      </c>
      <c r="G255" s="50" t="s">
        <v>106</v>
      </c>
      <c r="H255" s="49" t="str">
        <f t="shared" si="6"/>
        <v>B</v>
      </c>
      <c r="I255" s="48" t="str">
        <f t="shared" si="7"/>
        <v>The Commissioner &amp; Chief Constable are satisfied the spend represents VFM in accordance with the requirements of Category B</v>
      </c>
      <c r="L255" s="41"/>
      <c r="M255" s="41"/>
    </row>
    <row r="256" spans="1:13" s="42" customFormat="1" x14ac:dyDescent="0.2">
      <c r="A256" s="56" t="s">
        <v>8</v>
      </c>
      <c r="B256" s="55" t="s">
        <v>9</v>
      </c>
      <c r="C256" s="54" t="s">
        <v>609</v>
      </c>
      <c r="D256" s="53">
        <v>7172210</v>
      </c>
      <c r="E256" s="52">
        <v>45412</v>
      </c>
      <c r="F256" s="51">
        <v>2400</v>
      </c>
      <c r="G256" s="50" t="s">
        <v>106</v>
      </c>
      <c r="H256" s="49" t="str">
        <f t="shared" si="6"/>
        <v>B</v>
      </c>
      <c r="I256" s="48" t="str">
        <f t="shared" si="7"/>
        <v>The Commissioner &amp; Chief Constable are satisfied the spend represents VFM in accordance with the requirements of Category B</v>
      </c>
      <c r="L256" s="41"/>
      <c r="M256" s="41"/>
    </row>
    <row r="257" spans="1:13" s="42" customFormat="1" x14ac:dyDescent="0.2">
      <c r="A257" s="56" t="s">
        <v>8</v>
      </c>
      <c r="B257" s="55" t="s">
        <v>9</v>
      </c>
      <c r="C257" s="54" t="s">
        <v>10</v>
      </c>
      <c r="D257" s="53">
        <v>7171818</v>
      </c>
      <c r="E257" s="52">
        <v>45404</v>
      </c>
      <c r="F257" s="51">
        <v>2377.1</v>
      </c>
      <c r="G257" s="50" t="s">
        <v>22</v>
      </c>
      <c r="H257" s="49" t="str">
        <f t="shared" si="6"/>
        <v>B</v>
      </c>
      <c r="I257" s="48" t="str">
        <f t="shared" si="7"/>
        <v>The Commissioner &amp; Chief Constable are satisfied the spend represents VFM in accordance with the requirements of Category B</v>
      </c>
      <c r="L257" s="41"/>
      <c r="M257" s="41"/>
    </row>
    <row r="258" spans="1:13" s="42" customFormat="1" x14ac:dyDescent="0.2">
      <c r="A258" s="56" t="s">
        <v>8</v>
      </c>
      <c r="B258" s="55" t="s">
        <v>9</v>
      </c>
      <c r="C258" s="54" t="s">
        <v>197</v>
      </c>
      <c r="D258" s="53">
        <v>7171548</v>
      </c>
      <c r="E258" s="52">
        <v>45398</v>
      </c>
      <c r="F258" s="51">
        <v>2371.42</v>
      </c>
      <c r="G258" s="50" t="s">
        <v>155</v>
      </c>
      <c r="H258" s="49" t="str">
        <f t="shared" ref="H258:H321" si="8">IF(F258&gt;25000,"C",IF(F258&gt;1000,"B","A"))</f>
        <v>B</v>
      </c>
      <c r="I258" s="48" t="str">
        <f t="shared" ref="I258:I321" si="9">VLOOKUP(H258,$L$2:$M$4,2,FALSE)</f>
        <v>The Commissioner &amp; Chief Constable are satisfied the spend represents VFM in accordance with the requirements of Category B</v>
      </c>
      <c r="L258" s="41"/>
      <c r="M258" s="41"/>
    </row>
    <row r="259" spans="1:13" s="42" customFormat="1" x14ac:dyDescent="0.2">
      <c r="A259" s="56" t="s">
        <v>8</v>
      </c>
      <c r="B259" s="55" t="s">
        <v>9</v>
      </c>
      <c r="C259" s="54" t="s">
        <v>219</v>
      </c>
      <c r="D259" s="53">
        <v>7171256</v>
      </c>
      <c r="E259" s="52">
        <v>45384</v>
      </c>
      <c r="F259" s="51">
        <v>2364.5500000000002</v>
      </c>
      <c r="G259" s="50" t="s">
        <v>220</v>
      </c>
      <c r="H259" s="49" t="str">
        <f t="shared" si="8"/>
        <v>B</v>
      </c>
      <c r="I259" s="48" t="str">
        <f t="shared" si="9"/>
        <v>The Commissioner &amp; Chief Constable are satisfied the spend represents VFM in accordance with the requirements of Category B</v>
      </c>
      <c r="L259" s="41"/>
      <c r="M259" s="41"/>
    </row>
    <row r="260" spans="1:13" s="42" customFormat="1" x14ac:dyDescent="0.2">
      <c r="A260" s="56" t="s">
        <v>8</v>
      </c>
      <c r="B260" s="55" t="s">
        <v>9</v>
      </c>
      <c r="C260" s="54" t="s">
        <v>10</v>
      </c>
      <c r="D260" s="53">
        <v>7171498</v>
      </c>
      <c r="E260" s="52">
        <v>45397</v>
      </c>
      <c r="F260" s="51">
        <v>2349.25</v>
      </c>
      <c r="G260" s="50" t="s">
        <v>22</v>
      </c>
      <c r="H260" s="49" t="str">
        <f t="shared" si="8"/>
        <v>B</v>
      </c>
      <c r="I260" s="48" t="str">
        <f t="shared" si="9"/>
        <v>The Commissioner &amp; Chief Constable are satisfied the spend represents VFM in accordance with the requirements of Category B</v>
      </c>
      <c r="L260" s="41"/>
      <c r="M260" s="41"/>
    </row>
    <row r="261" spans="1:13" s="42" customFormat="1" x14ac:dyDescent="0.2">
      <c r="A261" s="56" t="s">
        <v>8</v>
      </c>
      <c r="B261" s="55" t="s">
        <v>9</v>
      </c>
      <c r="C261" s="54" t="s">
        <v>74</v>
      </c>
      <c r="D261" s="53">
        <v>7171226</v>
      </c>
      <c r="E261" s="52">
        <v>45384</v>
      </c>
      <c r="F261" s="51">
        <v>2332.98</v>
      </c>
      <c r="G261" s="50" t="s">
        <v>75</v>
      </c>
      <c r="H261" s="49" t="str">
        <f t="shared" si="8"/>
        <v>B</v>
      </c>
      <c r="I261" s="48" t="str">
        <f t="shared" si="9"/>
        <v>The Commissioner &amp; Chief Constable are satisfied the spend represents VFM in accordance with the requirements of Category B</v>
      </c>
      <c r="L261" s="41"/>
      <c r="M261" s="41"/>
    </row>
    <row r="262" spans="1:13" s="42" customFormat="1" x14ac:dyDescent="0.2">
      <c r="A262" s="56" t="s">
        <v>8</v>
      </c>
      <c r="B262" s="55" t="s">
        <v>9</v>
      </c>
      <c r="C262" s="54" t="s">
        <v>262</v>
      </c>
      <c r="D262" s="53">
        <v>7171173</v>
      </c>
      <c r="E262" s="52">
        <v>45384</v>
      </c>
      <c r="F262" s="51">
        <v>2328</v>
      </c>
      <c r="G262" s="50" t="s">
        <v>263</v>
      </c>
      <c r="H262" s="49" t="str">
        <f t="shared" si="8"/>
        <v>B</v>
      </c>
      <c r="I262" s="48" t="str">
        <f t="shared" si="9"/>
        <v>The Commissioner &amp; Chief Constable are satisfied the spend represents VFM in accordance with the requirements of Category B</v>
      </c>
      <c r="L262" s="41"/>
      <c r="M262" s="41"/>
    </row>
    <row r="263" spans="1:13" s="42" customFormat="1" x14ac:dyDescent="0.2">
      <c r="A263" s="56" t="s">
        <v>8</v>
      </c>
      <c r="B263" s="55" t="s">
        <v>9</v>
      </c>
      <c r="C263" s="54" t="s">
        <v>10</v>
      </c>
      <c r="D263" s="53">
        <v>7171500</v>
      </c>
      <c r="E263" s="52">
        <v>45404</v>
      </c>
      <c r="F263" s="51">
        <v>2322</v>
      </c>
      <c r="G263" s="50" t="s">
        <v>22</v>
      </c>
      <c r="H263" s="49" t="str">
        <f t="shared" si="8"/>
        <v>B</v>
      </c>
      <c r="I263" s="48" t="str">
        <f t="shared" si="9"/>
        <v>The Commissioner &amp; Chief Constable are satisfied the spend represents VFM in accordance with the requirements of Category B</v>
      </c>
      <c r="L263" s="41"/>
      <c r="M263" s="41"/>
    </row>
    <row r="264" spans="1:13" s="42" customFormat="1" x14ac:dyDescent="0.2">
      <c r="A264" s="56" t="s">
        <v>8</v>
      </c>
      <c r="B264" s="55" t="s">
        <v>9</v>
      </c>
      <c r="C264" s="54" t="s">
        <v>240</v>
      </c>
      <c r="D264" s="53">
        <v>7171749</v>
      </c>
      <c r="E264" s="52">
        <v>45399</v>
      </c>
      <c r="F264" s="51">
        <v>2308.2399999999998</v>
      </c>
      <c r="G264" s="50" t="s">
        <v>241</v>
      </c>
      <c r="H264" s="49" t="str">
        <f t="shared" si="8"/>
        <v>B</v>
      </c>
      <c r="I264" s="48" t="str">
        <f t="shared" si="9"/>
        <v>The Commissioner &amp; Chief Constable are satisfied the spend represents VFM in accordance with the requirements of Category B</v>
      </c>
      <c r="L264" s="41"/>
      <c r="M264" s="41"/>
    </row>
    <row r="265" spans="1:13" s="42" customFormat="1" x14ac:dyDescent="0.2">
      <c r="A265" s="56" t="s">
        <v>8</v>
      </c>
      <c r="B265" s="55" t="s">
        <v>9</v>
      </c>
      <c r="C265" s="54" t="s">
        <v>620</v>
      </c>
      <c r="D265" s="53">
        <v>7171748</v>
      </c>
      <c r="E265" s="52">
        <v>45398</v>
      </c>
      <c r="F265" s="51">
        <v>2278.33</v>
      </c>
      <c r="G265" s="50" t="s">
        <v>15</v>
      </c>
      <c r="H265" s="49" t="str">
        <f t="shared" si="8"/>
        <v>B</v>
      </c>
      <c r="I265" s="48" t="str">
        <f t="shared" si="9"/>
        <v>The Commissioner &amp; Chief Constable are satisfied the spend represents VFM in accordance with the requirements of Category B</v>
      </c>
      <c r="L265" s="41"/>
      <c r="M265" s="41"/>
    </row>
    <row r="266" spans="1:13" s="42" customFormat="1" x14ac:dyDescent="0.2">
      <c r="A266" s="56" t="s">
        <v>8</v>
      </c>
      <c r="B266" s="55" t="s">
        <v>9</v>
      </c>
      <c r="C266" s="54" t="s">
        <v>215</v>
      </c>
      <c r="D266" s="53">
        <v>7171559</v>
      </c>
      <c r="E266" s="52">
        <v>45395</v>
      </c>
      <c r="F266" s="51">
        <v>2268.9899999999998</v>
      </c>
      <c r="G266" s="50" t="s">
        <v>37</v>
      </c>
      <c r="H266" s="49" t="str">
        <f t="shared" si="8"/>
        <v>B</v>
      </c>
      <c r="I266" s="48" t="str">
        <f t="shared" si="9"/>
        <v>The Commissioner &amp; Chief Constable are satisfied the spend represents VFM in accordance with the requirements of Category B</v>
      </c>
      <c r="L266" s="41"/>
      <c r="M266" s="41"/>
    </row>
    <row r="267" spans="1:13" s="42" customFormat="1" x14ac:dyDescent="0.2">
      <c r="A267" s="56" t="s">
        <v>8</v>
      </c>
      <c r="B267" s="55" t="s">
        <v>9</v>
      </c>
      <c r="C267" s="54" t="s">
        <v>181</v>
      </c>
      <c r="D267" s="53">
        <v>7171328</v>
      </c>
      <c r="E267" s="52">
        <v>45394</v>
      </c>
      <c r="F267" s="51">
        <v>2253.9</v>
      </c>
      <c r="G267" s="50" t="s">
        <v>106</v>
      </c>
      <c r="H267" s="49" t="str">
        <f t="shared" si="8"/>
        <v>B</v>
      </c>
      <c r="I267" s="48" t="str">
        <f t="shared" si="9"/>
        <v>The Commissioner &amp; Chief Constable are satisfied the spend represents VFM in accordance with the requirements of Category B</v>
      </c>
      <c r="L267" s="41"/>
      <c r="M267" s="41"/>
    </row>
    <row r="268" spans="1:13" s="42" customFormat="1" x14ac:dyDescent="0.2">
      <c r="A268" s="56" t="s">
        <v>8</v>
      </c>
      <c r="B268" s="55" t="s">
        <v>9</v>
      </c>
      <c r="C268" s="54" t="s">
        <v>26</v>
      </c>
      <c r="D268" s="53">
        <v>7169643</v>
      </c>
      <c r="E268" s="52">
        <v>45385</v>
      </c>
      <c r="F268" s="51">
        <v>1125</v>
      </c>
      <c r="G268" s="50" t="s">
        <v>22</v>
      </c>
      <c r="H268" s="49" t="str">
        <f t="shared" si="8"/>
        <v>B</v>
      </c>
      <c r="I268" s="48" t="str">
        <f t="shared" si="9"/>
        <v>The Commissioner &amp; Chief Constable are satisfied the spend represents VFM in accordance with the requirements of Category B</v>
      </c>
      <c r="L268" s="41"/>
      <c r="M268" s="41"/>
    </row>
    <row r="269" spans="1:13" s="42" customFormat="1" x14ac:dyDescent="0.2">
      <c r="A269" s="56" t="s">
        <v>8</v>
      </c>
      <c r="B269" s="55" t="s">
        <v>9</v>
      </c>
      <c r="C269" s="54" t="s">
        <v>26</v>
      </c>
      <c r="D269" s="53">
        <v>7169643</v>
      </c>
      <c r="E269" s="52">
        <v>45385</v>
      </c>
      <c r="F269" s="51">
        <v>1125</v>
      </c>
      <c r="G269" s="59" t="s">
        <v>133</v>
      </c>
      <c r="H269" s="49" t="str">
        <f t="shared" si="8"/>
        <v>B</v>
      </c>
      <c r="I269" s="48" t="str">
        <f t="shared" si="9"/>
        <v>The Commissioner &amp; Chief Constable are satisfied the spend represents VFM in accordance with the requirements of Category B</v>
      </c>
      <c r="L269" s="41"/>
      <c r="M269" s="41"/>
    </row>
    <row r="270" spans="1:13" s="42" customFormat="1" x14ac:dyDescent="0.2">
      <c r="A270" s="56" t="s">
        <v>8</v>
      </c>
      <c r="B270" s="55" t="s">
        <v>9</v>
      </c>
      <c r="C270" s="54" t="s">
        <v>217</v>
      </c>
      <c r="D270" s="53">
        <v>7171937</v>
      </c>
      <c r="E270" s="52">
        <v>45405</v>
      </c>
      <c r="F270" s="51">
        <v>2242</v>
      </c>
      <c r="G270" s="50" t="s">
        <v>218</v>
      </c>
      <c r="H270" s="49" t="str">
        <f t="shared" si="8"/>
        <v>B</v>
      </c>
      <c r="I270" s="48" t="str">
        <f t="shared" si="9"/>
        <v>The Commissioner &amp; Chief Constable are satisfied the spend represents VFM in accordance with the requirements of Category B</v>
      </c>
      <c r="L270" s="41"/>
      <c r="M270" s="41"/>
    </row>
    <row r="271" spans="1:13" s="42" customFormat="1" x14ac:dyDescent="0.2">
      <c r="A271" s="56" t="s">
        <v>8</v>
      </c>
      <c r="B271" s="55" t="s">
        <v>9</v>
      </c>
      <c r="C271" s="54" t="s">
        <v>196</v>
      </c>
      <c r="D271" s="53">
        <v>7171418</v>
      </c>
      <c r="E271" s="52">
        <v>45391</v>
      </c>
      <c r="F271" s="58">
        <v>2228.02</v>
      </c>
      <c r="G271" s="50" t="s">
        <v>169</v>
      </c>
      <c r="H271" s="49" t="str">
        <f t="shared" si="8"/>
        <v>B</v>
      </c>
      <c r="I271" s="48" t="str">
        <f t="shared" si="9"/>
        <v>The Commissioner &amp; Chief Constable are satisfied the spend represents VFM in accordance with the requirements of Category B</v>
      </c>
      <c r="L271" s="41"/>
      <c r="M271" s="41"/>
    </row>
    <row r="272" spans="1:13" s="42" customFormat="1" x14ac:dyDescent="0.2">
      <c r="A272" s="56" t="s">
        <v>8</v>
      </c>
      <c r="B272" s="55" t="s">
        <v>9</v>
      </c>
      <c r="C272" s="54" t="s">
        <v>10</v>
      </c>
      <c r="D272" s="53">
        <v>7172059</v>
      </c>
      <c r="E272" s="52">
        <v>45407</v>
      </c>
      <c r="F272" s="51">
        <v>2112</v>
      </c>
      <c r="G272" s="50" t="s">
        <v>22</v>
      </c>
      <c r="H272" s="49" t="str">
        <f t="shared" si="8"/>
        <v>B</v>
      </c>
      <c r="I272" s="48" t="str">
        <f t="shared" si="9"/>
        <v>The Commissioner &amp; Chief Constable are satisfied the spend represents VFM in accordance with the requirements of Category B</v>
      </c>
      <c r="L272" s="41"/>
      <c r="M272" s="41"/>
    </row>
    <row r="273" spans="1:13" s="42" customFormat="1" x14ac:dyDescent="0.2">
      <c r="A273" s="56" t="s">
        <v>8</v>
      </c>
      <c r="B273" s="55" t="s">
        <v>9</v>
      </c>
      <c r="C273" s="54" t="s">
        <v>385</v>
      </c>
      <c r="D273" s="53">
        <v>7171453</v>
      </c>
      <c r="E273" s="52">
        <v>45390</v>
      </c>
      <c r="F273" s="51">
        <v>2108.25</v>
      </c>
      <c r="G273" s="50" t="s">
        <v>91</v>
      </c>
      <c r="H273" s="49" t="str">
        <f t="shared" si="8"/>
        <v>B</v>
      </c>
      <c r="I273" s="48" t="str">
        <f t="shared" si="9"/>
        <v>The Commissioner &amp; Chief Constable are satisfied the spend represents VFM in accordance with the requirements of Category B</v>
      </c>
      <c r="L273" s="41"/>
      <c r="M273" s="41"/>
    </row>
    <row r="274" spans="1:13" s="42" customFormat="1" x14ac:dyDescent="0.2">
      <c r="A274" s="56" t="s">
        <v>8</v>
      </c>
      <c r="B274" s="55" t="s">
        <v>9</v>
      </c>
      <c r="C274" s="54" t="s">
        <v>74</v>
      </c>
      <c r="D274" s="53">
        <v>7170926</v>
      </c>
      <c r="E274" s="52">
        <v>45392</v>
      </c>
      <c r="F274" s="51">
        <v>2103.15</v>
      </c>
      <c r="G274" s="50" t="s">
        <v>131</v>
      </c>
      <c r="H274" s="49" t="str">
        <f t="shared" si="8"/>
        <v>B</v>
      </c>
      <c r="I274" s="48" t="str">
        <f t="shared" si="9"/>
        <v>The Commissioner &amp; Chief Constable are satisfied the spend represents VFM in accordance with the requirements of Category B</v>
      </c>
      <c r="L274" s="41"/>
      <c r="M274" s="41"/>
    </row>
    <row r="275" spans="1:13" s="42" customFormat="1" x14ac:dyDescent="0.2">
      <c r="A275" s="56" t="s">
        <v>8</v>
      </c>
      <c r="B275" s="55" t="s">
        <v>9</v>
      </c>
      <c r="C275" s="54" t="s">
        <v>202</v>
      </c>
      <c r="D275" s="53">
        <v>7171752</v>
      </c>
      <c r="E275" s="52">
        <v>45400</v>
      </c>
      <c r="F275" s="51">
        <v>2037.9</v>
      </c>
      <c r="G275" s="50" t="s">
        <v>203</v>
      </c>
      <c r="H275" s="49" t="str">
        <f t="shared" si="8"/>
        <v>B</v>
      </c>
      <c r="I275" s="48" t="str">
        <f t="shared" si="9"/>
        <v>The Commissioner &amp; Chief Constable are satisfied the spend represents VFM in accordance with the requirements of Category B</v>
      </c>
      <c r="L275" s="41"/>
      <c r="M275" s="41"/>
    </row>
    <row r="276" spans="1:13" s="42" customFormat="1" x14ac:dyDescent="0.2">
      <c r="A276" s="56" t="s">
        <v>8</v>
      </c>
      <c r="B276" s="55" t="s">
        <v>9</v>
      </c>
      <c r="C276" s="54" t="s">
        <v>619</v>
      </c>
      <c r="D276" s="53">
        <v>7171414</v>
      </c>
      <c r="E276" s="52">
        <v>45391</v>
      </c>
      <c r="F276" s="58">
        <v>2034.19</v>
      </c>
      <c r="G276" s="50" t="s">
        <v>129</v>
      </c>
      <c r="H276" s="49" t="str">
        <f t="shared" si="8"/>
        <v>B</v>
      </c>
      <c r="I276" s="48" t="str">
        <f t="shared" si="9"/>
        <v>The Commissioner &amp; Chief Constable are satisfied the spend represents VFM in accordance with the requirements of Category B</v>
      </c>
      <c r="L276" s="41"/>
      <c r="M276" s="41"/>
    </row>
    <row r="277" spans="1:13" s="42" customFormat="1" x14ac:dyDescent="0.2">
      <c r="A277" s="56" t="s">
        <v>8</v>
      </c>
      <c r="B277" s="55" t="s">
        <v>9</v>
      </c>
      <c r="C277" s="54" t="s">
        <v>432</v>
      </c>
      <c r="D277" s="53">
        <v>7171570</v>
      </c>
      <c r="E277" s="52">
        <v>45392</v>
      </c>
      <c r="F277" s="51">
        <v>2030</v>
      </c>
      <c r="G277" s="50" t="s">
        <v>22</v>
      </c>
      <c r="H277" s="49" t="str">
        <f t="shared" si="8"/>
        <v>B</v>
      </c>
      <c r="I277" s="48" t="str">
        <f t="shared" si="9"/>
        <v>The Commissioner &amp; Chief Constable are satisfied the spend represents VFM in accordance with the requirements of Category B</v>
      </c>
      <c r="L277" s="41"/>
      <c r="M277" s="41"/>
    </row>
    <row r="278" spans="1:13" s="42" customFormat="1" x14ac:dyDescent="0.2">
      <c r="A278" s="56" t="s">
        <v>8</v>
      </c>
      <c r="B278" s="55" t="s">
        <v>9</v>
      </c>
      <c r="C278" s="54" t="s">
        <v>242</v>
      </c>
      <c r="D278" s="53">
        <v>7170859</v>
      </c>
      <c r="E278" s="52">
        <v>45397</v>
      </c>
      <c r="F278" s="51">
        <v>2016.28</v>
      </c>
      <c r="G278" s="50" t="s">
        <v>94</v>
      </c>
      <c r="H278" s="49" t="str">
        <f t="shared" si="8"/>
        <v>B</v>
      </c>
      <c r="I278" s="48" t="str">
        <f t="shared" si="9"/>
        <v>The Commissioner &amp; Chief Constable are satisfied the spend represents VFM in accordance with the requirements of Category B</v>
      </c>
      <c r="L278" s="41"/>
      <c r="M278" s="41"/>
    </row>
    <row r="279" spans="1:13" s="42" customFormat="1" x14ac:dyDescent="0.2">
      <c r="A279" s="56" t="s">
        <v>8</v>
      </c>
      <c r="B279" s="55" t="s">
        <v>9</v>
      </c>
      <c r="C279" s="54" t="s">
        <v>93</v>
      </c>
      <c r="D279" s="53">
        <v>7171607</v>
      </c>
      <c r="E279" s="52">
        <v>45397</v>
      </c>
      <c r="F279" s="51">
        <v>2007</v>
      </c>
      <c r="G279" s="50" t="s">
        <v>94</v>
      </c>
      <c r="H279" s="49" t="str">
        <f t="shared" si="8"/>
        <v>B</v>
      </c>
      <c r="I279" s="48" t="str">
        <f t="shared" si="9"/>
        <v>The Commissioner &amp; Chief Constable are satisfied the spend represents VFM in accordance with the requirements of Category B</v>
      </c>
      <c r="L279" s="41"/>
      <c r="M279" s="41"/>
    </row>
    <row r="280" spans="1:13" s="42" customFormat="1" x14ac:dyDescent="0.2">
      <c r="A280" s="56" t="s">
        <v>8</v>
      </c>
      <c r="B280" s="55" t="s">
        <v>9</v>
      </c>
      <c r="C280" s="54" t="s">
        <v>74</v>
      </c>
      <c r="D280" s="53">
        <v>7171877</v>
      </c>
      <c r="E280" s="52">
        <v>45407</v>
      </c>
      <c r="F280" s="51">
        <v>2003.34</v>
      </c>
      <c r="G280" s="50" t="s">
        <v>131</v>
      </c>
      <c r="H280" s="49" t="str">
        <f t="shared" si="8"/>
        <v>B</v>
      </c>
      <c r="I280" s="48" t="str">
        <f t="shared" si="9"/>
        <v>The Commissioner &amp; Chief Constable are satisfied the spend represents VFM in accordance with the requirements of Category B</v>
      </c>
      <c r="L280" s="41"/>
      <c r="M280" s="41"/>
    </row>
    <row r="281" spans="1:13" s="42" customFormat="1" x14ac:dyDescent="0.2">
      <c r="A281" s="56" t="s">
        <v>8</v>
      </c>
      <c r="B281" s="55" t="s">
        <v>9</v>
      </c>
      <c r="C281" s="54" t="s">
        <v>537</v>
      </c>
      <c r="D281" s="53">
        <v>7170750</v>
      </c>
      <c r="E281" s="52">
        <v>45397</v>
      </c>
      <c r="F281" s="51">
        <v>2002.3</v>
      </c>
      <c r="G281" s="50" t="s">
        <v>131</v>
      </c>
      <c r="H281" s="49" t="str">
        <f t="shared" si="8"/>
        <v>B</v>
      </c>
      <c r="I281" s="48" t="str">
        <f t="shared" si="9"/>
        <v>The Commissioner &amp; Chief Constable are satisfied the spend represents VFM in accordance with the requirements of Category B</v>
      </c>
      <c r="L281" s="41"/>
      <c r="M281" s="41"/>
    </row>
    <row r="282" spans="1:13" s="42" customFormat="1" x14ac:dyDescent="0.2">
      <c r="A282" s="56" t="s">
        <v>8</v>
      </c>
      <c r="B282" s="55" t="s">
        <v>9</v>
      </c>
      <c r="C282" s="57" t="s">
        <v>618</v>
      </c>
      <c r="D282" s="53">
        <v>7170799</v>
      </c>
      <c r="E282" s="52">
        <v>45384</v>
      </c>
      <c r="F282" s="51">
        <v>2000</v>
      </c>
      <c r="G282" s="50" t="s">
        <v>80</v>
      </c>
      <c r="H282" s="49" t="str">
        <f t="shared" si="8"/>
        <v>B</v>
      </c>
      <c r="I282" s="48" t="str">
        <f t="shared" si="9"/>
        <v>The Commissioner &amp; Chief Constable are satisfied the spend represents VFM in accordance with the requirements of Category B</v>
      </c>
      <c r="L282" s="41"/>
      <c r="M282" s="41"/>
    </row>
    <row r="283" spans="1:13" s="42" customFormat="1" x14ac:dyDescent="0.2">
      <c r="A283" s="56" t="s">
        <v>8</v>
      </c>
      <c r="B283" s="55" t="s">
        <v>9</v>
      </c>
      <c r="C283" s="54" t="s">
        <v>617</v>
      </c>
      <c r="D283" s="53">
        <v>7170712</v>
      </c>
      <c r="E283" s="52">
        <v>45406</v>
      </c>
      <c r="F283" s="51">
        <v>2000</v>
      </c>
      <c r="G283" s="50" t="s">
        <v>131</v>
      </c>
      <c r="H283" s="49" t="str">
        <f t="shared" si="8"/>
        <v>B</v>
      </c>
      <c r="I283" s="48" t="str">
        <f t="shared" si="9"/>
        <v>The Commissioner &amp; Chief Constable are satisfied the spend represents VFM in accordance with the requirements of Category B</v>
      </c>
      <c r="L283" s="41"/>
      <c r="M283" s="41"/>
    </row>
    <row r="284" spans="1:13" s="42" customFormat="1" x14ac:dyDescent="0.2">
      <c r="A284" s="56" t="s">
        <v>8</v>
      </c>
      <c r="B284" s="55" t="s">
        <v>9</v>
      </c>
      <c r="C284" s="54" t="s">
        <v>616</v>
      </c>
      <c r="D284" s="53">
        <v>7170665</v>
      </c>
      <c r="E284" s="52">
        <v>45406</v>
      </c>
      <c r="F284" s="51">
        <v>1990</v>
      </c>
      <c r="G284" s="50" t="s">
        <v>106</v>
      </c>
      <c r="H284" s="49" t="str">
        <f t="shared" si="8"/>
        <v>B</v>
      </c>
      <c r="I284" s="48" t="str">
        <f t="shared" si="9"/>
        <v>The Commissioner &amp; Chief Constable are satisfied the spend represents VFM in accordance with the requirements of Category B</v>
      </c>
      <c r="L284" s="41"/>
      <c r="M284" s="41"/>
    </row>
    <row r="285" spans="1:13" s="42" customFormat="1" x14ac:dyDescent="0.2">
      <c r="A285" s="56" t="s">
        <v>8</v>
      </c>
      <c r="B285" s="55" t="s">
        <v>9</v>
      </c>
      <c r="C285" s="54" t="s">
        <v>252</v>
      </c>
      <c r="D285" s="53">
        <v>7171013</v>
      </c>
      <c r="E285" s="52">
        <v>45384</v>
      </c>
      <c r="F285" s="51">
        <v>1934</v>
      </c>
      <c r="G285" s="50" t="s">
        <v>148</v>
      </c>
      <c r="H285" s="49" t="str">
        <f t="shared" si="8"/>
        <v>B</v>
      </c>
      <c r="I285" s="48" t="str">
        <f t="shared" si="9"/>
        <v>The Commissioner &amp; Chief Constable are satisfied the spend represents VFM in accordance with the requirements of Category B</v>
      </c>
      <c r="L285" s="41"/>
      <c r="M285" s="41"/>
    </row>
    <row r="286" spans="1:13" s="42" customFormat="1" x14ac:dyDescent="0.2">
      <c r="A286" s="56" t="s">
        <v>8</v>
      </c>
      <c r="B286" s="55" t="s">
        <v>9</v>
      </c>
      <c r="C286" s="54" t="s">
        <v>140</v>
      </c>
      <c r="D286" s="53">
        <v>7172163</v>
      </c>
      <c r="E286" s="52">
        <v>45411</v>
      </c>
      <c r="F286" s="51">
        <v>78.75</v>
      </c>
      <c r="G286" s="50" t="s">
        <v>88</v>
      </c>
      <c r="H286" s="49" t="str">
        <f t="shared" si="8"/>
        <v>A</v>
      </c>
      <c r="I286" s="48" t="str">
        <f t="shared" si="9"/>
        <v>The Commissioner &amp; Chief Constable are satisfied the spend represents VFM in accordance with the requirements of Category A</v>
      </c>
      <c r="L286" s="41"/>
      <c r="M286" s="41"/>
    </row>
    <row r="287" spans="1:13" s="42" customFormat="1" x14ac:dyDescent="0.2">
      <c r="A287" s="56" t="s">
        <v>8</v>
      </c>
      <c r="B287" s="55" t="s">
        <v>9</v>
      </c>
      <c r="C287" s="54" t="s">
        <v>140</v>
      </c>
      <c r="D287" s="53">
        <v>7172163</v>
      </c>
      <c r="E287" s="52">
        <v>45411</v>
      </c>
      <c r="F287" s="51">
        <v>1848.15</v>
      </c>
      <c r="G287" s="59" t="s">
        <v>156</v>
      </c>
      <c r="H287" s="49" t="str">
        <f t="shared" si="8"/>
        <v>B</v>
      </c>
      <c r="I287" s="48" t="str">
        <f t="shared" si="9"/>
        <v>The Commissioner &amp; Chief Constable are satisfied the spend represents VFM in accordance with the requirements of Category B</v>
      </c>
      <c r="L287" s="41"/>
      <c r="M287" s="41"/>
    </row>
    <row r="288" spans="1:13" s="42" customFormat="1" x14ac:dyDescent="0.2">
      <c r="A288" s="56" t="s">
        <v>8</v>
      </c>
      <c r="B288" s="55" t="s">
        <v>9</v>
      </c>
      <c r="C288" s="54" t="s">
        <v>103</v>
      </c>
      <c r="D288" s="53">
        <v>7171383</v>
      </c>
      <c r="E288" s="52">
        <v>45390</v>
      </c>
      <c r="F288" s="51">
        <v>1905</v>
      </c>
      <c r="G288" s="50" t="s">
        <v>91</v>
      </c>
      <c r="H288" s="49" t="str">
        <f t="shared" si="8"/>
        <v>B</v>
      </c>
      <c r="I288" s="48" t="str">
        <f t="shared" si="9"/>
        <v>The Commissioner &amp; Chief Constable are satisfied the spend represents VFM in accordance with the requirements of Category B</v>
      </c>
      <c r="L288" s="41"/>
      <c r="M288" s="41"/>
    </row>
    <row r="289" spans="1:13" s="42" customFormat="1" x14ac:dyDescent="0.2">
      <c r="A289" s="56" t="s">
        <v>8</v>
      </c>
      <c r="B289" s="55" t="s">
        <v>9</v>
      </c>
      <c r="C289" s="54" t="s">
        <v>211</v>
      </c>
      <c r="D289" s="53">
        <v>7169642</v>
      </c>
      <c r="E289" s="52">
        <v>45394</v>
      </c>
      <c r="F289" s="51">
        <v>1872.96</v>
      </c>
      <c r="G289" s="50" t="s">
        <v>40</v>
      </c>
      <c r="H289" s="49" t="str">
        <f t="shared" si="8"/>
        <v>B</v>
      </c>
      <c r="I289" s="48" t="str">
        <f t="shared" si="9"/>
        <v>The Commissioner &amp; Chief Constable are satisfied the spend represents VFM in accordance with the requirements of Category B</v>
      </c>
      <c r="L289" s="41"/>
      <c r="M289" s="41"/>
    </row>
    <row r="290" spans="1:13" s="42" customFormat="1" x14ac:dyDescent="0.2">
      <c r="A290" s="56" t="s">
        <v>8</v>
      </c>
      <c r="B290" s="55" t="s">
        <v>9</v>
      </c>
      <c r="C290" s="54" t="s">
        <v>615</v>
      </c>
      <c r="D290" s="53">
        <v>7171730</v>
      </c>
      <c r="E290" s="52">
        <v>45399</v>
      </c>
      <c r="F290" s="51">
        <v>1840.1</v>
      </c>
      <c r="G290" s="50" t="s">
        <v>22</v>
      </c>
      <c r="H290" s="49" t="str">
        <f t="shared" si="8"/>
        <v>B</v>
      </c>
      <c r="I290" s="48" t="str">
        <f t="shared" si="9"/>
        <v>The Commissioner &amp; Chief Constable are satisfied the spend represents VFM in accordance with the requirements of Category B</v>
      </c>
      <c r="L290" s="41"/>
      <c r="M290" s="41"/>
    </row>
    <row r="291" spans="1:13" s="42" customFormat="1" x14ac:dyDescent="0.2">
      <c r="A291" s="56" t="s">
        <v>8</v>
      </c>
      <c r="B291" s="55" t="s">
        <v>9</v>
      </c>
      <c r="C291" s="54" t="s">
        <v>74</v>
      </c>
      <c r="D291" s="53">
        <v>7171942</v>
      </c>
      <c r="E291" s="52">
        <v>45404</v>
      </c>
      <c r="F291" s="51">
        <v>1824.95</v>
      </c>
      <c r="G291" s="50" t="s">
        <v>177</v>
      </c>
      <c r="H291" s="49" t="str">
        <f t="shared" si="8"/>
        <v>B</v>
      </c>
      <c r="I291" s="48" t="str">
        <f t="shared" si="9"/>
        <v>The Commissioner &amp; Chief Constable are satisfied the spend represents VFM in accordance with the requirements of Category B</v>
      </c>
      <c r="L291" s="41"/>
      <c r="M291" s="41"/>
    </row>
    <row r="292" spans="1:13" s="42" customFormat="1" x14ac:dyDescent="0.2">
      <c r="A292" s="56" t="s">
        <v>8</v>
      </c>
      <c r="B292" s="55" t="s">
        <v>9</v>
      </c>
      <c r="C292" s="54" t="s">
        <v>415</v>
      </c>
      <c r="D292" s="53">
        <v>7171257</v>
      </c>
      <c r="E292" s="52">
        <v>45401</v>
      </c>
      <c r="F292" s="51">
        <v>1800</v>
      </c>
      <c r="G292" s="50" t="s">
        <v>38</v>
      </c>
      <c r="H292" s="49" t="str">
        <f t="shared" si="8"/>
        <v>B</v>
      </c>
      <c r="I292" s="48" t="str">
        <f t="shared" si="9"/>
        <v>The Commissioner &amp; Chief Constable are satisfied the spend represents VFM in accordance with the requirements of Category B</v>
      </c>
      <c r="L292" s="41"/>
      <c r="M292" s="41"/>
    </row>
    <row r="293" spans="1:13" s="42" customFormat="1" x14ac:dyDescent="0.2">
      <c r="A293" s="56" t="s">
        <v>8</v>
      </c>
      <c r="B293" s="55" t="s">
        <v>9</v>
      </c>
      <c r="C293" s="54" t="s">
        <v>124</v>
      </c>
      <c r="D293" s="53">
        <v>7171031</v>
      </c>
      <c r="E293" s="52">
        <v>45384</v>
      </c>
      <c r="F293" s="51">
        <v>1782.04</v>
      </c>
      <c r="G293" s="50" t="s">
        <v>91</v>
      </c>
      <c r="H293" s="49" t="str">
        <f t="shared" si="8"/>
        <v>B</v>
      </c>
      <c r="I293" s="48" t="str">
        <f t="shared" si="9"/>
        <v>The Commissioner &amp; Chief Constable are satisfied the spend represents VFM in accordance with the requirements of Category B</v>
      </c>
      <c r="L293" s="41"/>
      <c r="M293" s="41"/>
    </row>
    <row r="294" spans="1:13" s="42" customFormat="1" x14ac:dyDescent="0.2">
      <c r="A294" s="56" t="s">
        <v>8</v>
      </c>
      <c r="B294" s="55" t="s">
        <v>9</v>
      </c>
      <c r="C294" s="54" t="s">
        <v>608</v>
      </c>
      <c r="D294" s="53">
        <v>7171724</v>
      </c>
      <c r="E294" s="52">
        <v>45400</v>
      </c>
      <c r="F294" s="51">
        <v>1750</v>
      </c>
      <c r="G294" s="50" t="s">
        <v>138</v>
      </c>
      <c r="H294" s="49" t="str">
        <f t="shared" si="8"/>
        <v>B</v>
      </c>
      <c r="I294" s="48" t="str">
        <f t="shared" si="9"/>
        <v>The Commissioner &amp; Chief Constable are satisfied the spend represents VFM in accordance with the requirements of Category B</v>
      </c>
      <c r="L294" s="41"/>
      <c r="M294" s="41"/>
    </row>
    <row r="295" spans="1:13" s="42" customFormat="1" x14ac:dyDescent="0.2">
      <c r="A295" s="56" t="s">
        <v>8</v>
      </c>
      <c r="B295" s="55" t="s">
        <v>9</v>
      </c>
      <c r="C295" s="54" t="s">
        <v>614</v>
      </c>
      <c r="D295" s="53">
        <v>7171391</v>
      </c>
      <c r="E295" s="52">
        <v>45391</v>
      </c>
      <c r="F295" s="51">
        <v>1745</v>
      </c>
      <c r="G295" s="50" t="s">
        <v>38</v>
      </c>
      <c r="H295" s="49" t="str">
        <f t="shared" si="8"/>
        <v>B</v>
      </c>
      <c r="I295" s="48" t="str">
        <f t="shared" si="9"/>
        <v>The Commissioner &amp; Chief Constable are satisfied the spend represents VFM in accordance with the requirements of Category B</v>
      </c>
      <c r="L295" s="41"/>
      <c r="M295" s="41"/>
    </row>
    <row r="296" spans="1:13" s="42" customFormat="1" x14ac:dyDescent="0.2">
      <c r="A296" s="56" t="s">
        <v>8</v>
      </c>
      <c r="B296" s="55" t="s">
        <v>9</v>
      </c>
      <c r="C296" s="54" t="s">
        <v>124</v>
      </c>
      <c r="D296" s="53">
        <v>7171110</v>
      </c>
      <c r="E296" s="52">
        <v>45397</v>
      </c>
      <c r="F296" s="51">
        <v>1744.37</v>
      </c>
      <c r="G296" s="50" t="s">
        <v>91</v>
      </c>
      <c r="H296" s="49" t="str">
        <f t="shared" si="8"/>
        <v>B</v>
      </c>
      <c r="I296" s="48" t="str">
        <f t="shared" si="9"/>
        <v>The Commissioner &amp; Chief Constable are satisfied the spend represents VFM in accordance with the requirements of Category B</v>
      </c>
      <c r="L296" s="41"/>
      <c r="M296" s="41"/>
    </row>
    <row r="297" spans="1:13" s="42" customFormat="1" x14ac:dyDescent="0.2">
      <c r="A297" s="56" t="s">
        <v>8</v>
      </c>
      <c r="B297" s="55" t="s">
        <v>9</v>
      </c>
      <c r="C297" s="54" t="s">
        <v>613</v>
      </c>
      <c r="D297" s="53">
        <v>7171253</v>
      </c>
      <c r="E297" s="52">
        <v>45390</v>
      </c>
      <c r="F297" s="51">
        <v>1740.48</v>
      </c>
      <c r="G297" s="50" t="s">
        <v>345</v>
      </c>
      <c r="H297" s="49" t="str">
        <f t="shared" si="8"/>
        <v>B</v>
      </c>
      <c r="I297" s="48" t="str">
        <f t="shared" si="9"/>
        <v>The Commissioner &amp; Chief Constable are satisfied the spend represents VFM in accordance with the requirements of Category B</v>
      </c>
      <c r="L297" s="41"/>
      <c r="M297" s="41"/>
    </row>
    <row r="298" spans="1:13" s="42" customFormat="1" x14ac:dyDescent="0.2">
      <c r="A298" s="56" t="s">
        <v>8</v>
      </c>
      <c r="B298" s="55" t="s">
        <v>9</v>
      </c>
      <c r="C298" s="54" t="s">
        <v>168</v>
      </c>
      <c r="D298" s="53">
        <v>7171352</v>
      </c>
      <c r="E298" s="52">
        <v>45387</v>
      </c>
      <c r="F298" s="51">
        <v>1734.8</v>
      </c>
      <c r="G298" s="50" t="s">
        <v>131</v>
      </c>
      <c r="H298" s="49" t="str">
        <f t="shared" si="8"/>
        <v>B</v>
      </c>
      <c r="I298" s="48" t="str">
        <f t="shared" si="9"/>
        <v>The Commissioner &amp; Chief Constable are satisfied the spend represents VFM in accordance with the requirements of Category B</v>
      </c>
      <c r="L298" s="41"/>
      <c r="M298" s="41"/>
    </row>
    <row r="299" spans="1:13" s="42" customFormat="1" x14ac:dyDescent="0.2">
      <c r="A299" s="56" t="s">
        <v>8</v>
      </c>
      <c r="B299" s="55" t="s">
        <v>9</v>
      </c>
      <c r="C299" s="54" t="s">
        <v>249</v>
      </c>
      <c r="D299" s="53">
        <v>7171269</v>
      </c>
      <c r="E299" s="52">
        <v>45384</v>
      </c>
      <c r="F299" s="51">
        <v>1722</v>
      </c>
      <c r="G299" s="50" t="s">
        <v>138</v>
      </c>
      <c r="H299" s="49" t="str">
        <f t="shared" si="8"/>
        <v>B</v>
      </c>
      <c r="I299" s="48" t="str">
        <f t="shared" si="9"/>
        <v>The Commissioner &amp; Chief Constable are satisfied the spend represents VFM in accordance with the requirements of Category B</v>
      </c>
      <c r="L299" s="41"/>
      <c r="M299" s="41"/>
    </row>
    <row r="300" spans="1:13" s="42" customFormat="1" x14ac:dyDescent="0.2">
      <c r="A300" s="56" t="s">
        <v>8</v>
      </c>
      <c r="B300" s="55" t="s">
        <v>9</v>
      </c>
      <c r="C300" s="54" t="s">
        <v>199</v>
      </c>
      <c r="D300" s="53">
        <v>7170770</v>
      </c>
      <c r="E300" s="52">
        <v>45386</v>
      </c>
      <c r="F300" s="51">
        <v>1713.95</v>
      </c>
      <c r="G300" s="50" t="s">
        <v>131</v>
      </c>
      <c r="H300" s="49" t="str">
        <f t="shared" si="8"/>
        <v>B</v>
      </c>
      <c r="I300" s="48" t="str">
        <f t="shared" si="9"/>
        <v>The Commissioner &amp; Chief Constable are satisfied the spend represents VFM in accordance with the requirements of Category B</v>
      </c>
      <c r="L300" s="41"/>
      <c r="M300" s="41"/>
    </row>
    <row r="301" spans="1:13" s="42" customFormat="1" x14ac:dyDescent="0.2">
      <c r="A301" s="56" t="s">
        <v>8</v>
      </c>
      <c r="B301" s="55" t="s">
        <v>9</v>
      </c>
      <c r="C301" s="54" t="s">
        <v>416</v>
      </c>
      <c r="D301" s="53">
        <v>7172104</v>
      </c>
      <c r="E301" s="52">
        <v>45408</v>
      </c>
      <c r="F301" s="51">
        <v>1700</v>
      </c>
      <c r="G301" s="50" t="s">
        <v>80</v>
      </c>
      <c r="H301" s="49" t="str">
        <f t="shared" si="8"/>
        <v>B</v>
      </c>
      <c r="I301" s="48" t="str">
        <f t="shared" si="9"/>
        <v>The Commissioner &amp; Chief Constable are satisfied the spend represents VFM in accordance with the requirements of Category B</v>
      </c>
      <c r="L301" s="41"/>
      <c r="M301" s="41"/>
    </row>
    <row r="302" spans="1:13" s="42" customFormat="1" x14ac:dyDescent="0.2">
      <c r="A302" s="56" t="s">
        <v>8</v>
      </c>
      <c r="B302" s="55" t="s">
        <v>9</v>
      </c>
      <c r="C302" s="54" t="s">
        <v>612</v>
      </c>
      <c r="D302" s="53">
        <v>7171706</v>
      </c>
      <c r="E302" s="52">
        <v>45397</v>
      </c>
      <c r="F302" s="51">
        <v>1699.88</v>
      </c>
      <c r="G302" s="50" t="s">
        <v>94</v>
      </c>
      <c r="H302" s="49" t="str">
        <f t="shared" si="8"/>
        <v>B</v>
      </c>
      <c r="I302" s="48" t="str">
        <f t="shared" si="9"/>
        <v>The Commissioner &amp; Chief Constable are satisfied the spend represents VFM in accordance with the requirements of Category B</v>
      </c>
      <c r="L302" s="41"/>
      <c r="M302" s="41"/>
    </row>
    <row r="303" spans="1:13" s="42" customFormat="1" x14ac:dyDescent="0.2">
      <c r="A303" s="56" t="s">
        <v>8</v>
      </c>
      <c r="B303" s="55" t="s">
        <v>9</v>
      </c>
      <c r="C303" s="54" t="s">
        <v>611</v>
      </c>
      <c r="D303" s="53">
        <v>7171520</v>
      </c>
      <c r="E303" s="52">
        <v>45392</v>
      </c>
      <c r="F303" s="51">
        <v>1660.3</v>
      </c>
      <c r="G303" s="50" t="s">
        <v>131</v>
      </c>
      <c r="H303" s="49" t="str">
        <f t="shared" si="8"/>
        <v>B</v>
      </c>
      <c r="I303" s="48" t="str">
        <f t="shared" si="9"/>
        <v>The Commissioner &amp; Chief Constable are satisfied the spend represents VFM in accordance with the requirements of Category B</v>
      </c>
      <c r="L303" s="41"/>
      <c r="M303" s="41"/>
    </row>
    <row r="304" spans="1:13" s="42" customFormat="1" x14ac:dyDescent="0.2">
      <c r="A304" s="56" t="s">
        <v>8</v>
      </c>
      <c r="B304" s="55" t="s">
        <v>9</v>
      </c>
      <c r="C304" s="54" t="s">
        <v>74</v>
      </c>
      <c r="D304" s="53">
        <v>7171122</v>
      </c>
      <c r="E304" s="52">
        <v>45411</v>
      </c>
      <c r="F304" s="58">
        <v>1625.2</v>
      </c>
      <c r="G304" s="50" t="s">
        <v>75</v>
      </c>
      <c r="H304" s="49" t="str">
        <f t="shared" si="8"/>
        <v>B</v>
      </c>
      <c r="I304" s="48" t="str">
        <f t="shared" si="9"/>
        <v>The Commissioner &amp; Chief Constable are satisfied the spend represents VFM in accordance with the requirements of Category B</v>
      </c>
      <c r="L304" s="41"/>
      <c r="M304" s="41"/>
    </row>
    <row r="305" spans="1:13" s="42" customFormat="1" x14ac:dyDescent="0.2">
      <c r="A305" s="56" t="s">
        <v>8</v>
      </c>
      <c r="B305" s="55" t="s">
        <v>9</v>
      </c>
      <c r="C305" s="54" t="s">
        <v>294</v>
      </c>
      <c r="D305" s="53">
        <v>7171583</v>
      </c>
      <c r="E305" s="52">
        <v>45394</v>
      </c>
      <c r="F305" s="51">
        <v>1618.8</v>
      </c>
      <c r="G305" s="50" t="s">
        <v>203</v>
      </c>
      <c r="H305" s="49" t="str">
        <f t="shared" si="8"/>
        <v>B</v>
      </c>
      <c r="I305" s="48" t="str">
        <f t="shared" si="9"/>
        <v>The Commissioner &amp; Chief Constable are satisfied the spend represents VFM in accordance with the requirements of Category B</v>
      </c>
      <c r="L305" s="41"/>
      <c r="M305" s="41"/>
    </row>
    <row r="306" spans="1:13" s="42" customFormat="1" x14ac:dyDescent="0.2">
      <c r="A306" s="56" t="s">
        <v>8</v>
      </c>
      <c r="B306" s="55" t="s">
        <v>9</v>
      </c>
      <c r="C306" s="54" t="s">
        <v>312</v>
      </c>
      <c r="D306" s="53">
        <v>7171425</v>
      </c>
      <c r="E306" s="52">
        <v>45390</v>
      </c>
      <c r="F306" s="51">
        <v>1618</v>
      </c>
      <c r="G306" s="50" t="s">
        <v>151</v>
      </c>
      <c r="H306" s="49" t="str">
        <f t="shared" si="8"/>
        <v>B</v>
      </c>
      <c r="I306" s="48" t="str">
        <f t="shared" si="9"/>
        <v>The Commissioner &amp; Chief Constable are satisfied the spend represents VFM in accordance with the requirements of Category B</v>
      </c>
      <c r="L306" s="41"/>
      <c r="M306" s="41"/>
    </row>
    <row r="307" spans="1:13" x14ac:dyDescent="0.2">
      <c r="A307" s="56" t="s">
        <v>8</v>
      </c>
      <c r="B307" s="55" t="s">
        <v>9</v>
      </c>
      <c r="C307" s="54" t="s">
        <v>99</v>
      </c>
      <c r="D307" s="53">
        <v>7171484</v>
      </c>
      <c r="E307" s="52">
        <v>45391</v>
      </c>
      <c r="F307" s="51">
        <v>1611.2</v>
      </c>
      <c r="G307" s="50" t="s">
        <v>94</v>
      </c>
      <c r="H307" s="49" t="str">
        <f t="shared" si="8"/>
        <v>B</v>
      </c>
      <c r="I307" s="48" t="str">
        <f t="shared" si="9"/>
        <v>The Commissioner &amp; Chief Constable are satisfied the spend represents VFM in accordance with the requirements of Category B</v>
      </c>
    </row>
    <row r="308" spans="1:13" x14ac:dyDescent="0.2">
      <c r="A308" s="56" t="s">
        <v>8</v>
      </c>
      <c r="B308" s="55" t="s">
        <v>9</v>
      </c>
      <c r="C308" s="54" t="s">
        <v>610</v>
      </c>
      <c r="D308" s="53">
        <v>7171661</v>
      </c>
      <c r="E308" s="52">
        <v>45405</v>
      </c>
      <c r="F308" s="51">
        <v>1605</v>
      </c>
      <c r="G308" s="50" t="s">
        <v>155</v>
      </c>
      <c r="H308" s="49" t="str">
        <f t="shared" si="8"/>
        <v>B</v>
      </c>
      <c r="I308" s="48" t="str">
        <f t="shared" si="9"/>
        <v>The Commissioner &amp; Chief Constable are satisfied the spend represents VFM in accordance with the requirements of Category B</v>
      </c>
    </row>
    <row r="309" spans="1:13" x14ac:dyDescent="0.2">
      <c r="A309" s="56" t="s">
        <v>8</v>
      </c>
      <c r="B309" s="55" t="s">
        <v>9</v>
      </c>
      <c r="C309" s="54" t="s">
        <v>419</v>
      </c>
      <c r="D309" s="53">
        <v>7171415</v>
      </c>
      <c r="E309" s="52">
        <v>45390</v>
      </c>
      <c r="F309" s="51">
        <v>1603.5</v>
      </c>
      <c r="G309" s="50" t="s">
        <v>22</v>
      </c>
      <c r="H309" s="49" t="str">
        <f t="shared" si="8"/>
        <v>B</v>
      </c>
      <c r="I309" s="48" t="str">
        <f t="shared" si="9"/>
        <v>The Commissioner &amp; Chief Constable are satisfied the spend represents VFM in accordance with the requirements of Category B</v>
      </c>
    </row>
    <row r="310" spans="1:13" x14ac:dyDescent="0.2">
      <c r="A310" s="56" t="s">
        <v>8</v>
      </c>
      <c r="B310" s="55" t="s">
        <v>9</v>
      </c>
      <c r="C310" s="54" t="s">
        <v>609</v>
      </c>
      <c r="D310" s="53">
        <v>7172209</v>
      </c>
      <c r="E310" s="52">
        <v>45412</v>
      </c>
      <c r="F310" s="51">
        <v>1600</v>
      </c>
      <c r="G310" s="50" t="s">
        <v>106</v>
      </c>
      <c r="H310" s="49" t="str">
        <f t="shared" si="8"/>
        <v>B</v>
      </c>
      <c r="I310" s="48" t="str">
        <f t="shared" si="9"/>
        <v>The Commissioner &amp; Chief Constable are satisfied the spend represents VFM in accordance with the requirements of Category B</v>
      </c>
    </row>
    <row r="311" spans="1:13" x14ac:dyDescent="0.2">
      <c r="A311" s="56" t="s">
        <v>8</v>
      </c>
      <c r="B311" s="55" t="s">
        <v>9</v>
      </c>
      <c r="C311" s="54" t="s">
        <v>276</v>
      </c>
      <c r="D311" s="53">
        <v>7171362</v>
      </c>
      <c r="E311" s="52">
        <v>45387</v>
      </c>
      <c r="F311" s="51">
        <v>1590.48</v>
      </c>
      <c r="G311" s="50" t="s">
        <v>40</v>
      </c>
      <c r="H311" s="49" t="str">
        <f t="shared" si="8"/>
        <v>B</v>
      </c>
      <c r="I311" s="48" t="str">
        <f t="shared" si="9"/>
        <v>The Commissioner &amp; Chief Constable are satisfied the spend represents VFM in accordance with the requirements of Category B</v>
      </c>
    </row>
    <row r="312" spans="1:13" x14ac:dyDescent="0.2">
      <c r="A312" s="56" t="s">
        <v>8</v>
      </c>
      <c r="B312" s="55" t="s">
        <v>9</v>
      </c>
      <c r="C312" s="54" t="s">
        <v>10</v>
      </c>
      <c r="D312" s="53">
        <v>7171500</v>
      </c>
      <c r="E312" s="52">
        <v>45404</v>
      </c>
      <c r="F312" s="51">
        <v>1584</v>
      </c>
      <c r="G312" s="50" t="s">
        <v>22</v>
      </c>
      <c r="H312" s="49" t="str">
        <f t="shared" si="8"/>
        <v>B</v>
      </c>
      <c r="I312" s="48" t="str">
        <f t="shared" si="9"/>
        <v>The Commissioner &amp; Chief Constable are satisfied the spend represents VFM in accordance with the requirements of Category B</v>
      </c>
    </row>
    <row r="313" spans="1:13" x14ac:dyDescent="0.2">
      <c r="A313" s="56" t="s">
        <v>8</v>
      </c>
      <c r="B313" s="55" t="s">
        <v>9</v>
      </c>
      <c r="C313" s="54" t="s">
        <v>531</v>
      </c>
      <c r="D313" s="53">
        <v>7171373</v>
      </c>
      <c r="E313" s="52">
        <v>45387</v>
      </c>
      <c r="F313" s="51">
        <v>1579.48</v>
      </c>
      <c r="G313" s="50" t="s">
        <v>94</v>
      </c>
      <c r="H313" s="49" t="str">
        <f t="shared" si="8"/>
        <v>B</v>
      </c>
      <c r="I313" s="48" t="str">
        <f t="shared" si="9"/>
        <v>The Commissioner &amp; Chief Constable are satisfied the spend represents VFM in accordance with the requirements of Category B</v>
      </c>
    </row>
    <row r="314" spans="1:13" x14ac:dyDescent="0.2">
      <c r="A314" s="56" t="s">
        <v>8</v>
      </c>
      <c r="B314" s="55" t="s">
        <v>9</v>
      </c>
      <c r="C314" s="54" t="s">
        <v>342</v>
      </c>
      <c r="D314" s="53">
        <v>7171449</v>
      </c>
      <c r="E314" s="52">
        <v>45390</v>
      </c>
      <c r="F314" s="51">
        <v>1577</v>
      </c>
      <c r="G314" s="50" t="s">
        <v>38</v>
      </c>
      <c r="H314" s="49" t="str">
        <f t="shared" si="8"/>
        <v>B</v>
      </c>
      <c r="I314" s="48" t="str">
        <f t="shared" si="9"/>
        <v>The Commissioner &amp; Chief Constable are satisfied the spend represents VFM in accordance with the requirements of Category B</v>
      </c>
    </row>
    <row r="315" spans="1:13" x14ac:dyDescent="0.2">
      <c r="A315" s="56" t="s">
        <v>8</v>
      </c>
      <c r="B315" s="55" t="s">
        <v>9</v>
      </c>
      <c r="C315" s="54" t="s">
        <v>103</v>
      </c>
      <c r="D315" s="53">
        <v>7171662</v>
      </c>
      <c r="E315" s="52">
        <v>45397</v>
      </c>
      <c r="F315" s="51">
        <v>1560</v>
      </c>
      <c r="G315" s="50" t="s">
        <v>91</v>
      </c>
      <c r="H315" s="49" t="str">
        <f t="shared" si="8"/>
        <v>B</v>
      </c>
      <c r="I315" s="48" t="str">
        <f t="shared" si="9"/>
        <v>The Commissioner &amp; Chief Constable are satisfied the spend represents VFM in accordance with the requirements of Category B</v>
      </c>
    </row>
    <row r="316" spans="1:13" x14ac:dyDescent="0.2">
      <c r="A316" s="56" t="s">
        <v>8</v>
      </c>
      <c r="B316" s="55" t="s">
        <v>9</v>
      </c>
      <c r="C316" s="54" t="s">
        <v>181</v>
      </c>
      <c r="D316" s="53">
        <v>7172219</v>
      </c>
      <c r="E316" s="52">
        <v>45412</v>
      </c>
      <c r="F316" s="51">
        <v>1550</v>
      </c>
      <c r="G316" s="50" t="s">
        <v>106</v>
      </c>
      <c r="H316" s="49" t="str">
        <f t="shared" si="8"/>
        <v>B</v>
      </c>
      <c r="I316" s="48" t="str">
        <f t="shared" si="9"/>
        <v>The Commissioner &amp; Chief Constable are satisfied the spend represents VFM in accordance with the requirements of Category B</v>
      </c>
    </row>
    <row r="317" spans="1:13" x14ac:dyDescent="0.2">
      <c r="A317" s="56" t="s">
        <v>8</v>
      </c>
      <c r="B317" s="55" t="s">
        <v>9</v>
      </c>
      <c r="C317" s="54" t="s">
        <v>181</v>
      </c>
      <c r="D317" s="53">
        <v>7172220</v>
      </c>
      <c r="E317" s="52">
        <v>45412</v>
      </c>
      <c r="F317" s="51">
        <v>1550</v>
      </c>
      <c r="G317" s="50" t="s">
        <v>106</v>
      </c>
      <c r="H317" s="49" t="str">
        <f t="shared" si="8"/>
        <v>B</v>
      </c>
      <c r="I317" s="48" t="str">
        <f t="shared" si="9"/>
        <v>The Commissioner &amp; Chief Constable are satisfied the spend represents VFM in accordance with the requirements of Category B</v>
      </c>
    </row>
    <row r="318" spans="1:13" x14ac:dyDescent="0.2">
      <c r="A318" s="56" t="s">
        <v>8</v>
      </c>
      <c r="B318" s="55" t="s">
        <v>9</v>
      </c>
      <c r="C318" s="54" t="s">
        <v>153</v>
      </c>
      <c r="D318" s="53">
        <v>7171858</v>
      </c>
      <c r="E318" s="52">
        <v>45401</v>
      </c>
      <c r="F318" s="51">
        <v>1540</v>
      </c>
      <c r="G318" s="50" t="s">
        <v>39</v>
      </c>
      <c r="H318" s="49" t="str">
        <f t="shared" si="8"/>
        <v>B</v>
      </c>
      <c r="I318" s="48" t="str">
        <f t="shared" si="9"/>
        <v>The Commissioner &amp; Chief Constable are satisfied the spend represents VFM in accordance with the requirements of Category B</v>
      </c>
    </row>
    <row r="319" spans="1:13" x14ac:dyDescent="0.2">
      <c r="A319" s="56" t="s">
        <v>8</v>
      </c>
      <c r="B319" s="55" t="s">
        <v>9</v>
      </c>
      <c r="C319" s="54" t="s">
        <v>162</v>
      </c>
      <c r="D319" s="53">
        <v>7171072</v>
      </c>
      <c r="E319" s="52">
        <v>45384</v>
      </c>
      <c r="F319" s="51">
        <v>1540</v>
      </c>
      <c r="G319" s="50" t="s">
        <v>39</v>
      </c>
      <c r="H319" s="49" t="str">
        <f t="shared" si="8"/>
        <v>B</v>
      </c>
      <c r="I319" s="48" t="str">
        <f t="shared" si="9"/>
        <v>The Commissioner &amp; Chief Constable are satisfied the spend represents VFM in accordance with the requirements of Category B</v>
      </c>
    </row>
    <row r="320" spans="1:13" x14ac:dyDescent="0.2">
      <c r="A320" s="56" t="s">
        <v>8</v>
      </c>
      <c r="B320" s="55" t="s">
        <v>9</v>
      </c>
      <c r="C320" s="54" t="s">
        <v>90</v>
      </c>
      <c r="D320" s="53">
        <v>7172151</v>
      </c>
      <c r="E320" s="52">
        <v>45411</v>
      </c>
      <c r="F320" s="51">
        <v>1461.78</v>
      </c>
      <c r="G320" s="50" t="s">
        <v>91</v>
      </c>
      <c r="H320" s="49" t="str">
        <f t="shared" si="8"/>
        <v>B</v>
      </c>
      <c r="I320" s="48" t="str">
        <f t="shared" si="9"/>
        <v>The Commissioner &amp; Chief Constable are satisfied the spend represents VFM in accordance with the requirements of Category B</v>
      </c>
    </row>
    <row r="321" spans="1:9" x14ac:dyDescent="0.2">
      <c r="A321" s="56" t="s">
        <v>8</v>
      </c>
      <c r="B321" s="55" t="s">
        <v>9</v>
      </c>
      <c r="C321" s="54" t="s">
        <v>90</v>
      </c>
      <c r="D321" s="53">
        <v>7172150</v>
      </c>
      <c r="E321" s="52">
        <v>45411</v>
      </c>
      <c r="F321" s="51">
        <v>1461.78</v>
      </c>
      <c r="G321" s="50" t="s">
        <v>91</v>
      </c>
      <c r="H321" s="49" t="str">
        <f t="shared" si="8"/>
        <v>B</v>
      </c>
      <c r="I321" s="48" t="str">
        <f t="shared" si="9"/>
        <v>The Commissioner &amp; Chief Constable are satisfied the spend represents VFM in accordance with the requirements of Category B</v>
      </c>
    </row>
    <row r="322" spans="1:9" x14ac:dyDescent="0.2">
      <c r="A322" s="56" t="s">
        <v>8</v>
      </c>
      <c r="B322" s="55" t="s">
        <v>9</v>
      </c>
      <c r="C322" s="54" t="s">
        <v>412</v>
      </c>
      <c r="D322" s="53">
        <v>7171487</v>
      </c>
      <c r="E322" s="52">
        <v>45391</v>
      </c>
      <c r="F322" s="51">
        <v>1423.74</v>
      </c>
      <c r="G322" s="50" t="s">
        <v>388</v>
      </c>
      <c r="H322" s="49" t="str">
        <f t="shared" ref="H322:H385" si="10">IF(F322&gt;25000,"C",IF(F322&gt;1000,"B","A"))</f>
        <v>B</v>
      </c>
      <c r="I322" s="48" t="str">
        <f t="shared" ref="I322:I385" si="11">VLOOKUP(H322,$L$2:$M$4,2,FALSE)</f>
        <v>The Commissioner &amp; Chief Constable are satisfied the spend represents VFM in accordance with the requirements of Category B</v>
      </c>
    </row>
    <row r="323" spans="1:9" x14ac:dyDescent="0.2">
      <c r="A323" s="56" t="s">
        <v>8</v>
      </c>
      <c r="B323" s="55" t="s">
        <v>9</v>
      </c>
      <c r="C323" s="54" t="s">
        <v>342</v>
      </c>
      <c r="D323" s="53">
        <v>7171454</v>
      </c>
      <c r="E323" s="52">
        <v>45390</v>
      </c>
      <c r="F323" s="51">
        <v>1420</v>
      </c>
      <c r="G323" s="50" t="s">
        <v>112</v>
      </c>
      <c r="H323" s="49" t="str">
        <f t="shared" si="10"/>
        <v>B</v>
      </c>
      <c r="I323" s="48" t="str">
        <f t="shared" si="11"/>
        <v>The Commissioner &amp; Chief Constable are satisfied the spend represents VFM in accordance with the requirements of Category B</v>
      </c>
    </row>
    <row r="324" spans="1:9" x14ac:dyDescent="0.2">
      <c r="A324" s="56" t="s">
        <v>8</v>
      </c>
      <c r="B324" s="55" t="s">
        <v>9</v>
      </c>
      <c r="C324" s="54" t="s">
        <v>142</v>
      </c>
      <c r="D324" s="53">
        <v>7171046</v>
      </c>
      <c r="E324" s="52">
        <v>45384</v>
      </c>
      <c r="F324" s="51">
        <v>1411.37</v>
      </c>
      <c r="G324" s="50" t="s">
        <v>143</v>
      </c>
      <c r="H324" s="49" t="str">
        <f t="shared" si="10"/>
        <v>B</v>
      </c>
      <c r="I324" s="48" t="str">
        <f t="shared" si="11"/>
        <v>The Commissioner &amp; Chief Constable are satisfied the spend represents VFM in accordance with the requirements of Category B</v>
      </c>
    </row>
    <row r="325" spans="1:9" x14ac:dyDescent="0.2">
      <c r="A325" s="56" t="s">
        <v>8</v>
      </c>
      <c r="B325" s="55" t="s">
        <v>9</v>
      </c>
      <c r="C325" s="54" t="s">
        <v>608</v>
      </c>
      <c r="D325" s="53">
        <v>7171977</v>
      </c>
      <c r="E325" s="52">
        <v>45405</v>
      </c>
      <c r="F325" s="51">
        <v>1400</v>
      </c>
      <c r="G325" s="50" t="s">
        <v>138</v>
      </c>
      <c r="H325" s="49" t="str">
        <f t="shared" si="10"/>
        <v>B</v>
      </c>
      <c r="I325" s="48" t="str">
        <f t="shared" si="11"/>
        <v>The Commissioner &amp; Chief Constable are satisfied the spend represents VFM in accordance with the requirements of Category B</v>
      </c>
    </row>
    <row r="326" spans="1:9" x14ac:dyDescent="0.2">
      <c r="A326" s="56" t="s">
        <v>8</v>
      </c>
      <c r="B326" s="55" t="s">
        <v>9</v>
      </c>
      <c r="C326" s="54" t="s">
        <v>608</v>
      </c>
      <c r="D326" s="53">
        <v>7171290</v>
      </c>
      <c r="E326" s="52">
        <v>45387</v>
      </c>
      <c r="F326" s="51">
        <v>1400</v>
      </c>
      <c r="G326" s="50" t="s">
        <v>138</v>
      </c>
      <c r="H326" s="49" t="str">
        <f t="shared" si="10"/>
        <v>B</v>
      </c>
      <c r="I326" s="48" t="str">
        <f t="shared" si="11"/>
        <v>The Commissioner &amp; Chief Constable are satisfied the spend represents VFM in accordance with the requirements of Category B</v>
      </c>
    </row>
    <row r="327" spans="1:9" x14ac:dyDescent="0.2">
      <c r="A327" s="56" t="s">
        <v>8</v>
      </c>
      <c r="B327" s="55" t="s">
        <v>9</v>
      </c>
      <c r="C327" s="54" t="s">
        <v>266</v>
      </c>
      <c r="D327" s="53">
        <v>7171863</v>
      </c>
      <c r="E327" s="52">
        <v>45412</v>
      </c>
      <c r="F327" s="51">
        <v>1396.83</v>
      </c>
      <c r="G327" s="50" t="s">
        <v>209</v>
      </c>
      <c r="H327" s="49" t="str">
        <f t="shared" si="10"/>
        <v>B</v>
      </c>
      <c r="I327" s="48" t="str">
        <f t="shared" si="11"/>
        <v>The Commissioner &amp; Chief Constable are satisfied the spend represents VFM in accordance with the requirements of Category B</v>
      </c>
    </row>
    <row r="328" spans="1:9" x14ac:dyDescent="0.2">
      <c r="A328" s="56" t="s">
        <v>8</v>
      </c>
      <c r="B328" s="55" t="s">
        <v>9</v>
      </c>
      <c r="C328" s="54" t="s">
        <v>48</v>
      </c>
      <c r="D328" s="53">
        <v>7171615</v>
      </c>
      <c r="E328" s="52">
        <v>45394</v>
      </c>
      <c r="F328" s="51">
        <v>1387.22</v>
      </c>
      <c r="G328" s="50" t="s">
        <v>58</v>
      </c>
      <c r="H328" s="49" t="str">
        <f t="shared" si="10"/>
        <v>B</v>
      </c>
      <c r="I328" s="48" t="str">
        <f t="shared" si="11"/>
        <v>The Commissioner &amp; Chief Constable are satisfied the spend represents VFM in accordance with the requirements of Category B</v>
      </c>
    </row>
    <row r="329" spans="1:9" x14ac:dyDescent="0.2">
      <c r="A329" s="56" t="s">
        <v>8</v>
      </c>
      <c r="B329" s="55" t="s">
        <v>9</v>
      </c>
      <c r="C329" s="54" t="s">
        <v>232</v>
      </c>
      <c r="D329" s="53">
        <v>7171580</v>
      </c>
      <c r="E329" s="52">
        <v>45393</v>
      </c>
      <c r="F329" s="51">
        <v>1339</v>
      </c>
      <c r="G329" s="50" t="s">
        <v>94</v>
      </c>
      <c r="H329" s="49" t="str">
        <f t="shared" si="10"/>
        <v>B</v>
      </c>
      <c r="I329" s="48" t="str">
        <f t="shared" si="11"/>
        <v>The Commissioner &amp; Chief Constable are satisfied the spend represents VFM in accordance with the requirements of Category B</v>
      </c>
    </row>
    <row r="330" spans="1:9" x14ac:dyDescent="0.2">
      <c r="A330" s="56" t="s">
        <v>8</v>
      </c>
      <c r="B330" s="55" t="s">
        <v>9</v>
      </c>
      <c r="C330" s="54" t="s">
        <v>607</v>
      </c>
      <c r="D330" s="53">
        <v>7172099</v>
      </c>
      <c r="E330" s="52">
        <v>45411</v>
      </c>
      <c r="F330" s="51">
        <v>1332.5</v>
      </c>
      <c r="G330" s="50" t="s">
        <v>123</v>
      </c>
      <c r="H330" s="49" t="str">
        <f t="shared" si="10"/>
        <v>B</v>
      </c>
      <c r="I330" s="48" t="str">
        <f t="shared" si="11"/>
        <v>The Commissioner &amp; Chief Constable are satisfied the spend represents VFM in accordance with the requirements of Category B</v>
      </c>
    </row>
    <row r="331" spans="1:9" x14ac:dyDescent="0.2">
      <c r="A331" s="56" t="s">
        <v>8</v>
      </c>
      <c r="B331" s="55" t="s">
        <v>9</v>
      </c>
      <c r="C331" s="54" t="s">
        <v>249</v>
      </c>
      <c r="D331" s="53">
        <v>7171935</v>
      </c>
      <c r="E331" s="52">
        <v>45407</v>
      </c>
      <c r="F331" s="51">
        <v>1328.5</v>
      </c>
      <c r="G331" s="50" t="s">
        <v>138</v>
      </c>
      <c r="H331" s="49" t="str">
        <f t="shared" si="10"/>
        <v>B</v>
      </c>
      <c r="I331" s="48" t="str">
        <f t="shared" si="11"/>
        <v>The Commissioner &amp; Chief Constable are satisfied the spend represents VFM in accordance with the requirements of Category B</v>
      </c>
    </row>
    <row r="332" spans="1:9" x14ac:dyDescent="0.2">
      <c r="A332" s="56" t="s">
        <v>8</v>
      </c>
      <c r="B332" s="55" t="s">
        <v>9</v>
      </c>
      <c r="C332" s="54" t="s">
        <v>347</v>
      </c>
      <c r="D332" s="53">
        <v>7171473</v>
      </c>
      <c r="E332" s="52">
        <v>45390</v>
      </c>
      <c r="F332" s="51">
        <v>1325.17</v>
      </c>
      <c r="G332" s="50" t="s">
        <v>94</v>
      </c>
      <c r="H332" s="49" t="str">
        <f t="shared" si="10"/>
        <v>B</v>
      </c>
      <c r="I332" s="48" t="str">
        <f t="shared" si="11"/>
        <v>The Commissioner &amp; Chief Constable are satisfied the spend represents VFM in accordance with the requirements of Category B</v>
      </c>
    </row>
    <row r="333" spans="1:9" x14ac:dyDescent="0.2">
      <c r="A333" s="56" t="s">
        <v>8</v>
      </c>
      <c r="B333" s="55" t="s">
        <v>9</v>
      </c>
      <c r="C333" s="54" t="s">
        <v>256</v>
      </c>
      <c r="D333" s="53">
        <v>7170555</v>
      </c>
      <c r="E333" s="52">
        <v>45384</v>
      </c>
      <c r="F333" s="51">
        <v>1321.87</v>
      </c>
      <c r="G333" s="50" t="s">
        <v>131</v>
      </c>
      <c r="H333" s="49" t="str">
        <f t="shared" si="10"/>
        <v>B</v>
      </c>
      <c r="I333" s="48" t="str">
        <f t="shared" si="11"/>
        <v>The Commissioner &amp; Chief Constable are satisfied the spend represents VFM in accordance with the requirements of Category B</v>
      </c>
    </row>
    <row r="334" spans="1:9" x14ac:dyDescent="0.2">
      <c r="A334" s="56" t="s">
        <v>8</v>
      </c>
      <c r="B334" s="55" t="s">
        <v>9</v>
      </c>
      <c r="C334" s="54" t="s">
        <v>124</v>
      </c>
      <c r="D334" s="53">
        <v>7171998</v>
      </c>
      <c r="E334" s="52">
        <v>45405</v>
      </c>
      <c r="F334" s="51">
        <v>1311.75</v>
      </c>
      <c r="G334" s="50" t="s">
        <v>376</v>
      </c>
      <c r="H334" s="49" t="str">
        <f t="shared" si="10"/>
        <v>B</v>
      </c>
      <c r="I334" s="48" t="str">
        <f t="shared" si="11"/>
        <v>The Commissioner &amp; Chief Constable are satisfied the spend represents VFM in accordance with the requirements of Category B</v>
      </c>
    </row>
    <row r="335" spans="1:9" x14ac:dyDescent="0.2">
      <c r="A335" s="56" t="s">
        <v>8</v>
      </c>
      <c r="B335" s="55" t="s">
        <v>9</v>
      </c>
      <c r="C335" s="54" t="s">
        <v>342</v>
      </c>
      <c r="D335" s="53">
        <v>7172026</v>
      </c>
      <c r="E335" s="52">
        <v>45411</v>
      </c>
      <c r="F335" s="51">
        <v>1306</v>
      </c>
      <c r="G335" s="50" t="s">
        <v>38</v>
      </c>
      <c r="H335" s="49" t="str">
        <f t="shared" si="10"/>
        <v>B</v>
      </c>
      <c r="I335" s="48" t="str">
        <f t="shared" si="11"/>
        <v>The Commissioner &amp; Chief Constable are satisfied the spend represents VFM in accordance with the requirements of Category B</v>
      </c>
    </row>
    <row r="336" spans="1:9" x14ac:dyDescent="0.2">
      <c r="A336" s="56" t="s">
        <v>8</v>
      </c>
      <c r="B336" s="55" t="s">
        <v>9</v>
      </c>
      <c r="C336" s="54" t="s">
        <v>552</v>
      </c>
      <c r="D336" s="53">
        <v>7171219</v>
      </c>
      <c r="E336" s="52">
        <v>45385</v>
      </c>
      <c r="F336" s="51">
        <v>1305.24</v>
      </c>
      <c r="G336" s="50" t="s">
        <v>106</v>
      </c>
      <c r="H336" s="49" t="str">
        <f t="shared" si="10"/>
        <v>B</v>
      </c>
      <c r="I336" s="48" t="str">
        <f t="shared" si="11"/>
        <v>The Commissioner &amp; Chief Constable are satisfied the spend represents VFM in accordance with the requirements of Category B</v>
      </c>
    </row>
    <row r="337" spans="1:9" x14ac:dyDescent="0.2">
      <c r="A337" s="56" t="s">
        <v>8</v>
      </c>
      <c r="B337" s="55" t="s">
        <v>9</v>
      </c>
      <c r="C337" s="54" t="s">
        <v>249</v>
      </c>
      <c r="D337" s="53">
        <v>7171446</v>
      </c>
      <c r="E337" s="52">
        <v>45390</v>
      </c>
      <c r="F337" s="51">
        <v>1301</v>
      </c>
      <c r="G337" s="50" t="s">
        <v>138</v>
      </c>
      <c r="H337" s="49" t="str">
        <f t="shared" si="10"/>
        <v>B</v>
      </c>
      <c r="I337" s="48" t="str">
        <f t="shared" si="11"/>
        <v>The Commissioner &amp; Chief Constable are satisfied the spend represents VFM in accordance with the requirements of Category B</v>
      </c>
    </row>
    <row r="338" spans="1:9" x14ac:dyDescent="0.2">
      <c r="A338" s="56" t="s">
        <v>8</v>
      </c>
      <c r="B338" s="55" t="s">
        <v>9</v>
      </c>
      <c r="C338" s="54" t="s">
        <v>249</v>
      </c>
      <c r="D338" s="53">
        <v>7171657</v>
      </c>
      <c r="E338" s="52">
        <v>45397</v>
      </c>
      <c r="F338" s="51">
        <v>1301</v>
      </c>
      <c r="G338" s="50" t="s">
        <v>138</v>
      </c>
      <c r="H338" s="49" t="str">
        <f t="shared" si="10"/>
        <v>B</v>
      </c>
      <c r="I338" s="48" t="str">
        <f t="shared" si="11"/>
        <v>The Commissioner &amp; Chief Constable are satisfied the spend represents VFM in accordance with the requirements of Category B</v>
      </c>
    </row>
    <row r="339" spans="1:9" x14ac:dyDescent="0.2">
      <c r="A339" s="56" t="s">
        <v>8</v>
      </c>
      <c r="B339" s="55" t="s">
        <v>9</v>
      </c>
      <c r="C339" s="54" t="s">
        <v>606</v>
      </c>
      <c r="D339" s="53">
        <v>7171475</v>
      </c>
      <c r="E339" s="52">
        <v>45391</v>
      </c>
      <c r="F339" s="51">
        <v>1300</v>
      </c>
      <c r="G339" s="50" t="s">
        <v>131</v>
      </c>
      <c r="H339" s="49" t="str">
        <f t="shared" si="10"/>
        <v>B</v>
      </c>
      <c r="I339" s="48" t="str">
        <f t="shared" si="11"/>
        <v>The Commissioner &amp; Chief Constable are satisfied the spend represents VFM in accordance with the requirements of Category B</v>
      </c>
    </row>
    <row r="340" spans="1:9" x14ac:dyDescent="0.2">
      <c r="A340" s="56" t="s">
        <v>8</v>
      </c>
      <c r="B340" s="55" t="s">
        <v>9</v>
      </c>
      <c r="C340" s="54" t="s">
        <v>527</v>
      </c>
      <c r="D340" s="53">
        <v>7171101</v>
      </c>
      <c r="E340" s="52">
        <v>45384</v>
      </c>
      <c r="F340" s="51">
        <v>1288.82</v>
      </c>
      <c r="G340" s="50" t="s">
        <v>296</v>
      </c>
      <c r="H340" s="49" t="str">
        <f t="shared" si="10"/>
        <v>B</v>
      </c>
      <c r="I340" s="48" t="str">
        <f t="shared" si="11"/>
        <v>The Commissioner &amp; Chief Constable are satisfied the spend represents VFM in accordance with the requirements of Category B</v>
      </c>
    </row>
    <row r="341" spans="1:9" x14ac:dyDescent="0.2">
      <c r="A341" s="56" t="s">
        <v>8</v>
      </c>
      <c r="B341" s="55" t="s">
        <v>9</v>
      </c>
      <c r="C341" s="54" t="s">
        <v>605</v>
      </c>
      <c r="D341" s="53">
        <v>7171703</v>
      </c>
      <c r="E341" s="52">
        <v>45398</v>
      </c>
      <c r="F341" s="51">
        <v>1275</v>
      </c>
      <c r="G341" s="50" t="s">
        <v>80</v>
      </c>
      <c r="H341" s="49" t="str">
        <f t="shared" si="10"/>
        <v>B</v>
      </c>
      <c r="I341" s="48" t="str">
        <f t="shared" si="11"/>
        <v>The Commissioner &amp; Chief Constable are satisfied the spend represents VFM in accordance with the requirements of Category B</v>
      </c>
    </row>
    <row r="342" spans="1:9" x14ac:dyDescent="0.2">
      <c r="A342" s="56" t="s">
        <v>8</v>
      </c>
      <c r="B342" s="55" t="s">
        <v>9</v>
      </c>
      <c r="C342" s="54" t="s">
        <v>604</v>
      </c>
      <c r="D342" s="53">
        <v>7171211</v>
      </c>
      <c r="E342" s="52">
        <v>45384</v>
      </c>
      <c r="F342" s="51">
        <v>1275</v>
      </c>
      <c r="G342" s="50" t="s">
        <v>80</v>
      </c>
      <c r="H342" s="49" t="str">
        <f t="shared" si="10"/>
        <v>B</v>
      </c>
      <c r="I342" s="48" t="str">
        <f t="shared" si="11"/>
        <v>The Commissioner &amp; Chief Constable are satisfied the spend represents VFM in accordance with the requirements of Category B</v>
      </c>
    </row>
    <row r="343" spans="1:9" x14ac:dyDescent="0.2">
      <c r="A343" s="56" t="s">
        <v>8</v>
      </c>
      <c r="B343" s="55" t="s">
        <v>9</v>
      </c>
      <c r="C343" s="54" t="s">
        <v>90</v>
      </c>
      <c r="D343" s="53">
        <v>7171910</v>
      </c>
      <c r="E343" s="52">
        <v>45401</v>
      </c>
      <c r="F343" s="51">
        <v>1269.97</v>
      </c>
      <c r="G343" s="50" t="s">
        <v>91</v>
      </c>
      <c r="H343" s="49" t="str">
        <f t="shared" si="10"/>
        <v>B</v>
      </c>
      <c r="I343" s="48" t="str">
        <f t="shared" si="11"/>
        <v>The Commissioner &amp; Chief Constable are satisfied the spend represents VFM in accordance with the requirements of Category B</v>
      </c>
    </row>
    <row r="344" spans="1:9" x14ac:dyDescent="0.2">
      <c r="A344" s="56" t="s">
        <v>8</v>
      </c>
      <c r="B344" s="55" t="s">
        <v>9</v>
      </c>
      <c r="C344" s="57" t="s">
        <v>90</v>
      </c>
      <c r="D344" s="53">
        <v>7171885</v>
      </c>
      <c r="E344" s="52">
        <v>45401</v>
      </c>
      <c r="F344" s="51">
        <v>1269.97</v>
      </c>
      <c r="G344" s="50" t="s">
        <v>91</v>
      </c>
      <c r="H344" s="49" t="str">
        <f t="shared" si="10"/>
        <v>B</v>
      </c>
      <c r="I344" s="48" t="str">
        <f t="shared" si="11"/>
        <v>The Commissioner &amp; Chief Constable are satisfied the spend represents VFM in accordance with the requirements of Category B</v>
      </c>
    </row>
    <row r="345" spans="1:9" x14ac:dyDescent="0.2">
      <c r="A345" s="56" t="s">
        <v>8</v>
      </c>
      <c r="B345" s="55" t="s">
        <v>9</v>
      </c>
      <c r="C345" s="54" t="s">
        <v>90</v>
      </c>
      <c r="D345" s="53">
        <v>7172152</v>
      </c>
      <c r="E345" s="52">
        <v>45411</v>
      </c>
      <c r="F345" s="58">
        <v>1269.97</v>
      </c>
      <c r="G345" s="50" t="s">
        <v>91</v>
      </c>
      <c r="H345" s="49" t="str">
        <f t="shared" si="10"/>
        <v>B</v>
      </c>
      <c r="I345" s="48" t="str">
        <f t="shared" si="11"/>
        <v>The Commissioner &amp; Chief Constable are satisfied the spend represents VFM in accordance with the requirements of Category B</v>
      </c>
    </row>
    <row r="346" spans="1:9" x14ac:dyDescent="0.2">
      <c r="A346" s="56" t="s">
        <v>8</v>
      </c>
      <c r="B346" s="55" t="s">
        <v>9</v>
      </c>
      <c r="C346" s="54" t="s">
        <v>385</v>
      </c>
      <c r="D346" s="53">
        <v>7171591</v>
      </c>
      <c r="E346" s="52">
        <v>45393</v>
      </c>
      <c r="F346" s="51">
        <v>1260.58</v>
      </c>
      <c r="G346" s="50" t="s">
        <v>91</v>
      </c>
      <c r="H346" s="49" t="str">
        <f t="shared" si="10"/>
        <v>B</v>
      </c>
      <c r="I346" s="48" t="str">
        <f t="shared" si="11"/>
        <v>The Commissioner &amp; Chief Constable are satisfied the spend represents VFM in accordance with the requirements of Category B</v>
      </c>
    </row>
    <row r="347" spans="1:9" x14ac:dyDescent="0.2">
      <c r="A347" s="56" t="s">
        <v>8</v>
      </c>
      <c r="B347" s="55" t="s">
        <v>9</v>
      </c>
      <c r="C347" s="54" t="s">
        <v>283</v>
      </c>
      <c r="D347" s="53">
        <v>7171227</v>
      </c>
      <c r="E347" s="52">
        <v>45384</v>
      </c>
      <c r="F347" s="51">
        <v>1248.72</v>
      </c>
      <c r="G347" s="50" t="s">
        <v>40</v>
      </c>
      <c r="H347" s="49" t="str">
        <f t="shared" si="10"/>
        <v>B</v>
      </c>
      <c r="I347" s="48" t="str">
        <f t="shared" si="11"/>
        <v>The Commissioner &amp; Chief Constable are satisfied the spend represents VFM in accordance with the requirements of Category B</v>
      </c>
    </row>
    <row r="348" spans="1:9" x14ac:dyDescent="0.2">
      <c r="A348" s="56" t="s">
        <v>8</v>
      </c>
      <c r="B348" s="55" t="s">
        <v>9</v>
      </c>
      <c r="C348" s="54" t="s">
        <v>535</v>
      </c>
      <c r="D348" s="53">
        <v>7171887</v>
      </c>
      <c r="E348" s="52">
        <v>45411</v>
      </c>
      <c r="F348" s="51">
        <v>1241</v>
      </c>
      <c r="G348" s="50" t="s">
        <v>39</v>
      </c>
      <c r="H348" s="49" t="str">
        <f t="shared" si="10"/>
        <v>B</v>
      </c>
      <c r="I348" s="48" t="str">
        <f t="shared" si="11"/>
        <v>The Commissioner &amp; Chief Constable are satisfied the spend represents VFM in accordance with the requirements of Category B</v>
      </c>
    </row>
    <row r="349" spans="1:9" x14ac:dyDescent="0.2">
      <c r="A349" s="56" t="s">
        <v>8</v>
      </c>
      <c r="B349" s="55" t="s">
        <v>9</v>
      </c>
      <c r="C349" s="54" t="s">
        <v>486</v>
      </c>
      <c r="D349" s="53">
        <v>7172009</v>
      </c>
      <c r="E349" s="52">
        <v>45407</v>
      </c>
      <c r="F349" s="51">
        <v>1239</v>
      </c>
      <c r="G349" s="50" t="s">
        <v>91</v>
      </c>
      <c r="H349" s="49" t="str">
        <f t="shared" si="10"/>
        <v>B</v>
      </c>
      <c r="I349" s="48" t="str">
        <f t="shared" si="11"/>
        <v>The Commissioner &amp; Chief Constable are satisfied the spend represents VFM in accordance with the requirements of Category B</v>
      </c>
    </row>
    <row r="350" spans="1:9" x14ac:dyDescent="0.2">
      <c r="A350" s="56" t="s">
        <v>8</v>
      </c>
      <c r="B350" s="55" t="s">
        <v>9</v>
      </c>
      <c r="C350" s="54" t="s">
        <v>527</v>
      </c>
      <c r="D350" s="53">
        <v>7170963</v>
      </c>
      <c r="E350" s="52">
        <v>45401</v>
      </c>
      <c r="F350" s="51">
        <v>1210.82</v>
      </c>
      <c r="G350" s="50" t="s">
        <v>296</v>
      </c>
      <c r="H350" s="49" t="str">
        <f t="shared" si="10"/>
        <v>B</v>
      </c>
      <c r="I350" s="48" t="str">
        <f t="shared" si="11"/>
        <v>The Commissioner &amp; Chief Constable are satisfied the spend represents VFM in accordance with the requirements of Category B</v>
      </c>
    </row>
    <row r="351" spans="1:9" x14ac:dyDescent="0.2">
      <c r="A351" s="56" t="s">
        <v>8</v>
      </c>
      <c r="B351" s="55" t="s">
        <v>9</v>
      </c>
      <c r="C351" s="54" t="s">
        <v>217</v>
      </c>
      <c r="D351" s="53">
        <v>7171650</v>
      </c>
      <c r="E351" s="52">
        <v>45397</v>
      </c>
      <c r="F351" s="51">
        <v>1200</v>
      </c>
      <c r="G351" s="50" t="s">
        <v>84</v>
      </c>
      <c r="H351" s="49" t="str">
        <f t="shared" si="10"/>
        <v>B</v>
      </c>
      <c r="I351" s="48" t="str">
        <f t="shared" si="11"/>
        <v>The Commissioner &amp; Chief Constable are satisfied the spend represents VFM in accordance with the requirements of Category B</v>
      </c>
    </row>
    <row r="352" spans="1:9" x14ac:dyDescent="0.2">
      <c r="A352" s="56" t="s">
        <v>8</v>
      </c>
      <c r="B352" s="55" t="s">
        <v>9</v>
      </c>
      <c r="C352" s="54" t="s">
        <v>342</v>
      </c>
      <c r="D352" s="53">
        <v>7171447</v>
      </c>
      <c r="E352" s="52">
        <v>45390</v>
      </c>
      <c r="F352" s="51">
        <v>1200</v>
      </c>
      <c r="G352" s="50" t="s">
        <v>112</v>
      </c>
      <c r="H352" s="49" t="str">
        <f t="shared" si="10"/>
        <v>B</v>
      </c>
      <c r="I352" s="48" t="str">
        <f t="shared" si="11"/>
        <v>The Commissioner &amp; Chief Constable are satisfied the spend represents VFM in accordance with the requirements of Category B</v>
      </c>
    </row>
    <row r="353" spans="1:9" x14ac:dyDescent="0.2">
      <c r="A353" s="56" t="s">
        <v>8</v>
      </c>
      <c r="B353" s="55" t="s">
        <v>9</v>
      </c>
      <c r="C353" s="54" t="s">
        <v>342</v>
      </c>
      <c r="D353" s="53">
        <v>7171310</v>
      </c>
      <c r="E353" s="52">
        <v>45390</v>
      </c>
      <c r="F353" s="51">
        <v>1200</v>
      </c>
      <c r="G353" s="50" t="s">
        <v>112</v>
      </c>
      <c r="H353" s="49" t="str">
        <f t="shared" si="10"/>
        <v>B</v>
      </c>
      <c r="I353" s="48" t="str">
        <f t="shared" si="11"/>
        <v>The Commissioner &amp; Chief Constable are satisfied the spend represents VFM in accordance with the requirements of Category B</v>
      </c>
    </row>
    <row r="354" spans="1:9" x14ac:dyDescent="0.2">
      <c r="A354" s="56" t="s">
        <v>8</v>
      </c>
      <c r="B354" s="55" t="s">
        <v>9</v>
      </c>
      <c r="C354" s="54" t="s">
        <v>393</v>
      </c>
      <c r="D354" s="53">
        <v>7170738</v>
      </c>
      <c r="E354" s="52">
        <v>45384</v>
      </c>
      <c r="F354" s="51">
        <v>1186.48</v>
      </c>
      <c r="G354" s="50" t="s">
        <v>131</v>
      </c>
      <c r="H354" s="49" t="str">
        <f t="shared" si="10"/>
        <v>B</v>
      </c>
      <c r="I354" s="48" t="str">
        <f t="shared" si="11"/>
        <v>The Commissioner &amp; Chief Constable are satisfied the spend represents VFM in accordance with the requirements of Category B</v>
      </c>
    </row>
    <row r="355" spans="1:9" x14ac:dyDescent="0.2">
      <c r="A355" s="56" t="s">
        <v>8</v>
      </c>
      <c r="B355" s="55" t="s">
        <v>9</v>
      </c>
      <c r="C355" s="54" t="s">
        <v>90</v>
      </c>
      <c r="D355" s="53">
        <v>7172153</v>
      </c>
      <c r="E355" s="52">
        <v>45411</v>
      </c>
      <c r="F355" s="51">
        <v>1176.77</v>
      </c>
      <c r="G355" s="50" t="s">
        <v>160</v>
      </c>
      <c r="H355" s="49" t="str">
        <f t="shared" si="10"/>
        <v>B</v>
      </c>
      <c r="I355" s="48" t="str">
        <f t="shared" si="11"/>
        <v>The Commissioner &amp; Chief Constable are satisfied the spend represents VFM in accordance with the requirements of Category B</v>
      </c>
    </row>
    <row r="356" spans="1:9" x14ac:dyDescent="0.2">
      <c r="A356" s="56" t="s">
        <v>8</v>
      </c>
      <c r="B356" s="55" t="s">
        <v>9</v>
      </c>
      <c r="C356" s="54" t="s">
        <v>113</v>
      </c>
      <c r="D356" s="53">
        <v>7171166</v>
      </c>
      <c r="E356" s="52">
        <v>45384</v>
      </c>
      <c r="F356" s="51">
        <v>1165.76</v>
      </c>
      <c r="G356" s="50" t="s">
        <v>114</v>
      </c>
      <c r="H356" s="49" t="str">
        <f t="shared" si="10"/>
        <v>B</v>
      </c>
      <c r="I356" s="48" t="str">
        <f t="shared" si="11"/>
        <v>The Commissioner &amp; Chief Constable are satisfied the spend represents VFM in accordance with the requirements of Category B</v>
      </c>
    </row>
    <row r="357" spans="1:9" x14ac:dyDescent="0.2">
      <c r="A357" s="56" t="s">
        <v>8</v>
      </c>
      <c r="B357" s="55" t="s">
        <v>9</v>
      </c>
      <c r="C357" s="54" t="s">
        <v>342</v>
      </c>
      <c r="D357" s="53">
        <v>7171356</v>
      </c>
      <c r="E357" s="52">
        <v>45387</v>
      </c>
      <c r="F357" s="51">
        <v>1150</v>
      </c>
      <c r="G357" s="50" t="s">
        <v>164</v>
      </c>
      <c r="H357" s="49" t="str">
        <f t="shared" si="10"/>
        <v>B</v>
      </c>
      <c r="I357" s="48" t="str">
        <f t="shared" si="11"/>
        <v>The Commissioner &amp; Chief Constable are satisfied the spend represents VFM in accordance with the requirements of Category B</v>
      </c>
    </row>
    <row r="358" spans="1:9" x14ac:dyDescent="0.2">
      <c r="A358" s="56" t="s">
        <v>8</v>
      </c>
      <c r="B358" s="55" t="s">
        <v>9</v>
      </c>
      <c r="C358" s="54" t="s">
        <v>181</v>
      </c>
      <c r="D358" s="53">
        <v>7170996</v>
      </c>
      <c r="E358" s="52">
        <v>45394</v>
      </c>
      <c r="F358" s="51">
        <v>1127.8800000000001</v>
      </c>
      <c r="G358" s="50" t="s">
        <v>106</v>
      </c>
      <c r="H358" s="49" t="str">
        <f t="shared" si="10"/>
        <v>B</v>
      </c>
      <c r="I358" s="48" t="str">
        <f t="shared" si="11"/>
        <v>The Commissioner &amp; Chief Constable are satisfied the spend represents VFM in accordance with the requirements of Category B</v>
      </c>
    </row>
    <row r="359" spans="1:9" x14ac:dyDescent="0.2">
      <c r="A359" s="56" t="s">
        <v>8</v>
      </c>
      <c r="B359" s="55" t="s">
        <v>9</v>
      </c>
      <c r="C359" s="54" t="s">
        <v>281</v>
      </c>
      <c r="D359" s="53">
        <v>7171428</v>
      </c>
      <c r="E359" s="52">
        <v>45390</v>
      </c>
      <c r="F359" s="51">
        <v>1113.3</v>
      </c>
      <c r="G359" s="50" t="s">
        <v>209</v>
      </c>
      <c r="H359" s="49" t="str">
        <f t="shared" si="10"/>
        <v>B</v>
      </c>
      <c r="I359" s="48" t="str">
        <f t="shared" si="11"/>
        <v>The Commissioner &amp; Chief Constable are satisfied the spend represents VFM in accordance with the requirements of Category B</v>
      </c>
    </row>
    <row r="360" spans="1:9" x14ac:dyDescent="0.2">
      <c r="A360" s="56" t="s">
        <v>8</v>
      </c>
      <c r="B360" s="55" t="s">
        <v>9</v>
      </c>
      <c r="C360" s="54" t="s">
        <v>181</v>
      </c>
      <c r="D360" s="53">
        <v>7171680</v>
      </c>
      <c r="E360" s="52">
        <v>45405</v>
      </c>
      <c r="F360" s="51">
        <v>1100</v>
      </c>
      <c r="G360" s="50" t="s">
        <v>363</v>
      </c>
      <c r="H360" s="49" t="str">
        <f t="shared" si="10"/>
        <v>B</v>
      </c>
      <c r="I360" s="48" t="str">
        <f t="shared" si="11"/>
        <v>The Commissioner &amp; Chief Constable are satisfied the spend represents VFM in accordance with the requirements of Category B</v>
      </c>
    </row>
    <row r="361" spans="1:9" x14ac:dyDescent="0.2">
      <c r="A361" s="56" t="s">
        <v>8</v>
      </c>
      <c r="B361" s="55" t="s">
        <v>9</v>
      </c>
      <c r="C361" s="54" t="s">
        <v>402</v>
      </c>
      <c r="D361" s="53">
        <v>7171783</v>
      </c>
      <c r="E361" s="52">
        <v>45401</v>
      </c>
      <c r="F361" s="51">
        <v>1095</v>
      </c>
      <c r="G361" s="50" t="s">
        <v>106</v>
      </c>
      <c r="H361" s="49" t="str">
        <f t="shared" si="10"/>
        <v>B</v>
      </c>
      <c r="I361" s="48" t="str">
        <f t="shared" si="11"/>
        <v>The Commissioner &amp; Chief Constable are satisfied the spend represents VFM in accordance with the requirements of Category B</v>
      </c>
    </row>
    <row r="362" spans="1:9" x14ac:dyDescent="0.2">
      <c r="A362" s="56" t="s">
        <v>8</v>
      </c>
      <c r="B362" s="55" t="s">
        <v>9</v>
      </c>
      <c r="C362" s="54" t="s">
        <v>256</v>
      </c>
      <c r="D362" s="53">
        <v>7171284</v>
      </c>
      <c r="E362" s="52">
        <v>45385</v>
      </c>
      <c r="F362" s="51">
        <v>1075.8900000000001</v>
      </c>
      <c r="G362" s="50" t="s">
        <v>155</v>
      </c>
      <c r="H362" s="49" t="str">
        <f t="shared" si="10"/>
        <v>B</v>
      </c>
      <c r="I362" s="48" t="str">
        <f t="shared" si="11"/>
        <v>The Commissioner &amp; Chief Constable are satisfied the spend represents VFM in accordance with the requirements of Category B</v>
      </c>
    </row>
    <row r="363" spans="1:9" x14ac:dyDescent="0.2">
      <c r="A363" s="56" t="s">
        <v>8</v>
      </c>
      <c r="B363" s="55" t="s">
        <v>9</v>
      </c>
      <c r="C363" s="54" t="s">
        <v>117</v>
      </c>
      <c r="D363" s="53">
        <v>7171294</v>
      </c>
      <c r="E363" s="52">
        <v>45397</v>
      </c>
      <c r="F363" s="51">
        <v>1060.5</v>
      </c>
      <c r="G363" s="50" t="s">
        <v>131</v>
      </c>
      <c r="H363" s="49" t="str">
        <f t="shared" si="10"/>
        <v>B</v>
      </c>
      <c r="I363" s="48" t="str">
        <f t="shared" si="11"/>
        <v>The Commissioner &amp; Chief Constable are satisfied the spend represents VFM in accordance with the requirements of Category B</v>
      </c>
    </row>
    <row r="364" spans="1:9" x14ac:dyDescent="0.2">
      <c r="A364" s="56" t="s">
        <v>8</v>
      </c>
      <c r="B364" s="55" t="s">
        <v>9</v>
      </c>
      <c r="C364" s="54" t="s">
        <v>302</v>
      </c>
      <c r="D364" s="53">
        <v>7171491</v>
      </c>
      <c r="E364" s="52">
        <v>45391</v>
      </c>
      <c r="F364" s="51">
        <v>1057.47</v>
      </c>
      <c r="G364" s="50" t="s">
        <v>131</v>
      </c>
      <c r="H364" s="49" t="str">
        <f t="shared" si="10"/>
        <v>B</v>
      </c>
      <c r="I364" s="48" t="str">
        <f t="shared" si="11"/>
        <v>The Commissioner &amp; Chief Constable are satisfied the spend represents VFM in accordance with the requirements of Category B</v>
      </c>
    </row>
    <row r="365" spans="1:9" x14ac:dyDescent="0.2">
      <c r="A365" s="56" t="s">
        <v>8</v>
      </c>
      <c r="B365" s="55" t="s">
        <v>9</v>
      </c>
      <c r="C365" s="54" t="s">
        <v>119</v>
      </c>
      <c r="D365" s="53">
        <v>7171658</v>
      </c>
      <c r="E365" s="52">
        <v>45397</v>
      </c>
      <c r="F365" s="51">
        <v>1037.1600000000001</v>
      </c>
      <c r="G365" s="50" t="s">
        <v>120</v>
      </c>
      <c r="H365" s="49" t="str">
        <f t="shared" si="10"/>
        <v>B</v>
      </c>
      <c r="I365" s="48" t="str">
        <f t="shared" si="11"/>
        <v>The Commissioner &amp; Chief Constable are satisfied the spend represents VFM in accordance with the requirements of Category B</v>
      </c>
    </row>
    <row r="366" spans="1:9" x14ac:dyDescent="0.2">
      <c r="A366" s="56" t="s">
        <v>8</v>
      </c>
      <c r="B366" s="55" t="s">
        <v>9</v>
      </c>
      <c r="C366" s="54" t="s">
        <v>68</v>
      </c>
      <c r="D366" s="53">
        <v>7171716</v>
      </c>
      <c r="E366" s="52">
        <v>45397</v>
      </c>
      <c r="F366" s="51">
        <v>1035</v>
      </c>
      <c r="G366" s="50" t="s">
        <v>43</v>
      </c>
      <c r="H366" s="49" t="str">
        <f t="shared" si="10"/>
        <v>B</v>
      </c>
      <c r="I366" s="48" t="str">
        <f t="shared" si="11"/>
        <v>The Commissioner &amp; Chief Constable are satisfied the spend represents VFM in accordance with the requirements of Category B</v>
      </c>
    </row>
    <row r="367" spans="1:9" x14ac:dyDescent="0.2">
      <c r="A367" s="56" t="s">
        <v>8</v>
      </c>
      <c r="B367" s="55" t="s">
        <v>9</v>
      </c>
      <c r="C367" s="54" t="s">
        <v>406</v>
      </c>
      <c r="D367" s="53">
        <v>7172031</v>
      </c>
      <c r="E367" s="52">
        <v>45412</v>
      </c>
      <c r="F367" s="51">
        <v>1025.71</v>
      </c>
      <c r="G367" s="50" t="s">
        <v>36</v>
      </c>
      <c r="H367" s="49" t="str">
        <f t="shared" si="10"/>
        <v>B</v>
      </c>
      <c r="I367" s="48" t="str">
        <f t="shared" si="11"/>
        <v>The Commissioner &amp; Chief Constable are satisfied the spend represents VFM in accordance with the requirements of Category B</v>
      </c>
    </row>
    <row r="368" spans="1:9" x14ac:dyDescent="0.2">
      <c r="A368" s="56" t="s">
        <v>8</v>
      </c>
      <c r="B368" s="55" t="s">
        <v>9</v>
      </c>
      <c r="C368" s="54" t="s">
        <v>316</v>
      </c>
      <c r="D368" s="53">
        <v>7172230</v>
      </c>
      <c r="E368" s="52">
        <v>45412</v>
      </c>
      <c r="F368" s="51">
        <v>1017.88</v>
      </c>
      <c r="G368" s="50" t="s">
        <v>241</v>
      </c>
      <c r="H368" s="49" t="str">
        <f t="shared" si="10"/>
        <v>B</v>
      </c>
      <c r="I368" s="48" t="str">
        <f t="shared" si="11"/>
        <v>The Commissioner &amp; Chief Constable are satisfied the spend represents VFM in accordance with the requirements of Category B</v>
      </c>
    </row>
    <row r="369" spans="1:13" x14ac:dyDescent="0.2">
      <c r="A369" s="56" t="s">
        <v>8</v>
      </c>
      <c r="B369" s="55" t="s">
        <v>9</v>
      </c>
      <c r="C369" s="54" t="s">
        <v>161</v>
      </c>
      <c r="D369" s="53">
        <v>7171963</v>
      </c>
      <c r="E369" s="52">
        <v>45404</v>
      </c>
      <c r="F369" s="51">
        <v>1017</v>
      </c>
      <c r="G369" s="50" t="s">
        <v>75</v>
      </c>
      <c r="H369" s="49" t="str">
        <f t="shared" si="10"/>
        <v>B</v>
      </c>
      <c r="I369" s="48" t="str">
        <f t="shared" si="11"/>
        <v>The Commissioner &amp; Chief Constable are satisfied the spend represents VFM in accordance with the requirements of Category B</v>
      </c>
    </row>
    <row r="370" spans="1:13" x14ac:dyDescent="0.2">
      <c r="A370" s="56" t="s">
        <v>8</v>
      </c>
      <c r="B370" s="55" t="s">
        <v>9</v>
      </c>
      <c r="C370" s="54" t="s">
        <v>181</v>
      </c>
      <c r="D370" s="53">
        <v>7172218</v>
      </c>
      <c r="E370" s="52">
        <v>45412</v>
      </c>
      <c r="F370" s="51">
        <v>1016.6</v>
      </c>
      <c r="G370" s="50" t="s">
        <v>98</v>
      </c>
      <c r="H370" s="49" t="str">
        <f t="shared" si="10"/>
        <v>B</v>
      </c>
      <c r="I370" s="48" t="str">
        <f t="shared" si="11"/>
        <v>The Commissioner &amp; Chief Constable are satisfied the spend represents VFM in accordance with the requirements of Category B</v>
      </c>
    </row>
    <row r="371" spans="1:13" x14ac:dyDescent="0.2">
      <c r="A371" s="56" t="s">
        <v>8</v>
      </c>
      <c r="B371" s="55" t="s">
        <v>9</v>
      </c>
      <c r="C371" s="54" t="s">
        <v>68</v>
      </c>
      <c r="D371" s="53">
        <v>7172211</v>
      </c>
      <c r="E371" s="52">
        <v>45412</v>
      </c>
      <c r="F371" s="51">
        <v>1015</v>
      </c>
      <c r="G371" s="50" t="s">
        <v>160</v>
      </c>
      <c r="H371" s="49" t="str">
        <f t="shared" si="10"/>
        <v>B</v>
      </c>
      <c r="I371" s="48" t="str">
        <f t="shared" si="11"/>
        <v>The Commissioner &amp; Chief Constable are satisfied the spend represents VFM in accordance with the requirements of Category B</v>
      </c>
    </row>
    <row r="372" spans="1:13" x14ac:dyDescent="0.2">
      <c r="A372" s="56" t="s">
        <v>8</v>
      </c>
      <c r="B372" s="55" t="s">
        <v>9</v>
      </c>
      <c r="C372" s="54" t="s">
        <v>124</v>
      </c>
      <c r="D372" s="53">
        <v>7172241</v>
      </c>
      <c r="E372" s="52">
        <v>45412</v>
      </c>
      <c r="F372" s="51">
        <v>1007.06</v>
      </c>
      <c r="G372" s="50" t="s">
        <v>91</v>
      </c>
      <c r="H372" s="49" t="str">
        <f t="shared" si="10"/>
        <v>B</v>
      </c>
      <c r="I372" s="48" t="str">
        <f t="shared" si="11"/>
        <v>The Commissioner &amp; Chief Constable are satisfied the spend represents VFM in accordance with the requirements of Category B</v>
      </c>
    </row>
    <row r="373" spans="1:13" x14ac:dyDescent="0.2">
      <c r="A373" s="56" t="s">
        <v>8</v>
      </c>
      <c r="B373" s="55" t="s">
        <v>9</v>
      </c>
      <c r="C373" s="54" t="s">
        <v>523</v>
      </c>
      <c r="D373" s="53">
        <v>7171567</v>
      </c>
      <c r="E373" s="52">
        <v>45393</v>
      </c>
      <c r="F373" s="51">
        <v>1000</v>
      </c>
      <c r="G373" s="50" t="s">
        <v>133</v>
      </c>
      <c r="H373" s="49" t="str">
        <f t="shared" si="10"/>
        <v>A</v>
      </c>
      <c r="I373" s="48" t="str">
        <f t="shared" si="11"/>
        <v>The Commissioner &amp; Chief Constable are satisfied the spend represents VFM in accordance with the requirements of Category A</v>
      </c>
    </row>
    <row r="374" spans="1:13" x14ac:dyDescent="0.2">
      <c r="A374" s="56" t="s">
        <v>8</v>
      </c>
      <c r="B374" s="55" t="s">
        <v>9</v>
      </c>
      <c r="C374" s="54" t="s">
        <v>223</v>
      </c>
      <c r="D374" s="53">
        <v>7171791</v>
      </c>
      <c r="E374" s="52">
        <v>45400</v>
      </c>
      <c r="F374" s="51">
        <v>1000</v>
      </c>
      <c r="G374" s="50" t="s">
        <v>22</v>
      </c>
      <c r="H374" s="49" t="str">
        <f t="shared" si="10"/>
        <v>A</v>
      </c>
      <c r="I374" s="48" t="str">
        <f t="shared" si="11"/>
        <v>The Commissioner &amp; Chief Constable are satisfied the spend represents VFM in accordance with the requirements of Category A</v>
      </c>
    </row>
    <row r="375" spans="1:13" x14ac:dyDescent="0.2">
      <c r="A375" s="56" t="s">
        <v>8</v>
      </c>
      <c r="B375" s="55" t="s">
        <v>9</v>
      </c>
      <c r="C375" s="54" t="s">
        <v>223</v>
      </c>
      <c r="D375" s="53">
        <v>7171522</v>
      </c>
      <c r="E375" s="52">
        <v>45393</v>
      </c>
      <c r="F375" s="51">
        <v>1000</v>
      </c>
      <c r="G375" s="50" t="s">
        <v>22</v>
      </c>
      <c r="H375" s="49" t="str">
        <f t="shared" si="10"/>
        <v>A</v>
      </c>
      <c r="I375" s="48" t="str">
        <f t="shared" si="11"/>
        <v>The Commissioner &amp; Chief Constable are satisfied the spend represents VFM in accordance with the requirements of Category A</v>
      </c>
    </row>
    <row r="376" spans="1:13" x14ac:dyDescent="0.2">
      <c r="A376" s="56" t="s">
        <v>8</v>
      </c>
      <c r="B376" s="55" t="s">
        <v>9</v>
      </c>
      <c r="C376" s="54" t="s">
        <v>223</v>
      </c>
      <c r="D376" s="53">
        <v>7171279</v>
      </c>
      <c r="E376" s="52">
        <v>45385</v>
      </c>
      <c r="F376" s="51">
        <v>1000</v>
      </c>
      <c r="G376" s="50" t="s">
        <v>22</v>
      </c>
      <c r="H376" s="49" t="str">
        <f t="shared" si="10"/>
        <v>A</v>
      </c>
      <c r="I376" s="48" t="str">
        <f t="shared" si="11"/>
        <v>The Commissioner &amp; Chief Constable are satisfied the spend represents VFM in accordance with the requirements of Category A</v>
      </c>
    </row>
    <row r="377" spans="1:13" x14ac:dyDescent="0.2">
      <c r="A377" s="56" t="s">
        <v>8</v>
      </c>
      <c r="B377" s="55" t="s">
        <v>9</v>
      </c>
      <c r="C377" s="54" t="s">
        <v>223</v>
      </c>
      <c r="D377" s="53">
        <v>7171789</v>
      </c>
      <c r="E377" s="52">
        <v>45400</v>
      </c>
      <c r="F377" s="51">
        <v>1000</v>
      </c>
      <c r="G377" s="50" t="s">
        <v>22</v>
      </c>
      <c r="H377" s="49" t="str">
        <f t="shared" si="10"/>
        <v>A</v>
      </c>
      <c r="I377" s="48" t="str">
        <f t="shared" si="11"/>
        <v>The Commissioner &amp; Chief Constable are satisfied the spend represents VFM in accordance with the requirements of Category A</v>
      </c>
    </row>
    <row r="378" spans="1:13" x14ac:dyDescent="0.2">
      <c r="A378" s="56" t="s">
        <v>8</v>
      </c>
      <c r="B378" s="55" t="s">
        <v>9</v>
      </c>
      <c r="C378" s="54" t="s">
        <v>236</v>
      </c>
      <c r="D378" s="53">
        <v>7172089</v>
      </c>
      <c r="E378" s="52">
        <v>45411</v>
      </c>
      <c r="F378" s="51">
        <v>995</v>
      </c>
      <c r="G378" s="50" t="s">
        <v>237</v>
      </c>
      <c r="H378" s="49" t="str">
        <f t="shared" si="10"/>
        <v>A</v>
      </c>
      <c r="I378" s="48" t="str">
        <f t="shared" si="11"/>
        <v>The Commissioner &amp; Chief Constable are satisfied the spend represents VFM in accordance with the requirements of Category A</v>
      </c>
    </row>
    <row r="379" spans="1:13" x14ac:dyDescent="0.2">
      <c r="A379" s="56" t="s">
        <v>8</v>
      </c>
      <c r="B379" s="55" t="s">
        <v>9</v>
      </c>
      <c r="C379" s="54" t="s">
        <v>603</v>
      </c>
      <c r="D379" s="53">
        <v>7171184</v>
      </c>
      <c r="E379" s="52">
        <v>45384</v>
      </c>
      <c r="F379" s="51">
        <v>987.5</v>
      </c>
      <c r="G379" s="50" t="s">
        <v>40</v>
      </c>
      <c r="H379" s="49" t="str">
        <f t="shared" si="10"/>
        <v>A</v>
      </c>
      <c r="I379" s="48" t="str">
        <f t="shared" si="11"/>
        <v>The Commissioner &amp; Chief Constable are satisfied the spend represents VFM in accordance with the requirements of Category A</v>
      </c>
    </row>
    <row r="380" spans="1:13" x14ac:dyDescent="0.2">
      <c r="A380" s="56" t="s">
        <v>8</v>
      </c>
      <c r="B380" s="55" t="s">
        <v>9</v>
      </c>
      <c r="C380" s="54" t="s">
        <v>342</v>
      </c>
      <c r="D380" s="53">
        <v>7171450</v>
      </c>
      <c r="E380" s="52">
        <v>45390</v>
      </c>
      <c r="F380" s="51">
        <v>980</v>
      </c>
      <c r="G380" s="50" t="s">
        <v>38</v>
      </c>
      <c r="H380" s="49" t="str">
        <f t="shared" si="10"/>
        <v>A</v>
      </c>
      <c r="I380" s="48" t="str">
        <f t="shared" si="11"/>
        <v>The Commissioner &amp; Chief Constable are satisfied the spend represents VFM in accordance with the requirements of Category A</v>
      </c>
    </row>
    <row r="381" spans="1:13" x14ac:dyDescent="0.2">
      <c r="A381" s="56" t="s">
        <v>8</v>
      </c>
      <c r="B381" s="55" t="s">
        <v>9</v>
      </c>
      <c r="C381" s="54" t="s">
        <v>260</v>
      </c>
      <c r="D381" s="53">
        <v>7171368</v>
      </c>
      <c r="E381" s="52">
        <v>45387</v>
      </c>
      <c r="F381" s="51">
        <v>965.28000000000009</v>
      </c>
      <c r="G381" s="50" t="s">
        <v>261</v>
      </c>
      <c r="H381" s="49" t="str">
        <f t="shared" si="10"/>
        <v>A</v>
      </c>
      <c r="I381" s="48" t="str">
        <f t="shared" si="11"/>
        <v>The Commissioner &amp; Chief Constable are satisfied the spend represents VFM in accordance with the requirements of Category A</v>
      </c>
    </row>
    <row r="382" spans="1:13" x14ac:dyDescent="0.2">
      <c r="A382" s="56" t="s">
        <v>8</v>
      </c>
      <c r="B382" s="55" t="s">
        <v>9</v>
      </c>
      <c r="C382" s="54" t="s">
        <v>260</v>
      </c>
      <c r="D382" s="53">
        <v>7171535</v>
      </c>
      <c r="E382" s="52">
        <v>45392</v>
      </c>
      <c r="F382" s="51">
        <v>964.45</v>
      </c>
      <c r="G382" s="50" t="s">
        <v>261</v>
      </c>
      <c r="H382" s="49" t="str">
        <f t="shared" si="10"/>
        <v>A</v>
      </c>
      <c r="I382" s="48" t="str">
        <f t="shared" si="11"/>
        <v>The Commissioner &amp; Chief Constable are satisfied the spend represents VFM in accordance with the requirements of Category A</v>
      </c>
    </row>
    <row r="383" spans="1:13" s="42" customFormat="1" x14ac:dyDescent="0.2">
      <c r="A383" s="56" t="s">
        <v>8</v>
      </c>
      <c r="B383" s="55" t="s">
        <v>9</v>
      </c>
      <c r="C383" s="54" t="s">
        <v>219</v>
      </c>
      <c r="D383" s="53">
        <v>7171258</v>
      </c>
      <c r="E383" s="52">
        <v>45384</v>
      </c>
      <c r="F383" s="51">
        <v>962.35</v>
      </c>
      <c r="G383" s="50" t="s">
        <v>220</v>
      </c>
      <c r="H383" s="49" t="str">
        <f t="shared" si="10"/>
        <v>A</v>
      </c>
      <c r="I383" s="48" t="str">
        <f t="shared" si="11"/>
        <v>The Commissioner &amp; Chief Constable are satisfied the spend represents VFM in accordance with the requirements of Category A</v>
      </c>
      <c r="L383" s="41"/>
      <c r="M383" s="41"/>
    </row>
    <row r="384" spans="1:13" s="42" customFormat="1" x14ac:dyDescent="0.2">
      <c r="A384" s="56" t="s">
        <v>8</v>
      </c>
      <c r="B384" s="55" t="s">
        <v>9</v>
      </c>
      <c r="C384" s="54" t="s">
        <v>266</v>
      </c>
      <c r="D384" s="53">
        <v>7171410</v>
      </c>
      <c r="E384" s="52">
        <v>45390</v>
      </c>
      <c r="F384" s="51">
        <v>949</v>
      </c>
      <c r="G384" s="50" t="s">
        <v>209</v>
      </c>
      <c r="H384" s="49" t="str">
        <f t="shared" si="10"/>
        <v>A</v>
      </c>
      <c r="I384" s="48" t="str">
        <f t="shared" si="11"/>
        <v>The Commissioner &amp; Chief Constable are satisfied the spend represents VFM in accordance with the requirements of Category A</v>
      </c>
      <c r="L384" s="41"/>
      <c r="M384" s="41"/>
    </row>
    <row r="385" spans="1:13" s="42" customFormat="1" x14ac:dyDescent="0.2">
      <c r="A385" s="56" t="s">
        <v>8</v>
      </c>
      <c r="B385" s="55" t="s">
        <v>9</v>
      </c>
      <c r="C385" s="54" t="s">
        <v>602</v>
      </c>
      <c r="D385" s="53">
        <v>7172019</v>
      </c>
      <c r="E385" s="52">
        <v>45406</v>
      </c>
      <c r="F385" s="51">
        <v>946.38</v>
      </c>
      <c r="G385" s="50" t="s">
        <v>38</v>
      </c>
      <c r="H385" s="49" t="str">
        <f t="shared" si="10"/>
        <v>A</v>
      </c>
      <c r="I385" s="48" t="str">
        <f t="shared" si="11"/>
        <v>The Commissioner &amp; Chief Constable are satisfied the spend represents VFM in accordance with the requirements of Category A</v>
      </c>
      <c r="L385" s="41"/>
      <c r="M385" s="41"/>
    </row>
    <row r="386" spans="1:13" s="42" customFormat="1" x14ac:dyDescent="0.2">
      <c r="A386" s="56" t="s">
        <v>8</v>
      </c>
      <c r="B386" s="55" t="s">
        <v>9</v>
      </c>
      <c r="C386" s="54" t="s">
        <v>10</v>
      </c>
      <c r="D386" s="53">
        <v>7171738</v>
      </c>
      <c r="E386" s="52">
        <v>45404</v>
      </c>
      <c r="F386" s="51">
        <v>940.5</v>
      </c>
      <c r="G386" s="50" t="s">
        <v>11</v>
      </c>
      <c r="H386" s="49" t="str">
        <f t="shared" ref="H386:H449" si="12">IF(F386&gt;25000,"C",IF(F386&gt;1000,"B","A"))</f>
        <v>A</v>
      </c>
      <c r="I386" s="48" t="str">
        <f t="shared" ref="I386:I449" si="13">VLOOKUP(H386,$L$2:$M$4,2,FALSE)</f>
        <v>The Commissioner &amp; Chief Constable are satisfied the spend represents VFM in accordance with the requirements of Category A</v>
      </c>
      <c r="L386" s="41"/>
      <c r="M386" s="41"/>
    </row>
    <row r="387" spans="1:13" s="42" customFormat="1" x14ac:dyDescent="0.2">
      <c r="A387" s="56" t="s">
        <v>8</v>
      </c>
      <c r="B387" s="55" t="s">
        <v>9</v>
      </c>
      <c r="C387" s="54" t="s">
        <v>411</v>
      </c>
      <c r="D387" s="53">
        <v>7171393</v>
      </c>
      <c r="E387" s="52">
        <v>45408</v>
      </c>
      <c r="F387" s="51">
        <v>929.3</v>
      </c>
      <c r="G387" s="50" t="s">
        <v>156</v>
      </c>
      <c r="H387" s="49" t="str">
        <f t="shared" si="12"/>
        <v>A</v>
      </c>
      <c r="I387" s="48" t="str">
        <f t="shared" si="13"/>
        <v>The Commissioner &amp; Chief Constable are satisfied the spend represents VFM in accordance with the requirements of Category A</v>
      </c>
      <c r="L387" s="41"/>
      <c r="M387" s="41"/>
    </row>
    <row r="388" spans="1:13" s="42" customFormat="1" x14ac:dyDescent="0.2">
      <c r="A388" s="56" t="s">
        <v>8</v>
      </c>
      <c r="B388" s="55" t="s">
        <v>9</v>
      </c>
      <c r="C388" s="54" t="s">
        <v>90</v>
      </c>
      <c r="D388" s="53">
        <v>7171916</v>
      </c>
      <c r="E388" s="52">
        <v>45401</v>
      </c>
      <c r="F388" s="51">
        <v>924.28</v>
      </c>
      <c r="G388" s="50" t="s">
        <v>91</v>
      </c>
      <c r="H388" s="49" t="str">
        <f t="shared" si="12"/>
        <v>A</v>
      </c>
      <c r="I388" s="48" t="str">
        <f t="shared" si="13"/>
        <v>The Commissioner &amp; Chief Constable are satisfied the spend represents VFM in accordance with the requirements of Category A</v>
      </c>
      <c r="L388" s="41"/>
      <c r="M388" s="41"/>
    </row>
    <row r="389" spans="1:13" s="42" customFormat="1" x14ac:dyDescent="0.2">
      <c r="A389" s="56" t="s">
        <v>8</v>
      </c>
      <c r="B389" s="55" t="s">
        <v>9</v>
      </c>
      <c r="C389" s="54" t="s">
        <v>90</v>
      </c>
      <c r="D389" s="53">
        <v>7171884</v>
      </c>
      <c r="E389" s="52">
        <v>45401</v>
      </c>
      <c r="F389" s="51">
        <v>924.28</v>
      </c>
      <c r="G389" s="50" t="s">
        <v>91</v>
      </c>
      <c r="H389" s="49" t="str">
        <f t="shared" si="12"/>
        <v>A</v>
      </c>
      <c r="I389" s="48" t="str">
        <f t="shared" si="13"/>
        <v>The Commissioner &amp; Chief Constable are satisfied the spend represents VFM in accordance with the requirements of Category A</v>
      </c>
      <c r="L389" s="41"/>
      <c r="M389" s="41"/>
    </row>
    <row r="390" spans="1:13" s="42" customFormat="1" x14ac:dyDescent="0.2">
      <c r="A390" s="56" t="s">
        <v>8</v>
      </c>
      <c r="B390" s="55" t="s">
        <v>9</v>
      </c>
      <c r="C390" s="54" t="s">
        <v>90</v>
      </c>
      <c r="D390" s="53">
        <v>7171883</v>
      </c>
      <c r="E390" s="52">
        <v>45401</v>
      </c>
      <c r="F390" s="51">
        <v>924.28</v>
      </c>
      <c r="G390" s="50" t="s">
        <v>91</v>
      </c>
      <c r="H390" s="49" t="str">
        <f t="shared" si="12"/>
        <v>A</v>
      </c>
      <c r="I390" s="48" t="str">
        <f t="shared" si="13"/>
        <v>The Commissioner &amp; Chief Constable are satisfied the spend represents VFM in accordance with the requirements of Category A</v>
      </c>
      <c r="L390" s="41"/>
      <c r="M390" s="41"/>
    </row>
    <row r="391" spans="1:13" s="42" customFormat="1" x14ac:dyDescent="0.2">
      <c r="A391" s="56" t="s">
        <v>8</v>
      </c>
      <c r="B391" s="55" t="s">
        <v>9</v>
      </c>
      <c r="C391" s="54" t="s">
        <v>90</v>
      </c>
      <c r="D391" s="53">
        <v>7171912</v>
      </c>
      <c r="E391" s="52">
        <v>45401</v>
      </c>
      <c r="F391" s="51">
        <v>924.28</v>
      </c>
      <c r="G391" s="50" t="s">
        <v>91</v>
      </c>
      <c r="H391" s="49" t="str">
        <f t="shared" si="12"/>
        <v>A</v>
      </c>
      <c r="I391" s="48" t="str">
        <f t="shared" si="13"/>
        <v>The Commissioner &amp; Chief Constable are satisfied the spend represents VFM in accordance with the requirements of Category A</v>
      </c>
      <c r="L391" s="41"/>
      <c r="M391" s="41"/>
    </row>
    <row r="392" spans="1:13" s="42" customFormat="1" x14ac:dyDescent="0.2">
      <c r="A392" s="56" t="s">
        <v>8</v>
      </c>
      <c r="B392" s="55" t="s">
        <v>9</v>
      </c>
      <c r="C392" s="54" t="s">
        <v>90</v>
      </c>
      <c r="D392" s="53">
        <v>7171915</v>
      </c>
      <c r="E392" s="52">
        <v>45401</v>
      </c>
      <c r="F392" s="51">
        <v>924.28</v>
      </c>
      <c r="G392" s="50" t="s">
        <v>91</v>
      </c>
      <c r="H392" s="49" t="str">
        <f t="shared" si="12"/>
        <v>A</v>
      </c>
      <c r="I392" s="48" t="str">
        <f t="shared" si="13"/>
        <v>The Commissioner &amp; Chief Constable are satisfied the spend represents VFM in accordance with the requirements of Category A</v>
      </c>
      <c r="L392" s="41"/>
      <c r="M392" s="41"/>
    </row>
    <row r="393" spans="1:13" s="42" customFormat="1" x14ac:dyDescent="0.2">
      <c r="A393" s="56" t="s">
        <v>8</v>
      </c>
      <c r="B393" s="55" t="s">
        <v>9</v>
      </c>
      <c r="C393" s="54" t="s">
        <v>90</v>
      </c>
      <c r="D393" s="53">
        <v>7171914</v>
      </c>
      <c r="E393" s="52">
        <v>45401</v>
      </c>
      <c r="F393" s="51">
        <v>924.28</v>
      </c>
      <c r="G393" s="50" t="s">
        <v>91</v>
      </c>
      <c r="H393" s="49" t="str">
        <f t="shared" si="12"/>
        <v>A</v>
      </c>
      <c r="I393" s="48" t="str">
        <f t="shared" si="13"/>
        <v>The Commissioner &amp; Chief Constable are satisfied the spend represents VFM in accordance with the requirements of Category A</v>
      </c>
      <c r="L393" s="41"/>
      <c r="M393" s="41"/>
    </row>
    <row r="394" spans="1:13" s="42" customFormat="1" x14ac:dyDescent="0.2">
      <c r="A394" s="56" t="s">
        <v>8</v>
      </c>
      <c r="B394" s="55" t="s">
        <v>9</v>
      </c>
      <c r="C394" s="54" t="s">
        <v>90</v>
      </c>
      <c r="D394" s="53">
        <v>7171917</v>
      </c>
      <c r="E394" s="52">
        <v>45401</v>
      </c>
      <c r="F394" s="51">
        <v>924.28</v>
      </c>
      <c r="G394" s="50" t="s">
        <v>91</v>
      </c>
      <c r="H394" s="49" t="str">
        <f t="shared" si="12"/>
        <v>A</v>
      </c>
      <c r="I394" s="48" t="str">
        <f t="shared" si="13"/>
        <v>The Commissioner &amp; Chief Constable are satisfied the spend represents VFM in accordance with the requirements of Category A</v>
      </c>
      <c r="L394" s="41"/>
      <c r="M394" s="41"/>
    </row>
    <row r="395" spans="1:13" s="42" customFormat="1" x14ac:dyDescent="0.2">
      <c r="A395" s="56" t="s">
        <v>8</v>
      </c>
      <c r="B395" s="55" t="s">
        <v>9</v>
      </c>
      <c r="C395" s="54" t="s">
        <v>256</v>
      </c>
      <c r="D395" s="53">
        <v>7171969</v>
      </c>
      <c r="E395" s="52">
        <v>45405</v>
      </c>
      <c r="F395" s="51">
        <v>920</v>
      </c>
      <c r="G395" s="50" t="s">
        <v>131</v>
      </c>
      <c r="H395" s="49" t="str">
        <f t="shared" si="12"/>
        <v>A</v>
      </c>
      <c r="I395" s="48" t="str">
        <f t="shared" si="13"/>
        <v>The Commissioner &amp; Chief Constable are satisfied the spend represents VFM in accordance with the requirements of Category A</v>
      </c>
      <c r="L395" s="41"/>
      <c r="M395" s="41"/>
    </row>
    <row r="396" spans="1:13" s="42" customFormat="1" x14ac:dyDescent="0.2">
      <c r="A396" s="56" t="s">
        <v>8</v>
      </c>
      <c r="B396" s="55" t="s">
        <v>9</v>
      </c>
      <c r="C396" s="54" t="s">
        <v>348</v>
      </c>
      <c r="D396" s="53">
        <v>7172001</v>
      </c>
      <c r="E396" s="52">
        <v>45405</v>
      </c>
      <c r="F396" s="51">
        <v>919.9</v>
      </c>
      <c r="G396" s="50" t="s">
        <v>131</v>
      </c>
      <c r="H396" s="49" t="str">
        <f t="shared" si="12"/>
        <v>A</v>
      </c>
      <c r="I396" s="48" t="str">
        <f t="shared" si="13"/>
        <v>The Commissioner &amp; Chief Constable are satisfied the spend represents VFM in accordance with the requirements of Category A</v>
      </c>
      <c r="L396" s="41"/>
      <c r="M396" s="41"/>
    </row>
    <row r="397" spans="1:13" s="42" customFormat="1" x14ac:dyDescent="0.2">
      <c r="A397" s="56" t="s">
        <v>8</v>
      </c>
      <c r="B397" s="55" t="s">
        <v>9</v>
      </c>
      <c r="C397" s="54" t="s">
        <v>369</v>
      </c>
      <c r="D397" s="53">
        <v>7172207</v>
      </c>
      <c r="E397" s="52">
        <v>45411</v>
      </c>
      <c r="F397" s="51">
        <v>900</v>
      </c>
      <c r="G397" s="50" t="s">
        <v>39</v>
      </c>
      <c r="H397" s="49" t="str">
        <f t="shared" si="12"/>
        <v>A</v>
      </c>
      <c r="I397" s="48" t="str">
        <f t="shared" si="13"/>
        <v>The Commissioner &amp; Chief Constable are satisfied the spend represents VFM in accordance with the requirements of Category A</v>
      </c>
      <c r="L397" s="41"/>
      <c r="M397" s="41"/>
    </row>
    <row r="398" spans="1:13" s="42" customFormat="1" x14ac:dyDescent="0.2">
      <c r="A398" s="56" t="s">
        <v>8</v>
      </c>
      <c r="B398" s="55" t="s">
        <v>9</v>
      </c>
      <c r="C398" s="54" t="s">
        <v>601</v>
      </c>
      <c r="D398" s="53">
        <v>7171347</v>
      </c>
      <c r="E398" s="52">
        <v>45398</v>
      </c>
      <c r="F398" s="51">
        <v>900</v>
      </c>
      <c r="G398" s="50" t="s">
        <v>155</v>
      </c>
      <c r="H398" s="49" t="str">
        <f t="shared" si="12"/>
        <v>A</v>
      </c>
      <c r="I398" s="48" t="str">
        <f t="shared" si="13"/>
        <v>The Commissioner &amp; Chief Constable are satisfied the spend represents VFM in accordance with the requirements of Category A</v>
      </c>
      <c r="L398" s="41"/>
      <c r="M398" s="41"/>
    </row>
    <row r="399" spans="1:13" x14ac:dyDescent="0.2">
      <c r="A399" s="56" t="s">
        <v>8</v>
      </c>
      <c r="B399" s="55" t="s">
        <v>9</v>
      </c>
      <c r="C399" s="54" t="s">
        <v>334</v>
      </c>
      <c r="D399" s="53">
        <v>7171573</v>
      </c>
      <c r="E399" s="52">
        <v>45393</v>
      </c>
      <c r="F399" s="51">
        <v>895.66</v>
      </c>
      <c r="G399" s="50" t="s">
        <v>91</v>
      </c>
      <c r="H399" s="49" t="str">
        <f t="shared" si="12"/>
        <v>A</v>
      </c>
      <c r="I399" s="48" t="str">
        <f t="shared" si="13"/>
        <v>The Commissioner &amp; Chief Constable are satisfied the spend represents VFM in accordance with the requirements of Category A</v>
      </c>
    </row>
    <row r="400" spans="1:13" x14ac:dyDescent="0.2">
      <c r="A400" s="56" t="s">
        <v>8</v>
      </c>
      <c r="B400" s="55" t="s">
        <v>9</v>
      </c>
      <c r="C400" s="54" t="s">
        <v>149</v>
      </c>
      <c r="D400" s="53">
        <v>7171232</v>
      </c>
      <c r="E400" s="52">
        <v>45384</v>
      </c>
      <c r="F400" s="51">
        <v>886.72</v>
      </c>
      <c r="G400" s="50" t="s">
        <v>138</v>
      </c>
      <c r="H400" s="49" t="str">
        <f t="shared" si="12"/>
        <v>A</v>
      </c>
      <c r="I400" s="48" t="str">
        <f t="shared" si="13"/>
        <v>The Commissioner &amp; Chief Constable are satisfied the spend represents VFM in accordance with the requirements of Category A</v>
      </c>
    </row>
    <row r="401" spans="1:13" x14ac:dyDescent="0.2">
      <c r="A401" s="56" t="s">
        <v>8</v>
      </c>
      <c r="B401" s="55" t="s">
        <v>9</v>
      </c>
      <c r="C401" s="54" t="s">
        <v>10</v>
      </c>
      <c r="D401" s="53">
        <v>7171239</v>
      </c>
      <c r="E401" s="52">
        <v>45386</v>
      </c>
      <c r="F401" s="51">
        <v>858</v>
      </c>
      <c r="G401" s="50" t="s">
        <v>22</v>
      </c>
      <c r="H401" s="49" t="str">
        <f t="shared" si="12"/>
        <v>A</v>
      </c>
      <c r="I401" s="48" t="str">
        <f t="shared" si="13"/>
        <v>The Commissioner &amp; Chief Constable are satisfied the spend represents VFM in accordance with the requirements of Category A</v>
      </c>
    </row>
    <row r="402" spans="1:13" x14ac:dyDescent="0.2">
      <c r="A402" s="56" t="s">
        <v>8</v>
      </c>
      <c r="B402" s="55" t="s">
        <v>9</v>
      </c>
      <c r="C402" s="54" t="s">
        <v>260</v>
      </c>
      <c r="D402" s="53">
        <v>7171946</v>
      </c>
      <c r="E402" s="52">
        <v>45405</v>
      </c>
      <c r="F402" s="51">
        <v>857.57999999999993</v>
      </c>
      <c r="G402" s="50" t="s">
        <v>261</v>
      </c>
      <c r="H402" s="49" t="str">
        <f t="shared" si="12"/>
        <v>A</v>
      </c>
      <c r="I402" s="48" t="str">
        <f t="shared" si="13"/>
        <v>The Commissioner &amp; Chief Constable are satisfied the spend represents VFM in accordance with the requirements of Category A</v>
      </c>
    </row>
    <row r="403" spans="1:13" x14ac:dyDescent="0.2">
      <c r="A403" s="56" t="s">
        <v>8</v>
      </c>
      <c r="B403" s="55" t="s">
        <v>9</v>
      </c>
      <c r="C403" s="54" t="s">
        <v>153</v>
      </c>
      <c r="D403" s="53">
        <v>7171828</v>
      </c>
      <c r="E403" s="52">
        <v>45400</v>
      </c>
      <c r="F403" s="51">
        <v>851</v>
      </c>
      <c r="G403" s="50" t="s">
        <v>38</v>
      </c>
      <c r="H403" s="49" t="str">
        <f t="shared" si="12"/>
        <v>A</v>
      </c>
      <c r="I403" s="48" t="str">
        <f t="shared" si="13"/>
        <v>The Commissioner &amp; Chief Constable are satisfied the spend represents VFM in accordance with the requirements of Category A</v>
      </c>
    </row>
    <row r="404" spans="1:13" x14ac:dyDescent="0.2">
      <c r="A404" s="56" t="s">
        <v>8</v>
      </c>
      <c r="B404" s="55" t="s">
        <v>9</v>
      </c>
      <c r="C404" s="54" t="s">
        <v>256</v>
      </c>
      <c r="D404" s="53">
        <v>7171972</v>
      </c>
      <c r="E404" s="52">
        <v>45411</v>
      </c>
      <c r="F404" s="51">
        <v>846.83</v>
      </c>
      <c r="G404" s="50" t="s">
        <v>155</v>
      </c>
      <c r="H404" s="49" t="str">
        <f t="shared" si="12"/>
        <v>A</v>
      </c>
      <c r="I404" s="48" t="str">
        <f t="shared" si="13"/>
        <v>The Commissioner &amp; Chief Constable are satisfied the spend represents VFM in accordance with the requirements of Category A</v>
      </c>
    </row>
    <row r="405" spans="1:13" x14ac:dyDescent="0.2">
      <c r="A405" s="56" t="s">
        <v>8</v>
      </c>
      <c r="B405" s="55" t="s">
        <v>9</v>
      </c>
      <c r="C405" s="54" t="s">
        <v>573</v>
      </c>
      <c r="D405" s="53">
        <v>7171968</v>
      </c>
      <c r="E405" s="52">
        <v>45405</v>
      </c>
      <c r="F405" s="51">
        <v>844.61</v>
      </c>
      <c r="G405" s="50" t="s">
        <v>155</v>
      </c>
      <c r="H405" s="49" t="str">
        <f t="shared" si="12"/>
        <v>A</v>
      </c>
      <c r="I405" s="48" t="str">
        <f t="shared" si="13"/>
        <v>The Commissioner &amp; Chief Constable are satisfied the spend represents VFM in accordance with the requirements of Category A</v>
      </c>
    </row>
    <row r="406" spans="1:13" x14ac:dyDescent="0.2">
      <c r="A406" s="56" t="s">
        <v>8</v>
      </c>
      <c r="B406" s="55" t="s">
        <v>9</v>
      </c>
      <c r="C406" s="54" t="s">
        <v>294</v>
      </c>
      <c r="D406" s="53">
        <v>7171420</v>
      </c>
      <c r="E406" s="52">
        <v>45390</v>
      </c>
      <c r="F406" s="51">
        <v>836.38</v>
      </c>
      <c r="G406" s="50" t="s">
        <v>131</v>
      </c>
      <c r="H406" s="49" t="str">
        <f t="shared" si="12"/>
        <v>A</v>
      </c>
      <c r="I406" s="48" t="str">
        <f t="shared" si="13"/>
        <v>The Commissioner &amp; Chief Constable are satisfied the spend represents VFM in accordance with the requirements of Category A</v>
      </c>
    </row>
    <row r="407" spans="1:13" x14ac:dyDescent="0.2">
      <c r="A407" s="56" t="s">
        <v>8</v>
      </c>
      <c r="B407" s="55" t="s">
        <v>9</v>
      </c>
      <c r="C407" s="54" t="s">
        <v>128</v>
      </c>
      <c r="D407" s="53">
        <v>7171638</v>
      </c>
      <c r="E407" s="52">
        <v>45394</v>
      </c>
      <c r="F407" s="51">
        <v>835</v>
      </c>
      <c r="G407" s="50" t="s">
        <v>131</v>
      </c>
      <c r="H407" s="49" t="str">
        <f t="shared" si="12"/>
        <v>A</v>
      </c>
      <c r="I407" s="48" t="str">
        <f t="shared" si="13"/>
        <v>The Commissioner &amp; Chief Constable are satisfied the spend represents VFM in accordance with the requirements of Category A</v>
      </c>
    </row>
    <row r="408" spans="1:13" x14ac:dyDescent="0.2">
      <c r="A408" s="56" t="s">
        <v>8</v>
      </c>
      <c r="B408" s="55" t="s">
        <v>9</v>
      </c>
      <c r="C408" s="54" t="s">
        <v>74</v>
      </c>
      <c r="D408" s="53">
        <v>7172025</v>
      </c>
      <c r="E408" s="52">
        <v>45405</v>
      </c>
      <c r="F408" s="51">
        <v>834</v>
      </c>
      <c r="G408" s="50" t="s">
        <v>148</v>
      </c>
      <c r="H408" s="49" t="str">
        <f t="shared" si="12"/>
        <v>A</v>
      </c>
      <c r="I408" s="48" t="str">
        <f t="shared" si="13"/>
        <v>The Commissioner &amp; Chief Constable are satisfied the spend represents VFM in accordance with the requirements of Category A</v>
      </c>
    </row>
    <row r="409" spans="1:13" x14ac:dyDescent="0.2">
      <c r="A409" s="56" t="s">
        <v>8</v>
      </c>
      <c r="B409" s="55" t="s">
        <v>9</v>
      </c>
      <c r="C409" s="54" t="s">
        <v>479</v>
      </c>
      <c r="D409" s="53">
        <v>7171610</v>
      </c>
      <c r="E409" s="52">
        <v>45394</v>
      </c>
      <c r="F409" s="51">
        <v>833</v>
      </c>
      <c r="G409" s="50" t="s">
        <v>75</v>
      </c>
      <c r="H409" s="49" t="str">
        <f t="shared" si="12"/>
        <v>A</v>
      </c>
      <c r="I409" s="48" t="str">
        <f t="shared" si="13"/>
        <v>The Commissioner &amp; Chief Constable are satisfied the spend represents VFM in accordance with the requirements of Category A</v>
      </c>
    </row>
    <row r="410" spans="1:13" x14ac:dyDescent="0.2">
      <c r="A410" s="56" t="s">
        <v>8</v>
      </c>
      <c r="B410" s="55" t="s">
        <v>9</v>
      </c>
      <c r="C410" s="54" t="s">
        <v>181</v>
      </c>
      <c r="D410" s="53">
        <v>7169832</v>
      </c>
      <c r="E410" s="52">
        <v>45392</v>
      </c>
      <c r="F410" s="51">
        <v>829</v>
      </c>
      <c r="G410" s="50" t="s">
        <v>182</v>
      </c>
      <c r="H410" s="49" t="str">
        <f t="shared" si="12"/>
        <v>A</v>
      </c>
      <c r="I410" s="48" t="str">
        <f t="shared" si="13"/>
        <v>The Commissioner &amp; Chief Constable are satisfied the spend represents VFM in accordance with the requirements of Category A</v>
      </c>
    </row>
    <row r="411" spans="1:13" x14ac:dyDescent="0.2">
      <c r="A411" s="56" t="s">
        <v>8</v>
      </c>
      <c r="B411" s="55" t="s">
        <v>9</v>
      </c>
      <c r="C411" s="54" t="s">
        <v>269</v>
      </c>
      <c r="D411" s="53">
        <v>7171558</v>
      </c>
      <c r="E411" s="52">
        <v>45392</v>
      </c>
      <c r="F411" s="51">
        <v>825.5</v>
      </c>
      <c r="G411" s="50" t="s">
        <v>177</v>
      </c>
      <c r="H411" s="49" t="str">
        <f t="shared" si="12"/>
        <v>A</v>
      </c>
      <c r="I411" s="48" t="str">
        <f t="shared" si="13"/>
        <v>The Commissioner &amp; Chief Constable are satisfied the spend represents VFM in accordance with the requirements of Category A</v>
      </c>
    </row>
    <row r="412" spans="1:13" s="42" customFormat="1" x14ac:dyDescent="0.2">
      <c r="A412" s="56" t="s">
        <v>8</v>
      </c>
      <c r="B412" s="55" t="s">
        <v>9</v>
      </c>
      <c r="C412" s="54" t="s">
        <v>272</v>
      </c>
      <c r="D412" s="53">
        <v>7171504</v>
      </c>
      <c r="E412" s="52">
        <v>45391</v>
      </c>
      <c r="F412" s="51">
        <v>824</v>
      </c>
      <c r="G412" s="50" t="s">
        <v>106</v>
      </c>
      <c r="H412" s="49" t="str">
        <f t="shared" si="12"/>
        <v>A</v>
      </c>
      <c r="I412" s="48" t="str">
        <f t="shared" si="13"/>
        <v>The Commissioner &amp; Chief Constable are satisfied the spend represents VFM in accordance with the requirements of Category A</v>
      </c>
      <c r="L412" s="41"/>
      <c r="M412" s="41"/>
    </row>
    <row r="413" spans="1:13" s="42" customFormat="1" x14ac:dyDescent="0.2">
      <c r="A413" s="56" t="s">
        <v>8</v>
      </c>
      <c r="B413" s="55" t="s">
        <v>9</v>
      </c>
      <c r="C413" s="54" t="s">
        <v>279</v>
      </c>
      <c r="D413" s="53">
        <v>7171675</v>
      </c>
      <c r="E413" s="52">
        <v>45408</v>
      </c>
      <c r="F413" s="51">
        <v>820.04</v>
      </c>
      <c r="G413" s="50" t="s">
        <v>390</v>
      </c>
      <c r="H413" s="49" t="str">
        <f t="shared" si="12"/>
        <v>A</v>
      </c>
      <c r="I413" s="48" t="str">
        <f t="shared" si="13"/>
        <v>The Commissioner &amp; Chief Constable are satisfied the spend represents VFM in accordance with the requirements of Category A</v>
      </c>
      <c r="L413" s="41"/>
      <c r="M413" s="41"/>
    </row>
    <row r="414" spans="1:13" s="42" customFormat="1" x14ac:dyDescent="0.2">
      <c r="A414" s="56" t="s">
        <v>8</v>
      </c>
      <c r="B414" s="55" t="s">
        <v>9</v>
      </c>
      <c r="C414" s="57" t="s">
        <v>181</v>
      </c>
      <c r="D414" s="53">
        <v>7171683</v>
      </c>
      <c r="E414" s="52">
        <v>45397</v>
      </c>
      <c r="F414" s="51">
        <v>815</v>
      </c>
      <c r="G414" s="50" t="s">
        <v>106</v>
      </c>
      <c r="H414" s="49" t="str">
        <f t="shared" si="12"/>
        <v>A</v>
      </c>
      <c r="I414" s="48" t="str">
        <f t="shared" si="13"/>
        <v>The Commissioner &amp; Chief Constable are satisfied the spend represents VFM in accordance with the requirements of Category A</v>
      </c>
      <c r="L414" s="41"/>
      <c r="M414" s="41"/>
    </row>
    <row r="415" spans="1:13" s="42" customFormat="1" x14ac:dyDescent="0.2">
      <c r="A415" s="56" t="s">
        <v>8</v>
      </c>
      <c r="B415" s="55" t="s">
        <v>9</v>
      </c>
      <c r="C415" s="54" t="s">
        <v>600</v>
      </c>
      <c r="D415" s="53">
        <v>7172060</v>
      </c>
      <c r="E415" s="52">
        <v>45406</v>
      </c>
      <c r="F415" s="51">
        <v>813</v>
      </c>
      <c r="G415" s="50" t="s">
        <v>106</v>
      </c>
      <c r="H415" s="49" t="str">
        <f t="shared" si="12"/>
        <v>A</v>
      </c>
      <c r="I415" s="48" t="str">
        <f t="shared" si="13"/>
        <v>The Commissioner &amp; Chief Constable are satisfied the spend represents VFM in accordance with the requirements of Category A</v>
      </c>
      <c r="L415" s="41"/>
      <c r="M415" s="41"/>
    </row>
    <row r="416" spans="1:13" s="42" customFormat="1" x14ac:dyDescent="0.2">
      <c r="A416" s="56" t="s">
        <v>8</v>
      </c>
      <c r="B416" s="55" t="s">
        <v>9</v>
      </c>
      <c r="C416" s="54" t="s">
        <v>351</v>
      </c>
      <c r="D416" s="53">
        <v>7171529</v>
      </c>
      <c r="E416" s="52">
        <v>45400</v>
      </c>
      <c r="F416" s="51">
        <v>810</v>
      </c>
      <c r="G416" s="50" t="s">
        <v>151</v>
      </c>
      <c r="H416" s="49" t="str">
        <f t="shared" si="12"/>
        <v>A</v>
      </c>
      <c r="I416" s="48" t="str">
        <f t="shared" si="13"/>
        <v>The Commissioner &amp; Chief Constable are satisfied the spend represents VFM in accordance with the requirements of Category A</v>
      </c>
      <c r="L416" s="41"/>
      <c r="M416" s="41"/>
    </row>
    <row r="417" spans="1:13" s="42" customFormat="1" x14ac:dyDescent="0.2">
      <c r="A417" s="56" t="s">
        <v>8</v>
      </c>
      <c r="B417" s="55" t="s">
        <v>9</v>
      </c>
      <c r="C417" s="54" t="s">
        <v>312</v>
      </c>
      <c r="D417" s="53">
        <v>7171386</v>
      </c>
      <c r="E417" s="52">
        <v>45387</v>
      </c>
      <c r="F417" s="51">
        <v>809</v>
      </c>
      <c r="G417" s="50" t="s">
        <v>151</v>
      </c>
      <c r="H417" s="49" t="str">
        <f t="shared" si="12"/>
        <v>A</v>
      </c>
      <c r="I417" s="48" t="str">
        <f t="shared" si="13"/>
        <v>The Commissioner &amp; Chief Constable are satisfied the spend represents VFM in accordance with the requirements of Category A</v>
      </c>
      <c r="L417" s="41"/>
      <c r="M417" s="41"/>
    </row>
    <row r="418" spans="1:13" s="42" customFormat="1" x14ac:dyDescent="0.2">
      <c r="A418" s="56" t="s">
        <v>8</v>
      </c>
      <c r="B418" s="55" t="s">
        <v>9</v>
      </c>
      <c r="C418" s="54" t="s">
        <v>334</v>
      </c>
      <c r="D418" s="53">
        <v>7171572</v>
      </c>
      <c r="E418" s="52">
        <v>45393</v>
      </c>
      <c r="F418" s="51">
        <v>808.45</v>
      </c>
      <c r="G418" s="50" t="s">
        <v>91</v>
      </c>
      <c r="H418" s="49" t="str">
        <f t="shared" si="12"/>
        <v>A</v>
      </c>
      <c r="I418" s="48" t="str">
        <f t="shared" si="13"/>
        <v>The Commissioner &amp; Chief Constable are satisfied the spend represents VFM in accordance with the requirements of Category A</v>
      </c>
      <c r="L418" s="41"/>
      <c r="M418" s="41"/>
    </row>
    <row r="419" spans="1:13" s="42" customFormat="1" x14ac:dyDescent="0.2">
      <c r="A419" s="56" t="s">
        <v>8</v>
      </c>
      <c r="B419" s="55" t="s">
        <v>9</v>
      </c>
      <c r="C419" s="54" t="s">
        <v>385</v>
      </c>
      <c r="D419" s="53">
        <v>7171456</v>
      </c>
      <c r="E419" s="52">
        <v>45390</v>
      </c>
      <c r="F419" s="51">
        <v>803.64</v>
      </c>
      <c r="G419" s="50" t="s">
        <v>112</v>
      </c>
      <c r="H419" s="49" t="str">
        <f t="shared" si="12"/>
        <v>A</v>
      </c>
      <c r="I419" s="48" t="str">
        <f t="shared" si="13"/>
        <v>The Commissioner &amp; Chief Constable are satisfied the spend represents VFM in accordance with the requirements of Category A</v>
      </c>
      <c r="L419" s="41"/>
      <c r="M419" s="41"/>
    </row>
    <row r="420" spans="1:13" s="42" customFormat="1" x14ac:dyDescent="0.2">
      <c r="A420" s="56" t="s">
        <v>8</v>
      </c>
      <c r="B420" s="55" t="s">
        <v>9</v>
      </c>
      <c r="C420" s="54" t="s">
        <v>124</v>
      </c>
      <c r="D420" s="53">
        <v>7172212</v>
      </c>
      <c r="E420" s="52">
        <v>45412</v>
      </c>
      <c r="F420" s="51">
        <v>803.6</v>
      </c>
      <c r="G420" s="50" t="s">
        <v>91</v>
      </c>
      <c r="H420" s="49" t="str">
        <f t="shared" si="12"/>
        <v>A</v>
      </c>
      <c r="I420" s="48" t="str">
        <f t="shared" si="13"/>
        <v>The Commissioner &amp; Chief Constable are satisfied the spend represents VFM in accordance with the requirements of Category A</v>
      </c>
      <c r="L420" s="41"/>
      <c r="M420" s="41"/>
    </row>
    <row r="421" spans="1:13" s="42" customFormat="1" x14ac:dyDescent="0.2">
      <c r="A421" s="56" t="s">
        <v>8</v>
      </c>
      <c r="B421" s="55" t="s">
        <v>9</v>
      </c>
      <c r="C421" s="57" t="s">
        <v>193</v>
      </c>
      <c r="D421" s="53">
        <v>7171902</v>
      </c>
      <c r="E421" s="52">
        <v>45401</v>
      </c>
      <c r="F421" s="51">
        <v>800</v>
      </c>
      <c r="G421" s="50" t="s">
        <v>22</v>
      </c>
      <c r="H421" s="49" t="str">
        <f t="shared" si="12"/>
        <v>A</v>
      </c>
      <c r="I421" s="48" t="str">
        <f t="shared" si="13"/>
        <v>The Commissioner &amp; Chief Constable are satisfied the spend represents VFM in accordance with the requirements of Category A</v>
      </c>
      <c r="L421" s="41"/>
      <c r="M421" s="41"/>
    </row>
    <row r="422" spans="1:13" s="42" customFormat="1" x14ac:dyDescent="0.2">
      <c r="A422" s="56" t="s">
        <v>8</v>
      </c>
      <c r="B422" s="55" t="s">
        <v>9</v>
      </c>
      <c r="C422" s="54" t="s">
        <v>294</v>
      </c>
      <c r="D422" s="53">
        <v>7171534</v>
      </c>
      <c r="E422" s="52">
        <v>45392</v>
      </c>
      <c r="F422" s="51">
        <v>794</v>
      </c>
      <c r="G422" s="50" t="s">
        <v>155</v>
      </c>
      <c r="H422" s="49" t="str">
        <f t="shared" si="12"/>
        <v>A</v>
      </c>
      <c r="I422" s="48" t="str">
        <f t="shared" si="13"/>
        <v>The Commissioner &amp; Chief Constable are satisfied the spend represents VFM in accordance with the requirements of Category A</v>
      </c>
      <c r="L422" s="41"/>
      <c r="M422" s="41"/>
    </row>
    <row r="423" spans="1:13" s="42" customFormat="1" x14ac:dyDescent="0.2">
      <c r="A423" s="56" t="s">
        <v>8</v>
      </c>
      <c r="B423" s="55" t="s">
        <v>9</v>
      </c>
      <c r="C423" s="54" t="s">
        <v>599</v>
      </c>
      <c r="D423" s="53">
        <v>7171733</v>
      </c>
      <c r="E423" s="52">
        <v>45397</v>
      </c>
      <c r="F423" s="51">
        <v>791</v>
      </c>
      <c r="G423" s="50" t="s">
        <v>131</v>
      </c>
      <c r="H423" s="49" t="str">
        <f t="shared" si="12"/>
        <v>A</v>
      </c>
      <c r="I423" s="48" t="str">
        <f t="shared" si="13"/>
        <v>The Commissioner &amp; Chief Constable are satisfied the spend represents VFM in accordance with the requirements of Category A</v>
      </c>
      <c r="L423" s="41"/>
      <c r="M423" s="41"/>
    </row>
    <row r="424" spans="1:13" s="42" customFormat="1" x14ac:dyDescent="0.2">
      <c r="A424" s="56" t="s">
        <v>8</v>
      </c>
      <c r="B424" s="55" t="s">
        <v>9</v>
      </c>
      <c r="C424" s="54" t="s">
        <v>346</v>
      </c>
      <c r="D424" s="53">
        <v>7171913</v>
      </c>
      <c r="E424" s="52">
        <v>45401</v>
      </c>
      <c r="F424" s="51">
        <v>777</v>
      </c>
      <c r="G424" s="50" t="s">
        <v>131</v>
      </c>
      <c r="H424" s="49" t="str">
        <f t="shared" si="12"/>
        <v>A</v>
      </c>
      <c r="I424" s="48" t="str">
        <f t="shared" si="13"/>
        <v>The Commissioner &amp; Chief Constable are satisfied the spend represents VFM in accordance with the requirements of Category A</v>
      </c>
      <c r="L424" s="41"/>
      <c r="M424" s="41"/>
    </row>
    <row r="425" spans="1:13" s="42" customFormat="1" x14ac:dyDescent="0.2">
      <c r="A425" s="56" t="s">
        <v>8</v>
      </c>
      <c r="B425" s="55" t="s">
        <v>9</v>
      </c>
      <c r="C425" s="54" t="s">
        <v>260</v>
      </c>
      <c r="D425" s="53">
        <v>7171881</v>
      </c>
      <c r="E425" s="52">
        <v>45401</v>
      </c>
      <c r="F425" s="51">
        <v>769.87</v>
      </c>
      <c r="G425" s="50" t="s">
        <v>261</v>
      </c>
      <c r="H425" s="49" t="str">
        <f t="shared" si="12"/>
        <v>A</v>
      </c>
      <c r="I425" s="48" t="str">
        <f t="shared" si="13"/>
        <v>The Commissioner &amp; Chief Constable are satisfied the spend represents VFM in accordance with the requirements of Category A</v>
      </c>
      <c r="L425" s="41"/>
      <c r="M425" s="41"/>
    </row>
    <row r="426" spans="1:13" s="42" customFormat="1" x14ac:dyDescent="0.2">
      <c r="A426" s="56" t="s">
        <v>8</v>
      </c>
      <c r="B426" s="55" t="s">
        <v>9</v>
      </c>
      <c r="C426" s="54" t="s">
        <v>90</v>
      </c>
      <c r="D426" s="53">
        <v>7171911</v>
      </c>
      <c r="E426" s="52">
        <v>45401</v>
      </c>
      <c r="F426" s="51">
        <v>768.56</v>
      </c>
      <c r="G426" s="50" t="s">
        <v>91</v>
      </c>
      <c r="H426" s="49" t="str">
        <f t="shared" si="12"/>
        <v>A</v>
      </c>
      <c r="I426" s="48" t="str">
        <f t="shared" si="13"/>
        <v>The Commissioner &amp; Chief Constable are satisfied the spend represents VFM in accordance with the requirements of Category A</v>
      </c>
      <c r="L426" s="41"/>
      <c r="M426" s="41"/>
    </row>
    <row r="427" spans="1:13" s="42" customFormat="1" x14ac:dyDescent="0.2">
      <c r="A427" s="56" t="s">
        <v>8</v>
      </c>
      <c r="B427" s="55" t="s">
        <v>9</v>
      </c>
      <c r="C427" s="54" t="s">
        <v>289</v>
      </c>
      <c r="D427" s="53">
        <v>7171882</v>
      </c>
      <c r="E427" s="52">
        <v>45401</v>
      </c>
      <c r="F427" s="51">
        <v>763.48</v>
      </c>
      <c r="G427" s="50" t="s">
        <v>131</v>
      </c>
      <c r="H427" s="49" t="str">
        <f t="shared" si="12"/>
        <v>A</v>
      </c>
      <c r="I427" s="48" t="str">
        <f t="shared" si="13"/>
        <v>The Commissioner &amp; Chief Constable are satisfied the spend represents VFM in accordance with the requirements of Category A</v>
      </c>
      <c r="L427" s="41"/>
      <c r="M427" s="41"/>
    </row>
    <row r="428" spans="1:13" s="42" customFormat="1" x14ac:dyDescent="0.2">
      <c r="A428" s="56" t="s">
        <v>8</v>
      </c>
      <c r="B428" s="55" t="s">
        <v>9</v>
      </c>
      <c r="C428" s="54" t="s">
        <v>103</v>
      </c>
      <c r="D428" s="53">
        <v>7172075</v>
      </c>
      <c r="E428" s="52">
        <v>45407</v>
      </c>
      <c r="F428" s="51">
        <v>760</v>
      </c>
      <c r="G428" s="50" t="s">
        <v>91</v>
      </c>
      <c r="H428" s="49" t="str">
        <f t="shared" si="12"/>
        <v>A</v>
      </c>
      <c r="I428" s="48" t="str">
        <f t="shared" si="13"/>
        <v>The Commissioner &amp; Chief Constable are satisfied the spend represents VFM in accordance with the requirements of Category A</v>
      </c>
      <c r="L428" s="41"/>
      <c r="M428" s="41"/>
    </row>
    <row r="429" spans="1:13" s="42" customFormat="1" x14ac:dyDescent="0.2">
      <c r="A429" s="56" t="s">
        <v>8</v>
      </c>
      <c r="B429" s="55" t="s">
        <v>9</v>
      </c>
      <c r="C429" s="54" t="s">
        <v>514</v>
      </c>
      <c r="D429" s="53">
        <v>7171838</v>
      </c>
      <c r="E429" s="52">
        <v>45400</v>
      </c>
      <c r="F429" s="51">
        <v>752.7</v>
      </c>
      <c r="G429" s="50" t="s">
        <v>151</v>
      </c>
      <c r="H429" s="49" t="str">
        <f t="shared" si="12"/>
        <v>A</v>
      </c>
      <c r="I429" s="48" t="str">
        <f t="shared" si="13"/>
        <v>The Commissioner &amp; Chief Constable are satisfied the spend represents VFM in accordance with the requirements of Category A</v>
      </c>
      <c r="L429" s="41"/>
      <c r="M429" s="41"/>
    </row>
    <row r="430" spans="1:13" s="42" customFormat="1" x14ac:dyDescent="0.2">
      <c r="A430" s="56" t="s">
        <v>8</v>
      </c>
      <c r="B430" s="55" t="s">
        <v>9</v>
      </c>
      <c r="C430" s="54" t="s">
        <v>223</v>
      </c>
      <c r="D430" s="53">
        <v>7171523</v>
      </c>
      <c r="E430" s="52">
        <v>45393</v>
      </c>
      <c r="F430" s="51">
        <v>750</v>
      </c>
      <c r="G430" s="50" t="s">
        <v>22</v>
      </c>
      <c r="H430" s="49" t="str">
        <f t="shared" si="12"/>
        <v>A</v>
      </c>
      <c r="I430" s="48" t="str">
        <f t="shared" si="13"/>
        <v>The Commissioner &amp; Chief Constable are satisfied the spend represents VFM in accordance with the requirements of Category A</v>
      </c>
      <c r="L430" s="41"/>
      <c r="M430" s="41"/>
    </row>
    <row r="431" spans="1:13" s="42" customFormat="1" x14ac:dyDescent="0.2">
      <c r="A431" s="56" t="s">
        <v>8</v>
      </c>
      <c r="B431" s="55" t="s">
        <v>9</v>
      </c>
      <c r="C431" s="54" t="s">
        <v>223</v>
      </c>
      <c r="D431" s="53">
        <v>7171793</v>
      </c>
      <c r="E431" s="52">
        <v>45400</v>
      </c>
      <c r="F431" s="51">
        <v>750</v>
      </c>
      <c r="G431" s="50" t="s">
        <v>22</v>
      </c>
      <c r="H431" s="49" t="str">
        <f t="shared" si="12"/>
        <v>A</v>
      </c>
      <c r="I431" s="48" t="str">
        <f t="shared" si="13"/>
        <v>The Commissioner &amp; Chief Constable are satisfied the spend represents VFM in accordance with the requirements of Category A</v>
      </c>
      <c r="L431" s="41"/>
      <c r="M431" s="41"/>
    </row>
    <row r="432" spans="1:13" s="42" customFormat="1" x14ac:dyDescent="0.2">
      <c r="A432" s="56" t="s">
        <v>8</v>
      </c>
      <c r="B432" s="55" t="s">
        <v>9</v>
      </c>
      <c r="C432" s="54" t="s">
        <v>222</v>
      </c>
      <c r="D432" s="53">
        <v>7171665</v>
      </c>
      <c r="E432" s="52">
        <v>45397</v>
      </c>
      <c r="F432" s="51">
        <v>749</v>
      </c>
      <c r="G432" s="50" t="s">
        <v>259</v>
      </c>
      <c r="H432" s="49" t="str">
        <f t="shared" si="12"/>
        <v>A</v>
      </c>
      <c r="I432" s="48" t="str">
        <f t="shared" si="13"/>
        <v>The Commissioner &amp; Chief Constable are satisfied the spend represents VFM in accordance with the requirements of Category A</v>
      </c>
      <c r="L432" s="41"/>
      <c r="M432" s="41"/>
    </row>
    <row r="433" spans="1:13" s="42" customFormat="1" x14ac:dyDescent="0.2">
      <c r="A433" s="56" t="s">
        <v>8</v>
      </c>
      <c r="B433" s="55" t="s">
        <v>9</v>
      </c>
      <c r="C433" s="54" t="s">
        <v>124</v>
      </c>
      <c r="D433" s="53">
        <v>7172239</v>
      </c>
      <c r="E433" s="52">
        <v>45412</v>
      </c>
      <c r="F433" s="51">
        <v>748.18</v>
      </c>
      <c r="G433" s="50" t="s">
        <v>112</v>
      </c>
      <c r="H433" s="49" t="str">
        <f t="shared" si="12"/>
        <v>A</v>
      </c>
      <c r="I433" s="48" t="str">
        <f t="shared" si="13"/>
        <v>The Commissioner &amp; Chief Constable are satisfied the spend represents VFM in accordance with the requirements of Category A</v>
      </c>
      <c r="L433" s="41"/>
      <c r="M433" s="41"/>
    </row>
    <row r="434" spans="1:13" s="42" customFormat="1" x14ac:dyDescent="0.2">
      <c r="A434" s="56" t="s">
        <v>8</v>
      </c>
      <c r="B434" s="55" t="s">
        <v>9</v>
      </c>
      <c r="C434" s="54" t="s">
        <v>334</v>
      </c>
      <c r="D434" s="53">
        <v>7171574</v>
      </c>
      <c r="E434" s="52">
        <v>45393</v>
      </c>
      <c r="F434" s="51">
        <v>739</v>
      </c>
      <c r="G434" s="50" t="s">
        <v>91</v>
      </c>
      <c r="H434" s="49" t="str">
        <f t="shared" si="12"/>
        <v>A</v>
      </c>
      <c r="I434" s="48" t="str">
        <f t="shared" si="13"/>
        <v>The Commissioner &amp; Chief Constable are satisfied the spend represents VFM in accordance with the requirements of Category A</v>
      </c>
      <c r="L434" s="41"/>
      <c r="M434" s="41"/>
    </row>
    <row r="435" spans="1:13" s="42" customFormat="1" x14ac:dyDescent="0.2">
      <c r="A435" s="56" t="s">
        <v>8</v>
      </c>
      <c r="B435" s="55" t="s">
        <v>9</v>
      </c>
      <c r="C435" s="54" t="s">
        <v>294</v>
      </c>
      <c r="D435" s="53">
        <v>7171827</v>
      </c>
      <c r="E435" s="52">
        <v>45400</v>
      </c>
      <c r="F435" s="51">
        <v>730.48</v>
      </c>
      <c r="G435" s="50" t="s">
        <v>155</v>
      </c>
      <c r="H435" s="49" t="str">
        <f t="shared" si="12"/>
        <v>A</v>
      </c>
      <c r="I435" s="48" t="str">
        <f t="shared" si="13"/>
        <v>The Commissioner &amp; Chief Constable are satisfied the spend represents VFM in accordance with the requirements of Category A</v>
      </c>
      <c r="L435" s="41"/>
      <c r="M435" s="41"/>
    </row>
    <row r="436" spans="1:13" s="42" customFormat="1" x14ac:dyDescent="0.2">
      <c r="A436" s="56" t="s">
        <v>8</v>
      </c>
      <c r="B436" s="55" t="s">
        <v>9</v>
      </c>
      <c r="C436" s="54" t="s">
        <v>181</v>
      </c>
      <c r="D436" s="53">
        <v>7172042</v>
      </c>
      <c r="E436" s="52">
        <v>45406</v>
      </c>
      <c r="F436" s="51">
        <v>729.56</v>
      </c>
      <c r="G436" s="50" t="s">
        <v>98</v>
      </c>
      <c r="H436" s="49" t="str">
        <f t="shared" si="12"/>
        <v>A</v>
      </c>
      <c r="I436" s="48" t="str">
        <f t="shared" si="13"/>
        <v>The Commissioner &amp; Chief Constable are satisfied the spend represents VFM in accordance with the requirements of Category A</v>
      </c>
      <c r="L436" s="41"/>
      <c r="M436" s="41"/>
    </row>
    <row r="437" spans="1:13" s="42" customFormat="1" x14ac:dyDescent="0.2">
      <c r="A437" s="56" t="s">
        <v>8</v>
      </c>
      <c r="B437" s="55" t="s">
        <v>9</v>
      </c>
      <c r="C437" s="54" t="s">
        <v>377</v>
      </c>
      <c r="D437" s="53">
        <v>7171079</v>
      </c>
      <c r="E437" s="52">
        <v>45385</v>
      </c>
      <c r="F437" s="51">
        <v>720</v>
      </c>
      <c r="G437" s="50" t="s">
        <v>376</v>
      </c>
      <c r="H437" s="49" t="str">
        <f t="shared" si="12"/>
        <v>A</v>
      </c>
      <c r="I437" s="48" t="str">
        <f t="shared" si="13"/>
        <v>The Commissioner &amp; Chief Constable are satisfied the spend represents VFM in accordance with the requirements of Category A</v>
      </c>
      <c r="L437" s="41"/>
      <c r="M437" s="41"/>
    </row>
    <row r="438" spans="1:13" s="42" customFormat="1" x14ac:dyDescent="0.2">
      <c r="A438" s="56" t="s">
        <v>8</v>
      </c>
      <c r="B438" s="55" t="s">
        <v>9</v>
      </c>
      <c r="C438" s="54" t="s">
        <v>107</v>
      </c>
      <c r="D438" s="53">
        <v>7171377</v>
      </c>
      <c r="E438" s="52">
        <v>45387</v>
      </c>
      <c r="F438" s="51">
        <v>717.84</v>
      </c>
      <c r="G438" s="50" t="s">
        <v>108</v>
      </c>
      <c r="H438" s="49" t="str">
        <f t="shared" si="12"/>
        <v>A</v>
      </c>
      <c r="I438" s="48" t="str">
        <f t="shared" si="13"/>
        <v>The Commissioner &amp; Chief Constable are satisfied the spend represents VFM in accordance with the requirements of Category A</v>
      </c>
      <c r="L438" s="41"/>
      <c r="M438" s="41"/>
    </row>
    <row r="439" spans="1:13" s="42" customFormat="1" x14ac:dyDescent="0.2">
      <c r="A439" s="56" t="s">
        <v>8</v>
      </c>
      <c r="B439" s="55" t="s">
        <v>9</v>
      </c>
      <c r="C439" s="54" t="s">
        <v>598</v>
      </c>
      <c r="D439" s="53">
        <v>7171821</v>
      </c>
      <c r="E439" s="52">
        <v>45400</v>
      </c>
      <c r="F439" s="51">
        <v>716.58</v>
      </c>
      <c r="G439" s="50" t="s">
        <v>106</v>
      </c>
      <c r="H439" s="49" t="str">
        <f t="shared" si="12"/>
        <v>A</v>
      </c>
      <c r="I439" s="48" t="str">
        <f t="shared" si="13"/>
        <v>The Commissioner &amp; Chief Constable are satisfied the spend represents VFM in accordance with the requirements of Category A</v>
      </c>
      <c r="L439" s="41"/>
      <c r="M439" s="41"/>
    </row>
    <row r="440" spans="1:13" s="42" customFormat="1" x14ac:dyDescent="0.2">
      <c r="A440" s="56" t="s">
        <v>8</v>
      </c>
      <c r="B440" s="55" t="s">
        <v>9</v>
      </c>
      <c r="C440" s="54" t="s">
        <v>284</v>
      </c>
      <c r="D440" s="53">
        <v>7171874</v>
      </c>
      <c r="E440" s="52">
        <v>45400</v>
      </c>
      <c r="F440" s="51">
        <v>708.65</v>
      </c>
      <c r="G440" s="50" t="s">
        <v>131</v>
      </c>
      <c r="H440" s="49" t="str">
        <f t="shared" si="12"/>
        <v>A</v>
      </c>
      <c r="I440" s="48" t="str">
        <f t="shared" si="13"/>
        <v>The Commissioner &amp; Chief Constable are satisfied the spend represents VFM in accordance with the requirements of Category A</v>
      </c>
      <c r="L440" s="41"/>
      <c r="M440" s="41"/>
    </row>
    <row r="441" spans="1:13" s="42" customFormat="1" x14ac:dyDescent="0.2">
      <c r="A441" s="56" t="s">
        <v>8</v>
      </c>
      <c r="B441" s="55" t="s">
        <v>9</v>
      </c>
      <c r="C441" s="54" t="s">
        <v>260</v>
      </c>
      <c r="D441" s="53">
        <v>7171627</v>
      </c>
      <c r="E441" s="52">
        <v>45394</v>
      </c>
      <c r="F441" s="51">
        <v>696.11</v>
      </c>
      <c r="G441" s="50" t="s">
        <v>261</v>
      </c>
      <c r="H441" s="49" t="str">
        <f t="shared" si="12"/>
        <v>A</v>
      </c>
      <c r="I441" s="48" t="str">
        <f t="shared" si="13"/>
        <v>The Commissioner &amp; Chief Constable are satisfied the spend represents VFM in accordance with the requirements of Category A</v>
      </c>
      <c r="L441" s="41"/>
      <c r="M441" s="41"/>
    </row>
    <row r="442" spans="1:13" s="42" customFormat="1" x14ac:dyDescent="0.2">
      <c r="A442" s="56" t="s">
        <v>8</v>
      </c>
      <c r="B442" s="55" t="s">
        <v>9</v>
      </c>
      <c r="C442" s="54" t="s">
        <v>502</v>
      </c>
      <c r="D442" s="53">
        <v>7171542</v>
      </c>
      <c r="E442" s="52">
        <v>45392</v>
      </c>
      <c r="F442" s="51">
        <v>675.4</v>
      </c>
      <c r="G442" s="50" t="s">
        <v>131</v>
      </c>
      <c r="H442" s="49" t="str">
        <f t="shared" si="12"/>
        <v>A</v>
      </c>
      <c r="I442" s="48" t="str">
        <f t="shared" si="13"/>
        <v>The Commissioner &amp; Chief Constable are satisfied the spend represents VFM in accordance with the requirements of Category A</v>
      </c>
      <c r="L442" s="41"/>
      <c r="M442" s="41"/>
    </row>
    <row r="443" spans="1:13" s="42" customFormat="1" x14ac:dyDescent="0.2">
      <c r="A443" s="56" t="s">
        <v>8</v>
      </c>
      <c r="B443" s="55" t="s">
        <v>9</v>
      </c>
      <c r="C443" s="54" t="s">
        <v>328</v>
      </c>
      <c r="D443" s="53">
        <v>7171715</v>
      </c>
      <c r="E443" s="52">
        <v>45397</v>
      </c>
      <c r="F443" s="51">
        <v>675</v>
      </c>
      <c r="G443" s="50" t="s">
        <v>131</v>
      </c>
      <c r="H443" s="49" t="str">
        <f t="shared" si="12"/>
        <v>A</v>
      </c>
      <c r="I443" s="48" t="str">
        <f t="shared" si="13"/>
        <v>The Commissioner &amp; Chief Constable are satisfied the spend represents VFM in accordance with the requirements of Category A</v>
      </c>
      <c r="L443" s="41"/>
      <c r="M443" s="41"/>
    </row>
    <row r="444" spans="1:13" s="42" customFormat="1" x14ac:dyDescent="0.2">
      <c r="A444" s="56" t="s">
        <v>8</v>
      </c>
      <c r="B444" s="55" t="s">
        <v>9</v>
      </c>
      <c r="C444" s="54" t="s">
        <v>329</v>
      </c>
      <c r="D444" s="53">
        <v>7171852</v>
      </c>
      <c r="E444" s="52">
        <v>45400</v>
      </c>
      <c r="F444" s="51">
        <v>673.5</v>
      </c>
      <c r="G444" s="50" t="s">
        <v>330</v>
      </c>
      <c r="H444" s="49" t="str">
        <f t="shared" si="12"/>
        <v>A</v>
      </c>
      <c r="I444" s="48" t="str">
        <f t="shared" si="13"/>
        <v>The Commissioner &amp; Chief Constable are satisfied the spend represents VFM in accordance with the requirements of Category A</v>
      </c>
      <c r="L444" s="41"/>
      <c r="M444" s="41"/>
    </row>
    <row r="445" spans="1:13" s="42" customFormat="1" x14ac:dyDescent="0.2">
      <c r="A445" s="56" t="s">
        <v>8</v>
      </c>
      <c r="B445" s="55" t="s">
        <v>9</v>
      </c>
      <c r="C445" s="54" t="s">
        <v>157</v>
      </c>
      <c r="D445" s="53">
        <v>7171594</v>
      </c>
      <c r="E445" s="52">
        <v>45397</v>
      </c>
      <c r="F445" s="51">
        <v>673.28</v>
      </c>
      <c r="G445" s="50" t="s">
        <v>43</v>
      </c>
      <c r="H445" s="49" t="str">
        <f t="shared" si="12"/>
        <v>A</v>
      </c>
      <c r="I445" s="48" t="str">
        <f t="shared" si="13"/>
        <v>The Commissioner &amp; Chief Constable are satisfied the spend represents VFM in accordance with the requirements of Category A</v>
      </c>
      <c r="L445" s="41"/>
      <c r="M445" s="41"/>
    </row>
    <row r="446" spans="1:13" s="42" customFormat="1" x14ac:dyDescent="0.2">
      <c r="A446" s="56" t="s">
        <v>8</v>
      </c>
      <c r="B446" s="55" t="s">
        <v>9</v>
      </c>
      <c r="C446" s="54" t="s">
        <v>103</v>
      </c>
      <c r="D446" s="53">
        <v>7171508</v>
      </c>
      <c r="E446" s="52">
        <v>45391</v>
      </c>
      <c r="F446" s="51">
        <v>670</v>
      </c>
      <c r="G446" s="50" t="s">
        <v>131</v>
      </c>
      <c r="H446" s="49" t="str">
        <f t="shared" si="12"/>
        <v>A</v>
      </c>
      <c r="I446" s="48" t="str">
        <f t="shared" si="13"/>
        <v>The Commissioner &amp; Chief Constable are satisfied the spend represents VFM in accordance with the requirements of Category A</v>
      </c>
      <c r="L446" s="41"/>
      <c r="M446" s="41"/>
    </row>
    <row r="447" spans="1:13" s="42" customFormat="1" x14ac:dyDescent="0.2">
      <c r="A447" s="56" t="s">
        <v>8</v>
      </c>
      <c r="B447" s="55" t="s">
        <v>9</v>
      </c>
      <c r="C447" s="54" t="s">
        <v>124</v>
      </c>
      <c r="D447" s="53">
        <v>7172000</v>
      </c>
      <c r="E447" s="52">
        <v>45405</v>
      </c>
      <c r="F447" s="51">
        <v>664.84</v>
      </c>
      <c r="G447" s="50" t="s">
        <v>376</v>
      </c>
      <c r="H447" s="49" t="str">
        <f t="shared" si="12"/>
        <v>A</v>
      </c>
      <c r="I447" s="48" t="str">
        <f t="shared" si="13"/>
        <v>The Commissioner &amp; Chief Constable are satisfied the spend represents VFM in accordance with the requirements of Category A</v>
      </c>
      <c r="L447" s="41"/>
      <c r="M447" s="41"/>
    </row>
    <row r="448" spans="1:13" s="42" customFormat="1" x14ac:dyDescent="0.2">
      <c r="A448" s="56" t="s">
        <v>8</v>
      </c>
      <c r="B448" s="55" t="s">
        <v>9</v>
      </c>
      <c r="C448" s="54" t="s">
        <v>260</v>
      </c>
      <c r="D448" s="53">
        <v>7171628</v>
      </c>
      <c r="E448" s="52">
        <v>45394</v>
      </c>
      <c r="F448" s="51">
        <v>661.42</v>
      </c>
      <c r="G448" s="50" t="s">
        <v>261</v>
      </c>
      <c r="H448" s="49" t="str">
        <f t="shared" si="12"/>
        <v>A</v>
      </c>
      <c r="I448" s="48" t="str">
        <f t="shared" si="13"/>
        <v>The Commissioner &amp; Chief Constable are satisfied the spend represents VFM in accordance with the requirements of Category A</v>
      </c>
      <c r="L448" s="41"/>
      <c r="M448" s="41"/>
    </row>
    <row r="449" spans="1:13" s="42" customFormat="1" x14ac:dyDescent="0.2">
      <c r="A449" s="56" t="s">
        <v>8</v>
      </c>
      <c r="B449" s="55" t="s">
        <v>9</v>
      </c>
      <c r="C449" s="54" t="s">
        <v>400</v>
      </c>
      <c r="D449" s="53">
        <v>7172119</v>
      </c>
      <c r="E449" s="52">
        <v>45408</v>
      </c>
      <c r="F449" s="51">
        <v>651</v>
      </c>
      <c r="G449" s="50" t="s">
        <v>298</v>
      </c>
      <c r="H449" s="49" t="str">
        <f t="shared" si="12"/>
        <v>A</v>
      </c>
      <c r="I449" s="48" t="str">
        <f t="shared" si="13"/>
        <v>The Commissioner &amp; Chief Constable are satisfied the spend represents VFM in accordance with the requirements of Category A</v>
      </c>
      <c r="L449" s="41"/>
      <c r="M449" s="41"/>
    </row>
    <row r="450" spans="1:13" s="42" customFormat="1" x14ac:dyDescent="0.2">
      <c r="A450" s="56" t="s">
        <v>8</v>
      </c>
      <c r="B450" s="55" t="s">
        <v>9</v>
      </c>
      <c r="C450" s="54" t="s">
        <v>402</v>
      </c>
      <c r="D450" s="53">
        <v>7172030</v>
      </c>
      <c r="E450" s="52">
        <v>45411</v>
      </c>
      <c r="F450" s="51">
        <v>650</v>
      </c>
      <c r="G450" s="50" t="s">
        <v>106</v>
      </c>
      <c r="H450" s="49" t="str">
        <f t="shared" ref="H450:H513" si="14">IF(F450&gt;25000,"C",IF(F450&gt;1000,"B","A"))</f>
        <v>A</v>
      </c>
      <c r="I450" s="48" t="str">
        <f t="shared" ref="I450:I513" si="15">VLOOKUP(H450,$L$2:$M$4,2,FALSE)</f>
        <v>The Commissioner &amp; Chief Constable are satisfied the spend represents VFM in accordance with the requirements of Category A</v>
      </c>
      <c r="L450" s="41"/>
      <c r="M450" s="41"/>
    </row>
    <row r="451" spans="1:13" s="42" customFormat="1" x14ac:dyDescent="0.2">
      <c r="A451" s="56" t="s">
        <v>8</v>
      </c>
      <c r="B451" s="55" t="s">
        <v>9</v>
      </c>
      <c r="C451" s="54" t="s">
        <v>329</v>
      </c>
      <c r="D451" s="53">
        <v>7171856</v>
      </c>
      <c r="E451" s="52">
        <v>45400</v>
      </c>
      <c r="F451" s="51">
        <v>649.5</v>
      </c>
      <c r="G451" s="50" t="s">
        <v>330</v>
      </c>
      <c r="H451" s="49" t="str">
        <f t="shared" si="14"/>
        <v>A</v>
      </c>
      <c r="I451" s="48" t="str">
        <f t="shared" si="15"/>
        <v>The Commissioner &amp; Chief Constable are satisfied the spend represents VFM in accordance with the requirements of Category A</v>
      </c>
      <c r="L451" s="41"/>
      <c r="M451" s="41"/>
    </row>
    <row r="452" spans="1:13" s="42" customFormat="1" x14ac:dyDescent="0.2">
      <c r="A452" s="56" t="s">
        <v>8</v>
      </c>
      <c r="B452" s="55" t="s">
        <v>9</v>
      </c>
      <c r="C452" s="54" t="s">
        <v>202</v>
      </c>
      <c r="D452" s="53">
        <v>7171980</v>
      </c>
      <c r="E452" s="52">
        <v>45404</v>
      </c>
      <c r="F452" s="51">
        <v>639</v>
      </c>
      <c r="G452" s="50" t="s">
        <v>203</v>
      </c>
      <c r="H452" s="49" t="str">
        <f t="shared" si="14"/>
        <v>A</v>
      </c>
      <c r="I452" s="48" t="str">
        <f t="shared" si="15"/>
        <v>The Commissioner &amp; Chief Constable are satisfied the spend represents VFM in accordance with the requirements of Category A</v>
      </c>
      <c r="L452" s="41"/>
      <c r="M452" s="41"/>
    </row>
    <row r="453" spans="1:13" s="42" customFormat="1" x14ac:dyDescent="0.2">
      <c r="A453" s="56" t="s">
        <v>8</v>
      </c>
      <c r="B453" s="55" t="s">
        <v>9</v>
      </c>
      <c r="C453" s="54" t="s">
        <v>181</v>
      </c>
      <c r="D453" s="53">
        <v>7171684</v>
      </c>
      <c r="E453" s="52">
        <v>45397</v>
      </c>
      <c r="F453" s="51">
        <v>634</v>
      </c>
      <c r="G453" s="50" t="s">
        <v>106</v>
      </c>
      <c r="H453" s="49" t="str">
        <f t="shared" si="14"/>
        <v>A</v>
      </c>
      <c r="I453" s="48" t="str">
        <f t="shared" si="15"/>
        <v>The Commissioner &amp; Chief Constable are satisfied the spend represents VFM in accordance with the requirements of Category A</v>
      </c>
      <c r="L453" s="41"/>
      <c r="M453" s="41"/>
    </row>
    <row r="454" spans="1:13" s="42" customFormat="1" x14ac:dyDescent="0.2">
      <c r="A454" s="56" t="s">
        <v>8</v>
      </c>
      <c r="B454" s="55" t="s">
        <v>9</v>
      </c>
      <c r="C454" s="54" t="s">
        <v>181</v>
      </c>
      <c r="D454" s="53">
        <v>7171686</v>
      </c>
      <c r="E454" s="52">
        <v>45397</v>
      </c>
      <c r="F454" s="51">
        <v>634</v>
      </c>
      <c r="G454" s="50" t="s">
        <v>106</v>
      </c>
      <c r="H454" s="49" t="str">
        <f t="shared" si="14"/>
        <v>A</v>
      </c>
      <c r="I454" s="48" t="str">
        <f t="shared" si="15"/>
        <v>The Commissioner &amp; Chief Constable are satisfied the spend represents VFM in accordance with the requirements of Category A</v>
      </c>
      <c r="L454" s="41"/>
      <c r="M454" s="41"/>
    </row>
    <row r="455" spans="1:13" s="42" customFormat="1" x14ac:dyDescent="0.2">
      <c r="A455" s="56" t="s">
        <v>8</v>
      </c>
      <c r="B455" s="55" t="s">
        <v>9</v>
      </c>
      <c r="C455" s="54" t="s">
        <v>334</v>
      </c>
      <c r="D455" s="53">
        <v>7171312</v>
      </c>
      <c r="E455" s="52">
        <v>45390</v>
      </c>
      <c r="F455" s="51">
        <v>630</v>
      </c>
      <c r="G455" s="50" t="s">
        <v>91</v>
      </c>
      <c r="H455" s="49" t="str">
        <f t="shared" si="14"/>
        <v>A</v>
      </c>
      <c r="I455" s="48" t="str">
        <f t="shared" si="15"/>
        <v>The Commissioner &amp; Chief Constable are satisfied the spend represents VFM in accordance with the requirements of Category A</v>
      </c>
      <c r="L455" s="41"/>
      <c r="M455" s="41"/>
    </row>
    <row r="456" spans="1:13" s="42" customFormat="1" x14ac:dyDescent="0.2">
      <c r="A456" s="56" t="s">
        <v>8</v>
      </c>
      <c r="B456" s="55" t="s">
        <v>9</v>
      </c>
      <c r="C456" s="54" t="s">
        <v>256</v>
      </c>
      <c r="D456" s="53">
        <v>7171723</v>
      </c>
      <c r="E456" s="52">
        <v>45397</v>
      </c>
      <c r="F456" s="51">
        <v>626.32000000000005</v>
      </c>
      <c r="G456" s="50" t="s">
        <v>155</v>
      </c>
      <c r="H456" s="49" t="str">
        <f t="shared" si="14"/>
        <v>A</v>
      </c>
      <c r="I456" s="48" t="str">
        <f t="shared" si="15"/>
        <v>The Commissioner &amp; Chief Constable are satisfied the spend represents VFM in accordance with the requirements of Category A</v>
      </c>
      <c r="L456" s="41"/>
      <c r="M456" s="41"/>
    </row>
    <row r="457" spans="1:13" s="42" customFormat="1" x14ac:dyDescent="0.2">
      <c r="A457" s="56" t="s">
        <v>8</v>
      </c>
      <c r="B457" s="55" t="s">
        <v>9</v>
      </c>
      <c r="C457" s="54" t="s">
        <v>74</v>
      </c>
      <c r="D457" s="53">
        <v>7171693</v>
      </c>
      <c r="E457" s="52">
        <v>45397</v>
      </c>
      <c r="F457" s="51">
        <v>625.72</v>
      </c>
      <c r="G457" s="50" t="s">
        <v>75</v>
      </c>
      <c r="H457" s="49" t="str">
        <f t="shared" si="14"/>
        <v>A</v>
      </c>
      <c r="I457" s="48" t="str">
        <f t="shared" si="15"/>
        <v>The Commissioner &amp; Chief Constable are satisfied the spend represents VFM in accordance with the requirements of Category A</v>
      </c>
      <c r="L457" s="41"/>
      <c r="M457" s="41"/>
    </row>
    <row r="458" spans="1:13" s="42" customFormat="1" x14ac:dyDescent="0.2">
      <c r="A458" s="56" t="s">
        <v>8</v>
      </c>
      <c r="B458" s="55" t="s">
        <v>9</v>
      </c>
      <c r="C458" s="54" t="s">
        <v>223</v>
      </c>
      <c r="D458" s="53">
        <v>7171796</v>
      </c>
      <c r="E458" s="52">
        <v>45400</v>
      </c>
      <c r="F458" s="51">
        <v>625</v>
      </c>
      <c r="G458" s="50" t="s">
        <v>22</v>
      </c>
      <c r="H458" s="49" t="str">
        <f t="shared" si="14"/>
        <v>A</v>
      </c>
      <c r="I458" s="48" t="str">
        <f t="shared" si="15"/>
        <v>The Commissioner &amp; Chief Constable are satisfied the spend represents VFM in accordance with the requirements of Category A</v>
      </c>
      <c r="L458" s="41"/>
      <c r="M458" s="41"/>
    </row>
    <row r="459" spans="1:13" x14ac:dyDescent="0.2">
      <c r="A459" s="56" t="s">
        <v>8</v>
      </c>
      <c r="B459" s="55" t="s">
        <v>9</v>
      </c>
      <c r="C459" s="54" t="s">
        <v>223</v>
      </c>
      <c r="D459" s="53">
        <v>7171797</v>
      </c>
      <c r="E459" s="52">
        <v>45400</v>
      </c>
      <c r="F459" s="51">
        <v>625</v>
      </c>
      <c r="G459" s="50" t="s">
        <v>22</v>
      </c>
      <c r="H459" s="49" t="str">
        <f t="shared" si="14"/>
        <v>A</v>
      </c>
      <c r="I459" s="48" t="str">
        <f t="shared" si="15"/>
        <v>The Commissioner &amp; Chief Constable are satisfied the spend represents VFM in accordance with the requirements of Category A</v>
      </c>
    </row>
    <row r="460" spans="1:13" x14ac:dyDescent="0.2">
      <c r="A460" s="56" t="s">
        <v>8</v>
      </c>
      <c r="B460" s="55" t="s">
        <v>9</v>
      </c>
      <c r="C460" s="54" t="s">
        <v>411</v>
      </c>
      <c r="D460" s="53">
        <v>7172222</v>
      </c>
      <c r="E460" s="52">
        <v>45412</v>
      </c>
      <c r="F460" s="51">
        <v>617.85</v>
      </c>
      <c r="G460" s="50" t="s">
        <v>156</v>
      </c>
      <c r="H460" s="49" t="str">
        <f t="shared" si="14"/>
        <v>A</v>
      </c>
      <c r="I460" s="48" t="str">
        <f t="shared" si="15"/>
        <v>The Commissioner &amp; Chief Constable are satisfied the spend represents VFM in accordance with the requirements of Category A</v>
      </c>
    </row>
    <row r="461" spans="1:13" x14ac:dyDescent="0.2">
      <c r="A461" s="56" t="s">
        <v>8</v>
      </c>
      <c r="B461" s="55" t="s">
        <v>9</v>
      </c>
      <c r="C461" s="54" t="s">
        <v>426</v>
      </c>
      <c r="D461" s="53">
        <v>7171979</v>
      </c>
      <c r="E461" s="52">
        <v>45405</v>
      </c>
      <c r="F461" s="51">
        <v>613.92000000000007</v>
      </c>
      <c r="G461" s="50" t="s">
        <v>80</v>
      </c>
      <c r="H461" s="49" t="str">
        <f t="shared" si="14"/>
        <v>A</v>
      </c>
      <c r="I461" s="48" t="str">
        <f t="shared" si="15"/>
        <v>The Commissioner &amp; Chief Constable are satisfied the spend represents VFM in accordance with the requirements of Category A</v>
      </c>
    </row>
    <row r="462" spans="1:13" x14ac:dyDescent="0.2">
      <c r="A462" s="56" t="s">
        <v>8</v>
      </c>
      <c r="B462" s="55" t="s">
        <v>9</v>
      </c>
      <c r="C462" s="54" t="s">
        <v>305</v>
      </c>
      <c r="D462" s="53">
        <v>7171267</v>
      </c>
      <c r="E462" s="52">
        <v>45384</v>
      </c>
      <c r="F462" s="51">
        <v>603.86</v>
      </c>
      <c r="G462" s="50" t="s">
        <v>306</v>
      </c>
      <c r="H462" s="49" t="str">
        <f t="shared" si="14"/>
        <v>A</v>
      </c>
      <c r="I462" s="48" t="str">
        <f t="shared" si="15"/>
        <v>The Commissioner &amp; Chief Constable are satisfied the spend represents VFM in accordance with the requirements of Category A</v>
      </c>
    </row>
    <row r="463" spans="1:13" x14ac:dyDescent="0.2">
      <c r="A463" s="56" t="s">
        <v>8</v>
      </c>
      <c r="B463" s="55" t="s">
        <v>9</v>
      </c>
      <c r="C463" s="54" t="s">
        <v>202</v>
      </c>
      <c r="D463" s="53">
        <v>7171467</v>
      </c>
      <c r="E463" s="52">
        <v>45390</v>
      </c>
      <c r="F463" s="51">
        <v>602.6</v>
      </c>
      <c r="G463" s="50" t="s">
        <v>203</v>
      </c>
      <c r="H463" s="49" t="str">
        <f t="shared" si="14"/>
        <v>A</v>
      </c>
      <c r="I463" s="48" t="str">
        <f t="shared" si="15"/>
        <v>The Commissioner &amp; Chief Constable are satisfied the spend represents VFM in accordance with the requirements of Category A</v>
      </c>
    </row>
    <row r="464" spans="1:13" x14ac:dyDescent="0.2">
      <c r="A464" s="56" t="s">
        <v>8</v>
      </c>
      <c r="B464" s="55" t="s">
        <v>9</v>
      </c>
      <c r="C464" s="54" t="s">
        <v>597</v>
      </c>
      <c r="D464" s="53">
        <v>7172091</v>
      </c>
      <c r="E464" s="52">
        <v>45408</v>
      </c>
      <c r="F464" s="51">
        <v>600.6</v>
      </c>
      <c r="G464" s="50" t="s">
        <v>131</v>
      </c>
      <c r="H464" s="49" t="str">
        <f t="shared" si="14"/>
        <v>A</v>
      </c>
      <c r="I464" s="48" t="str">
        <f t="shared" si="15"/>
        <v>The Commissioner &amp; Chief Constable are satisfied the spend represents VFM in accordance with the requirements of Category A</v>
      </c>
    </row>
    <row r="465" spans="1:9" x14ac:dyDescent="0.2">
      <c r="A465" s="56" t="s">
        <v>8</v>
      </c>
      <c r="B465" s="55" t="s">
        <v>9</v>
      </c>
      <c r="C465" s="54" t="s">
        <v>48</v>
      </c>
      <c r="D465" s="53">
        <v>7172102</v>
      </c>
      <c r="E465" s="52">
        <v>45408</v>
      </c>
      <c r="F465" s="51">
        <v>600</v>
      </c>
      <c r="G465" s="50" t="s">
        <v>194</v>
      </c>
      <c r="H465" s="49" t="str">
        <f t="shared" si="14"/>
        <v>A</v>
      </c>
      <c r="I465" s="48" t="str">
        <f t="shared" si="15"/>
        <v>The Commissioner &amp; Chief Constable are satisfied the spend represents VFM in accordance with the requirements of Category A</v>
      </c>
    </row>
    <row r="466" spans="1:9" x14ac:dyDescent="0.2">
      <c r="A466" s="56" t="s">
        <v>8</v>
      </c>
      <c r="B466" s="55" t="s">
        <v>9</v>
      </c>
      <c r="C466" s="54" t="s">
        <v>135</v>
      </c>
      <c r="D466" s="53">
        <v>7172014</v>
      </c>
      <c r="E466" s="52">
        <v>45411</v>
      </c>
      <c r="F466" s="51">
        <v>600</v>
      </c>
      <c r="G466" s="50" t="s">
        <v>40</v>
      </c>
      <c r="H466" s="49" t="str">
        <f t="shared" si="14"/>
        <v>A</v>
      </c>
      <c r="I466" s="48" t="str">
        <f t="shared" si="15"/>
        <v>The Commissioner &amp; Chief Constable are satisfied the spend represents VFM in accordance with the requirements of Category A</v>
      </c>
    </row>
    <row r="467" spans="1:9" x14ac:dyDescent="0.2">
      <c r="A467" s="56" t="s">
        <v>8</v>
      </c>
      <c r="B467" s="55" t="s">
        <v>9</v>
      </c>
      <c r="C467" s="54" t="s">
        <v>333</v>
      </c>
      <c r="D467" s="53">
        <v>7172263</v>
      </c>
      <c r="E467" s="52">
        <v>45412</v>
      </c>
      <c r="F467" s="51">
        <v>600</v>
      </c>
      <c r="G467" s="50" t="s">
        <v>39</v>
      </c>
      <c r="H467" s="49" t="str">
        <f t="shared" si="14"/>
        <v>A</v>
      </c>
      <c r="I467" s="48" t="str">
        <f t="shared" si="15"/>
        <v>The Commissioner &amp; Chief Constable are satisfied the spend represents VFM in accordance with the requirements of Category A</v>
      </c>
    </row>
    <row r="468" spans="1:9" x14ac:dyDescent="0.2">
      <c r="A468" s="56" t="s">
        <v>8</v>
      </c>
      <c r="B468" s="55" t="s">
        <v>9</v>
      </c>
      <c r="C468" s="54" t="s">
        <v>596</v>
      </c>
      <c r="D468" s="53">
        <v>7171848</v>
      </c>
      <c r="E468" s="52">
        <v>45400</v>
      </c>
      <c r="F468" s="51">
        <v>599</v>
      </c>
      <c r="G468" s="50" t="s">
        <v>80</v>
      </c>
      <c r="H468" s="49" t="str">
        <f t="shared" si="14"/>
        <v>A</v>
      </c>
      <c r="I468" s="48" t="str">
        <f t="shared" si="15"/>
        <v>The Commissioner &amp; Chief Constable are satisfied the spend represents VFM in accordance with the requirements of Category A</v>
      </c>
    </row>
    <row r="469" spans="1:9" x14ac:dyDescent="0.2">
      <c r="A469" s="56" t="s">
        <v>8</v>
      </c>
      <c r="B469" s="55" t="s">
        <v>9</v>
      </c>
      <c r="C469" s="54" t="s">
        <v>342</v>
      </c>
      <c r="D469" s="53">
        <v>7171451</v>
      </c>
      <c r="E469" s="52">
        <v>45390</v>
      </c>
      <c r="F469" s="51">
        <v>598</v>
      </c>
      <c r="G469" s="50" t="s">
        <v>38</v>
      </c>
      <c r="H469" s="49" t="str">
        <f t="shared" si="14"/>
        <v>A</v>
      </c>
      <c r="I469" s="48" t="str">
        <f t="shared" si="15"/>
        <v>The Commissioner &amp; Chief Constable are satisfied the spend represents VFM in accordance with the requirements of Category A</v>
      </c>
    </row>
    <row r="470" spans="1:9" x14ac:dyDescent="0.2">
      <c r="A470" s="56" t="s">
        <v>8</v>
      </c>
      <c r="B470" s="55" t="s">
        <v>9</v>
      </c>
      <c r="C470" s="54" t="s">
        <v>433</v>
      </c>
      <c r="D470" s="53">
        <v>7171403</v>
      </c>
      <c r="E470" s="52">
        <v>45390</v>
      </c>
      <c r="F470" s="51">
        <v>594.24</v>
      </c>
      <c r="G470" s="50" t="s">
        <v>94</v>
      </c>
      <c r="H470" s="49" t="str">
        <f t="shared" si="14"/>
        <v>A</v>
      </c>
      <c r="I470" s="48" t="str">
        <f t="shared" si="15"/>
        <v>The Commissioner &amp; Chief Constable are satisfied the spend represents VFM in accordance with the requirements of Category A</v>
      </c>
    </row>
    <row r="471" spans="1:9" x14ac:dyDescent="0.2">
      <c r="A471" s="56" t="s">
        <v>8</v>
      </c>
      <c r="B471" s="55" t="s">
        <v>9</v>
      </c>
      <c r="C471" s="54" t="s">
        <v>595</v>
      </c>
      <c r="D471" s="53">
        <v>7171875</v>
      </c>
      <c r="E471" s="52">
        <v>45406</v>
      </c>
      <c r="F471" s="51">
        <v>590</v>
      </c>
      <c r="G471" s="50" t="s">
        <v>106</v>
      </c>
      <c r="H471" s="49" t="str">
        <f t="shared" si="14"/>
        <v>A</v>
      </c>
      <c r="I471" s="48" t="str">
        <f t="shared" si="15"/>
        <v>The Commissioner &amp; Chief Constable are satisfied the spend represents VFM in accordance with the requirements of Category A</v>
      </c>
    </row>
    <row r="472" spans="1:9" x14ac:dyDescent="0.2">
      <c r="A472" s="56" t="s">
        <v>8</v>
      </c>
      <c r="B472" s="55" t="s">
        <v>9</v>
      </c>
      <c r="C472" s="54" t="s">
        <v>113</v>
      </c>
      <c r="D472" s="53">
        <v>7171692</v>
      </c>
      <c r="E472" s="52">
        <v>45397</v>
      </c>
      <c r="F472" s="51">
        <v>588.23</v>
      </c>
      <c r="G472" s="50" t="s">
        <v>114</v>
      </c>
      <c r="H472" s="49" t="str">
        <f t="shared" si="14"/>
        <v>A</v>
      </c>
      <c r="I472" s="48" t="str">
        <f t="shared" si="15"/>
        <v>The Commissioner &amp; Chief Constable are satisfied the spend represents VFM in accordance with the requirements of Category A</v>
      </c>
    </row>
    <row r="473" spans="1:9" x14ac:dyDescent="0.2">
      <c r="A473" s="56" t="s">
        <v>8</v>
      </c>
      <c r="B473" s="55" t="s">
        <v>9</v>
      </c>
      <c r="C473" s="54" t="s">
        <v>348</v>
      </c>
      <c r="D473" s="53">
        <v>7171618</v>
      </c>
      <c r="E473" s="52">
        <v>45394</v>
      </c>
      <c r="F473" s="51">
        <v>565.44000000000005</v>
      </c>
      <c r="G473" s="50" t="s">
        <v>131</v>
      </c>
      <c r="H473" s="49" t="str">
        <f t="shared" si="14"/>
        <v>A</v>
      </c>
      <c r="I473" s="48" t="str">
        <f t="shared" si="15"/>
        <v>The Commissioner &amp; Chief Constable are satisfied the spend represents VFM in accordance with the requirements of Category A</v>
      </c>
    </row>
    <row r="474" spans="1:9" x14ac:dyDescent="0.2">
      <c r="A474" s="56" t="s">
        <v>8</v>
      </c>
      <c r="B474" s="55" t="s">
        <v>9</v>
      </c>
      <c r="C474" s="54" t="s">
        <v>213</v>
      </c>
      <c r="D474" s="53">
        <v>7172013</v>
      </c>
      <c r="E474" s="52">
        <v>45405</v>
      </c>
      <c r="F474" s="51">
        <v>548.5</v>
      </c>
      <c r="G474" s="50" t="s">
        <v>131</v>
      </c>
      <c r="H474" s="49" t="str">
        <f t="shared" si="14"/>
        <v>A</v>
      </c>
      <c r="I474" s="48" t="str">
        <f t="shared" si="15"/>
        <v>The Commissioner &amp; Chief Constable are satisfied the spend represents VFM in accordance with the requirements of Category A</v>
      </c>
    </row>
    <row r="475" spans="1:9" x14ac:dyDescent="0.2">
      <c r="A475" s="56" t="s">
        <v>8</v>
      </c>
      <c r="B475" s="55" t="s">
        <v>9</v>
      </c>
      <c r="C475" s="54" t="s">
        <v>303</v>
      </c>
      <c r="D475" s="53">
        <v>7171990</v>
      </c>
      <c r="E475" s="52">
        <v>45411</v>
      </c>
      <c r="F475" s="51">
        <v>545</v>
      </c>
      <c r="G475" s="50" t="s">
        <v>91</v>
      </c>
      <c r="H475" s="49" t="str">
        <f t="shared" si="14"/>
        <v>A</v>
      </c>
      <c r="I475" s="48" t="str">
        <f t="shared" si="15"/>
        <v>The Commissioner &amp; Chief Constable are satisfied the spend represents VFM in accordance with the requirements of Category A</v>
      </c>
    </row>
    <row r="476" spans="1:9" x14ac:dyDescent="0.2">
      <c r="A476" s="56" t="s">
        <v>8</v>
      </c>
      <c r="B476" s="55" t="s">
        <v>9</v>
      </c>
      <c r="C476" s="54" t="s">
        <v>292</v>
      </c>
      <c r="D476" s="53">
        <v>7171452</v>
      </c>
      <c r="E476" s="52">
        <v>45390</v>
      </c>
      <c r="F476" s="51">
        <v>541.66</v>
      </c>
      <c r="G476" s="50" t="s">
        <v>84</v>
      </c>
      <c r="H476" s="49" t="str">
        <f t="shared" si="14"/>
        <v>A</v>
      </c>
      <c r="I476" s="48" t="str">
        <f t="shared" si="15"/>
        <v>The Commissioner &amp; Chief Constable are satisfied the spend represents VFM in accordance with the requirements of Category A</v>
      </c>
    </row>
    <row r="477" spans="1:9" x14ac:dyDescent="0.2">
      <c r="A477" s="56" t="s">
        <v>8</v>
      </c>
      <c r="B477" s="55" t="s">
        <v>9</v>
      </c>
      <c r="C477" s="54" t="s">
        <v>370</v>
      </c>
      <c r="D477" s="53">
        <v>7172090</v>
      </c>
      <c r="E477" s="52">
        <v>45407</v>
      </c>
      <c r="F477" s="51">
        <v>539</v>
      </c>
      <c r="G477" s="50" t="s">
        <v>151</v>
      </c>
      <c r="H477" s="49" t="str">
        <f t="shared" si="14"/>
        <v>A</v>
      </c>
      <c r="I477" s="48" t="str">
        <f t="shared" si="15"/>
        <v>The Commissioner &amp; Chief Constable are satisfied the spend represents VFM in accordance with the requirements of Category A</v>
      </c>
    </row>
    <row r="478" spans="1:9" x14ac:dyDescent="0.2">
      <c r="A478" s="56" t="s">
        <v>8</v>
      </c>
      <c r="B478" s="55" t="s">
        <v>9</v>
      </c>
      <c r="C478" s="54" t="s">
        <v>260</v>
      </c>
      <c r="D478" s="53">
        <v>7171626</v>
      </c>
      <c r="E478" s="52">
        <v>45394</v>
      </c>
      <c r="F478" s="51">
        <v>537</v>
      </c>
      <c r="G478" s="50" t="s">
        <v>155</v>
      </c>
      <c r="H478" s="49" t="str">
        <f t="shared" si="14"/>
        <v>A</v>
      </c>
      <c r="I478" s="48" t="str">
        <f t="shared" si="15"/>
        <v>The Commissioner &amp; Chief Constable are satisfied the spend represents VFM in accordance with the requirements of Category A</v>
      </c>
    </row>
    <row r="479" spans="1:9" x14ac:dyDescent="0.2">
      <c r="A479" s="56" t="s">
        <v>8</v>
      </c>
      <c r="B479" s="55" t="s">
        <v>9</v>
      </c>
      <c r="C479" s="54" t="s">
        <v>254</v>
      </c>
      <c r="D479" s="53">
        <v>7171641</v>
      </c>
      <c r="E479" s="52">
        <v>45394</v>
      </c>
      <c r="F479" s="51">
        <v>536</v>
      </c>
      <c r="G479" s="50" t="s">
        <v>255</v>
      </c>
      <c r="H479" s="49" t="str">
        <f t="shared" si="14"/>
        <v>A</v>
      </c>
      <c r="I479" s="48" t="str">
        <f t="shared" si="15"/>
        <v>The Commissioner &amp; Chief Constable are satisfied the spend represents VFM in accordance with the requirements of Category A</v>
      </c>
    </row>
    <row r="480" spans="1:9" x14ac:dyDescent="0.2">
      <c r="A480" s="56" t="s">
        <v>8</v>
      </c>
      <c r="B480" s="55" t="s">
        <v>9</v>
      </c>
      <c r="C480" s="54" t="s">
        <v>419</v>
      </c>
      <c r="D480" s="53">
        <v>7171865</v>
      </c>
      <c r="E480" s="52">
        <v>45401</v>
      </c>
      <c r="F480" s="51">
        <v>534.5</v>
      </c>
      <c r="G480" s="50" t="s">
        <v>22</v>
      </c>
      <c r="H480" s="49" t="str">
        <f t="shared" si="14"/>
        <v>A</v>
      </c>
      <c r="I480" s="48" t="str">
        <f t="shared" si="15"/>
        <v>The Commissioner &amp; Chief Constable are satisfied the spend represents VFM in accordance with the requirements of Category A</v>
      </c>
    </row>
    <row r="481" spans="1:9" x14ac:dyDescent="0.2">
      <c r="A481" s="56" t="s">
        <v>8</v>
      </c>
      <c r="B481" s="55" t="s">
        <v>9</v>
      </c>
      <c r="C481" s="54" t="s">
        <v>419</v>
      </c>
      <c r="D481" s="53">
        <v>7171417</v>
      </c>
      <c r="E481" s="52">
        <v>45390</v>
      </c>
      <c r="F481" s="51">
        <v>534.5</v>
      </c>
      <c r="G481" s="50" t="s">
        <v>22</v>
      </c>
      <c r="H481" s="49" t="str">
        <f t="shared" si="14"/>
        <v>A</v>
      </c>
      <c r="I481" s="48" t="str">
        <f t="shared" si="15"/>
        <v>The Commissioner &amp; Chief Constable are satisfied the spend represents VFM in accordance with the requirements of Category A</v>
      </c>
    </row>
    <row r="482" spans="1:9" x14ac:dyDescent="0.2">
      <c r="A482" s="56" t="s">
        <v>8</v>
      </c>
      <c r="B482" s="55" t="s">
        <v>9</v>
      </c>
      <c r="C482" s="54" t="s">
        <v>419</v>
      </c>
      <c r="D482" s="53">
        <v>7171866</v>
      </c>
      <c r="E482" s="52">
        <v>45401</v>
      </c>
      <c r="F482" s="51">
        <v>534.5</v>
      </c>
      <c r="G482" s="50" t="s">
        <v>22</v>
      </c>
      <c r="H482" s="49" t="str">
        <f t="shared" si="14"/>
        <v>A</v>
      </c>
      <c r="I482" s="48" t="str">
        <f t="shared" si="15"/>
        <v>The Commissioner &amp; Chief Constable are satisfied the spend represents VFM in accordance with the requirements of Category A</v>
      </c>
    </row>
    <row r="483" spans="1:9" x14ac:dyDescent="0.2">
      <c r="A483" s="56" t="s">
        <v>8</v>
      </c>
      <c r="B483" s="55" t="s">
        <v>9</v>
      </c>
      <c r="C483" s="54" t="s">
        <v>256</v>
      </c>
      <c r="D483" s="53">
        <v>7171702</v>
      </c>
      <c r="E483" s="52">
        <v>45397</v>
      </c>
      <c r="F483" s="51">
        <v>530</v>
      </c>
      <c r="G483" s="50" t="s">
        <v>155</v>
      </c>
      <c r="H483" s="49" t="str">
        <f t="shared" si="14"/>
        <v>A</v>
      </c>
      <c r="I483" s="48" t="str">
        <f t="shared" si="15"/>
        <v>The Commissioner &amp; Chief Constable are satisfied the spend represents VFM in accordance with the requirements of Category A</v>
      </c>
    </row>
    <row r="484" spans="1:9" x14ac:dyDescent="0.2">
      <c r="A484" s="56" t="s">
        <v>8</v>
      </c>
      <c r="B484" s="55" t="s">
        <v>9</v>
      </c>
      <c r="C484" s="54" t="s">
        <v>285</v>
      </c>
      <c r="D484" s="53">
        <v>7171330</v>
      </c>
      <c r="E484" s="52">
        <v>45386</v>
      </c>
      <c r="F484" s="51">
        <v>526.04</v>
      </c>
      <c r="G484" s="50" t="s">
        <v>94</v>
      </c>
      <c r="H484" s="49" t="str">
        <f t="shared" si="14"/>
        <v>A</v>
      </c>
      <c r="I484" s="48" t="str">
        <f t="shared" si="15"/>
        <v>The Commissioner &amp; Chief Constable are satisfied the spend represents VFM in accordance with the requirements of Category A</v>
      </c>
    </row>
    <row r="485" spans="1:9" x14ac:dyDescent="0.2">
      <c r="A485" s="56" t="s">
        <v>8</v>
      </c>
      <c r="B485" s="55" t="s">
        <v>9</v>
      </c>
      <c r="C485" s="54" t="s">
        <v>594</v>
      </c>
      <c r="D485" s="53">
        <v>7171394</v>
      </c>
      <c r="E485" s="52">
        <v>45387</v>
      </c>
      <c r="F485" s="51">
        <v>525</v>
      </c>
      <c r="G485" s="50" t="s">
        <v>106</v>
      </c>
      <c r="H485" s="49" t="str">
        <f t="shared" si="14"/>
        <v>A</v>
      </c>
      <c r="I485" s="48" t="str">
        <f t="shared" si="15"/>
        <v>The Commissioner &amp; Chief Constable are satisfied the spend represents VFM in accordance with the requirements of Category A</v>
      </c>
    </row>
    <row r="486" spans="1:9" x14ac:dyDescent="0.2">
      <c r="A486" s="56" t="s">
        <v>8</v>
      </c>
      <c r="B486" s="55" t="s">
        <v>9</v>
      </c>
      <c r="C486" s="54" t="s">
        <v>367</v>
      </c>
      <c r="D486" s="53">
        <v>7172121</v>
      </c>
      <c r="E486" s="52">
        <v>45408</v>
      </c>
      <c r="F486" s="51">
        <v>522.11</v>
      </c>
      <c r="G486" s="50" t="s">
        <v>259</v>
      </c>
      <c r="H486" s="49" t="str">
        <f t="shared" si="14"/>
        <v>A</v>
      </c>
      <c r="I486" s="48" t="str">
        <f t="shared" si="15"/>
        <v>The Commissioner &amp; Chief Constable are satisfied the spend represents VFM in accordance with the requirements of Category A</v>
      </c>
    </row>
    <row r="487" spans="1:9" x14ac:dyDescent="0.2">
      <c r="A487" s="56" t="s">
        <v>8</v>
      </c>
      <c r="B487" s="55" t="s">
        <v>9</v>
      </c>
      <c r="C487" s="54" t="s">
        <v>305</v>
      </c>
      <c r="D487" s="53">
        <v>7171787</v>
      </c>
      <c r="E487" s="52">
        <v>45401</v>
      </c>
      <c r="F487" s="51">
        <v>520</v>
      </c>
      <c r="G487" s="50" t="s">
        <v>306</v>
      </c>
      <c r="H487" s="49" t="str">
        <f t="shared" si="14"/>
        <v>A</v>
      </c>
      <c r="I487" s="48" t="str">
        <f t="shared" si="15"/>
        <v>The Commissioner &amp; Chief Constable are satisfied the spend represents VFM in accordance with the requirements of Category A</v>
      </c>
    </row>
    <row r="488" spans="1:9" x14ac:dyDescent="0.2">
      <c r="A488" s="56" t="s">
        <v>8</v>
      </c>
      <c r="B488" s="55" t="s">
        <v>9</v>
      </c>
      <c r="C488" s="54" t="s">
        <v>197</v>
      </c>
      <c r="D488" s="53">
        <v>7172257</v>
      </c>
      <c r="E488" s="52">
        <v>45412</v>
      </c>
      <c r="F488" s="51">
        <v>517.38</v>
      </c>
      <c r="G488" s="50" t="s">
        <v>155</v>
      </c>
      <c r="H488" s="49" t="str">
        <f t="shared" si="14"/>
        <v>A</v>
      </c>
      <c r="I488" s="48" t="str">
        <f t="shared" si="15"/>
        <v>The Commissioner &amp; Chief Constable are satisfied the spend represents VFM in accordance with the requirements of Category A</v>
      </c>
    </row>
    <row r="489" spans="1:9" x14ac:dyDescent="0.2">
      <c r="A489" s="56" t="s">
        <v>8</v>
      </c>
      <c r="B489" s="55" t="s">
        <v>9</v>
      </c>
      <c r="C489" s="54" t="s">
        <v>48</v>
      </c>
      <c r="D489" s="53">
        <v>7172117</v>
      </c>
      <c r="E489" s="52">
        <v>45408</v>
      </c>
      <c r="F489" s="51">
        <v>514.24</v>
      </c>
      <c r="G489" s="50" t="s">
        <v>58</v>
      </c>
      <c r="H489" s="49" t="str">
        <f t="shared" si="14"/>
        <v>A</v>
      </c>
      <c r="I489" s="48" t="str">
        <f t="shared" si="15"/>
        <v>The Commissioner &amp; Chief Constable are satisfied the spend represents VFM in accordance with the requirements of Category A</v>
      </c>
    </row>
    <row r="490" spans="1:9" x14ac:dyDescent="0.2">
      <c r="A490" s="56" t="s">
        <v>8</v>
      </c>
      <c r="B490" s="55" t="s">
        <v>9</v>
      </c>
      <c r="C490" s="54" t="s">
        <v>482</v>
      </c>
      <c r="D490" s="53">
        <v>7172155</v>
      </c>
      <c r="E490" s="52">
        <v>45412</v>
      </c>
      <c r="F490" s="51">
        <v>503.5</v>
      </c>
      <c r="G490" s="50" t="s">
        <v>106</v>
      </c>
      <c r="H490" s="49" t="str">
        <f t="shared" si="14"/>
        <v>A</v>
      </c>
      <c r="I490" s="48" t="str">
        <f t="shared" si="15"/>
        <v>The Commissioner &amp; Chief Constable are satisfied the spend represents VFM in accordance with the requirements of Category A</v>
      </c>
    </row>
    <row r="491" spans="1:9" x14ac:dyDescent="0.2">
      <c r="A491" s="56" t="s">
        <v>8</v>
      </c>
      <c r="B491" s="55" t="s">
        <v>9</v>
      </c>
      <c r="C491" s="54" t="s">
        <v>501</v>
      </c>
      <c r="D491" s="53">
        <v>7171280</v>
      </c>
      <c r="E491" s="52">
        <v>45385</v>
      </c>
      <c r="F491" s="51">
        <v>501.49</v>
      </c>
      <c r="G491" s="50" t="s">
        <v>94</v>
      </c>
      <c r="H491" s="49" t="str">
        <f t="shared" si="14"/>
        <v>A</v>
      </c>
      <c r="I491" s="48" t="str">
        <f t="shared" si="15"/>
        <v>The Commissioner &amp; Chief Constable are satisfied the spend represents VFM in accordance with the requirements of Category A</v>
      </c>
    </row>
    <row r="492" spans="1:9" x14ac:dyDescent="0.2">
      <c r="A492" s="56" t="s">
        <v>8</v>
      </c>
      <c r="B492" s="55" t="s">
        <v>9</v>
      </c>
      <c r="C492" s="54" t="s">
        <v>593</v>
      </c>
      <c r="D492" s="53">
        <v>7171939</v>
      </c>
      <c r="E492" s="52">
        <v>45411</v>
      </c>
      <c r="F492" s="51">
        <v>500</v>
      </c>
      <c r="G492" s="50" t="s">
        <v>251</v>
      </c>
      <c r="H492" s="49" t="str">
        <f t="shared" si="14"/>
        <v>A</v>
      </c>
      <c r="I492" s="48" t="str">
        <f t="shared" si="15"/>
        <v>The Commissioner &amp; Chief Constable are satisfied the spend represents VFM in accordance with the requirements of Category A</v>
      </c>
    </row>
    <row r="493" spans="1:9" x14ac:dyDescent="0.2">
      <c r="A493" s="56" t="s">
        <v>8</v>
      </c>
      <c r="B493" s="55" t="s">
        <v>9</v>
      </c>
      <c r="C493" s="54" t="s">
        <v>593</v>
      </c>
      <c r="D493" s="53">
        <v>7171387</v>
      </c>
      <c r="E493" s="52">
        <v>45404</v>
      </c>
      <c r="F493" s="51">
        <v>500</v>
      </c>
      <c r="G493" s="50" t="s">
        <v>251</v>
      </c>
      <c r="H493" s="49" t="str">
        <f t="shared" si="14"/>
        <v>A</v>
      </c>
      <c r="I493" s="48" t="str">
        <f t="shared" si="15"/>
        <v>The Commissioner &amp; Chief Constable are satisfied the spend represents VFM in accordance with the requirements of Category A</v>
      </c>
    </row>
    <row r="494" spans="1:9" x14ac:dyDescent="0.2">
      <c r="A494" s="56" t="s">
        <v>8</v>
      </c>
      <c r="B494" s="55" t="s">
        <v>9</v>
      </c>
      <c r="C494" s="54" t="s">
        <v>593</v>
      </c>
      <c r="D494" s="53">
        <v>7171382</v>
      </c>
      <c r="E494" s="52">
        <v>45404</v>
      </c>
      <c r="F494" s="51">
        <v>500</v>
      </c>
      <c r="G494" s="50" t="s">
        <v>251</v>
      </c>
      <c r="H494" s="49" t="str">
        <f t="shared" si="14"/>
        <v>A</v>
      </c>
      <c r="I494" s="48" t="str">
        <f t="shared" si="15"/>
        <v>The Commissioner &amp; Chief Constable are satisfied the spend represents VFM in accordance with the requirements of Category A</v>
      </c>
    </row>
    <row r="495" spans="1:9" x14ac:dyDescent="0.2">
      <c r="A495" s="56" t="s">
        <v>8</v>
      </c>
      <c r="B495" s="55" t="s">
        <v>9</v>
      </c>
      <c r="C495" s="54" t="s">
        <v>139</v>
      </c>
      <c r="D495" s="53">
        <v>7172195</v>
      </c>
      <c r="E495" s="52">
        <v>45411</v>
      </c>
      <c r="F495" s="51">
        <v>500</v>
      </c>
      <c r="G495" s="50" t="s">
        <v>39</v>
      </c>
      <c r="H495" s="49" t="str">
        <f t="shared" si="14"/>
        <v>A</v>
      </c>
      <c r="I495" s="48" t="str">
        <f t="shared" si="15"/>
        <v>The Commissioner &amp; Chief Constable are satisfied the spend represents VFM in accordance with the requirements of Category A</v>
      </c>
    </row>
    <row r="496" spans="1:9" x14ac:dyDescent="0.2">
      <c r="A496" s="56" t="s">
        <v>8</v>
      </c>
      <c r="B496" s="55" t="s">
        <v>9</v>
      </c>
      <c r="C496" s="54" t="s">
        <v>113</v>
      </c>
      <c r="D496" s="53">
        <v>7172008</v>
      </c>
      <c r="E496" s="52">
        <v>45405</v>
      </c>
      <c r="F496" s="51">
        <v>-1165.76</v>
      </c>
      <c r="G496" s="50" t="s">
        <v>114</v>
      </c>
      <c r="H496" s="49" t="str">
        <f t="shared" si="14"/>
        <v>A</v>
      </c>
      <c r="I496" s="48" t="str">
        <f t="shared" si="15"/>
        <v>The Commissioner &amp; Chief Constable are satisfied the spend represents VFM in accordance with the requirements of Category A</v>
      </c>
    </row>
    <row r="497" spans="1:9" x14ac:dyDescent="0.2">
      <c r="A497" s="56" t="s">
        <v>8</v>
      </c>
      <c r="B497" s="55" t="s">
        <v>9</v>
      </c>
      <c r="C497" s="54" t="s">
        <v>479</v>
      </c>
      <c r="D497" s="53">
        <v>7171604</v>
      </c>
      <c r="E497" s="52">
        <v>45394</v>
      </c>
      <c r="F497" s="51">
        <v>-11369.8</v>
      </c>
      <c r="G497" s="50" t="s">
        <v>218</v>
      </c>
      <c r="H497" s="49" t="str">
        <f t="shared" si="14"/>
        <v>A</v>
      </c>
      <c r="I497" s="48" t="str">
        <f t="shared" si="15"/>
        <v>The Commissioner &amp; Chief Constable are satisfied the spend represents VFM in accordance with the requirements of Category A</v>
      </c>
    </row>
    <row r="498" spans="1:9" x14ac:dyDescent="0.2">
      <c r="A498" s="56" t="s">
        <v>8</v>
      </c>
      <c r="B498" s="55" t="s">
        <v>9</v>
      </c>
      <c r="C498" s="54" t="s">
        <v>266</v>
      </c>
      <c r="D498" s="53">
        <v>7171507</v>
      </c>
      <c r="E498" s="52">
        <v>45391</v>
      </c>
      <c r="F498" s="51">
        <v>-22094.33</v>
      </c>
      <c r="G498" s="50" t="s">
        <v>84</v>
      </c>
      <c r="H498" s="49" t="str">
        <f t="shared" si="14"/>
        <v>A</v>
      </c>
      <c r="I498" s="48" t="str">
        <f t="shared" si="15"/>
        <v>The Commissioner &amp; Chief Constable are satisfied the spend represents VFM in accordance with the requirements of Category A</v>
      </c>
    </row>
    <row r="499" spans="1:9" x14ac:dyDescent="0.2">
      <c r="A499" s="56" t="s">
        <v>8</v>
      </c>
      <c r="B499" s="55" t="s">
        <v>9</v>
      </c>
      <c r="C499" s="54" t="s">
        <v>266</v>
      </c>
      <c r="D499" s="53">
        <v>7172145</v>
      </c>
      <c r="E499" s="52">
        <v>45411</v>
      </c>
      <c r="F499" s="51">
        <v>-22735.200000000001</v>
      </c>
      <c r="G499" s="50" t="s">
        <v>84</v>
      </c>
      <c r="H499" s="49" t="str">
        <f t="shared" si="14"/>
        <v>A</v>
      </c>
      <c r="I499" s="48" t="str">
        <f t="shared" si="15"/>
        <v>The Commissioner &amp; Chief Constable are satisfied the spend represents VFM in accordance with the requirements of Category A</v>
      </c>
    </row>
    <row r="500" spans="1:9" x14ac:dyDescent="0.2">
      <c r="A500" s="56" t="s">
        <v>8</v>
      </c>
      <c r="B500" s="55" t="s">
        <v>9</v>
      </c>
      <c r="C500" s="54" t="s">
        <v>74</v>
      </c>
      <c r="D500" s="53">
        <v>7171358</v>
      </c>
      <c r="E500" s="52">
        <v>45386</v>
      </c>
      <c r="F500" s="51">
        <v>-101621.67</v>
      </c>
      <c r="G500" s="50" t="s">
        <v>15</v>
      </c>
      <c r="H500" s="49" t="str">
        <f t="shared" si="14"/>
        <v>A</v>
      </c>
      <c r="I500" s="48" t="str">
        <f t="shared" si="15"/>
        <v>The Commissioner &amp; Chief Constable are satisfied the spend represents VFM in accordance with the requirements of Category A</v>
      </c>
    </row>
    <row r="501" spans="1:9" x14ac:dyDescent="0.2">
      <c r="A501" s="56" t="s">
        <v>8</v>
      </c>
      <c r="B501" s="55" t="s">
        <v>9</v>
      </c>
      <c r="C501" s="54" t="s">
        <v>74</v>
      </c>
      <c r="D501" s="53">
        <v>7171669</v>
      </c>
      <c r="E501" s="52">
        <v>45397</v>
      </c>
      <c r="F501" s="51">
        <v>-173376.9</v>
      </c>
      <c r="G501" s="50" t="s">
        <v>218</v>
      </c>
      <c r="H501" s="49" t="str">
        <f t="shared" si="14"/>
        <v>A</v>
      </c>
      <c r="I501" s="48" t="str">
        <f t="shared" si="15"/>
        <v>The Commissioner &amp; Chief Constable are satisfied the spend represents VFM in accordance with the requirements of Category A</v>
      </c>
    </row>
    <row r="502" spans="1:9" x14ac:dyDescent="0.2">
      <c r="A502" s="56" t="s">
        <v>8</v>
      </c>
      <c r="B502" s="55" t="s">
        <v>9</v>
      </c>
      <c r="C502" s="54"/>
      <c r="D502" s="53"/>
      <c r="E502" s="52"/>
      <c r="F502" s="51"/>
      <c r="G502" s="50"/>
      <c r="H502" s="49" t="str">
        <f t="shared" si="14"/>
        <v>A</v>
      </c>
      <c r="I502" s="48" t="str">
        <f t="shared" si="15"/>
        <v>The Commissioner &amp; Chief Constable are satisfied the spend represents VFM in accordance with the requirements of Category A</v>
      </c>
    </row>
    <row r="503" spans="1:9" x14ac:dyDescent="0.2">
      <c r="A503" s="56" t="s">
        <v>8</v>
      </c>
      <c r="B503" s="55" t="s">
        <v>9</v>
      </c>
      <c r="C503" s="54"/>
      <c r="D503" s="53"/>
      <c r="E503" s="52"/>
      <c r="F503" s="51"/>
      <c r="G503" s="50"/>
      <c r="H503" s="49" t="str">
        <f t="shared" si="14"/>
        <v>A</v>
      </c>
      <c r="I503" s="48" t="str">
        <f t="shared" si="15"/>
        <v>The Commissioner &amp; Chief Constable are satisfied the spend represents VFM in accordance with the requirements of Category A</v>
      </c>
    </row>
    <row r="504" spans="1:9" x14ac:dyDescent="0.2">
      <c r="A504" s="56" t="s">
        <v>8</v>
      </c>
      <c r="B504" s="55" t="s">
        <v>9</v>
      </c>
      <c r="C504" s="54"/>
      <c r="D504" s="53"/>
      <c r="E504" s="52"/>
      <c r="F504" s="51"/>
      <c r="G504" s="50"/>
      <c r="H504" s="49" t="str">
        <f t="shared" si="14"/>
        <v>A</v>
      </c>
      <c r="I504" s="48" t="str">
        <f t="shared" si="15"/>
        <v>The Commissioner &amp; Chief Constable are satisfied the spend represents VFM in accordance with the requirements of Category A</v>
      </c>
    </row>
    <row r="505" spans="1:9" x14ac:dyDescent="0.2">
      <c r="A505" s="56" t="s">
        <v>8</v>
      </c>
      <c r="B505" s="55" t="s">
        <v>9</v>
      </c>
      <c r="C505" s="54"/>
      <c r="D505" s="53"/>
      <c r="E505" s="52"/>
      <c r="F505" s="51"/>
      <c r="G505" s="50"/>
      <c r="H505" s="49" t="str">
        <f t="shared" si="14"/>
        <v>A</v>
      </c>
      <c r="I505" s="48" t="str">
        <f t="shared" si="15"/>
        <v>The Commissioner &amp; Chief Constable are satisfied the spend represents VFM in accordance with the requirements of Category A</v>
      </c>
    </row>
    <row r="506" spans="1:9" x14ac:dyDescent="0.2">
      <c r="A506" s="56" t="s">
        <v>8</v>
      </c>
      <c r="B506" s="55" t="s">
        <v>9</v>
      </c>
      <c r="C506" s="54"/>
      <c r="D506" s="53"/>
      <c r="E506" s="52"/>
      <c r="F506" s="51"/>
      <c r="G506" s="50"/>
      <c r="H506" s="49" t="str">
        <f t="shared" si="14"/>
        <v>A</v>
      </c>
      <c r="I506" s="48" t="str">
        <f t="shared" si="15"/>
        <v>The Commissioner &amp; Chief Constable are satisfied the spend represents VFM in accordance with the requirements of Category A</v>
      </c>
    </row>
    <row r="507" spans="1:9" x14ac:dyDescent="0.2">
      <c r="A507" s="56" t="s">
        <v>8</v>
      </c>
      <c r="B507" s="55" t="s">
        <v>9</v>
      </c>
      <c r="C507" s="54"/>
      <c r="D507" s="53"/>
      <c r="E507" s="52"/>
      <c r="F507" s="51"/>
      <c r="G507" s="50"/>
      <c r="H507" s="49" t="str">
        <f t="shared" si="14"/>
        <v>A</v>
      </c>
      <c r="I507" s="48" t="str">
        <f t="shared" si="15"/>
        <v>The Commissioner &amp; Chief Constable are satisfied the spend represents VFM in accordance with the requirements of Category A</v>
      </c>
    </row>
    <row r="508" spans="1:9" x14ac:dyDescent="0.2">
      <c r="A508" s="56" t="s">
        <v>8</v>
      </c>
      <c r="B508" s="55" t="s">
        <v>9</v>
      </c>
      <c r="C508" s="54"/>
      <c r="D508" s="53"/>
      <c r="E508" s="52"/>
      <c r="F508" s="51"/>
      <c r="G508" s="50"/>
      <c r="H508" s="49" t="str">
        <f t="shared" si="14"/>
        <v>A</v>
      </c>
      <c r="I508" s="48" t="str">
        <f t="shared" si="15"/>
        <v>The Commissioner &amp; Chief Constable are satisfied the spend represents VFM in accordance with the requirements of Category A</v>
      </c>
    </row>
    <row r="509" spans="1:9" x14ac:dyDescent="0.2">
      <c r="A509" s="56" t="s">
        <v>8</v>
      </c>
      <c r="B509" s="55" t="s">
        <v>9</v>
      </c>
      <c r="C509" s="54"/>
      <c r="D509" s="53"/>
      <c r="E509" s="52"/>
      <c r="F509" s="51"/>
      <c r="G509" s="50"/>
      <c r="H509" s="49" t="str">
        <f t="shared" si="14"/>
        <v>A</v>
      </c>
      <c r="I509" s="48" t="str">
        <f t="shared" si="15"/>
        <v>The Commissioner &amp; Chief Constable are satisfied the spend represents VFM in accordance with the requirements of Category A</v>
      </c>
    </row>
    <row r="510" spans="1:9" x14ac:dyDescent="0.2">
      <c r="A510" s="56" t="s">
        <v>8</v>
      </c>
      <c r="B510" s="55" t="s">
        <v>9</v>
      </c>
      <c r="C510" s="54"/>
      <c r="D510" s="53"/>
      <c r="E510" s="52"/>
      <c r="F510" s="51"/>
      <c r="G510" s="50"/>
      <c r="H510" s="49" t="str">
        <f t="shared" si="14"/>
        <v>A</v>
      </c>
      <c r="I510" s="48" t="str">
        <f t="shared" si="15"/>
        <v>The Commissioner &amp; Chief Constable are satisfied the spend represents VFM in accordance with the requirements of Category A</v>
      </c>
    </row>
    <row r="511" spans="1:9" x14ac:dyDescent="0.2">
      <c r="A511" s="56" t="s">
        <v>8</v>
      </c>
      <c r="B511" s="55" t="s">
        <v>9</v>
      </c>
      <c r="C511" s="54"/>
      <c r="D511" s="53"/>
      <c r="E511" s="52"/>
      <c r="F511" s="51"/>
      <c r="G511" s="50"/>
      <c r="H511" s="49" t="str">
        <f t="shared" si="14"/>
        <v>A</v>
      </c>
      <c r="I511" s="48" t="str">
        <f t="shared" si="15"/>
        <v>The Commissioner &amp; Chief Constable are satisfied the spend represents VFM in accordance with the requirements of Category A</v>
      </c>
    </row>
    <row r="512" spans="1:9" x14ac:dyDescent="0.2">
      <c r="A512" s="56" t="s">
        <v>8</v>
      </c>
      <c r="B512" s="55" t="s">
        <v>9</v>
      </c>
      <c r="C512" s="54"/>
      <c r="D512" s="53"/>
      <c r="E512" s="52"/>
      <c r="F512" s="51"/>
      <c r="G512" s="50"/>
      <c r="H512" s="49" t="str">
        <f t="shared" si="14"/>
        <v>A</v>
      </c>
      <c r="I512" s="48" t="str">
        <f t="shared" si="15"/>
        <v>The Commissioner &amp; Chief Constable are satisfied the spend represents VFM in accordance with the requirements of Category A</v>
      </c>
    </row>
    <row r="513" spans="1:9" x14ac:dyDescent="0.2">
      <c r="A513" s="56" t="s">
        <v>8</v>
      </c>
      <c r="B513" s="55" t="s">
        <v>9</v>
      </c>
      <c r="C513" s="54"/>
      <c r="D513" s="53"/>
      <c r="E513" s="52"/>
      <c r="F513" s="51"/>
      <c r="G513" s="50"/>
      <c r="H513" s="49" t="str">
        <f t="shared" si="14"/>
        <v>A</v>
      </c>
      <c r="I513" s="48" t="str">
        <f t="shared" si="15"/>
        <v>The Commissioner &amp; Chief Constable are satisfied the spend represents VFM in accordance with the requirements of Category A</v>
      </c>
    </row>
    <row r="514" spans="1:9" x14ac:dyDescent="0.2">
      <c r="A514" s="56" t="s">
        <v>8</v>
      </c>
      <c r="B514" s="55" t="s">
        <v>9</v>
      </c>
      <c r="C514" s="54"/>
      <c r="D514" s="53"/>
      <c r="E514" s="52"/>
      <c r="F514" s="51"/>
      <c r="G514" s="50"/>
      <c r="H514" s="49" t="str">
        <f t="shared" ref="H514:H522" si="16">IF(F514&gt;25000,"C",IF(F514&gt;1000,"B","A"))</f>
        <v>A</v>
      </c>
      <c r="I514" s="48" t="str">
        <f t="shared" ref="I514:I522" si="17">VLOOKUP(H514,$L$2:$M$4,2,FALSE)</f>
        <v>The Commissioner &amp; Chief Constable are satisfied the spend represents VFM in accordance with the requirements of Category A</v>
      </c>
    </row>
    <row r="515" spans="1:9" x14ac:dyDescent="0.2">
      <c r="A515" s="56" t="s">
        <v>8</v>
      </c>
      <c r="B515" s="55" t="s">
        <v>9</v>
      </c>
      <c r="C515" s="54"/>
      <c r="D515" s="53"/>
      <c r="E515" s="52"/>
      <c r="F515" s="51"/>
      <c r="G515" s="50"/>
      <c r="H515" s="49" t="str">
        <f t="shared" si="16"/>
        <v>A</v>
      </c>
      <c r="I515" s="48" t="str">
        <f t="shared" si="17"/>
        <v>The Commissioner &amp; Chief Constable are satisfied the spend represents VFM in accordance with the requirements of Category A</v>
      </c>
    </row>
    <row r="516" spans="1:9" x14ac:dyDescent="0.2">
      <c r="A516" s="56" t="s">
        <v>8</v>
      </c>
      <c r="B516" s="55" t="s">
        <v>9</v>
      </c>
      <c r="C516" s="54"/>
      <c r="D516" s="53"/>
      <c r="E516" s="52"/>
      <c r="F516" s="51"/>
      <c r="G516" s="50"/>
      <c r="H516" s="49" t="str">
        <f t="shared" si="16"/>
        <v>A</v>
      </c>
      <c r="I516" s="48" t="str">
        <f t="shared" si="17"/>
        <v>The Commissioner &amp; Chief Constable are satisfied the spend represents VFM in accordance with the requirements of Category A</v>
      </c>
    </row>
    <row r="517" spans="1:9" x14ac:dyDescent="0.2">
      <c r="A517" s="56" t="s">
        <v>8</v>
      </c>
      <c r="B517" s="55" t="s">
        <v>9</v>
      </c>
      <c r="C517" s="54"/>
      <c r="D517" s="53"/>
      <c r="E517" s="52"/>
      <c r="F517" s="51"/>
      <c r="G517" s="50"/>
      <c r="H517" s="49" t="str">
        <f t="shared" si="16"/>
        <v>A</v>
      </c>
      <c r="I517" s="48" t="str">
        <f t="shared" si="17"/>
        <v>The Commissioner &amp; Chief Constable are satisfied the spend represents VFM in accordance with the requirements of Category A</v>
      </c>
    </row>
    <row r="518" spans="1:9" x14ac:dyDescent="0.2">
      <c r="A518" s="56" t="s">
        <v>8</v>
      </c>
      <c r="B518" s="55" t="s">
        <v>9</v>
      </c>
      <c r="C518" s="54"/>
      <c r="D518" s="53"/>
      <c r="E518" s="52"/>
      <c r="F518" s="51"/>
      <c r="G518" s="50"/>
      <c r="H518" s="49" t="str">
        <f t="shared" si="16"/>
        <v>A</v>
      </c>
      <c r="I518" s="48" t="str">
        <f t="shared" si="17"/>
        <v>The Commissioner &amp; Chief Constable are satisfied the spend represents VFM in accordance with the requirements of Category A</v>
      </c>
    </row>
    <row r="519" spans="1:9" x14ac:dyDescent="0.2">
      <c r="A519" s="56" t="s">
        <v>8</v>
      </c>
      <c r="B519" s="55" t="s">
        <v>9</v>
      </c>
      <c r="C519" s="54"/>
      <c r="D519" s="53"/>
      <c r="E519" s="52"/>
      <c r="F519" s="51"/>
      <c r="G519" s="50"/>
      <c r="H519" s="49" t="str">
        <f t="shared" si="16"/>
        <v>A</v>
      </c>
      <c r="I519" s="48" t="str">
        <f t="shared" si="17"/>
        <v>The Commissioner &amp; Chief Constable are satisfied the spend represents VFM in accordance with the requirements of Category A</v>
      </c>
    </row>
    <row r="520" spans="1:9" x14ac:dyDescent="0.2">
      <c r="A520" s="56" t="s">
        <v>8</v>
      </c>
      <c r="B520" s="55" t="s">
        <v>9</v>
      </c>
      <c r="C520" s="54"/>
      <c r="D520" s="53"/>
      <c r="E520" s="52"/>
      <c r="F520" s="51"/>
      <c r="G520" s="50"/>
      <c r="H520" s="49" t="str">
        <f t="shared" si="16"/>
        <v>A</v>
      </c>
      <c r="I520" s="48" t="str">
        <f t="shared" si="17"/>
        <v>The Commissioner &amp; Chief Constable are satisfied the spend represents VFM in accordance with the requirements of Category A</v>
      </c>
    </row>
    <row r="521" spans="1:9" x14ac:dyDescent="0.2">
      <c r="A521" s="56" t="s">
        <v>8</v>
      </c>
      <c r="B521" s="55" t="s">
        <v>9</v>
      </c>
      <c r="C521" s="54"/>
      <c r="D521" s="53"/>
      <c r="E521" s="52"/>
      <c r="F521" s="51"/>
      <c r="G521" s="50"/>
      <c r="H521" s="49" t="str">
        <f t="shared" si="16"/>
        <v>A</v>
      </c>
      <c r="I521" s="48" t="str">
        <f t="shared" si="17"/>
        <v>The Commissioner &amp; Chief Constable are satisfied the spend represents VFM in accordance with the requirements of Category A</v>
      </c>
    </row>
    <row r="522" spans="1:9" x14ac:dyDescent="0.2">
      <c r="A522" s="56" t="s">
        <v>8</v>
      </c>
      <c r="B522" s="55" t="s">
        <v>9</v>
      </c>
      <c r="C522" s="54"/>
      <c r="D522" s="53"/>
      <c r="E522" s="52"/>
      <c r="F522" s="51"/>
      <c r="G522" s="50"/>
      <c r="H522" s="49" t="str">
        <f t="shared" si="16"/>
        <v>A</v>
      </c>
      <c r="I522" s="48" t="str">
        <f t="shared" si="17"/>
        <v>The Commissioner &amp; Chief Constable are satisfied the spend represents VFM in accordance with the requirements of Category A</v>
      </c>
    </row>
  </sheetData>
  <autoFilter ref="A1:M522" xr:uid="{BE9E9534-A0E5-4AD3-828F-595631460A30}"/>
  <pageMargins left="0.39370078740157483" right="0.39370078740157483" top="0.47244094488188981" bottom="0.39370078740157483" header="0.23622047244094491" footer="0.23622047244094491"/>
  <pageSetup paperSize="9" scale="75" fitToHeight="0" orientation="landscape" r:id="rId1"/>
  <headerFooter alignWithMargins="0">
    <oddHeader>&amp;C&amp;"Arial,Bold Italic"&amp;11&amp;U&amp;A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30AD-2125-4CD7-A07E-2BE99DA147C1}">
  <dimension ref="A1:M566"/>
  <sheetViews>
    <sheetView zoomScaleNormal="100" workbookViewId="0">
      <selection activeCell="B47" sqref="B47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20" style="71" customWidth="1"/>
    <col min="5" max="5" width="10.28515625" style="22" customWidth="1"/>
    <col min="6" max="6" width="11.140625" style="23" bestFit="1" customWidth="1"/>
    <col min="7" max="7" width="38.85546875" style="20" bestFit="1" customWidth="1"/>
    <col min="8" max="8" width="11.7109375" style="24" bestFit="1" customWidth="1"/>
    <col min="9" max="9" width="93.42578125" style="20" bestFit="1" customWidth="1"/>
    <col min="10" max="10" width="1.7109375" style="20" customWidth="1"/>
    <col min="11" max="11" width="16.140625" style="20" bestFit="1" customWidth="1"/>
    <col min="12" max="13" width="5.7109375" style="17" hidden="1" customWidth="1"/>
    <col min="14" max="14" width="5.7109375" style="17" bestFit="1" customWidth="1"/>
    <col min="15" max="16384" width="9.140625" style="17"/>
  </cols>
  <sheetData>
    <row r="1" spans="1:13" s="8" customFormat="1" ht="32.25" thickBot="1" x14ac:dyDescent="0.3">
      <c r="A1" s="1" t="s">
        <v>0</v>
      </c>
      <c r="B1" s="2" t="s">
        <v>1</v>
      </c>
      <c r="C1" s="3" t="s">
        <v>2</v>
      </c>
      <c r="D1" s="78" t="s">
        <v>716</v>
      </c>
      <c r="E1" s="4" t="s">
        <v>3</v>
      </c>
      <c r="F1" s="5" t="s">
        <v>4</v>
      </c>
      <c r="G1" s="6" t="s">
        <v>5</v>
      </c>
      <c r="H1" s="6" t="s">
        <v>6</v>
      </c>
      <c r="I1" s="7" t="s">
        <v>7</v>
      </c>
      <c r="K1" s="9"/>
    </row>
    <row r="2" spans="1:13" x14ac:dyDescent="0.2">
      <c r="A2" s="10" t="s">
        <v>8</v>
      </c>
      <c r="B2" s="11" t="s">
        <v>9</v>
      </c>
      <c r="C2" s="75" t="s">
        <v>65</v>
      </c>
      <c r="D2" s="73">
        <v>7172527</v>
      </c>
      <c r="E2" s="72">
        <v>45419</v>
      </c>
      <c r="F2" s="12">
        <v>1917116.54</v>
      </c>
      <c r="G2" s="13" t="s">
        <v>665</v>
      </c>
      <c r="H2" s="14" t="str">
        <f t="shared" ref="H2:H65" si="0">IF(F2&gt;25000,"C",IF(F2&gt;1000,"B","A"))</f>
        <v>C</v>
      </c>
      <c r="I2" s="15" t="str">
        <f t="shared" ref="I2:I65" si="1">VLOOKUP(H2,$L$2:$M$4,2,FALSE)</f>
        <v>The Commissioner &amp; Chief Constable are satisfied the spend represents VFM in accordance with the requirements of Category C</v>
      </c>
      <c r="J2" s="16"/>
      <c r="K2" s="16"/>
      <c r="L2" s="17" t="s">
        <v>12</v>
      </c>
      <c r="M2" s="15" t="s">
        <v>13</v>
      </c>
    </row>
    <row r="3" spans="1:13" x14ac:dyDescent="0.2">
      <c r="A3" s="10" t="s">
        <v>8</v>
      </c>
      <c r="B3" s="11" t="s">
        <v>9</v>
      </c>
      <c r="C3" s="75" t="s">
        <v>267</v>
      </c>
      <c r="D3" s="73">
        <v>7172692</v>
      </c>
      <c r="E3" s="72">
        <v>45426</v>
      </c>
      <c r="F3" s="12">
        <v>344211.16000000003</v>
      </c>
      <c r="G3" s="13" t="s">
        <v>58</v>
      </c>
      <c r="H3" s="14" t="str">
        <f t="shared" si="0"/>
        <v>C</v>
      </c>
      <c r="I3" s="15" t="str">
        <f t="shared" si="1"/>
        <v>The Commissioner &amp; Chief Constable are satisfied the spend represents VFM in accordance with the requirements of Category C</v>
      </c>
      <c r="J3" s="16"/>
      <c r="K3" s="16"/>
      <c r="L3" s="17" t="s">
        <v>16</v>
      </c>
      <c r="M3" s="15" t="s">
        <v>17</v>
      </c>
    </row>
    <row r="4" spans="1:13" x14ac:dyDescent="0.2">
      <c r="A4" s="10" t="s">
        <v>8</v>
      </c>
      <c r="B4" s="11" t="s">
        <v>9</v>
      </c>
      <c r="C4" s="75" t="s">
        <v>267</v>
      </c>
      <c r="D4" s="73">
        <v>7172692</v>
      </c>
      <c r="E4" s="72">
        <v>45426</v>
      </c>
      <c r="F4" s="12">
        <v>474696.66000000003</v>
      </c>
      <c r="G4" s="13" t="s">
        <v>131</v>
      </c>
      <c r="H4" s="14" t="str">
        <f t="shared" si="0"/>
        <v>C</v>
      </c>
      <c r="I4" s="15" t="str">
        <f t="shared" si="1"/>
        <v>The Commissioner &amp; Chief Constable are satisfied the spend represents VFM in accordance with the requirements of Category C</v>
      </c>
      <c r="J4" s="16"/>
      <c r="K4" s="16"/>
      <c r="L4" s="17" t="s">
        <v>20</v>
      </c>
      <c r="M4" s="15" t="s">
        <v>21</v>
      </c>
    </row>
    <row r="5" spans="1:13" x14ac:dyDescent="0.2">
      <c r="A5" s="10" t="s">
        <v>8</v>
      </c>
      <c r="B5" s="11" t="s">
        <v>9</v>
      </c>
      <c r="C5" s="75" t="s">
        <v>267</v>
      </c>
      <c r="D5" s="73">
        <v>7172692</v>
      </c>
      <c r="E5" s="72">
        <v>45426</v>
      </c>
      <c r="F5" s="12">
        <v>11093.5</v>
      </c>
      <c r="G5" s="13" t="s">
        <v>106</v>
      </c>
      <c r="H5" s="14" t="str">
        <f t="shared" si="0"/>
        <v>B</v>
      </c>
      <c r="I5" s="15" t="str">
        <f t="shared" si="1"/>
        <v>The Commissioner &amp; Chief Constable are satisfied the spend represents VFM in accordance with the requirements of Category B</v>
      </c>
      <c r="J5" s="16"/>
      <c r="K5" s="16"/>
    </row>
    <row r="6" spans="1:13" x14ac:dyDescent="0.2">
      <c r="A6" s="10" t="s">
        <v>8</v>
      </c>
      <c r="B6" s="11" t="s">
        <v>9</v>
      </c>
      <c r="C6" s="75" t="s">
        <v>353</v>
      </c>
      <c r="D6" s="73">
        <v>7172639</v>
      </c>
      <c r="E6" s="72">
        <v>45443</v>
      </c>
      <c r="F6" s="12">
        <v>452033.9</v>
      </c>
      <c r="G6" s="13" t="s">
        <v>58</v>
      </c>
      <c r="H6" s="14" t="str">
        <f t="shared" si="0"/>
        <v>C</v>
      </c>
      <c r="I6" s="15" t="str">
        <f t="shared" si="1"/>
        <v>The Commissioner &amp; Chief Constable are satisfied the spend represents VFM in accordance with the requirements of Category C</v>
      </c>
      <c r="J6" s="16"/>
      <c r="K6" s="16"/>
    </row>
    <row r="7" spans="1:13" x14ac:dyDescent="0.2">
      <c r="A7" s="10" t="s">
        <v>8</v>
      </c>
      <c r="B7" s="11" t="s">
        <v>9</v>
      </c>
      <c r="C7" s="77" t="s">
        <v>353</v>
      </c>
      <c r="D7" s="73">
        <v>7172639</v>
      </c>
      <c r="E7" s="72">
        <v>45443</v>
      </c>
      <c r="F7" s="12">
        <v>237125</v>
      </c>
      <c r="G7" s="13" t="s">
        <v>131</v>
      </c>
      <c r="H7" s="14" t="str">
        <f t="shared" si="0"/>
        <v>C</v>
      </c>
      <c r="I7" s="15" t="str">
        <f t="shared" si="1"/>
        <v>The Commissioner &amp; Chief Constable are satisfied the spend represents VFM in accordance with the requirements of Category C</v>
      </c>
      <c r="J7" s="16"/>
      <c r="K7" s="16"/>
    </row>
    <row r="8" spans="1:13" x14ac:dyDescent="0.2">
      <c r="A8" s="10" t="s">
        <v>8</v>
      </c>
      <c r="B8" s="11" t="s">
        <v>9</v>
      </c>
      <c r="C8" s="75" t="s">
        <v>353</v>
      </c>
      <c r="D8" s="73">
        <v>7172639</v>
      </c>
      <c r="E8" s="72">
        <v>45443</v>
      </c>
      <c r="F8" s="12">
        <v>70875.55</v>
      </c>
      <c r="G8" s="13" t="s">
        <v>106</v>
      </c>
      <c r="H8" s="14" t="str">
        <f t="shared" si="0"/>
        <v>C</v>
      </c>
      <c r="I8" s="15" t="str">
        <f t="shared" si="1"/>
        <v>The Commissioner &amp; Chief Constable are satisfied the spend represents VFM in accordance with the requirements of Category C</v>
      </c>
      <c r="J8" s="16"/>
      <c r="K8" s="16"/>
    </row>
    <row r="9" spans="1:13" x14ac:dyDescent="0.2">
      <c r="A9" s="10" t="s">
        <v>8</v>
      </c>
      <c r="B9" s="11" t="s">
        <v>9</v>
      </c>
      <c r="C9" s="77" t="s">
        <v>455</v>
      </c>
      <c r="D9" s="73">
        <v>7172292</v>
      </c>
      <c r="E9" s="72">
        <v>45413</v>
      </c>
      <c r="F9" s="12">
        <v>268205</v>
      </c>
      <c r="G9" s="13" t="s">
        <v>58</v>
      </c>
      <c r="H9" s="14" t="str">
        <f t="shared" si="0"/>
        <v>C</v>
      </c>
      <c r="I9" s="15" t="str">
        <f t="shared" si="1"/>
        <v>The Commissioner &amp; Chief Constable are satisfied the spend represents VFM in accordance with the requirements of Category C</v>
      </c>
      <c r="J9" s="16"/>
      <c r="K9" s="16"/>
    </row>
    <row r="10" spans="1:13" x14ac:dyDescent="0.2">
      <c r="A10" s="10" t="s">
        <v>8</v>
      </c>
      <c r="B10" s="11" t="s">
        <v>9</v>
      </c>
      <c r="C10" s="75" t="s">
        <v>455</v>
      </c>
      <c r="D10" s="73">
        <v>7172292</v>
      </c>
      <c r="E10" s="72">
        <v>45413</v>
      </c>
      <c r="F10" s="12">
        <v>433677</v>
      </c>
      <c r="G10" s="13" t="s">
        <v>15</v>
      </c>
      <c r="H10" s="14" t="str">
        <f t="shared" si="0"/>
        <v>C</v>
      </c>
      <c r="I10" s="15" t="str">
        <f t="shared" si="1"/>
        <v>The Commissioner &amp; Chief Constable are satisfied the spend represents VFM in accordance with the requirements of Category C</v>
      </c>
      <c r="J10" s="16"/>
      <c r="K10" s="16"/>
    </row>
    <row r="11" spans="1:13" x14ac:dyDescent="0.2">
      <c r="A11" s="10" t="s">
        <v>8</v>
      </c>
      <c r="B11" s="11" t="s">
        <v>9</v>
      </c>
      <c r="C11" s="75" t="s">
        <v>715</v>
      </c>
      <c r="D11" s="73">
        <v>7172888</v>
      </c>
      <c r="E11" s="72">
        <v>45428</v>
      </c>
      <c r="F11" s="12">
        <v>255944.69</v>
      </c>
      <c r="G11" s="13" t="s">
        <v>58</v>
      </c>
      <c r="H11" s="14" t="str">
        <f t="shared" si="0"/>
        <v>C</v>
      </c>
      <c r="I11" s="15" t="str">
        <f t="shared" si="1"/>
        <v>The Commissioner &amp; Chief Constable are satisfied the spend represents VFM in accordance with the requirements of Category C</v>
      </c>
      <c r="J11" s="16"/>
      <c r="K11" s="16"/>
    </row>
    <row r="12" spans="1:13" x14ac:dyDescent="0.2">
      <c r="A12" s="10" t="s">
        <v>8</v>
      </c>
      <c r="B12" s="11" t="s">
        <v>9</v>
      </c>
      <c r="C12" s="75" t="s">
        <v>715</v>
      </c>
      <c r="D12" s="73">
        <v>7172888</v>
      </c>
      <c r="E12" s="72">
        <v>45428</v>
      </c>
      <c r="F12" s="12">
        <v>133860.69</v>
      </c>
      <c r="G12" s="13" t="s">
        <v>131</v>
      </c>
      <c r="H12" s="14" t="str">
        <f t="shared" si="0"/>
        <v>C</v>
      </c>
      <c r="I12" s="15" t="str">
        <f t="shared" si="1"/>
        <v>The Commissioner &amp; Chief Constable are satisfied the spend represents VFM in accordance with the requirements of Category C</v>
      </c>
      <c r="J12" s="16"/>
      <c r="K12" s="16"/>
    </row>
    <row r="13" spans="1:13" x14ac:dyDescent="0.2">
      <c r="A13" s="10" t="s">
        <v>8</v>
      </c>
      <c r="B13" s="11" t="s">
        <v>9</v>
      </c>
      <c r="C13" s="75" t="s">
        <v>10</v>
      </c>
      <c r="D13" s="73">
        <v>3067818</v>
      </c>
      <c r="E13" s="72">
        <v>45434</v>
      </c>
      <c r="F13" s="12">
        <v>386471.24</v>
      </c>
      <c r="G13" s="13" t="s">
        <v>11</v>
      </c>
      <c r="H13" s="14" t="str">
        <f t="shared" si="0"/>
        <v>C</v>
      </c>
      <c r="I13" s="15" t="str">
        <f t="shared" si="1"/>
        <v>The Commissioner &amp; Chief Constable are satisfied the spend represents VFM in accordance with the requirements of Category C</v>
      </c>
      <c r="J13" s="16"/>
      <c r="K13" s="16"/>
    </row>
    <row r="14" spans="1:13" x14ac:dyDescent="0.2">
      <c r="A14" s="10" t="s">
        <v>8</v>
      </c>
      <c r="B14" s="11" t="s">
        <v>9</v>
      </c>
      <c r="C14" s="77" t="s">
        <v>714</v>
      </c>
      <c r="D14" s="73">
        <v>9034838</v>
      </c>
      <c r="E14" s="72">
        <v>45435</v>
      </c>
      <c r="F14" s="12">
        <v>355002.88</v>
      </c>
      <c r="G14" s="13" t="s">
        <v>102</v>
      </c>
      <c r="H14" s="14" t="str">
        <f t="shared" si="0"/>
        <v>C</v>
      </c>
      <c r="I14" s="15" t="str">
        <f t="shared" si="1"/>
        <v>The Commissioner &amp; Chief Constable are satisfied the spend represents VFM in accordance with the requirements of Category C</v>
      </c>
      <c r="J14" s="16"/>
      <c r="K14" s="16"/>
    </row>
    <row r="15" spans="1:13" x14ac:dyDescent="0.2">
      <c r="A15" s="10" t="s">
        <v>8</v>
      </c>
      <c r="B15" s="11" t="s">
        <v>9</v>
      </c>
      <c r="C15" s="75" t="s">
        <v>713</v>
      </c>
      <c r="D15" s="73">
        <v>7173284</v>
      </c>
      <c r="E15" s="72">
        <v>45442</v>
      </c>
      <c r="F15" s="12">
        <v>124184.26</v>
      </c>
      <c r="G15" s="13" t="s">
        <v>58</v>
      </c>
      <c r="H15" s="14" t="str">
        <f t="shared" si="0"/>
        <v>C</v>
      </c>
      <c r="I15" s="15" t="str">
        <f t="shared" si="1"/>
        <v>The Commissioner &amp; Chief Constable are satisfied the spend represents VFM in accordance with the requirements of Category C</v>
      </c>
      <c r="J15" s="16"/>
      <c r="K15" s="16"/>
    </row>
    <row r="16" spans="1:13" x14ac:dyDescent="0.2">
      <c r="A16" s="10" t="s">
        <v>8</v>
      </c>
      <c r="B16" s="11" t="s">
        <v>9</v>
      </c>
      <c r="C16" s="75" t="s">
        <v>713</v>
      </c>
      <c r="D16" s="73">
        <v>7173284</v>
      </c>
      <c r="E16" s="72">
        <v>45442</v>
      </c>
      <c r="F16" s="12">
        <v>162691.69</v>
      </c>
      <c r="G16" s="13" t="s">
        <v>131</v>
      </c>
      <c r="H16" s="14" t="str">
        <f t="shared" si="0"/>
        <v>C</v>
      </c>
      <c r="I16" s="15" t="str">
        <f t="shared" si="1"/>
        <v>The Commissioner &amp; Chief Constable are satisfied the spend represents VFM in accordance with the requirements of Category C</v>
      </c>
      <c r="J16" s="16"/>
      <c r="K16" s="16"/>
    </row>
    <row r="17" spans="1:11" x14ac:dyDescent="0.2">
      <c r="A17" s="10" t="s">
        <v>8</v>
      </c>
      <c r="B17" s="11" t="s">
        <v>9</v>
      </c>
      <c r="C17" s="75" t="s">
        <v>713</v>
      </c>
      <c r="D17" s="73">
        <v>7173284</v>
      </c>
      <c r="E17" s="72">
        <v>45442</v>
      </c>
      <c r="F17" s="12">
        <v>1100</v>
      </c>
      <c r="G17" s="13" t="s">
        <v>106</v>
      </c>
      <c r="H17" s="14" t="str">
        <f t="shared" si="0"/>
        <v>B</v>
      </c>
      <c r="I17" s="15" t="str">
        <f t="shared" si="1"/>
        <v>The Commissioner &amp; Chief Constable are satisfied the spend represents VFM in accordance with the requirements of Category B</v>
      </c>
      <c r="J17" s="16"/>
      <c r="K17" s="16"/>
    </row>
    <row r="18" spans="1:11" x14ac:dyDescent="0.2">
      <c r="A18" s="10" t="s">
        <v>8</v>
      </c>
      <c r="B18" s="11" t="s">
        <v>9</v>
      </c>
      <c r="C18" s="77" t="s">
        <v>265</v>
      </c>
      <c r="D18" s="73">
        <v>7172991</v>
      </c>
      <c r="E18" s="72">
        <v>45432</v>
      </c>
      <c r="F18" s="12">
        <v>225658.59</v>
      </c>
      <c r="G18" s="13" t="s">
        <v>58</v>
      </c>
      <c r="H18" s="14" t="str">
        <f t="shared" si="0"/>
        <v>C</v>
      </c>
      <c r="I18" s="15" t="str">
        <f t="shared" si="1"/>
        <v>The Commissioner &amp; Chief Constable are satisfied the spend represents VFM in accordance with the requirements of Category C</v>
      </c>
      <c r="J18" s="16"/>
      <c r="K18" s="16"/>
    </row>
    <row r="19" spans="1:11" x14ac:dyDescent="0.2">
      <c r="A19" s="10" t="s">
        <v>8</v>
      </c>
      <c r="B19" s="11" t="s">
        <v>9</v>
      </c>
      <c r="C19" s="75" t="s">
        <v>265</v>
      </c>
      <c r="D19" s="73">
        <v>7172991</v>
      </c>
      <c r="E19" s="72">
        <v>45432</v>
      </c>
      <c r="F19" s="12">
        <v>5970</v>
      </c>
      <c r="G19" s="13" t="s">
        <v>106</v>
      </c>
      <c r="H19" s="14" t="str">
        <f t="shared" si="0"/>
        <v>B</v>
      </c>
      <c r="I19" s="15" t="str">
        <f t="shared" si="1"/>
        <v>The Commissioner &amp; Chief Constable are satisfied the spend represents VFM in accordance with the requirements of Category B</v>
      </c>
      <c r="J19" s="16"/>
      <c r="K19" s="16"/>
    </row>
    <row r="20" spans="1:11" x14ac:dyDescent="0.2">
      <c r="A20" s="10" t="s">
        <v>8</v>
      </c>
      <c r="B20" s="11" t="s">
        <v>9</v>
      </c>
      <c r="C20" s="75" t="s">
        <v>540</v>
      </c>
      <c r="D20" s="73">
        <v>7172607</v>
      </c>
      <c r="E20" s="72">
        <v>45426</v>
      </c>
      <c r="F20" s="12">
        <v>142038.20000000001</v>
      </c>
      <c r="G20" s="13" t="s">
        <v>58</v>
      </c>
      <c r="H20" s="14" t="str">
        <f t="shared" si="0"/>
        <v>C</v>
      </c>
      <c r="I20" s="15" t="str">
        <f t="shared" si="1"/>
        <v>The Commissioner &amp; Chief Constable are satisfied the spend represents VFM in accordance with the requirements of Category C</v>
      </c>
      <c r="J20" s="16"/>
      <c r="K20" s="16"/>
    </row>
    <row r="21" spans="1:11" x14ac:dyDescent="0.2">
      <c r="A21" s="10" t="s">
        <v>8</v>
      </c>
      <c r="B21" s="11" t="s">
        <v>9</v>
      </c>
      <c r="C21" s="77" t="s">
        <v>540</v>
      </c>
      <c r="D21" s="73">
        <v>7172607</v>
      </c>
      <c r="E21" s="72">
        <v>45426</v>
      </c>
      <c r="F21" s="12">
        <v>18187.150000000001</v>
      </c>
      <c r="G21" s="13" t="s">
        <v>131</v>
      </c>
      <c r="H21" s="14" t="str">
        <f t="shared" si="0"/>
        <v>B</v>
      </c>
      <c r="I21" s="15" t="str">
        <f t="shared" si="1"/>
        <v>The Commissioner &amp; Chief Constable are satisfied the spend represents VFM in accordance with the requirements of Category B</v>
      </c>
      <c r="J21" s="16"/>
      <c r="K21" s="16"/>
    </row>
    <row r="22" spans="1:11" x14ac:dyDescent="0.2">
      <c r="A22" s="10" t="s">
        <v>8</v>
      </c>
      <c r="B22" s="11" t="s">
        <v>9</v>
      </c>
      <c r="C22" s="75" t="s">
        <v>540</v>
      </c>
      <c r="D22" s="73">
        <v>7172607</v>
      </c>
      <c r="E22" s="72">
        <v>45426</v>
      </c>
      <c r="F22" s="12">
        <v>11145.7</v>
      </c>
      <c r="G22" s="13" t="s">
        <v>106</v>
      </c>
      <c r="H22" s="14" t="str">
        <f t="shared" si="0"/>
        <v>B</v>
      </c>
      <c r="I22" s="15" t="str">
        <f t="shared" si="1"/>
        <v>The Commissioner &amp; Chief Constable are satisfied the spend represents VFM in accordance with the requirements of Category B</v>
      </c>
      <c r="J22" s="16"/>
      <c r="K22" s="16"/>
    </row>
    <row r="23" spans="1:11" x14ac:dyDescent="0.2">
      <c r="A23" s="10" t="s">
        <v>8</v>
      </c>
      <c r="B23" s="11" t="s">
        <v>9</v>
      </c>
      <c r="C23" s="75" t="s">
        <v>74</v>
      </c>
      <c r="D23" s="73">
        <v>7172380</v>
      </c>
      <c r="E23" s="72">
        <v>45419</v>
      </c>
      <c r="F23" s="12">
        <v>132197.76999999999</v>
      </c>
      <c r="G23" s="13" t="s">
        <v>15</v>
      </c>
      <c r="H23" s="14" t="str">
        <f t="shared" si="0"/>
        <v>C</v>
      </c>
      <c r="I23" s="15" t="str">
        <f t="shared" si="1"/>
        <v>The Commissioner &amp; Chief Constable are satisfied the spend represents VFM in accordance with the requirements of Category C</v>
      </c>
      <c r="J23" s="16"/>
      <c r="K23" s="16"/>
    </row>
    <row r="24" spans="1:11" x14ac:dyDescent="0.2">
      <c r="A24" s="10" t="s">
        <v>8</v>
      </c>
      <c r="B24" s="11" t="s">
        <v>9</v>
      </c>
      <c r="C24" s="75" t="s">
        <v>497</v>
      </c>
      <c r="D24" s="73">
        <v>7173205</v>
      </c>
      <c r="E24" s="72">
        <v>45436</v>
      </c>
      <c r="F24" s="12">
        <v>129575</v>
      </c>
      <c r="G24" s="13" t="s">
        <v>712</v>
      </c>
      <c r="H24" s="14" t="str">
        <f t="shared" si="0"/>
        <v>C</v>
      </c>
      <c r="I24" s="15" t="str">
        <f t="shared" si="1"/>
        <v>The Commissioner &amp; Chief Constable are satisfied the spend represents VFM in accordance with the requirements of Category C</v>
      </c>
      <c r="J24" s="16"/>
      <c r="K24" s="16"/>
    </row>
    <row r="25" spans="1:11" x14ac:dyDescent="0.2">
      <c r="A25" s="10" t="s">
        <v>8</v>
      </c>
      <c r="B25" s="11" t="s">
        <v>9</v>
      </c>
      <c r="C25" s="77" t="s">
        <v>631</v>
      </c>
      <c r="D25" s="73">
        <v>7172190</v>
      </c>
      <c r="E25" s="72">
        <v>45419</v>
      </c>
      <c r="F25" s="12">
        <v>119023.82</v>
      </c>
      <c r="G25" s="13" t="s">
        <v>665</v>
      </c>
      <c r="H25" s="14" t="str">
        <f t="shared" si="0"/>
        <v>C</v>
      </c>
      <c r="I25" s="15" t="str">
        <f t="shared" si="1"/>
        <v>The Commissioner &amp; Chief Constable are satisfied the spend represents VFM in accordance with the requirements of Category C</v>
      </c>
      <c r="J25" s="16"/>
      <c r="K25" s="16"/>
    </row>
    <row r="26" spans="1:11" x14ac:dyDescent="0.2">
      <c r="A26" s="10" t="s">
        <v>8</v>
      </c>
      <c r="B26" s="11" t="s">
        <v>9</v>
      </c>
      <c r="C26" s="75" t="s">
        <v>493</v>
      </c>
      <c r="D26" s="73">
        <v>7172630</v>
      </c>
      <c r="E26" s="72">
        <v>45422</v>
      </c>
      <c r="F26" s="12">
        <v>118637.25</v>
      </c>
      <c r="G26" s="13" t="s">
        <v>27</v>
      </c>
      <c r="H26" s="14" t="str">
        <f t="shared" si="0"/>
        <v>C</v>
      </c>
      <c r="I26" s="15" t="str">
        <f t="shared" si="1"/>
        <v>The Commissioner &amp; Chief Constable are satisfied the spend represents VFM in accordance with the requirements of Category C</v>
      </c>
      <c r="J26" s="16"/>
      <c r="K26" s="16"/>
    </row>
    <row r="27" spans="1:11" x14ac:dyDescent="0.2">
      <c r="A27" s="10" t="s">
        <v>8</v>
      </c>
      <c r="B27" s="11" t="s">
        <v>9</v>
      </c>
      <c r="C27" s="75" t="s">
        <v>482</v>
      </c>
      <c r="D27" s="73">
        <v>7172691</v>
      </c>
      <c r="E27" s="72">
        <v>45426</v>
      </c>
      <c r="F27" s="12">
        <v>100104.36</v>
      </c>
      <c r="G27" s="13" t="s">
        <v>58</v>
      </c>
      <c r="H27" s="14" t="str">
        <f t="shared" si="0"/>
        <v>C</v>
      </c>
      <c r="I27" s="15" t="str">
        <f t="shared" si="1"/>
        <v>The Commissioner &amp; Chief Constable are satisfied the spend represents VFM in accordance with the requirements of Category C</v>
      </c>
      <c r="J27" s="16"/>
      <c r="K27" s="16"/>
    </row>
    <row r="28" spans="1:11" x14ac:dyDescent="0.2">
      <c r="A28" s="10" t="s">
        <v>8</v>
      </c>
      <c r="B28" s="11" t="s">
        <v>9</v>
      </c>
      <c r="C28" s="75" t="s">
        <v>482</v>
      </c>
      <c r="D28" s="73">
        <v>7172691</v>
      </c>
      <c r="E28" s="72">
        <v>45426</v>
      </c>
      <c r="F28" s="12">
        <v>9395.58</v>
      </c>
      <c r="G28" s="13" t="s">
        <v>131</v>
      </c>
      <c r="H28" s="14" t="str">
        <f t="shared" si="0"/>
        <v>B</v>
      </c>
      <c r="I28" s="15" t="str">
        <f t="shared" si="1"/>
        <v>The Commissioner &amp; Chief Constable are satisfied the spend represents VFM in accordance with the requirements of Category B</v>
      </c>
      <c r="J28" s="16"/>
      <c r="K28" s="16"/>
    </row>
    <row r="29" spans="1:11" x14ac:dyDescent="0.2">
      <c r="A29" s="10" t="s">
        <v>8</v>
      </c>
      <c r="B29" s="11" t="s">
        <v>9</v>
      </c>
      <c r="C29" s="75" t="s">
        <v>30</v>
      </c>
      <c r="D29" s="73">
        <v>7172339</v>
      </c>
      <c r="E29" s="72">
        <v>45421</v>
      </c>
      <c r="F29" s="12">
        <v>102359.53</v>
      </c>
      <c r="G29" s="13" t="s">
        <v>31</v>
      </c>
      <c r="H29" s="14" t="str">
        <f t="shared" si="0"/>
        <v>C</v>
      </c>
      <c r="I29" s="15" t="str">
        <f t="shared" si="1"/>
        <v>The Commissioner &amp; Chief Constable are satisfied the spend represents VFM in accordance with the requirements of Category C</v>
      </c>
      <c r="J29" s="16"/>
      <c r="K29" s="16"/>
    </row>
    <row r="30" spans="1:11" x14ac:dyDescent="0.2">
      <c r="A30" s="10" t="s">
        <v>8</v>
      </c>
      <c r="B30" s="11" t="s">
        <v>9</v>
      </c>
      <c r="C30" s="75" t="s">
        <v>30</v>
      </c>
      <c r="D30" s="73">
        <v>7172339</v>
      </c>
      <c r="E30" s="72">
        <v>45421</v>
      </c>
      <c r="F30" s="12">
        <v>7.16</v>
      </c>
      <c r="G30" s="13" t="s">
        <v>32</v>
      </c>
      <c r="H30" s="14" t="str">
        <f t="shared" si="0"/>
        <v>A</v>
      </c>
      <c r="I30" s="15" t="str">
        <f t="shared" si="1"/>
        <v>The Commissioner &amp; Chief Constable are satisfied the spend represents VFM in accordance with the requirements of Category A</v>
      </c>
      <c r="J30" s="16"/>
      <c r="K30" s="16"/>
    </row>
    <row r="31" spans="1:11" x14ac:dyDescent="0.2">
      <c r="A31" s="10" t="s">
        <v>8</v>
      </c>
      <c r="B31" s="11" t="s">
        <v>9</v>
      </c>
      <c r="C31" s="75" t="s">
        <v>576</v>
      </c>
      <c r="D31" s="73">
        <v>7172862</v>
      </c>
      <c r="E31" s="72">
        <v>45428</v>
      </c>
      <c r="F31" s="12">
        <v>95812.13</v>
      </c>
      <c r="G31" s="13" t="s">
        <v>15</v>
      </c>
      <c r="H31" s="14" t="str">
        <f t="shared" si="0"/>
        <v>C</v>
      </c>
      <c r="I31" s="15" t="str">
        <f t="shared" si="1"/>
        <v>The Commissioner &amp; Chief Constable are satisfied the spend represents VFM in accordance with the requirements of Category C</v>
      </c>
      <c r="J31" s="16"/>
      <c r="K31" s="16"/>
    </row>
    <row r="32" spans="1:11" x14ac:dyDescent="0.2">
      <c r="A32" s="10" t="s">
        <v>8</v>
      </c>
      <c r="B32" s="11" t="s">
        <v>9</v>
      </c>
      <c r="C32" s="75" t="s">
        <v>136</v>
      </c>
      <c r="D32" s="73">
        <v>7173050</v>
      </c>
      <c r="E32" s="72">
        <v>45435</v>
      </c>
      <c r="F32" s="12">
        <v>84452</v>
      </c>
      <c r="G32" s="13" t="s">
        <v>15</v>
      </c>
      <c r="H32" s="14" t="str">
        <f t="shared" si="0"/>
        <v>C</v>
      </c>
      <c r="I32" s="15" t="str">
        <f t="shared" si="1"/>
        <v>The Commissioner &amp; Chief Constable are satisfied the spend represents VFM in accordance with the requirements of Category C</v>
      </c>
      <c r="J32" s="16"/>
      <c r="K32" s="16"/>
    </row>
    <row r="33" spans="1:11" x14ac:dyDescent="0.2">
      <c r="A33" s="10" t="s">
        <v>8</v>
      </c>
      <c r="B33" s="11" t="s">
        <v>9</v>
      </c>
      <c r="C33" s="75" t="s">
        <v>46</v>
      </c>
      <c r="D33" s="73">
        <v>7172296</v>
      </c>
      <c r="E33" s="72">
        <v>45419</v>
      </c>
      <c r="F33" s="12">
        <v>80949.009999999995</v>
      </c>
      <c r="G33" s="13" t="s">
        <v>47</v>
      </c>
      <c r="H33" s="14" t="str">
        <f t="shared" si="0"/>
        <v>C</v>
      </c>
      <c r="I33" s="15" t="str">
        <f t="shared" si="1"/>
        <v>The Commissioner &amp; Chief Constable are satisfied the spend represents VFM in accordance with the requirements of Category C</v>
      </c>
      <c r="J33" s="16"/>
      <c r="K33" s="16"/>
    </row>
    <row r="34" spans="1:11" x14ac:dyDescent="0.2">
      <c r="A34" s="10" t="s">
        <v>8</v>
      </c>
      <c r="B34" s="11" t="s">
        <v>9</v>
      </c>
      <c r="C34" s="77" t="s">
        <v>183</v>
      </c>
      <c r="D34" s="73">
        <v>7170610</v>
      </c>
      <c r="E34" s="72">
        <v>45427</v>
      </c>
      <c r="F34" s="12">
        <v>79027.899999999994</v>
      </c>
      <c r="G34" s="13" t="s">
        <v>131</v>
      </c>
      <c r="H34" s="14" t="str">
        <f t="shared" si="0"/>
        <v>C</v>
      </c>
      <c r="I34" s="15" t="str">
        <f t="shared" si="1"/>
        <v>The Commissioner &amp; Chief Constable are satisfied the spend represents VFM in accordance with the requirements of Category C</v>
      </c>
      <c r="J34" s="16"/>
      <c r="K34" s="16"/>
    </row>
    <row r="35" spans="1:11" x14ac:dyDescent="0.2">
      <c r="A35" s="10" t="s">
        <v>8</v>
      </c>
      <c r="B35" s="11" t="s">
        <v>9</v>
      </c>
      <c r="C35" s="75" t="s">
        <v>26</v>
      </c>
      <c r="D35" s="73">
        <v>7172792</v>
      </c>
      <c r="E35" s="72">
        <v>45432</v>
      </c>
      <c r="F35" s="12">
        <v>66709</v>
      </c>
      <c r="G35" s="13" t="s">
        <v>27</v>
      </c>
      <c r="H35" s="14" t="str">
        <f t="shared" si="0"/>
        <v>C</v>
      </c>
      <c r="I35" s="15" t="str">
        <f t="shared" si="1"/>
        <v>The Commissioner &amp; Chief Constable are satisfied the spend represents VFM in accordance with the requirements of Category C</v>
      </c>
      <c r="J35" s="16"/>
      <c r="K35" s="16"/>
    </row>
    <row r="36" spans="1:11" x14ac:dyDescent="0.2">
      <c r="A36" s="10" t="s">
        <v>8</v>
      </c>
      <c r="B36" s="11" t="s">
        <v>9</v>
      </c>
      <c r="C36" s="75" t="s">
        <v>44</v>
      </c>
      <c r="D36" s="73">
        <v>7172633</v>
      </c>
      <c r="E36" s="72">
        <v>45421</v>
      </c>
      <c r="F36" s="12">
        <v>65214</v>
      </c>
      <c r="G36" s="13" t="s">
        <v>45</v>
      </c>
      <c r="H36" s="14" t="str">
        <f t="shared" si="0"/>
        <v>C</v>
      </c>
      <c r="I36" s="15" t="str">
        <f t="shared" si="1"/>
        <v>The Commissioner &amp; Chief Constable are satisfied the spend represents VFM in accordance with the requirements of Category C</v>
      </c>
      <c r="J36" s="16"/>
      <c r="K36" s="16"/>
    </row>
    <row r="37" spans="1:11" x14ac:dyDescent="0.2">
      <c r="A37" s="10" t="s">
        <v>8</v>
      </c>
      <c r="B37" s="11" t="s">
        <v>9</v>
      </c>
      <c r="C37" s="75" t="s">
        <v>26</v>
      </c>
      <c r="D37" s="73">
        <v>7172781</v>
      </c>
      <c r="E37" s="72">
        <v>45425</v>
      </c>
      <c r="F37" s="12">
        <v>60690.54</v>
      </c>
      <c r="G37" s="13" t="s">
        <v>53</v>
      </c>
      <c r="H37" s="14" t="str">
        <f t="shared" si="0"/>
        <v>C</v>
      </c>
      <c r="I37" s="15" t="str">
        <f t="shared" si="1"/>
        <v>The Commissioner &amp; Chief Constable are satisfied the spend represents VFM in accordance with the requirements of Category C</v>
      </c>
      <c r="J37" s="16"/>
      <c r="K37" s="16"/>
    </row>
    <row r="38" spans="1:11" x14ac:dyDescent="0.2">
      <c r="A38" s="10" t="s">
        <v>8</v>
      </c>
      <c r="B38" s="11" t="s">
        <v>9</v>
      </c>
      <c r="C38" s="75" t="s">
        <v>711</v>
      </c>
      <c r="D38" s="73">
        <v>7172318</v>
      </c>
      <c r="E38" s="72">
        <v>45415</v>
      </c>
      <c r="F38" s="12">
        <v>57592</v>
      </c>
      <c r="G38" s="13" t="s">
        <v>177</v>
      </c>
      <c r="H38" s="14" t="str">
        <f t="shared" si="0"/>
        <v>C</v>
      </c>
      <c r="I38" s="15" t="str">
        <f t="shared" si="1"/>
        <v>The Commissioner &amp; Chief Constable are satisfied the spend represents VFM in accordance with the requirements of Category C</v>
      </c>
      <c r="J38" s="16"/>
      <c r="K38" s="16"/>
    </row>
    <row r="39" spans="1:11" x14ac:dyDescent="0.2">
      <c r="A39" s="10" t="s">
        <v>8</v>
      </c>
      <c r="B39" s="11" t="s">
        <v>9</v>
      </c>
      <c r="C39" s="75" t="s">
        <v>52</v>
      </c>
      <c r="D39" s="73">
        <v>7172606</v>
      </c>
      <c r="E39" s="72">
        <v>45421</v>
      </c>
      <c r="F39" s="12">
        <v>56528</v>
      </c>
      <c r="G39" s="13" t="s">
        <v>45</v>
      </c>
      <c r="H39" s="14" t="str">
        <f t="shared" si="0"/>
        <v>C</v>
      </c>
      <c r="I39" s="15" t="str">
        <f t="shared" si="1"/>
        <v>The Commissioner &amp; Chief Constable are satisfied the spend represents VFM in accordance with the requirements of Category C</v>
      </c>
      <c r="J39" s="16"/>
      <c r="K39" s="16"/>
    </row>
    <row r="40" spans="1:11" x14ac:dyDescent="0.2">
      <c r="A40" s="10" t="s">
        <v>8</v>
      </c>
      <c r="B40" s="11" t="s">
        <v>9</v>
      </c>
      <c r="C40" s="75" t="s">
        <v>117</v>
      </c>
      <c r="D40" s="73">
        <v>7171717</v>
      </c>
      <c r="E40" s="72">
        <v>45413</v>
      </c>
      <c r="F40" s="12">
        <v>55410.73</v>
      </c>
      <c r="G40" s="13" t="s">
        <v>15</v>
      </c>
      <c r="H40" s="14" t="str">
        <f t="shared" si="0"/>
        <v>C</v>
      </c>
      <c r="I40" s="15" t="str">
        <f t="shared" si="1"/>
        <v>The Commissioner &amp; Chief Constable are satisfied the spend represents VFM in accordance with the requirements of Category C</v>
      </c>
      <c r="J40" s="16"/>
      <c r="K40" s="16"/>
    </row>
    <row r="41" spans="1:11" x14ac:dyDescent="0.2">
      <c r="A41" s="10" t="s">
        <v>8</v>
      </c>
      <c r="B41" s="11" t="s">
        <v>9</v>
      </c>
      <c r="C41" s="75" t="s">
        <v>576</v>
      </c>
      <c r="D41" s="73">
        <v>7172302</v>
      </c>
      <c r="E41" s="72">
        <v>45413</v>
      </c>
      <c r="F41" s="12">
        <v>55080.54</v>
      </c>
      <c r="G41" s="13" t="s">
        <v>15</v>
      </c>
      <c r="H41" s="14" t="str">
        <f t="shared" si="0"/>
        <v>C</v>
      </c>
      <c r="I41" s="15" t="str">
        <f t="shared" si="1"/>
        <v>The Commissioner &amp; Chief Constable are satisfied the spend represents VFM in accordance with the requirements of Category C</v>
      </c>
      <c r="J41" s="16"/>
      <c r="K41" s="16"/>
    </row>
    <row r="42" spans="1:11" x14ac:dyDescent="0.2">
      <c r="A42" s="10" t="s">
        <v>8</v>
      </c>
      <c r="B42" s="11" t="s">
        <v>9</v>
      </c>
      <c r="C42" s="75" t="s">
        <v>350</v>
      </c>
      <c r="D42" s="73">
        <v>7172872</v>
      </c>
      <c r="E42" s="72">
        <v>45428</v>
      </c>
      <c r="F42" s="12">
        <v>51732.75</v>
      </c>
      <c r="G42" s="13" t="s">
        <v>102</v>
      </c>
      <c r="H42" s="14" t="str">
        <f t="shared" si="0"/>
        <v>C</v>
      </c>
      <c r="I42" s="15" t="str">
        <f t="shared" si="1"/>
        <v>The Commissioner &amp; Chief Constable are satisfied the spend represents VFM in accordance with the requirements of Category C</v>
      </c>
      <c r="J42" s="16"/>
      <c r="K42" s="16"/>
    </row>
    <row r="43" spans="1:11" x14ac:dyDescent="0.2">
      <c r="A43" s="10" t="s">
        <v>8</v>
      </c>
      <c r="B43" s="11" t="s">
        <v>9</v>
      </c>
      <c r="C43" s="75" t="s">
        <v>74</v>
      </c>
      <c r="D43" s="73">
        <v>7171945</v>
      </c>
      <c r="E43" s="72">
        <v>45426</v>
      </c>
      <c r="F43" s="12">
        <v>46084.62</v>
      </c>
      <c r="G43" s="13" t="s">
        <v>89</v>
      </c>
      <c r="H43" s="14" t="str">
        <f t="shared" si="0"/>
        <v>C</v>
      </c>
      <c r="I43" s="15" t="str">
        <f t="shared" si="1"/>
        <v>The Commissioner &amp; Chief Constable are satisfied the spend represents VFM in accordance with the requirements of Category C</v>
      </c>
      <c r="J43" s="16"/>
      <c r="K43" s="16"/>
    </row>
    <row r="44" spans="1:11" x14ac:dyDescent="0.2">
      <c r="A44" s="10" t="s">
        <v>8</v>
      </c>
      <c r="B44" s="11" t="s">
        <v>9</v>
      </c>
      <c r="C44" s="75" t="s">
        <v>270</v>
      </c>
      <c r="D44" s="73">
        <v>7172277</v>
      </c>
      <c r="E44" s="72">
        <v>45415</v>
      </c>
      <c r="F44" s="12">
        <v>45400</v>
      </c>
      <c r="G44" s="13" t="s">
        <v>133</v>
      </c>
      <c r="H44" s="14" t="str">
        <f t="shared" si="0"/>
        <v>C</v>
      </c>
      <c r="I44" s="15" t="str">
        <f t="shared" si="1"/>
        <v>The Commissioner &amp; Chief Constable are satisfied the spend represents VFM in accordance with the requirements of Category C</v>
      </c>
      <c r="J44" s="16"/>
      <c r="K44" s="16"/>
    </row>
    <row r="45" spans="1:11" x14ac:dyDescent="0.2">
      <c r="A45" s="10" t="s">
        <v>8</v>
      </c>
      <c r="B45" s="11" t="s">
        <v>9</v>
      </c>
      <c r="C45" s="75" t="s">
        <v>710</v>
      </c>
      <c r="D45" s="73">
        <v>7172953</v>
      </c>
      <c r="E45" s="72">
        <v>45429</v>
      </c>
      <c r="F45" s="12">
        <v>37950</v>
      </c>
      <c r="G45" s="13" t="s">
        <v>131</v>
      </c>
      <c r="H45" s="14" t="str">
        <f t="shared" si="0"/>
        <v>C</v>
      </c>
      <c r="I45" s="15" t="str">
        <f t="shared" si="1"/>
        <v>The Commissioner &amp; Chief Constable are satisfied the spend represents VFM in accordance with the requirements of Category C</v>
      </c>
      <c r="J45" s="16"/>
      <c r="K45" s="16"/>
    </row>
    <row r="46" spans="1:11" x14ac:dyDescent="0.2">
      <c r="A46" s="10" t="s">
        <v>8</v>
      </c>
      <c r="B46" s="11" t="s">
        <v>9</v>
      </c>
      <c r="C46" s="75" t="s">
        <v>26</v>
      </c>
      <c r="D46" s="73">
        <v>7173335</v>
      </c>
      <c r="E46" s="72">
        <v>45443</v>
      </c>
      <c r="F46" s="12">
        <v>37662.620000000003</v>
      </c>
      <c r="G46" s="13" t="s">
        <v>80</v>
      </c>
      <c r="H46" s="14" t="str">
        <f t="shared" si="0"/>
        <v>C</v>
      </c>
      <c r="I46" s="15" t="str">
        <f t="shared" si="1"/>
        <v>The Commissioner &amp; Chief Constable are satisfied the spend represents VFM in accordance with the requirements of Category C</v>
      </c>
      <c r="J46" s="16"/>
      <c r="K46" s="16"/>
    </row>
    <row r="47" spans="1:11" x14ac:dyDescent="0.2">
      <c r="A47" s="10" t="s">
        <v>8</v>
      </c>
      <c r="B47" s="11" t="s">
        <v>9</v>
      </c>
      <c r="C47" s="75" t="s">
        <v>74</v>
      </c>
      <c r="D47" s="73">
        <v>7173269</v>
      </c>
      <c r="E47" s="72">
        <v>45442</v>
      </c>
      <c r="F47" s="12">
        <v>36495.79</v>
      </c>
      <c r="G47" s="13" t="s">
        <v>39</v>
      </c>
      <c r="H47" s="14" t="str">
        <f t="shared" si="0"/>
        <v>C</v>
      </c>
      <c r="I47" s="15" t="str">
        <f t="shared" si="1"/>
        <v>The Commissioner &amp; Chief Constable are satisfied the spend represents VFM in accordance with the requirements of Category C</v>
      </c>
      <c r="J47" s="16"/>
      <c r="K47" s="16"/>
    </row>
    <row r="48" spans="1:11" x14ac:dyDescent="0.2">
      <c r="A48" s="10" t="s">
        <v>8</v>
      </c>
      <c r="B48" s="11" t="s">
        <v>9</v>
      </c>
      <c r="C48" s="75" t="s">
        <v>350</v>
      </c>
      <c r="D48" s="73">
        <v>7172942</v>
      </c>
      <c r="E48" s="72">
        <v>45440</v>
      </c>
      <c r="F48" s="12">
        <v>35142.53</v>
      </c>
      <c r="G48" s="13" t="s">
        <v>24</v>
      </c>
      <c r="H48" s="14" t="str">
        <f t="shared" si="0"/>
        <v>C</v>
      </c>
      <c r="I48" s="15" t="str">
        <f t="shared" si="1"/>
        <v>The Commissioner &amp; Chief Constable are satisfied the spend represents VFM in accordance with the requirements of Category C</v>
      </c>
      <c r="J48" s="16"/>
      <c r="K48" s="16"/>
    </row>
    <row r="49" spans="1:11" x14ac:dyDescent="0.2">
      <c r="A49" s="10" t="s">
        <v>8</v>
      </c>
      <c r="B49" s="11" t="s">
        <v>9</v>
      </c>
      <c r="C49" s="75" t="s">
        <v>571</v>
      </c>
      <c r="D49" s="73">
        <v>7172316</v>
      </c>
      <c r="E49" s="72">
        <v>45414</v>
      </c>
      <c r="F49" s="12">
        <v>34025</v>
      </c>
      <c r="G49" s="13" t="s">
        <v>15</v>
      </c>
      <c r="H49" s="14" t="str">
        <f t="shared" si="0"/>
        <v>C</v>
      </c>
      <c r="I49" s="15" t="str">
        <f t="shared" si="1"/>
        <v>The Commissioner &amp; Chief Constable are satisfied the spend represents VFM in accordance with the requirements of Category C</v>
      </c>
      <c r="J49" s="16"/>
      <c r="K49" s="16"/>
    </row>
    <row r="50" spans="1:11" x14ac:dyDescent="0.2">
      <c r="A50" s="10" t="s">
        <v>8</v>
      </c>
      <c r="B50" s="11" t="s">
        <v>9</v>
      </c>
      <c r="C50" s="75" t="s">
        <v>448</v>
      </c>
      <c r="D50" s="73">
        <v>7173045</v>
      </c>
      <c r="E50" s="72">
        <v>45441</v>
      </c>
      <c r="F50" s="12">
        <v>33733.75</v>
      </c>
      <c r="G50" s="13" t="s">
        <v>27</v>
      </c>
      <c r="H50" s="14" t="str">
        <f t="shared" si="0"/>
        <v>C</v>
      </c>
      <c r="I50" s="15" t="str">
        <f t="shared" si="1"/>
        <v>The Commissioner &amp; Chief Constable are satisfied the spend represents VFM in accordance with the requirements of Category C</v>
      </c>
      <c r="J50" s="16"/>
      <c r="K50" s="16"/>
    </row>
    <row r="51" spans="1:11" x14ac:dyDescent="0.2">
      <c r="A51" s="10" t="s">
        <v>8</v>
      </c>
      <c r="B51" s="11" t="s">
        <v>9</v>
      </c>
      <c r="C51" s="75" t="s">
        <v>74</v>
      </c>
      <c r="D51" s="73">
        <v>7173084</v>
      </c>
      <c r="E51" s="72">
        <v>45435</v>
      </c>
      <c r="F51" s="12">
        <v>33480</v>
      </c>
      <c r="G51" s="13" t="s">
        <v>158</v>
      </c>
      <c r="H51" s="14" t="str">
        <f t="shared" si="0"/>
        <v>C</v>
      </c>
      <c r="I51" s="15" t="str">
        <f t="shared" si="1"/>
        <v>The Commissioner &amp; Chief Constable are satisfied the spend represents VFM in accordance with the requirements of Category C</v>
      </c>
      <c r="J51" s="16"/>
      <c r="K51" s="16"/>
    </row>
    <row r="52" spans="1:11" x14ac:dyDescent="0.2">
      <c r="A52" s="10" t="s">
        <v>8</v>
      </c>
      <c r="B52" s="11" t="s">
        <v>9</v>
      </c>
      <c r="C52" s="75" t="s">
        <v>74</v>
      </c>
      <c r="D52" s="73">
        <v>7172382</v>
      </c>
      <c r="E52" s="72">
        <v>45419</v>
      </c>
      <c r="F52" s="18">
        <v>32353.14</v>
      </c>
      <c r="G52" s="19" t="s">
        <v>15</v>
      </c>
      <c r="H52" s="14" t="str">
        <f t="shared" si="0"/>
        <v>C</v>
      </c>
      <c r="I52" s="15" t="str">
        <f t="shared" si="1"/>
        <v>The Commissioner &amp; Chief Constable are satisfied the spend represents VFM in accordance with the requirements of Category C</v>
      </c>
      <c r="J52" s="16"/>
      <c r="K52" s="16"/>
    </row>
    <row r="53" spans="1:11" x14ac:dyDescent="0.2">
      <c r="A53" s="10" t="s">
        <v>8</v>
      </c>
      <c r="B53" s="11" t="s">
        <v>9</v>
      </c>
      <c r="C53" s="75" t="s">
        <v>541</v>
      </c>
      <c r="D53" s="73">
        <v>7172374</v>
      </c>
      <c r="E53" s="72">
        <v>45419</v>
      </c>
      <c r="F53" s="12">
        <v>30450</v>
      </c>
      <c r="G53" s="13" t="s">
        <v>54</v>
      </c>
      <c r="H53" s="14" t="str">
        <f t="shared" si="0"/>
        <v>C</v>
      </c>
      <c r="I53" s="15" t="str">
        <f t="shared" si="1"/>
        <v>The Commissioner &amp; Chief Constable are satisfied the spend represents VFM in accordance with the requirements of Category C</v>
      </c>
      <c r="J53" s="16"/>
      <c r="K53" s="16"/>
    </row>
    <row r="54" spans="1:11" x14ac:dyDescent="0.2">
      <c r="A54" s="10" t="s">
        <v>8</v>
      </c>
      <c r="B54" s="11" t="s">
        <v>9</v>
      </c>
      <c r="C54" s="75" t="s">
        <v>489</v>
      </c>
      <c r="D54" s="73">
        <v>7172394</v>
      </c>
      <c r="E54" s="72">
        <v>45419</v>
      </c>
      <c r="F54" s="18">
        <v>29324.25</v>
      </c>
      <c r="G54" s="19" t="s">
        <v>58</v>
      </c>
      <c r="H54" s="14" t="str">
        <f t="shared" si="0"/>
        <v>C</v>
      </c>
      <c r="I54" s="15" t="str">
        <f t="shared" si="1"/>
        <v>The Commissioner &amp; Chief Constable are satisfied the spend represents VFM in accordance with the requirements of Category C</v>
      </c>
      <c r="J54" s="16"/>
      <c r="K54" s="16"/>
    </row>
    <row r="55" spans="1:11" x14ac:dyDescent="0.2">
      <c r="A55" s="10" t="s">
        <v>8</v>
      </c>
      <c r="B55" s="11" t="s">
        <v>9</v>
      </c>
      <c r="C55" s="75" t="s">
        <v>83</v>
      </c>
      <c r="D55" s="73">
        <v>7172533</v>
      </c>
      <c r="E55" s="72">
        <v>45419</v>
      </c>
      <c r="F55" s="12">
        <v>29146.84</v>
      </c>
      <c r="G55" s="13" t="s">
        <v>84</v>
      </c>
      <c r="H55" s="14" t="str">
        <f t="shared" si="0"/>
        <v>C</v>
      </c>
      <c r="I55" s="15" t="str">
        <f t="shared" si="1"/>
        <v>The Commissioner &amp; Chief Constable are satisfied the spend represents VFM in accordance with the requirements of Category C</v>
      </c>
      <c r="J55" s="16"/>
      <c r="K55" s="16"/>
    </row>
    <row r="56" spans="1:11" x14ac:dyDescent="0.2">
      <c r="A56" s="10" t="s">
        <v>8</v>
      </c>
      <c r="B56" s="11" t="s">
        <v>9</v>
      </c>
      <c r="C56" s="75" t="s">
        <v>709</v>
      </c>
      <c r="D56" s="73">
        <v>9034730</v>
      </c>
      <c r="E56" s="72">
        <v>45420</v>
      </c>
      <c r="F56" s="18">
        <v>29107.63</v>
      </c>
      <c r="G56" s="19" t="s">
        <v>80</v>
      </c>
      <c r="H56" s="14" t="str">
        <f t="shared" si="0"/>
        <v>C</v>
      </c>
      <c r="I56" s="15" t="str">
        <f t="shared" si="1"/>
        <v>The Commissioner &amp; Chief Constable are satisfied the spend represents VFM in accordance with the requirements of Category C</v>
      </c>
      <c r="J56" s="16"/>
      <c r="K56" s="16"/>
    </row>
    <row r="57" spans="1:11" x14ac:dyDescent="0.2">
      <c r="A57" s="10" t="s">
        <v>8</v>
      </c>
      <c r="B57" s="11" t="s">
        <v>9</v>
      </c>
      <c r="C57" s="75" t="s">
        <v>74</v>
      </c>
      <c r="D57" s="73">
        <v>7173268</v>
      </c>
      <c r="E57" s="72">
        <v>45441</v>
      </c>
      <c r="F57" s="12">
        <v>24560.51</v>
      </c>
      <c r="G57" s="13" t="s">
        <v>75</v>
      </c>
      <c r="H57" s="14" t="str">
        <f t="shared" si="0"/>
        <v>B</v>
      </c>
      <c r="I57" s="15" t="str">
        <f t="shared" si="1"/>
        <v>The Commissioner &amp; Chief Constable are satisfied the spend represents VFM in accordance with the requirements of Category B</v>
      </c>
      <c r="J57" s="16"/>
      <c r="K57" s="16"/>
    </row>
    <row r="58" spans="1:11" x14ac:dyDescent="0.2">
      <c r="A58" s="10" t="s">
        <v>8</v>
      </c>
      <c r="B58" s="11" t="s">
        <v>9</v>
      </c>
      <c r="C58" s="75" t="s">
        <v>78</v>
      </c>
      <c r="D58" s="73">
        <v>3067809</v>
      </c>
      <c r="E58" s="72">
        <v>45433</v>
      </c>
      <c r="F58" s="18">
        <v>23885.63</v>
      </c>
      <c r="G58" s="19" t="s">
        <v>62</v>
      </c>
      <c r="H58" s="14" t="str">
        <f t="shared" si="0"/>
        <v>B</v>
      </c>
      <c r="I58" s="15" t="str">
        <f t="shared" si="1"/>
        <v>The Commissioner &amp; Chief Constable are satisfied the spend represents VFM in accordance with the requirements of Category B</v>
      </c>
      <c r="J58" s="16"/>
      <c r="K58" s="16"/>
    </row>
    <row r="59" spans="1:11" x14ac:dyDescent="0.2">
      <c r="A59" s="10" t="s">
        <v>8</v>
      </c>
      <c r="B59" s="11" t="s">
        <v>9</v>
      </c>
      <c r="C59" s="75" t="s">
        <v>78</v>
      </c>
      <c r="D59" s="73">
        <v>3067809</v>
      </c>
      <c r="E59" s="72">
        <v>45433</v>
      </c>
      <c r="F59" s="12">
        <v>55</v>
      </c>
      <c r="G59" s="13" t="s">
        <v>63</v>
      </c>
      <c r="H59" s="14" t="str">
        <f t="shared" si="0"/>
        <v>A</v>
      </c>
      <c r="I59" s="15" t="str">
        <f t="shared" si="1"/>
        <v>The Commissioner &amp; Chief Constable are satisfied the spend represents VFM in accordance with the requirements of Category A</v>
      </c>
      <c r="J59" s="16"/>
      <c r="K59" s="16"/>
    </row>
    <row r="60" spans="1:11" x14ac:dyDescent="0.2">
      <c r="A60" s="10" t="s">
        <v>8</v>
      </c>
      <c r="B60" s="11" t="s">
        <v>9</v>
      </c>
      <c r="C60" s="75" t="s">
        <v>78</v>
      </c>
      <c r="D60" s="73">
        <v>3067807</v>
      </c>
      <c r="E60" s="72">
        <v>45433</v>
      </c>
      <c r="F60" s="18">
        <v>23885.63</v>
      </c>
      <c r="G60" s="19" t="s">
        <v>62</v>
      </c>
      <c r="H60" s="14" t="str">
        <f t="shared" si="0"/>
        <v>B</v>
      </c>
      <c r="I60" s="15" t="str">
        <f t="shared" si="1"/>
        <v>The Commissioner &amp; Chief Constable are satisfied the spend represents VFM in accordance with the requirements of Category B</v>
      </c>
      <c r="J60" s="16"/>
      <c r="K60" s="16"/>
    </row>
    <row r="61" spans="1:11" x14ac:dyDescent="0.2">
      <c r="A61" s="10" t="s">
        <v>8</v>
      </c>
      <c r="B61" s="11" t="s">
        <v>9</v>
      </c>
      <c r="C61" s="75" t="s">
        <v>78</v>
      </c>
      <c r="D61" s="73">
        <v>3067807</v>
      </c>
      <c r="E61" s="72">
        <v>45433</v>
      </c>
      <c r="F61" s="12">
        <v>55</v>
      </c>
      <c r="G61" s="13" t="s">
        <v>63</v>
      </c>
      <c r="H61" s="14" t="str">
        <f t="shared" si="0"/>
        <v>A</v>
      </c>
      <c r="I61" s="15" t="str">
        <f t="shared" si="1"/>
        <v>The Commissioner &amp; Chief Constable are satisfied the spend represents VFM in accordance with the requirements of Category A</v>
      </c>
      <c r="J61" s="16"/>
      <c r="K61" s="16"/>
    </row>
    <row r="62" spans="1:11" x14ac:dyDescent="0.2">
      <c r="A62" s="10" t="s">
        <v>8</v>
      </c>
      <c r="B62" s="11" t="s">
        <v>9</v>
      </c>
      <c r="C62" s="77" t="s">
        <v>78</v>
      </c>
      <c r="D62" s="73">
        <v>3067810</v>
      </c>
      <c r="E62" s="72">
        <v>45433</v>
      </c>
      <c r="F62" s="18">
        <v>23885.63</v>
      </c>
      <c r="G62" s="19" t="s">
        <v>62</v>
      </c>
      <c r="H62" s="14" t="str">
        <f t="shared" si="0"/>
        <v>B</v>
      </c>
      <c r="I62" s="15" t="str">
        <f t="shared" si="1"/>
        <v>The Commissioner &amp; Chief Constable are satisfied the spend represents VFM in accordance with the requirements of Category B</v>
      </c>
      <c r="J62" s="16"/>
      <c r="K62" s="16"/>
    </row>
    <row r="63" spans="1:11" x14ac:dyDescent="0.2">
      <c r="A63" s="10" t="s">
        <v>8</v>
      </c>
      <c r="B63" s="11" t="s">
        <v>9</v>
      </c>
      <c r="C63" s="75" t="s">
        <v>78</v>
      </c>
      <c r="D63" s="73">
        <v>3067810</v>
      </c>
      <c r="E63" s="72">
        <v>45433</v>
      </c>
      <c r="F63" s="12">
        <v>55</v>
      </c>
      <c r="G63" s="13" t="s">
        <v>63</v>
      </c>
      <c r="H63" s="14" t="str">
        <f t="shared" si="0"/>
        <v>A</v>
      </c>
      <c r="I63" s="15" t="str">
        <f t="shared" si="1"/>
        <v>The Commissioner &amp; Chief Constable are satisfied the spend represents VFM in accordance with the requirements of Category A</v>
      </c>
      <c r="J63" s="16"/>
      <c r="K63" s="16"/>
    </row>
    <row r="64" spans="1:11" x14ac:dyDescent="0.2">
      <c r="A64" s="10" t="s">
        <v>8</v>
      </c>
      <c r="B64" s="11" t="s">
        <v>9</v>
      </c>
      <c r="C64" s="75" t="s">
        <v>78</v>
      </c>
      <c r="D64" s="73">
        <v>3067811</v>
      </c>
      <c r="E64" s="72">
        <v>45433</v>
      </c>
      <c r="F64" s="18">
        <v>23885.63</v>
      </c>
      <c r="G64" s="19" t="s">
        <v>62</v>
      </c>
      <c r="H64" s="14" t="str">
        <f t="shared" si="0"/>
        <v>B</v>
      </c>
      <c r="I64" s="15" t="str">
        <f t="shared" si="1"/>
        <v>The Commissioner &amp; Chief Constable are satisfied the spend represents VFM in accordance with the requirements of Category B</v>
      </c>
      <c r="J64" s="16"/>
      <c r="K64" s="16"/>
    </row>
    <row r="65" spans="1:11" x14ac:dyDescent="0.2">
      <c r="A65" s="10" t="s">
        <v>8</v>
      </c>
      <c r="B65" s="11" t="s">
        <v>9</v>
      </c>
      <c r="C65" s="75" t="s">
        <v>78</v>
      </c>
      <c r="D65" s="73">
        <v>3067811</v>
      </c>
      <c r="E65" s="72">
        <v>45433</v>
      </c>
      <c r="F65" s="12">
        <v>55</v>
      </c>
      <c r="G65" s="13" t="s">
        <v>63</v>
      </c>
      <c r="H65" s="14" t="str">
        <f t="shared" si="0"/>
        <v>A</v>
      </c>
      <c r="I65" s="15" t="str">
        <f t="shared" si="1"/>
        <v>The Commissioner &amp; Chief Constable are satisfied the spend represents VFM in accordance with the requirements of Category A</v>
      </c>
      <c r="J65" s="16"/>
      <c r="K65" s="16"/>
    </row>
    <row r="66" spans="1:11" x14ac:dyDescent="0.2">
      <c r="A66" s="10" t="s">
        <v>8</v>
      </c>
      <c r="B66" s="11" t="s">
        <v>9</v>
      </c>
      <c r="C66" s="75" t="s">
        <v>78</v>
      </c>
      <c r="D66" s="73">
        <v>3067812</v>
      </c>
      <c r="E66" s="72">
        <v>45433</v>
      </c>
      <c r="F66" s="12">
        <v>23885.63</v>
      </c>
      <c r="G66" s="13" t="s">
        <v>62</v>
      </c>
      <c r="H66" s="14" t="str">
        <f t="shared" ref="H66:H129" si="2">IF(F66&gt;25000,"C",IF(F66&gt;1000,"B","A"))</f>
        <v>B</v>
      </c>
      <c r="I66" s="15" t="str">
        <f t="shared" ref="I66:I129" si="3">VLOOKUP(H66,$L$2:$M$4,2,FALSE)</f>
        <v>The Commissioner &amp; Chief Constable are satisfied the spend represents VFM in accordance with the requirements of Category B</v>
      </c>
      <c r="J66" s="16"/>
      <c r="K66" s="16"/>
    </row>
    <row r="67" spans="1:11" x14ac:dyDescent="0.2">
      <c r="A67" s="10" t="s">
        <v>8</v>
      </c>
      <c r="B67" s="11" t="s">
        <v>9</v>
      </c>
      <c r="C67" s="75" t="s">
        <v>78</v>
      </c>
      <c r="D67" s="73">
        <v>3067812</v>
      </c>
      <c r="E67" s="72">
        <v>45433</v>
      </c>
      <c r="F67" s="12">
        <v>55</v>
      </c>
      <c r="G67" s="13" t="s">
        <v>63</v>
      </c>
      <c r="H67" s="14" t="str">
        <f t="shared" si="2"/>
        <v>A</v>
      </c>
      <c r="I67" s="15" t="str">
        <f t="shared" si="3"/>
        <v>The Commissioner &amp; Chief Constable are satisfied the spend represents VFM in accordance with the requirements of Category A</v>
      </c>
      <c r="J67" s="16"/>
      <c r="K67" s="16"/>
    </row>
    <row r="68" spans="1:11" x14ac:dyDescent="0.2">
      <c r="A68" s="10" t="s">
        <v>8</v>
      </c>
      <c r="B68" s="11" t="s">
        <v>9</v>
      </c>
      <c r="C68" s="77" t="s">
        <v>78</v>
      </c>
      <c r="D68" s="73">
        <v>3067808</v>
      </c>
      <c r="E68" s="72">
        <v>45433</v>
      </c>
      <c r="F68" s="12">
        <v>23885.63</v>
      </c>
      <c r="G68" s="13" t="s">
        <v>62</v>
      </c>
      <c r="H68" s="14" t="str">
        <f t="shared" si="2"/>
        <v>B</v>
      </c>
      <c r="I68" s="15" t="str">
        <f t="shared" si="3"/>
        <v>The Commissioner &amp; Chief Constable are satisfied the spend represents VFM in accordance with the requirements of Category B</v>
      </c>
      <c r="J68" s="16"/>
      <c r="K68" s="16"/>
    </row>
    <row r="69" spans="1:11" x14ac:dyDescent="0.2">
      <c r="A69" s="10" t="s">
        <v>8</v>
      </c>
      <c r="B69" s="11" t="s">
        <v>9</v>
      </c>
      <c r="C69" s="77" t="s">
        <v>78</v>
      </c>
      <c r="D69" s="73">
        <v>3067808</v>
      </c>
      <c r="E69" s="72">
        <v>45433</v>
      </c>
      <c r="F69" s="12">
        <v>55</v>
      </c>
      <c r="G69" s="13" t="s">
        <v>63</v>
      </c>
      <c r="H69" s="14" t="str">
        <f t="shared" si="2"/>
        <v>A</v>
      </c>
      <c r="I69" s="15" t="str">
        <f t="shared" si="3"/>
        <v>The Commissioner &amp; Chief Constable are satisfied the spend represents VFM in accordance with the requirements of Category A</v>
      </c>
      <c r="J69" s="16"/>
      <c r="K69" s="16"/>
    </row>
    <row r="70" spans="1:11" x14ac:dyDescent="0.2">
      <c r="A70" s="10" t="s">
        <v>8</v>
      </c>
      <c r="B70" s="11" t="s">
        <v>9</v>
      </c>
      <c r="C70" s="75" t="s">
        <v>78</v>
      </c>
      <c r="D70" s="73">
        <v>3067806</v>
      </c>
      <c r="E70" s="72">
        <v>45433</v>
      </c>
      <c r="F70" s="12">
        <v>23885.63</v>
      </c>
      <c r="G70" s="13" t="s">
        <v>62</v>
      </c>
      <c r="H70" s="14" t="str">
        <f t="shared" si="2"/>
        <v>B</v>
      </c>
      <c r="I70" s="15" t="str">
        <f t="shared" si="3"/>
        <v>The Commissioner &amp; Chief Constable are satisfied the spend represents VFM in accordance with the requirements of Category B</v>
      </c>
      <c r="J70" s="16"/>
      <c r="K70" s="16"/>
    </row>
    <row r="71" spans="1:11" x14ac:dyDescent="0.2">
      <c r="A71" s="10" t="s">
        <v>8</v>
      </c>
      <c r="B71" s="11" t="s">
        <v>9</v>
      </c>
      <c r="C71" s="77" t="s">
        <v>78</v>
      </c>
      <c r="D71" s="73">
        <v>3067806</v>
      </c>
      <c r="E71" s="72">
        <v>45433</v>
      </c>
      <c r="F71" s="12">
        <v>55</v>
      </c>
      <c r="G71" s="13" t="s">
        <v>63</v>
      </c>
      <c r="H71" s="14" t="str">
        <f t="shared" si="2"/>
        <v>A</v>
      </c>
      <c r="I71" s="15" t="str">
        <f t="shared" si="3"/>
        <v>The Commissioner &amp; Chief Constable are satisfied the spend represents VFM in accordance with the requirements of Category A</v>
      </c>
      <c r="J71" s="16"/>
      <c r="K71" s="16"/>
    </row>
    <row r="72" spans="1:11" x14ac:dyDescent="0.2">
      <c r="A72" s="10" t="s">
        <v>8</v>
      </c>
      <c r="B72" s="11" t="s">
        <v>9</v>
      </c>
      <c r="C72" s="77" t="s">
        <v>85</v>
      </c>
      <c r="D72" s="73">
        <v>7172217</v>
      </c>
      <c r="E72" s="72">
        <v>45422</v>
      </c>
      <c r="F72" s="12">
        <v>23597.5</v>
      </c>
      <c r="G72" s="13" t="s">
        <v>27</v>
      </c>
      <c r="H72" s="14" t="str">
        <f t="shared" si="2"/>
        <v>B</v>
      </c>
      <c r="I72" s="15" t="str">
        <f t="shared" si="3"/>
        <v>The Commissioner &amp; Chief Constable are satisfied the spend represents VFM in accordance with the requirements of Category B</v>
      </c>
      <c r="J72" s="16"/>
      <c r="K72" s="16"/>
    </row>
    <row r="73" spans="1:11" x14ac:dyDescent="0.2">
      <c r="A73" s="10" t="s">
        <v>8</v>
      </c>
      <c r="B73" s="11" t="s">
        <v>9</v>
      </c>
      <c r="C73" s="75" t="s">
        <v>184</v>
      </c>
      <c r="D73" s="73">
        <v>7172473</v>
      </c>
      <c r="E73" s="72">
        <v>45419</v>
      </c>
      <c r="F73" s="12">
        <v>22580</v>
      </c>
      <c r="G73" s="13" t="s">
        <v>15</v>
      </c>
      <c r="H73" s="14" t="str">
        <f t="shared" si="2"/>
        <v>B</v>
      </c>
      <c r="I73" s="15" t="str">
        <f t="shared" si="3"/>
        <v>The Commissioner &amp; Chief Constable are satisfied the spend represents VFM in accordance with the requirements of Category B</v>
      </c>
      <c r="J73" s="16"/>
      <c r="K73" s="16"/>
    </row>
    <row r="74" spans="1:11" x14ac:dyDescent="0.2">
      <c r="A74" s="10" t="s">
        <v>8</v>
      </c>
      <c r="B74" s="11" t="s">
        <v>9</v>
      </c>
      <c r="C74" s="77" t="s">
        <v>536</v>
      </c>
      <c r="D74" s="73">
        <v>7172206</v>
      </c>
      <c r="E74" s="72">
        <v>45413</v>
      </c>
      <c r="F74" s="12">
        <v>21607.73</v>
      </c>
      <c r="G74" s="13" t="s">
        <v>319</v>
      </c>
      <c r="H74" s="14" t="str">
        <f t="shared" si="2"/>
        <v>B</v>
      </c>
      <c r="I74" s="15" t="str">
        <f t="shared" si="3"/>
        <v>The Commissioner &amp; Chief Constable are satisfied the spend represents VFM in accordance with the requirements of Category B</v>
      </c>
      <c r="J74" s="16"/>
      <c r="K74" s="16"/>
    </row>
    <row r="75" spans="1:11" x14ac:dyDescent="0.2">
      <c r="A75" s="10" t="s">
        <v>8</v>
      </c>
      <c r="B75" s="11" t="s">
        <v>9</v>
      </c>
      <c r="C75" s="77" t="s">
        <v>44</v>
      </c>
      <c r="D75" s="73">
        <v>7172346</v>
      </c>
      <c r="E75" s="72">
        <v>45415</v>
      </c>
      <c r="F75" s="12">
        <v>9932</v>
      </c>
      <c r="G75" s="13" t="s">
        <v>45</v>
      </c>
      <c r="H75" s="14" t="str">
        <f t="shared" si="2"/>
        <v>B</v>
      </c>
      <c r="I75" s="15" t="str">
        <f t="shared" si="3"/>
        <v>The Commissioner &amp; Chief Constable are satisfied the spend represents VFM in accordance with the requirements of Category B</v>
      </c>
      <c r="J75" s="16"/>
      <c r="K75" s="16"/>
    </row>
    <row r="76" spans="1:11" x14ac:dyDescent="0.2">
      <c r="A76" s="10" t="s">
        <v>8</v>
      </c>
      <c r="B76" s="11" t="s">
        <v>9</v>
      </c>
      <c r="C76" s="75" t="s">
        <v>44</v>
      </c>
      <c r="D76" s="73">
        <v>7172346</v>
      </c>
      <c r="E76" s="72">
        <v>45415</v>
      </c>
      <c r="F76" s="12">
        <v>11223</v>
      </c>
      <c r="G76" s="13" t="s">
        <v>81</v>
      </c>
      <c r="H76" s="14" t="str">
        <f t="shared" si="2"/>
        <v>B</v>
      </c>
      <c r="I76" s="15" t="str">
        <f t="shared" si="3"/>
        <v>The Commissioner &amp; Chief Constable are satisfied the spend represents VFM in accordance with the requirements of Category B</v>
      </c>
      <c r="J76" s="16"/>
      <c r="K76" s="16"/>
    </row>
    <row r="77" spans="1:11" x14ac:dyDescent="0.2">
      <c r="A77" s="10" t="s">
        <v>8</v>
      </c>
      <c r="B77" s="11" t="s">
        <v>9</v>
      </c>
      <c r="C77" s="77" t="s">
        <v>204</v>
      </c>
      <c r="D77" s="73">
        <v>7173162</v>
      </c>
      <c r="E77" s="72">
        <v>45442</v>
      </c>
      <c r="F77" s="12">
        <v>20895</v>
      </c>
      <c r="G77" s="13" t="s">
        <v>22</v>
      </c>
      <c r="H77" s="14" t="str">
        <f t="shared" si="2"/>
        <v>B</v>
      </c>
      <c r="I77" s="15" t="str">
        <f t="shared" si="3"/>
        <v>The Commissioner &amp; Chief Constable are satisfied the spend represents VFM in accordance with the requirements of Category B</v>
      </c>
      <c r="J77" s="16"/>
      <c r="K77" s="16"/>
    </row>
    <row r="78" spans="1:11" x14ac:dyDescent="0.2">
      <c r="A78" s="10" t="s">
        <v>8</v>
      </c>
      <c r="B78" s="11" t="s">
        <v>9</v>
      </c>
      <c r="C78" s="77" t="s">
        <v>352</v>
      </c>
      <c r="D78" s="73">
        <v>7172702</v>
      </c>
      <c r="E78" s="72">
        <v>45426</v>
      </c>
      <c r="F78" s="12">
        <v>20629.05</v>
      </c>
      <c r="G78" s="13" t="s">
        <v>15</v>
      </c>
      <c r="H78" s="14" t="str">
        <f t="shared" si="2"/>
        <v>B</v>
      </c>
      <c r="I78" s="15" t="str">
        <f t="shared" si="3"/>
        <v>The Commissioner &amp; Chief Constable are satisfied the spend represents VFM in accordance with the requirements of Category B</v>
      </c>
      <c r="J78" s="16"/>
      <c r="K78" s="16"/>
    </row>
    <row r="79" spans="1:11" x14ac:dyDescent="0.2">
      <c r="A79" s="10" t="s">
        <v>8</v>
      </c>
      <c r="B79" s="11" t="s">
        <v>9</v>
      </c>
      <c r="C79" s="75" t="s">
        <v>583</v>
      </c>
      <c r="D79" s="73">
        <v>7172803</v>
      </c>
      <c r="E79" s="72">
        <v>45426</v>
      </c>
      <c r="F79" s="12">
        <v>20000</v>
      </c>
      <c r="G79" s="13" t="s">
        <v>27</v>
      </c>
      <c r="H79" s="14" t="str">
        <f t="shared" si="2"/>
        <v>B</v>
      </c>
      <c r="I79" s="15" t="str">
        <f t="shared" si="3"/>
        <v>The Commissioner &amp; Chief Constable are satisfied the spend represents VFM in accordance with the requirements of Category B</v>
      </c>
      <c r="J79" s="16"/>
      <c r="K79" s="16"/>
    </row>
    <row r="80" spans="1:11" x14ac:dyDescent="0.2">
      <c r="A80" s="10" t="s">
        <v>8</v>
      </c>
      <c r="B80" s="11" t="s">
        <v>9</v>
      </c>
      <c r="C80" s="77" t="s">
        <v>100</v>
      </c>
      <c r="D80" s="73">
        <v>7172931</v>
      </c>
      <c r="E80" s="72">
        <v>45429</v>
      </c>
      <c r="F80" s="12">
        <v>19697.72</v>
      </c>
      <c r="G80" s="13" t="s">
        <v>38</v>
      </c>
      <c r="H80" s="14" t="str">
        <f t="shared" si="2"/>
        <v>B</v>
      </c>
      <c r="I80" s="15" t="str">
        <f t="shared" si="3"/>
        <v>The Commissioner &amp; Chief Constable are satisfied the spend represents VFM in accordance with the requirements of Category B</v>
      </c>
      <c r="J80" s="16"/>
      <c r="K80" s="16"/>
    </row>
    <row r="81" spans="1:11" x14ac:dyDescent="0.2">
      <c r="A81" s="10" t="s">
        <v>8</v>
      </c>
      <c r="B81" s="11" t="s">
        <v>9</v>
      </c>
      <c r="C81" s="77" t="s">
        <v>708</v>
      </c>
      <c r="D81" s="73">
        <v>7172049</v>
      </c>
      <c r="E81" s="72">
        <v>45435</v>
      </c>
      <c r="F81" s="12">
        <v>17990</v>
      </c>
      <c r="G81" s="13" t="s">
        <v>80</v>
      </c>
      <c r="H81" s="14" t="str">
        <f t="shared" si="2"/>
        <v>B</v>
      </c>
      <c r="I81" s="15" t="str">
        <f t="shared" si="3"/>
        <v>The Commissioner &amp; Chief Constable are satisfied the spend represents VFM in accordance with the requirements of Category B</v>
      </c>
      <c r="J81" s="16"/>
      <c r="K81" s="16"/>
    </row>
    <row r="82" spans="1:11" x14ac:dyDescent="0.2">
      <c r="A82" s="10" t="s">
        <v>8</v>
      </c>
      <c r="B82" s="11" t="s">
        <v>9</v>
      </c>
      <c r="C82" s="75" t="s">
        <v>26</v>
      </c>
      <c r="D82" s="73">
        <v>7172766</v>
      </c>
      <c r="E82" s="72">
        <v>45426</v>
      </c>
      <c r="F82" s="18">
        <v>17950.219999999998</v>
      </c>
      <c r="G82" s="19" t="s">
        <v>76</v>
      </c>
      <c r="H82" s="14" t="str">
        <f t="shared" si="2"/>
        <v>B</v>
      </c>
      <c r="I82" s="15" t="str">
        <f t="shared" si="3"/>
        <v>The Commissioner &amp; Chief Constable are satisfied the spend represents VFM in accordance with the requirements of Category B</v>
      </c>
      <c r="J82" s="16"/>
      <c r="K82" s="16"/>
    </row>
    <row r="83" spans="1:11" x14ac:dyDescent="0.2">
      <c r="A83" s="10" t="s">
        <v>8</v>
      </c>
      <c r="B83" s="11" t="s">
        <v>9</v>
      </c>
      <c r="C83" s="77" t="s">
        <v>653</v>
      </c>
      <c r="D83" s="73">
        <v>7172791</v>
      </c>
      <c r="E83" s="72">
        <v>45426</v>
      </c>
      <c r="F83" s="12">
        <v>17192</v>
      </c>
      <c r="G83" s="13" t="s">
        <v>27</v>
      </c>
      <c r="H83" s="14" t="str">
        <f t="shared" si="2"/>
        <v>B</v>
      </c>
      <c r="I83" s="15" t="str">
        <f t="shared" si="3"/>
        <v>The Commissioner &amp; Chief Constable are satisfied the spend represents VFM in accordance with the requirements of Category B</v>
      </c>
      <c r="J83" s="16"/>
      <c r="K83" s="16"/>
    </row>
    <row r="84" spans="1:11" x14ac:dyDescent="0.2">
      <c r="A84" s="10" t="s">
        <v>8</v>
      </c>
      <c r="B84" s="11" t="s">
        <v>9</v>
      </c>
      <c r="C84" s="77" t="s">
        <v>576</v>
      </c>
      <c r="D84" s="73">
        <v>7172332</v>
      </c>
      <c r="E84" s="72">
        <v>45421</v>
      </c>
      <c r="F84" s="12">
        <v>16492.18</v>
      </c>
      <c r="G84" s="13" t="s">
        <v>218</v>
      </c>
      <c r="H84" s="14" t="str">
        <f t="shared" si="2"/>
        <v>B</v>
      </c>
      <c r="I84" s="15" t="str">
        <f t="shared" si="3"/>
        <v>The Commissioner &amp; Chief Constable are satisfied the spend represents VFM in accordance with the requirements of Category B</v>
      </c>
      <c r="J84" s="16"/>
      <c r="K84" s="16"/>
    </row>
    <row r="85" spans="1:11" x14ac:dyDescent="0.2">
      <c r="A85" s="10" t="s">
        <v>8</v>
      </c>
      <c r="B85" s="11" t="s">
        <v>9</v>
      </c>
      <c r="C85" s="77" t="s">
        <v>52</v>
      </c>
      <c r="D85" s="73">
        <v>7172388</v>
      </c>
      <c r="E85" s="72">
        <v>45415</v>
      </c>
      <c r="F85" s="12">
        <v>2983.75</v>
      </c>
      <c r="G85" s="13" t="s">
        <v>45</v>
      </c>
      <c r="H85" s="14" t="str">
        <f t="shared" si="2"/>
        <v>B</v>
      </c>
      <c r="I85" s="15" t="str">
        <f t="shared" si="3"/>
        <v>The Commissioner &amp; Chief Constable are satisfied the spend represents VFM in accordance with the requirements of Category B</v>
      </c>
      <c r="J85" s="16"/>
      <c r="K85" s="16"/>
    </row>
    <row r="86" spans="1:11" x14ac:dyDescent="0.2">
      <c r="A86" s="10" t="s">
        <v>8</v>
      </c>
      <c r="B86" s="11" t="s">
        <v>9</v>
      </c>
      <c r="C86" s="77" t="s">
        <v>52</v>
      </c>
      <c r="D86" s="73">
        <v>7172388</v>
      </c>
      <c r="E86" s="72">
        <v>45415</v>
      </c>
      <c r="F86" s="12">
        <v>9762</v>
      </c>
      <c r="G86" s="13" t="s">
        <v>81</v>
      </c>
      <c r="H86" s="14" t="str">
        <f t="shared" si="2"/>
        <v>B</v>
      </c>
      <c r="I86" s="15" t="str">
        <f t="shared" si="3"/>
        <v>The Commissioner &amp; Chief Constable are satisfied the spend represents VFM in accordance with the requirements of Category B</v>
      </c>
      <c r="J86" s="16"/>
      <c r="K86" s="16"/>
    </row>
    <row r="87" spans="1:11" x14ac:dyDescent="0.2">
      <c r="A87" s="10" t="s">
        <v>8</v>
      </c>
      <c r="B87" s="11" t="s">
        <v>9</v>
      </c>
      <c r="C87" s="75" t="s">
        <v>52</v>
      </c>
      <c r="D87" s="73">
        <v>7172388</v>
      </c>
      <c r="E87" s="72">
        <v>45415</v>
      </c>
      <c r="F87" s="12">
        <v>3370</v>
      </c>
      <c r="G87" s="13" t="s">
        <v>82</v>
      </c>
      <c r="H87" s="14" t="str">
        <f t="shared" si="2"/>
        <v>B</v>
      </c>
      <c r="I87" s="15" t="str">
        <f t="shared" si="3"/>
        <v>The Commissioner &amp; Chief Constable are satisfied the spend represents VFM in accordance with the requirements of Category B</v>
      </c>
      <c r="J87" s="16"/>
      <c r="K87" s="16"/>
    </row>
    <row r="88" spans="1:11" x14ac:dyDescent="0.2">
      <c r="A88" s="10" t="s">
        <v>8</v>
      </c>
      <c r="B88" s="11" t="s">
        <v>9</v>
      </c>
      <c r="C88" s="77" t="s">
        <v>74</v>
      </c>
      <c r="D88" s="73">
        <v>7173034</v>
      </c>
      <c r="E88" s="72">
        <v>45433</v>
      </c>
      <c r="F88" s="12">
        <v>15351</v>
      </c>
      <c r="G88" s="13" t="s">
        <v>75</v>
      </c>
      <c r="H88" s="14" t="str">
        <f t="shared" si="2"/>
        <v>B</v>
      </c>
      <c r="I88" s="15" t="str">
        <f t="shared" si="3"/>
        <v>The Commissioner &amp; Chief Constable are satisfied the spend represents VFM in accordance with the requirements of Category B</v>
      </c>
      <c r="J88" s="16"/>
      <c r="K88" s="16"/>
    </row>
    <row r="89" spans="1:11" x14ac:dyDescent="0.2">
      <c r="A89" s="10" t="s">
        <v>8</v>
      </c>
      <c r="B89" s="11" t="s">
        <v>9</v>
      </c>
      <c r="C89" s="77" t="s">
        <v>127</v>
      </c>
      <c r="D89" s="73">
        <v>7172883</v>
      </c>
      <c r="E89" s="72">
        <v>45429</v>
      </c>
      <c r="F89" s="12">
        <v>15326.82</v>
      </c>
      <c r="G89" s="13" t="s">
        <v>49</v>
      </c>
      <c r="H89" s="14" t="str">
        <f t="shared" si="2"/>
        <v>B</v>
      </c>
      <c r="I89" s="15" t="str">
        <f t="shared" si="3"/>
        <v>The Commissioner &amp; Chief Constable are satisfied the spend represents VFM in accordance with the requirements of Category B</v>
      </c>
      <c r="J89" s="16"/>
      <c r="K89" s="16"/>
    </row>
    <row r="90" spans="1:11" x14ac:dyDescent="0.2">
      <c r="A90" s="10" t="s">
        <v>8</v>
      </c>
      <c r="B90" s="11" t="s">
        <v>9</v>
      </c>
      <c r="C90" s="75" t="s">
        <v>707</v>
      </c>
      <c r="D90" s="73">
        <v>7172830</v>
      </c>
      <c r="E90" s="72">
        <v>45441</v>
      </c>
      <c r="F90" s="12">
        <v>14889</v>
      </c>
      <c r="G90" s="13" t="s">
        <v>251</v>
      </c>
      <c r="H90" s="14" t="str">
        <f t="shared" si="2"/>
        <v>B</v>
      </c>
      <c r="I90" s="15" t="str">
        <f t="shared" si="3"/>
        <v>The Commissioner &amp; Chief Constable are satisfied the spend represents VFM in accordance with the requirements of Category B</v>
      </c>
      <c r="J90" s="16"/>
      <c r="K90" s="16"/>
    </row>
    <row r="91" spans="1:11" x14ac:dyDescent="0.2">
      <c r="A91" s="10" t="s">
        <v>8</v>
      </c>
      <c r="B91" s="11" t="s">
        <v>9</v>
      </c>
      <c r="C91" s="77" t="s">
        <v>706</v>
      </c>
      <c r="D91" s="73">
        <v>7173310</v>
      </c>
      <c r="E91" s="72">
        <v>45442</v>
      </c>
      <c r="F91" s="12">
        <v>14825.15</v>
      </c>
      <c r="G91" s="13" t="s">
        <v>574</v>
      </c>
      <c r="H91" s="14" t="str">
        <f t="shared" si="2"/>
        <v>B</v>
      </c>
      <c r="I91" s="15" t="str">
        <f t="shared" si="3"/>
        <v>The Commissioner &amp; Chief Constable are satisfied the spend represents VFM in accordance with the requirements of Category B</v>
      </c>
      <c r="J91" s="16"/>
      <c r="K91" s="16"/>
    </row>
    <row r="92" spans="1:11" x14ac:dyDescent="0.2">
      <c r="A92" s="10" t="s">
        <v>8</v>
      </c>
      <c r="B92" s="11" t="s">
        <v>9</v>
      </c>
      <c r="C92" s="77" t="s">
        <v>86</v>
      </c>
      <c r="D92" s="73">
        <v>7172349</v>
      </c>
      <c r="E92" s="72">
        <v>45413</v>
      </c>
      <c r="F92" s="12">
        <v>14656.25</v>
      </c>
      <c r="G92" s="13" t="s">
        <v>87</v>
      </c>
      <c r="H92" s="14" t="str">
        <f t="shared" si="2"/>
        <v>B</v>
      </c>
      <c r="I92" s="15" t="str">
        <f t="shared" si="3"/>
        <v>The Commissioner &amp; Chief Constable are satisfied the spend represents VFM in accordance with the requirements of Category B</v>
      </c>
      <c r="J92" s="16"/>
      <c r="K92" s="16"/>
    </row>
    <row r="93" spans="1:11" x14ac:dyDescent="0.2">
      <c r="A93" s="10" t="s">
        <v>8</v>
      </c>
      <c r="B93" s="11" t="s">
        <v>9</v>
      </c>
      <c r="C93" s="75" t="s">
        <v>181</v>
      </c>
      <c r="D93" s="73">
        <v>7173141</v>
      </c>
      <c r="E93" s="72">
        <v>45443</v>
      </c>
      <c r="F93" s="12">
        <v>14621.099999999999</v>
      </c>
      <c r="G93" s="13" t="s">
        <v>98</v>
      </c>
      <c r="H93" s="14" t="str">
        <f t="shared" si="2"/>
        <v>B</v>
      </c>
      <c r="I93" s="15" t="str">
        <f t="shared" si="3"/>
        <v>The Commissioner &amp; Chief Constable are satisfied the spend represents VFM in accordance with the requirements of Category B</v>
      </c>
      <c r="J93" s="16"/>
      <c r="K93" s="16"/>
    </row>
    <row r="94" spans="1:11" x14ac:dyDescent="0.2">
      <c r="A94" s="10" t="s">
        <v>8</v>
      </c>
      <c r="B94" s="11" t="s">
        <v>9</v>
      </c>
      <c r="C94" s="77" t="s">
        <v>137</v>
      </c>
      <c r="D94" s="73">
        <v>7172930</v>
      </c>
      <c r="E94" s="72">
        <v>45428</v>
      </c>
      <c r="F94" s="12">
        <v>14361.72</v>
      </c>
      <c r="G94" s="13" t="s">
        <v>138</v>
      </c>
      <c r="H94" s="14" t="str">
        <f t="shared" si="2"/>
        <v>B</v>
      </c>
      <c r="I94" s="15" t="str">
        <f t="shared" si="3"/>
        <v>The Commissioner &amp; Chief Constable are satisfied the spend represents VFM in accordance with the requirements of Category B</v>
      </c>
      <c r="J94" s="16"/>
      <c r="K94" s="16"/>
    </row>
    <row r="95" spans="1:11" x14ac:dyDescent="0.2">
      <c r="A95" s="10" t="s">
        <v>8</v>
      </c>
      <c r="B95" s="11" t="s">
        <v>9</v>
      </c>
      <c r="C95" s="77" t="s">
        <v>153</v>
      </c>
      <c r="D95" s="73">
        <v>7173252</v>
      </c>
      <c r="E95" s="72">
        <v>45442</v>
      </c>
      <c r="F95" s="12">
        <v>14345</v>
      </c>
      <c r="G95" s="13" t="s">
        <v>39</v>
      </c>
      <c r="H95" s="14" t="str">
        <f t="shared" si="2"/>
        <v>B</v>
      </c>
      <c r="I95" s="15" t="str">
        <f t="shared" si="3"/>
        <v>The Commissioner &amp; Chief Constable are satisfied the spend represents VFM in accordance with the requirements of Category B</v>
      </c>
      <c r="J95" s="16"/>
      <c r="K95" s="16"/>
    </row>
    <row r="96" spans="1:11" x14ac:dyDescent="0.2">
      <c r="A96" s="10" t="s">
        <v>8</v>
      </c>
      <c r="B96" s="11" t="s">
        <v>9</v>
      </c>
      <c r="C96" s="75" t="s">
        <v>115</v>
      </c>
      <c r="D96" s="73">
        <v>7173093</v>
      </c>
      <c r="E96" s="72">
        <v>45435</v>
      </c>
      <c r="F96" s="12">
        <v>14326.02</v>
      </c>
      <c r="G96" s="13" t="s">
        <v>116</v>
      </c>
      <c r="H96" s="14" t="str">
        <f t="shared" si="2"/>
        <v>B</v>
      </c>
      <c r="I96" s="15" t="str">
        <f t="shared" si="3"/>
        <v>The Commissioner &amp; Chief Constable are satisfied the spend represents VFM in accordance with the requirements of Category B</v>
      </c>
      <c r="J96" s="16"/>
      <c r="K96" s="16"/>
    </row>
    <row r="97" spans="1:11" x14ac:dyDescent="0.2">
      <c r="A97" s="10" t="s">
        <v>8</v>
      </c>
      <c r="B97" s="11" t="s">
        <v>9</v>
      </c>
      <c r="C97" s="77" t="s">
        <v>107</v>
      </c>
      <c r="D97" s="73">
        <v>7172459</v>
      </c>
      <c r="E97" s="72">
        <v>45419</v>
      </c>
      <c r="F97" s="12">
        <v>13713.19</v>
      </c>
      <c r="G97" s="13" t="s">
        <v>108</v>
      </c>
      <c r="H97" s="14" t="str">
        <f t="shared" si="2"/>
        <v>B</v>
      </c>
      <c r="I97" s="15" t="str">
        <f t="shared" si="3"/>
        <v>The Commissioner &amp; Chief Constable are satisfied the spend represents VFM in accordance with the requirements of Category B</v>
      </c>
      <c r="J97" s="16"/>
      <c r="K97" s="16"/>
    </row>
    <row r="98" spans="1:11" x14ac:dyDescent="0.2">
      <c r="A98" s="10" t="s">
        <v>8</v>
      </c>
      <c r="B98" s="11" t="s">
        <v>9</v>
      </c>
      <c r="C98" s="77" t="s">
        <v>221</v>
      </c>
      <c r="D98" s="73">
        <v>7173111</v>
      </c>
      <c r="E98" s="72">
        <v>45435</v>
      </c>
      <c r="F98" s="12">
        <v>13570</v>
      </c>
      <c r="G98" s="13" t="s">
        <v>106</v>
      </c>
      <c r="H98" s="14" t="str">
        <f t="shared" si="2"/>
        <v>B</v>
      </c>
      <c r="I98" s="15" t="str">
        <f t="shared" si="3"/>
        <v>The Commissioner &amp; Chief Constable are satisfied the spend represents VFM in accordance with the requirements of Category B</v>
      </c>
      <c r="J98" s="16"/>
      <c r="K98" s="16"/>
    </row>
    <row r="99" spans="1:11" x14ac:dyDescent="0.2">
      <c r="A99" s="10" t="s">
        <v>8</v>
      </c>
      <c r="B99" s="11" t="s">
        <v>9</v>
      </c>
      <c r="C99" s="75" t="s">
        <v>163</v>
      </c>
      <c r="D99" s="73">
        <v>7172570</v>
      </c>
      <c r="E99" s="72">
        <v>45420</v>
      </c>
      <c r="F99" s="12">
        <v>13470</v>
      </c>
      <c r="G99" s="13" t="s">
        <v>45</v>
      </c>
      <c r="H99" s="14" t="str">
        <f t="shared" si="2"/>
        <v>B</v>
      </c>
      <c r="I99" s="15" t="str">
        <f t="shared" si="3"/>
        <v>The Commissioner &amp; Chief Constable are satisfied the spend represents VFM in accordance with the requirements of Category B</v>
      </c>
      <c r="J99" s="16"/>
      <c r="K99" s="16"/>
    </row>
    <row r="100" spans="1:11" x14ac:dyDescent="0.2">
      <c r="A100" s="10" t="s">
        <v>8</v>
      </c>
      <c r="B100" s="11" t="s">
        <v>9</v>
      </c>
      <c r="C100" s="77" t="s">
        <v>454</v>
      </c>
      <c r="D100" s="73">
        <v>7173081</v>
      </c>
      <c r="E100" s="72">
        <v>45436</v>
      </c>
      <c r="F100" s="12">
        <v>13271.81</v>
      </c>
      <c r="G100" s="13" t="s">
        <v>38</v>
      </c>
      <c r="H100" s="14" t="str">
        <f t="shared" si="2"/>
        <v>B</v>
      </c>
      <c r="I100" s="15" t="str">
        <f t="shared" si="3"/>
        <v>The Commissioner &amp; Chief Constable are satisfied the spend represents VFM in accordance with the requirements of Category B</v>
      </c>
      <c r="J100" s="16"/>
      <c r="K100" s="16"/>
    </row>
    <row r="101" spans="1:11" x14ac:dyDescent="0.2">
      <c r="A101" s="10" t="s">
        <v>8</v>
      </c>
      <c r="B101" s="11" t="s">
        <v>9</v>
      </c>
      <c r="C101" s="77" t="s">
        <v>189</v>
      </c>
      <c r="D101" s="73">
        <v>7171160</v>
      </c>
      <c r="E101" s="72">
        <v>45427</v>
      </c>
      <c r="F101" s="12">
        <v>13050</v>
      </c>
      <c r="G101" s="13" t="s">
        <v>131</v>
      </c>
      <c r="H101" s="14" t="str">
        <f t="shared" si="2"/>
        <v>B</v>
      </c>
      <c r="I101" s="15" t="str">
        <f t="shared" si="3"/>
        <v>The Commissioner &amp; Chief Constable are satisfied the spend represents VFM in accordance with the requirements of Category B</v>
      </c>
      <c r="J101" s="16"/>
      <c r="K101" s="16"/>
    </row>
    <row r="102" spans="1:11" x14ac:dyDescent="0.2">
      <c r="A102" s="10" t="s">
        <v>8</v>
      </c>
      <c r="B102" s="11" t="s">
        <v>9</v>
      </c>
      <c r="C102" s="75" t="s">
        <v>107</v>
      </c>
      <c r="D102" s="73">
        <v>7172456</v>
      </c>
      <c r="E102" s="72">
        <v>45419</v>
      </c>
      <c r="F102" s="12">
        <v>12874.55</v>
      </c>
      <c r="G102" s="13" t="s">
        <v>108</v>
      </c>
      <c r="H102" s="14" t="str">
        <f t="shared" si="2"/>
        <v>B</v>
      </c>
      <c r="I102" s="15" t="str">
        <f t="shared" si="3"/>
        <v>The Commissioner &amp; Chief Constable are satisfied the spend represents VFM in accordance with the requirements of Category B</v>
      </c>
      <c r="J102" s="16"/>
      <c r="K102" s="16"/>
    </row>
    <row r="103" spans="1:11" x14ac:dyDescent="0.2">
      <c r="A103" s="10" t="s">
        <v>8</v>
      </c>
      <c r="B103" s="11" t="s">
        <v>9</v>
      </c>
      <c r="C103" s="77" t="s">
        <v>109</v>
      </c>
      <c r="D103" s="73">
        <v>7172401</v>
      </c>
      <c r="E103" s="72">
        <v>45421</v>
      </c>
      <c r="F103" s="12">
        <v>12500</v>
      </c>
      <c r="G103" s="13" t="s">
        <v>27</v>
      </c>
      <c r="H103" s="14" t="str">
        <f t="shared" si="2"/>
        <v>B</v>
      </c>
      <c r="I103" s="15" t="str">
        <f t="shared" si="3"/>
        <v>The Commissioner &amp; Chief Constable are satisfied the spend represents VFM in accordance with the requirements of Category B</v>
      </c>
      <c r="J103" s="16"/>
      <c r="K103" s="16"/>
    </row>
    <row r="104" spans="1:11" x14ac:dyDescent="0.2">
      <c r="A104" s="10" t="s">
        <v>8</v>
      </c>
      <c r="B104" s="11" t="s">
        <v>9</v>
      </c>
      <c r="C104" s="77" t="s">
        <v>26</v>
      </c>
      <c r="D104" s="73">
        <v>7172352</v>
      </c>
      <c r="E104" s="72">
        <v>45413</v>
      </c>
      <c r="F104" s="12">
        <v>12367.57</v>
      </c>
      <c r="G104" s="13" t="s">
        <v>88</v>
      </c>
      <c r="H104" s="14" t="str">
        <f t="shared" si="2"/>
        <v>B</v>
      </c>
      <c r="I104" s="15" t="str">
        <f t="shared" si="3"/>
        <v>The Commissioner &amp; Chief Constable are satisfied the spend represents VFM in accordance with the requirements of Category B</v>
      </c>
      <c r="J104" s="16"/>
      <c r="K104" s="16"/>
    </row>
    <row r="105" spans="1:11" x14ac:dyDescent="0.2">
      <c r="A105" s="10" t="s">
        <v>8</v>
      </c>
      <c r="B105" s="11" t="s">
        <v>9</v>
      </c>
      <c r="C105" s="75" t="s">
        <v>350</v>
      </c>
      <c r="D105" s="73">
        <v>7172749</v>
      </c>
      <c r="E105" s="72">
        <v>45425</v>
      </c>
      <c r="F105" s="12">
        <v>12000</v>
      </c>
      <c r="G105" s="13" t="s">
        <v>102</v>
      </c>
      <c r="H105" s="14" t="str">
        <f t="shared" si="2"/>
        <v>B</v>
      </c>
      <c r="I105" s="15" t="str">
        <f t="shared" si="3"/>
        <v>The Commissioner &amp; Chief Constable are satisfied the spend represents VFM in accordance with the requirements of Category B</v>
      </c>
      <c r="J105" s="16"/>
      <c r="K105" s="16"/>
    </row>
    <row r="106" spans="1:11" x14ac:dyDescent="0.2">
      <c r="A106" s="10" t="s">
        <v>8</v>
      </c>
      <c r="B106" s="11" t="s">
        <v>9</v>
      </c>
      <c r="C106" s="75" t="s">
        <v>153</v>
      </c>
      <c r="D106" s="73">
        <v>7172358</v>
      </c>
      <c r="E106" s="72">
        <v>45419</v>
      </c>
      <c r="F106" s="12">
        <v>11803.79</v>
      </c>
      <c r="G106" s="13" t="s">
        <v>39</v>
      </c>
      <c r="H106" s="14" t="str">
        <f t="shared" si="2"/>
        <v>B</v>
      </c>
      <c r="I106" s="15" t="str">
        <f t="shared" si="3"/>
        <v>The Commissioner &amp; Chief Constable are satisfied the spend represents VFM in accordance with the requirements of Category B</v>
      </c>
      <c r="J106" s="16"/>
      <c r="K106" s="16"/>
    </row>
    <row r="107" spans="1:11" x14ac:dyDescent="0.2">
      <c r="A107" s="10" t="s">
        <v>8</v>
      </c>
      <c r="B107" s="11" t="s">
        <v>9</v>
      </c>
      <c r="C107" s="75" t="s">
        <v>448</v>
      </c>
      <c r="D107" s="73">
        <v>7173046</v>
      </c>
      <c r="E107" s="72">
        <v>45441</v>
      </c>
      <c r="F107" s="12">
        <v>11662.58</v>
      </c>
      <c r="G107" s="13" t="s">
        <v>27</v>
      </c>
      <c r="H107" s="14" t="str">
        <f t="shared" si="2"/>
        <v>B</v>
      </c>
      <c r="I107" s="15" t="str">
        <f t="shared" si="3"/>
        <v>The Commissioner &amp; Chief Constable are satisfied the spend represents VFM in accordance with the requirements of Category B</v>
      </c>
      <c r="J107" s="16"/>
      <c r="K107" s="16"/>
    </row>
    <row r="108" spans="1:11" x14ac:dyDescent="0.2">
      <c r="A108" s="10" t="s">
        <v>8</v>
      </c>
      <c r="B108" s="11" t="s">
        <v>9</v>
      </c>
      <c r="C108" s="75" t="s">
        <v>113</v>
      </c>
      <c r="D108" s="73">
        <v>7172885</v>
      </c>
      <c r="E108" s="72">
        <v>45427</v>
      </c>
      <c r="F108" s="12">
        <v>11271.89</v>
      </c>
      <c r="G108" s="13" t="s">
        <v>114</v>
      </c>
      <c r="H108" s="14" t="str">
        <f t="shared" si="2"/>
        <v>B</v>
      </c>
      <c r="I108" s="15" t="str">
        <f t="shared" si="3"/>
        <v>The Commissioner &amp; Chief Constable are satisfied the spend represents VFM in accordance with the requirements of Category B</v>
      </c>
      <c r="J108" s="16"/>
      <c r="K108" s="16"/>
    </row>
    <row r="109" spans="1:11" x14ac:dyDescent="0.2">
      <c r="A109" s="10" t="s">
        <v>8</v>
      </c>
      <c r="B109" s="11" t="s">
        <v>9</v>
      </c>
      <c r="C109" s="75" t="s">
        <v>415</v>
      </c>
      <c r="D109" s="73">
        <v>7172500</v>
      </c>
      <c r="E109" s="72">
        <v>45421</v>
      </c>
      <c r="F109" s="18">
        <v>11057.94</v>
      </c>
      <c r="G109" s="19" t="s">
        <v>164</v>
      </c>
      <c r="H109" s="14" t="str">
        <f t="shared" si="2"/>
        <v>B</v>
      </c>
      <c r="I109" s="15" t="str">
        <f t="shared" si="3"/>
        <v>The Commissioner &amp; Chief Constable are satisfied the spend represents VFM in accordance with the requirements of Category B</v>
      </c>
      <c r="J109" s="16"/>
      <c r="K109" s="16"/>
    </row>
    <row r="110" spans="1:11" x14ac:dyDescent="0.2">
      <c r="A110" s="10" t="s">
        <v>8</v>
      </c>
      <c r="B110" s="11" t="s">
        <v>9</v>
      </c>
      <c r="C110" s="77" t="s">
        <v>419</v>
      </c>
      <c r="D110" s="73">
        <v>7172790</v>
      </c>
      <c r="E110" s="72">
        <v>45429</v>
      </c>
      <c r="F110" s="18">
        <v>11028.75</v>
      </c>
      <c r="G110" s="19" t="s">
        <v>22</v>
      </c>
      <c r="H110" s="14" t="str">
        <f t="shared" si="2"/>
        <v>B</v>
      </c>
      <c r="I110" s="15" t="str">
        <f t="shared" si="3"/>
        <v>The Commissioner &amp; Chief Constable are satisfied the spend represents VFM in accordance with the requirements of Category B</v>
      </c>
      <c r="J110" s="16"/>
      <c r="K110" s="16"/>
    </row>
    <row r="111" spans="1:11" x14ac:dyDescent="0.2">
      <c r="A111" s="10" t="s">
        <v>8</v>
      </c>
      <c r="B111" s="11" t="s">
        <v>9</v>
      </c>
      <c r="C111" s="75" t="s">
        <v>121</v>
      </c>
      <c r="D111" s="73">
        <v>7172927</v>
      </c>
      <c r="E111" s="72">
        <v>45429</v>
      </c>
      <c r="F111" s="12">
        <v>10869.19</v>
      </c>
      <c r="G111" s="13" t="s">
        <v>122</v>
      </c>
      <c r="H111" s="14" t="str">
        <f t="shared" si="2"/>
        <v>B</v>
      </c>
      <c r="I111" s="15" t="str">
        <f t="shared" si="3"/>
        <v>The Commissioner &amp; Chief Constable are satisfied the spend represents VFM in accordance with the requirements of Category B</v>
      </c>
      <c r="J111" s="16"/>
      <c r="K111" s="16"/>
    </row>
    <row r="112" spans="1:11" x14ac:dyDescent="0.2">
      <c r="A112" s="10" t="s">
        <v>8</v>
      </c>
      <c r="B112" s="11" t="s">
        <v>9</v>
      </c>
      <c r="C112" s="75" t="s">
        <v>90</v>
      </c>
      <c r="D112" s="73">
        <v>7172722</v>
      </c>
      <c r="E112" s="72">
        <v>45426</v>
      </c>
      <c r="F112" s="12">
        <v>10474.540000000001</v>
      </c>
      <c r="G112" s="13" t="s">
        <v>91</v>
      </c>
      <c r="H112" s="14" t="str">
        <f t="shared" si="2"/>
        <v>B</v>
      </c>
      <c r="I112" s="15" t="str">
        <f t="shared" si="3"/>
        <v>The Commissioner &amp; Chief Constable are satisfied the spend represents VFM in accordance with the requirements of Category B</v>
      </c>
      <c r="J112" s="16"/>
      <c r="K112" s="16"/>
    </row>
    <row r="113" spans="1:11" x14ac:dyDescent="0.2">
      <c r="A113" s="10" t="s">
        <v>8</v>
      </c>
      <c r="B113" s="11" t="s">
        <v>9</v>
      </c>
      <c r="C113" s="75" t="s">
        <v>127</v>
      </c>
      <c r="D113" s="73">
        <v>7172408</v>
      </c>
      <c r="E113" s="72">
        <v>45419</v>
      </c>
      <c r="F113" s="12">
        <v>10076.15</v>
      </c>
      <c r="G113" s="13" t="s">
        <v>49</v>
      </c>
      <c r="H113" s="14" t="str">
        <f t="shared" si="2"/>
        <v>B</v>
      </c>
      <c r="I113" s="15" t="str">
        <f t="shared" si="3"/>
        <v>The Commissioner &amp; Chief Constable are satisfied the spend represents VFM in accordance with the requirements of Category B</v>
      </c>
      <c r="J113" s="16"/>
      <c r="K113" s="16"/>
    </row>
    <row r="114" spans="1:11" x14ac:dyDescent="0.2">
      <c r="A114" s="10" t="s">
        <v>8</v>
      </c>
      <c r="B114" s="11" t="s">
        <v>9</v>
      </c>
      <c r="C114" s="75" t="s">
        <v>139</v>
      </c>
      <c r="D114" s="73">
        <v>7172622</v>
      </c>
      <c r="E114" s="72">
        <v>45426</v>
      </c>
      <c r="F114" s="12">
        <v>10053.76</v>
      </c>
      <c r="G114" s="13" t="s">
        <v>39</v>
      </c>
      <c r="H114" s="14" t="str">
        <f t="shared" si="2"/>
        <v>B</v>
      </c>
      <c r="I114" s="15" t="str">
        <f t="shared" si="3"/>
        <v>The Commissioner &amp; Chief Constable are satisfied the spend represents VFM in accordance with the requirements of Category B</v>
      </c>
      <c r="J114" s="16"/>
      <c r="K114" s="16"/>
    </row>
    <row r="115" spans="1:11" x14ac:dyDescent="0.2">
      <c r="A115" s="10" t="s">
        <v>8</v>
      </c>
      <c r="B115" s="11" t="s">
        <v>9</v>
      </c>
      <c r="C115" s="75" t="s">
        <v>26</v>
      </c>
      <c r="D115" s="73">
        <v>7173175</v>
      </c>
      <c r="E115" s="72">
        <v>45436</v>
      </c>
      <c r="F115" s="12">
        <v>9450.91</v>
      </c>
      <c r="G115" s="13" t="s">
        <v>76</v>
      </c>
      <c r="H115" s="14" t="str">
        <f t="shared" si="2"/>
        <v>B</v>
      </c>
      <c r="I115" s="15" t="str">
        <f t="shared" si="3"/>
        <v>The Commissioner &amp; Chief Constable are satisfied the spend represents VFM in accordance with the requirements of Category B</v>
      </c>
      <c r="J115" s="16"/>
      <c r="K115" s="16"/>
    </row>
    <row r="116" spans="1:11" x14ac:dyDescent="0.2">
      <c r="A116" s="10" t="s">
        <v>8</v>
      </c>
      <c r="B116" s="11" t="s">
        <v>9</v>
      </c>
      <c r="C116" s="75" t="s">
        <v>181</v>
      </c>
      <c r="D116" s="73">
        <v>7172403</v>
      </c>
      <c r="E116" s="72">
        <v>45421</v>
      </c>
      <c r="F116" s="12">
        <v>9372.5</v>
      </c>
      <c r="G116" s="13" t="s">
        <v>98</v>
      </c>
      <c r="H116" s="14" t="str">
        <f t="shared" si="2"/>
        <v>B</v>
      </c>
      <c r="I116" s="15" t="str">
        <f t="shared" si="3"/>
        <v>The Commissioner &amp; Chief Constable are satisfied the spend represents VFM in accordance with the requirements of Category B</v>
      </c>
      <c r="J116" s="16"/>
      <c r="K116" s="16"/>
    </row>
    <row r="117" spans="1:11" x14ac:dyDescent="0.2">
      <c r="A117" s="10" t="s">
        <v>8</v>
      </c>
      <c r="B117" s="11" t="s">
        <v>9</v>
      </c>
      <c r="C117" s="75" t="s">
        <v>26</v>
      </c>
      <c r="D117" s="73">
        <v>7172834</v>
      </c>
      <c r="E117" s="72">
        <v>45426</v>
      </c>
      <c r="F117" s="12">
        <v>9133.23</v>
      </c>
      <c r="G117" s="13" t="s">
        <v>88</v>
      </c>
      <c r="H117" s="14" t="str">
        <f t="shared" si="2"/>
        <v>B</v>
      </c>
      <c r="I117" s="15" t="str">
        <f t="shared" si="3"/>
        <v>The Commissioner &amp; Chief Constable are satisfied the spend represents VFM in accordance with the requirements of Category B</v>
      </c>
    </row>
    <row r="118" spans="1:11" x14ac:dyDescent="0.2">
      <c r="A118" s="10" t="s">
        <v>8</v>
      </c>
      <c r="B118" s="11" t="s">
        <v>9</v>
      </c>
      <c r="C118" s="75" t="s">
        <v>26</v>
      </c>
      <c r="D118" s="73">
        <v>7172351</v>
      </c>
      <c r="E118" s="72">
        <v>45413</v>
      </c>
      <c r="F118" s="12">
        <v>9042.65</v>
      </c>
      <c r="G118" s="13" t="s">
        <v>88</v>
      </c>
      <c r="H118" s="14" t="str">
        <f t="shared" si="2"/>
        <v>B</v>
      </c>
      <c r="I118" s="15" t="str">
        <f t="shared" si="3"/>
        <v>The Commissioner &amp; Chief Constable are satisfied the spend represents VFM in accordance with the requirements of Category B</v>
      </c>
    </row>
    <row r="119" spans="1:11" x14ac:dyDescent="0.2">
      <c r="A119" s="10" t="s">
        <v>8</v>
      </c>
      <c r="B119" s="11" t="s">
        <v>9</v>
      </c>
      <c r="C119" s="77" t="s">
        <v>26</v>
      </c>
      <c r="D119" s="73">
        <v>7172903</v>
      </c>
      <c r="E119" s="72">
        <v>45433</v>
      </c>
      <c r="F119" s="12">
        <v>8802.39</v>
      </c>
      <c r="G119" s="13" t="s">
        <v>88</v>
      </c>
      <c r="H119" s="14" t="str">
        <f t="shared" si="2"/>
        <v>B</v>
      </c>
      <c r="I119" s="15" t="str">
        <f t="shared" si="3"/>
        <v>The Commissioner &amp; Chief Constable are satisfied the spend represents VFM in accordance with the requirements of Category B</v>
      </c>
    </row>
    <row r="120" spans="1:11" x14ac:dyDescent="0.2">
      <c r="A120" s="10" t="s">
        <v>8</v>
      </c>
      <c r="B120" s="11" t="s">
        <v>9</v>
      </c>
      <c r="C120" s="75" t="s">
        <v>124</v>
      </c>
      <c r="D120" s="73">
        <v>7172604</v>
      </c>
      <c r="E120" s="72">
        <v>45428</v>
      </c>
      <c r="F120" s="12">
        <v>8762.24</v>
      </c>
      <c r="G120" s="13" t="s">
        <v>91</v>
      </c>
      <c r="H120" s="14" t="str">
        <f t="shared" si="2"/>
        <v>B</v>
      </c>
      <c r="I120" s="15" t="str">
        <f t="shared" si="3"/>
        <v>The Commissioner &amp; Chief Constable are satisfied the spend represents VFM in accordance with the requirements of Category B</v>
      </c>
    </row>
    <row r="121" spans="1:11" x14ac:dyDescent="0.2">
      <c r="A121" s="10" t="s">
        <v>8</v>
      </c>
      <c r="B121" s="11" t="s">
        <v>9</v>
      </c>
      <c r="C121" s="75" t="s">
        <v>74</v>
      </c>
      <c r="D121" s="73">
        <v>7173258</v>
      </c>
      <c r="E121" s="72">
        <v>45442</v>
      </c>
      <c r="F121" s="12">
        <v>8482.36</v>
      </c>
      <c r="G121" s="13" t="s">
        <v>75</v>
      </c>
      <c r="H121" s="14" t="str">
        <f t="shared" si="2"/>
        <v>B</v>
      </c>
      <c r="I121" s="15" t="str">
        <f t="shared" si="3"/>
        <v>The Commissioner &amp; Chief Constable are satisfied the spend represents VFM in accordance with the requirements of Category B</v>
      </c>
    </row>
    <row r="122" spans="1:11" x14ac:dyDescent="0.2">
      <c r="A122" s="10" t="s">
        <v>8</v>
      </c>
      <c r="B122" s="11" t="s">
        <v>9</v>
      </c>
      <c r="C122" s="75" t="s">
        <v>109</v>
      </c>
      <c r="D122" s="73">
        <v>7172400</v>
      </c>
      <c r="E122" s="72">
        <v>45421</v>
      </c>
      <c r="F122" s="18">
        <v>8325.58</v>
      </c>
      <c r="G122" s="19" t="s">
        <v>27</v>
      </c>
      <c r="H122" s="14" t="str">
        <f t="shared" si="2"/>
        <v>B</v>
      </c>
      <c r="I122" s="15" t="str">
        <f t="shared" si="3"/>
        <v>The Commissioner &amp; Chief Constable are satisfied the spend represents VFM in accordance with the requirements of Category B</v>
      </c>
    </row>
    <row r="123" spans="1:11" x14ac:dyDescent="0.2">
      <c r="A123" s="10" t="s">
        <v>8</v>
      </c>
      <c r="B123" s="11" t="s">
        <v>9</v>
      </c>
      <c r="C123" s="75" t="s">
        <v>74</v>
      </c>
      <c r="D123" s="73">
        <v>7172762</v>
      </c>
      <c r="E123" s="72">
        <v>45426</v>
      </c>
      <c r="F123" s="18">
        <v>8186.84</v>
      </c>
      <c r="G123" s="19" t="s">
        <v>75</v>
      </c>
      <c r="H123" s="14" t="str">
        <f t="shared" si="2"/>
        <v>B</v>
      </c>
      <c r="I123" s="15" t="str">
        <f t="shared" si="3"/>
        <v>The Commissioner &amp; Chief Constable are satisfied the spend represents VFM in accordance with the requirements of Category B</v>
      </c>
    </row>
    <row r="124" spans="1:11" x14ac:dyDescent="0.2">
      <c r="A124" s="10" t="s">
        <v>8</v>
      </c>
      <c r="B124" s="11" t="s">
        <v>9</v>
      </c>
      <c r="C124" s="75" t="s">
        <v>679</v>
      </c>
      <c r="D124" s="73">
        <v>3067790</v>
      </c>
      <c r="E124" s="72">
        <v>45429</v>
      </c>
      <c r="F124" s="12">
        <v>8138.2</v>
      </c>
      <c r="G124" s="13" t="s">
        <v>131</v>
      </c>
      <c r="H124" s="14" t="str">
        <f t="shared" si="2"/>
        <v>B</v>
      </c>
      <c r="I124" s="15" t="str">
        <f t="shared" si="3"/>
        <v>The Commissioner &amp; Chief Constable are satisfied the spend represents VFM in accordance with the requirements of Category B</v>
      </c>
    </row>
    <row r="125" spans="1:11" x14ac:dyDescent="0.2">
      <c r="A125" s="10" t="s">
        <v>8</v>
      </c>
      <c r="B125" s="11" t="s">
        <v>9</v>
      </c>
      <c r="C125" s="75" t="s">
        <v>222</v>
      </c>
      <c r="D125" s="73">
        <v>7172797</v>
      </c>
      <c r="E125" s="72">
        <v>45426</v>
      </c>
      <c r="F125" s="12">
        <v>7794.4</v>
      </c>
      <c r="G125" s="13" t="s">
        <v>22</v>
      </c>
      <c r="H125" s="14" t="str">
        <f t="shared" si="2"/>
        <v>B</v>
      </c>
      <c r="I125" s="15" t="str">
        <f t="shared" si="3"/>
        <v>The Commissioner &amp; Chief Constable are satisfied the spend represents VFM in accordance with the requirements of Category B</v>
      </c>
    </row>
    <row r="126" spans="1:11" x14ac:dyDescent="0.2">
      <c r="A126" s="10" t="s">
        <v>8</v>
      </c>
      <c r="B126" s="11" t="s">
        <v>9</v>
      </c>
      <c r="C126" s="75" t="s">
        <v>152</v>
      </c>
      <c r="D126" s="73">
        <v>7172435</v>
      </c>
      <c r="E126" s="72">
        <v>45419</v>
      </c>
      <c r="F126" s="12">
        <v>7695.37</v>
      </c>
      <c r="G126" s="13" t="s">
        <v>102</v>
      </c>
      <c r="H126" s="14" t="str">
        <f t="shared" si="2"/>
        <v>B</v>
      </c>
      <c r="I126" s="15" t="str">
        <f t="shared" si="3"/>
        <v>The Commissioner &amp; Chief Constable are satisfied the spend represents VFM in accordance with the requirements of Category B</v>
      </c>
    </row>
    <row r="127" spans="1:11" x14ac:dyDescent="0.2">
      <c r="A127" s="10" t="s">
        <v>8</v>
      </c>
      <c r="B127" s="11" t="s">
        <v>9</v>
      </c>
      <c r="C127" s="75" t="s">
        <v>103</v>
      </c>
      <c r="D127" s="73">
        <v>7172733</v>
      </c>
      <c r="E127" s="72">
        <v>45427</v>
      </c>
      <c r="F127" s="12">
        <v>7551</v>
      </c>
      <c r="G127" s="13" t="s">
        <v>91</v>
      </c>
      <c r="H127" s="14" t="str">
        <f t="shared" si="2"/>
        <v>B</v>
      </c>
      <c r="I127" s="15" t="str">
        <f t="shared" si="3"/>
        <v>The Commissioner &amp; Chief Constable are satisfied the spend represents VFM in accordance with the requirements of Category B</v>
      </c>
    </row>
    <row r="128" spans="1:11" x14ac:dyDescent="0.2">
      <c r="A128" s="10" t="s">
        <v>8</v>
      </c>
      <c r="B128" s="11" t="s">
        <v>9</v>
      </c>
      <c r="C128" s="75" t="s">
        <v>142</v>
      </c>
      <c r="D128" s="73">
        <v>7172631</v>
      </c>
      <c r="E128" s="72">
        <v>45426</v>
      </c>
      <c r="F128" s="12">
        <v>6994.83</v>
      </c>
      <c r="G128" s="13" t="s">
        <v>143</v>
      </c>
      <c r="H128" s="14" t="str">
        <f t="shared" si="2"/>
        <v>B</v>
      </c>
      <c r="I128" s="15" t="str">
        <f t="shared" si="3"/>
        <v>The Commissioner &amp; Chief Constable are satisfied the spend represents VFM in accordance with the requirements of Category B</v>
      </c>
    </row>
    <row r="129" spans="1:13" x14ac:dyDescent="0.2">
      <c r="A129" s="10" t="s">
        <v>8</v>
      </c>
      <c r="B129" s="11" t="s">
        <v>9</v>
      </c>
      <c r="C129" s="75" t="s">
        <v>144</v>
      </c>
      <c r="D129" s="73">
        <v>7172997</v>
      </c>
      <c r="E129" s="72">
        <v>45435</v>
      </c>
      <c r="F129" s="12">
        <v>6850</v>
      </c>
      <c r="G129" s="13" t="s">
        <v>145</v>
      </c>
      <c r="H129" s="14" t="str">
        <f t="shared" si="2"/>
        <v>B</v>
      </c>
      <c r="I129" s="15" t="str">
        <f t="shared" si="3"/>
        <v>The Commissioner &amp; Chief Constable are satisfied the spend represents VFM in accordance with the requirements of Category B</v>
      </c>
    </row>
    <row r="130" spans="1:13" x14ac:dyDescent="0.2">
      <c r="A130" s="10" t="s">
        <v>8</v>
      </c>
      <c r="B130" s="11" t="s">
        <v>9</v>
      </c>
      <c r="C130" s="75" t="s">
        <v>119</v>
      </c>
      <c r="D130" s="73">
        <v>7173072</v>
      </c>
      <c r="E130" s="72">
        <v>45434</v>
      </c>
      <c r="F130" s="12">
        <v>6752.31</v>
      </c>
      <c r="G130" s="13" t="s">
        <v>120</v>
      </c>
      <c r="H130" s="14" t="str">
        <f t="shared" ref="H130:H193" si="4">IF(F130&gt;25000,"C",IF(F130&gt;1000,"B","A"))</f>
        <v>B</v>
      </c>
      <c r="I130" s="15" t="str">
        <f t="shared" ref="I130:I193" si="5">VLOOKUP(H130,$L$2:$M$4,2,FALSE)</f>
        <v>The Commissioner &amp; Chief Constable are satisfied the spend represents VFM in accordance with the requirements of Category B</v>
      </c>
    </row>
    <row r="131" spans="1:13" x14ac:dyDescent="0.2">
      <c r="A131" s="10" t="s">
        <v>8</v>
      </c>
      <c r="B131" s="11" t="s">
        <v>9</v>
      </c>
      <c r="C131" s="75" t="s">
        <v>74</v>
      </c>
      <c r="D131" s="73">
        <v>7172799</v>
      </c>
      <c r="E131" s="72">
        <v>45425</v>
      </c>
      <c r="F131" s="12">
        <v>6422.42</v>
      </c>
      <c r="G131" s="13" t="s">
        <v>75</v>
      </c>
      <c r="H131" s="14" t="str">
        <f t="shared" si="4"/>
        <v>B</v>
      </c>
      <c r="I131" s="15" t="str">
        <f t="shared" si="5"/>
        <v>The Commissioner &amp; Chief Constable are satisfied the spend represents VFM in accordance with the requirements of Category B</v>
      </c>
    </row>
    <row r="132" spans="1:13" x14ac:dyDescent="0.2">
      <c r="A132" s="10" t="s">
        <v>8</v>
      </c>
      <c r="B132" s="11" t="s">
        <v>9</v>
      </c>
      <c r="C132" s="75" t="s">
        <v>153</v>
      </c>
      <c r="D132" s="73">
        <v>7173198</v>
      </c>
      <c r="E132" s="72">
        <v>45442</v>
      </c>
      <c r="F132" s="12">
        <v>6271.52</v>
      </c>
      <c r="G132" s="13" t="s">
        <v>39</v>
      </c>
      <c r="H132" s="14" t="str">
        <f t="shared" si="4"/>
        <v>B</v>
      </c>
      <c r="I132" s="15" t="str">
        <f t="shared" si="5"/>
        <v>The Commissioner &amp; Chief Constable are satisfied the spend represents VFM in accordance with the requirements of Category B</v>
      </c>
    </row>
    <row r="133" spans="1:13" x14ac:dyDescent="0.2">
      <c r="A133" s="10" t="s">
        <v>8</v>
      </c>
      <c r="B133" s="11" t="s">
        <v>9</v>
      </c>
      <c r="C133" s="77" t="s">
        <v>74</v>
      </c>
      <c r="D133" s="73">
        <v>7172822</v>
      </c>
      <c r="E133" s="72">
        <v>45427</v>
      </c>
      <c r="F133" s="12">
        <v>6185.57</v>
      </c>
      <c r="G133" s="13" t="s">
        <v>15</v>
      </c>
      <c r="H133" s="14" t="str">
        <f t="shared" si="4"/>
        <v>B</v>
      </c>
      <c r="I133" s="15" t="str">
        <f t="shared" si="5"/>
        <v>The Commissioner &amp; Chief Constable are satisfied the spend represents VFM in accordance with the requirements of Category B</v>
      </c>
    </row>
    <row r="134" spans="1:13" x14ac:dyDescent="0.2">
      <c r="A134" s="10" t="s">
        <v>8</v>
      </c>
      <c r="B134" s="11" t="s">
        <v>9</v>
      </c>
      <c r="C134" s="77" t="s">
        <v>26</v>
      </c>
      <c r="D134" s="73">
        <v>7173117</v>
      </c>
      <c r="E134" s="72">
        <v>45435</v>
      </c>
      <c r="F134" s="12">
        <v>5985.42</v>
      </c>
      <c r="G134" s="13" t="s">
        <v>88</v>
      </c>
      <c r="H134" s="14" t="str">
        <f t="shared" si="4"/>
        <v>B</v>
      </c>
      <c r="I134" s="15" t="str">
        <f t="shared" si="5"/>
        <v>The Commissioner &amp; Chief Constable are satisfied the spend represents VFM in accordance with the requirements of Category B</v>
      </c>
    </row>
    <row r="135" spans="1:13" x14ac:dyDescent="0.2">
      <c r="A135" s="10" t="s">
        <v>8</v>
      </c>
      <c r="B135" s="11" t="s">
        <v>9</v>
      </c>
      <c r="C135" s="75" t="s">
        <v>26</v>
      </c>
      <c r="D135" s="73">
        <v>7172350</v>
      </c>
      <c r="E135" s="72">
        <v>45413</v>
      </c>
      <c r="F135" s="12">
        <v>5969.03</v>
      </c>
      <c r="G135" s="13" t="s">
        <v>88</v>
      </c>
      <c r="H135" s="14" t="str">
        <f t="shared" si="4"/>
        <v>B</v>
      </c>
      <c r="I135" s="15" t="str">
        <f t="shared" si="5"/>
        <v>The Commissioner &amp; Chief Constable are satisfied the spend represents VFM in accordance with the requirements of Category B</v>
      </c>
    </row>
    <row r="136" spans="1:13" s="20" customFormat="1" x14ac:dyDescent="0.2">
      <c r="A136" s="10" t="s">
        <v>8</v>
      </c>
      <c r="B136" s="11" t="s">
        <v>9</v>
      </c>
      <c r="C136" s="75" t="s">
        <v>157</v>
      </c>
      <c r="D136" s="73">
        <v>7172098</v>
      </c>
      <c r="E136" s="72">
        <v>45425</v>
      </c>
      <c r="F136" s="12">
        <v>5949.9</v>
      </c>
      <c r="G136" s="13" t="s">
        <v>43</v>
      </c>
      <c r="H136" s="14" t="str">
        <f t="shared" si="4"/>
        <v>B</v>
      </c>
      <c r="I136" s="15" t="str">
        <f t="shared" si="5"/>
        <v>The Commissioner &amp; Chief Constable are satisfied the spend represents VFM in accordance with the requirements of Category B</v>
      </c>
      <c r="L136" s="17"/>
      <c r="M136" s="17"/>
    </row>
    <row r="137" spans="1:13" s="20" customFormat="1" x14ac:dyDescent="0.2">
      <c r="A137" s="10" t="s">
        <v>8</v>
      </c>
      <c r="B137" s="11" t="s">
        <v>9</v>
      </c>
      <c r="C137" s="75" t="s">
        <v>161</v>
      </c>
      <c r="D137" s="73">
        <v>7172907</v>
      </c>
      <c r="E137" s="72">
        <v>45428</v>
      </c>
      <c r="F137" s="12">
        <v>5674.81</v>
      </c>
      <c r="G137" s="13" t="s">
        <v>390</v>
      </c>
      <c r="H137" s="14" t="str">
        <f t="shared" si="4"/>
        <v>B</v>
      </c>
      <c r="I137" s="15" t="str">
        <f t="shared" si="5"/>
        <v>The Commissioner &amp; Chief Constable are satisfied the spend represents VFM in accordance with the requirements of Category B</v>
      </c>
      <c r="L137" s="17"/>
      <c r="M137" s="17"/>
    </row>
    <row r="138" spans="1:13" s="20" customFormat="1" x14ac:dyDescent="0.2">
      <c r="A138" s="10" t="s">
        <v>8</v>
      </c>
      <c r="B138" s="11" t="s">
        <v>9</v>
      </c>
      <c r="C138" s="75" t="s">
        <v>142</v>
      </c>
      <c r="D138" s="73">
        <v>7172632</v>
      </c>
      <c r="E138" s="72">
        <v>45426</v>
      </c>
      <c r="F138" s="12">
        <v>5614.48</v>
      </c>
      <c r="G138" s="13" t="s">
        <v>143</v>
      </c>
      <c r="H138" s="14" t="str">
        <f t="shared" si="4"/>
        <v>B</v>
      </c>
      <c r="I138" s="15" t="str">
        <f t="shared" si="5"/>
        <v>The Commissioner &amp; Chief Constable are satisfied the spend represents VFM in accordance with the requirements of Category B</v>
      </c>
      <c r="L138" s="17"/>
      <c r="M138" s="17"/>
    </row>
    <row r="139" spans="1:13" s="20" customFormat="1" x14ac:dyDescent="0.2">
      <c r="A139" s="10" t="s">
        <v>8</v>
      </c>
      <c r="B139" s="11" t="s">
        <v>9</v>
      </c>
      <c r="C139" s="75" t="s">
        <v>265</v>
      </c>
      <c r="D139" s="73">
        <v>7172875</v>
      </c>
      <c r="E139" s="72">
        <v>45435</v>
      </c>
      <c r="F139" s="12">
        <v>5500</v>
      </c>
      <c r="G139" s="13" t="s">
        <v>106</v>
      </c>
      <c r="H139" s="14" t="str">
        <f t="shared" si="4"/>
        <v>B</v>
      </c>
      <c r="I139" s="15" t="str">
        <f t="shared" si="5"/>
        <v>The Commissioner &amp; Chief Constable are satisfied the spend represents VFM in accordance with the requirements of Category B</v>
      </c>
      <c r="L139" s="17"/>
      <c r="M139" s="17"/>
    </row>
    <row r="140" spans="1:13" s="20" customFormat="1" x14ac:dyDescent="0.2">
      <c r="A140" s="10" t="s">
        <v>8</v>
      </c>
      <c r="B140" s="11" t="s">
        <v>9</v>
      </c>
      <c r="C140" s="77" t="s">
        <v>74</v>
      </c>
      <c r="D140" s="73">
        <v>7172181</v>
      </c>
      <c r="E140" s="72">
        <v>45443</v>
      </c>
      <c r="F140" s="12">
        <v>5447</v>
      </c>
      <c r="G140" s="13" t="s">
        <v>131</v>
      </c>
      <c r="H140" s="14" t="str">
        <f t="shared" si="4"/>
        <v>B</v>
      </c>
      <c r="I140" s="15" t="str">
        <f t="shared" si="5"/>
        <v>The Commissioner &amp; Chief Constable are satisfied the spend represents VFM in accordance with the requirements of Category B</v>
      </c>
      <c r="L140" s="17"/>
      <c r="M140" s="17"/>
    </row>
    <row r="141" spans="1:13" s="20" customFormat="1" x14ac:dyDescent="0.2">
      <c r="A141" s="10" t="s">
        <v>8</v>
      </c>
      <c r="B141" s="11" t="s">
        <v>9</v>
      </c>
      <c r="C141" s="75" t="s">
        <v>48</v>
      </c>
      <c r="D141" s="73">
        <v>7172935</v>
      </c>
      <c r="E141" s="72">
        <v>45429</v>
      </c>
      <c r="F141" s="12">
        <v>5438.96</v>
      </c>
      <c r="G141" s="13" t="s">
        <v>22</v>
      </c>
      <c r="H141" s="14" t="str">
        <f t="shared" si="4"/>
        <v>B</v>
      </c>
      <c r="I141" s="15" t="str">
        <f t="shared" si="5"/>
        <v>The Commissioner &amp; Chief Constable are satisfied the spend represents VFM in accordance with the requirements of Category B</v>
      </c>
      <c r="L141" s="17"/>
      <c r="M141" s="17"/>
    </row>
    <row r="142" spans="1:13" s="20" customFormat="1" x14ac:dyDescent="0.2">
      <c r="A142" s="10" t="s">
        <v>8</v>
      </c>
      <c r="B142" s="11" t="s">
        <v>9</v>
      </c>
      <c r="C142" s="75" t="s">
        <v>74</v>
      </c>
      <c r="D142" s="73">
        <v>7171829</v>
      </c>
      <c r="E142" s="72">
        <v>45443</v>
      </c>
      <c r="F142" s="12">
        <v>5423.6</v>
      </c>
      <c r="G142" s="13" t="s">
        <v>75</v>
      </c>
      <c r="H142" s="14" t="str">
        <f t="shared" si="4"/>
        <v>B</v>
      </c>
      <c r="I142" s="15" t="str">
        <f t="shared" si="5"/>
        <v>The Commissioner &amp; Chief Constable are satisfied the spend represents VFM in accordance with the requirements of Category B</v>
      </c>
      <c r="L142" s="17"/>
      <c r="M142" s="17"/>
    </row>
    <row r="143" spans="1:13" s="20" customFormat="1" x14ac:dyDescent="0.2">
      <c r="A143" s="10" t="s">
        <v>8</v>
      </c>
      <c r="B143" s="11" t="s">
        <v>9</v>
      </c>
      <c r="C143" s="75" t="s">
        <v>153</v>
      </c>
      <c r="D143" s="73">
        <v>7172664</v>
      </c>
      <c r="E143" s="72">
        <v>45426</v>
      </c>
      <c r="F143" s="12">
        <v>5393.52</v>
      </c>
      <c r="G143" s="13" t="s">
        <v>39</v>
      </c>
      <c r="H143" s="14" t="str">
        <f t="shared" si="4"/>
        <v>B</v>
      </c>
      <c r="I143" s="15" t="str">
        <f t="shared" si="5"/>
        <v>The Commissioner &amp; Chief Constable are satisfied the spend represents VFM in accordance with the requirements of Category B</v>
      </c>
      <c r="L143" s="17"/>
      <c r="M143" s="17"/>
    </row>
    <row r="144" spans="1:13" s="20" customFormat="1" x14ac:dyDescent="0.2">
      <c r="A144" s="10" t="s">
        <v>8</v>
      </c>
      <c r="B144" s="11" t="s">
        <v>9</v>
      </c>
      <c r="C144" s="75" t="s">
        <v>90</v>
      </c>
      <c r="D144" s="73">
        <v>7172315</v>
      </c>
      <c r="E144" s="72">
        <v>45413</v>
      </c>
      <c r="F144" s="12">
        <v>5382.57</v>
      </c>
      <c r="G144" s="13" t="s">
        <v>91</v>
      </c>
      <c r="H144" s="14" t="str">
        <f t="shared" si="4"/>
        <v>B</v>
      </c>
      <c r="I144" s="15" t="str">
        <f t="shared" si="5"/>
        <v>The Commissioner &amp; Chief Constable are satisfied the spend represents VFM in accordance with the requirements of Category B</v>
      </c>
      <c r="L144" s="17"/>
      <c r="M144" s="17"/>
    </row>
    <row r="145" spans="1:13" s="20" customFormat="1" x14ac:dyDescent="0.2">
      <c r="A145" s="10" t="s">
        <v>8</v>
      </c>
      <c r="B145" s="11" t="s">
        <v>9</v>
      </c>
      <c r="C145" s="75" t="s">
        <v>469</v>
      </c>
      <c r="D145" s="73">
        <v>7172144</v>
      </c>
      <c r="E145" s="72">
        <v>45414</v>
      </c>
      <c r="F145" s="12">
        <v>5292.5</v>
      </c>
      <c r="G145" s="13" t="s">
        <v>94</v>
      </c>
      <c r="H145" s="14" t="str">
        <f t="shared" si="4"/>
        <v>B</v>
      </c>
      <c r="I145" s="15" t="str">
        <f t="shared" si="5"/>
        <v>The Commissioner &amp; Chief Constable are satisfied the spend represents VFM in accordance with the requirements of Category B</v>
      </c>
      <c r="L145" s="17"/>
      <c r="M145" s="17"/>
    </row>
    <row r="146" spans="1:13" s="20" customFormat="1" x14ac:dyDescent="0.2">
      <c r="A146" s="10" t="s">
        <v>8</v>
      </c>
      <c r="B146" s="11" t="s">
        <v>9</v>
      </c>
      <c r="C146" s="75" t="s">
        <v>413</v>
      </c>
      <c r="D146" s="73">
        <v>7172740</v>
      </c>
      <c r="E146" s="72">
        <v>45427</v>
      </c>
      <c r="F146" s="12">
        <v>5292.07</v>
      </c>
      <c r="G146" s="13" t="s">
        <v>22</v>
      </c>
      <c r="H146" s="14" t="str">
        <f t="shared" si="4"/>
        <v>B</v>
      </c>
      <c r="I146" s="15" t="str">
        <f t="shared" si="5"/>
        <v>The Commissioner &amp; Chief Constable are satisfied the spend represents VFM in accordance with the requirements of Category B</v>
      </c>
      <c r="L146" s="17"/>
      <c r="M146" s="17"/>
    </row>
    <row r="147" spans="1:13" s="20" customFormat="1" x14ac:dyDescent="0.2">
      <c r="A147" s="10" t="s">
        <v>8</v>
      </c>
      <c r="B147" s="11" t="s">
        <v>9</v>
      </c>
      <c r="C147" s="75" t="s">
        <v>231</v>
      </c>
      <c r="D147" s="73">
        <v>7172390</v>
      </c>
      <c r="E147" s="72">
        <v>45428</v>
      </c>
      <c r="F147" s="12">
        <v>5124.76</v>
      </c>
      <c r="G147" s="13" t="s">
        <v>22</v>
      </c>
      <c r="H147" s="14" t="str">
        <f t="shared" si="4"/>
        <v>B</v>
      </c>
      <c r="I147" s="15" t="str">
        <f t="shared" si="5"/>
        <v>The Commissioner &amp; Chief Constable are satisfied the spend represents VFM in accordance with the requirements of Category B</v>
      </c>
      <c r="L147" s="17"/>
      <c r="M147" s="17"/>
    </row>
    <row r="148" spans="1:13" s="20" customFormat="1" x14ac:dyDescent="0.2">
      <c r="A148" s="10" t="s">
        <v>8</v>
      </c>
      <c r="B148" s="11" t="s">
        <v>9</v>
      </c>
      <c r="C148" s="77" t="s">
        <v>26</v>
      </c>
      <c r="D148" s="73">
        <v>7173173</v>
      </c>
      <c r="E148" s="72">
        <v>45436</v>
      </c>
      <c r="F148" s="12">
        <v>5029.09</v>
      </c>
      <c r="G148" s="13" t="s">
        <v>76</v>
      </c>
      <c r="H148" s="14" t="str">
        <f t="shared" si="4"/>
        <v>B</v>
      </c>
      <c r="I148" s="15" t="str">
        <f t="shared" si="5"/>
        <v>The Commissioner &amp; Chief Constable are satisfied the spend represents VFM in accordance with the requirements of Category B</v>
      </c>
      <c r="L148" s="17"/>
      <c r="M148" s="17"/>
    </row>
    <row r="149" spans="1:13" s="20" customFormat="1" x14ac:dyDescent="0.2">
      <c r="A149" s="10" t="s">
        <v>8</v>
      </c>
      <c r="B149" s="11" t="s">
        <v>9</v>
      </c>
      <c r="C149" s="75" t="s">
        <v>162</v>
      </c>
      <c r="D149" s="73">
        <v>7172045</v>
      </c>
      <c r="E149" s="72">
        <v>45428</v>
      </c>
      <c r="F149" s="12">
        <v>5010</v>
      </c>
      <c r="G149" s="13" t="s">
        <v>39</v>
      </c>
      <c r="H149" s="14" t="str">
        <f t="shared" si="4"/>
        <v>B</v>
      </c>
      <c r="I149" s="15" t="str">
        <f t="shared" si="5"/>
        <v>The Commissioner &amp; Chief Constable are satisfied the spend represents VFM in accordance with the requirements of Category B</v>
      </c>
      <c r="L149" s="17"/>
      <c r="M149" s="17"/>
    </row>
    <row r="150" spans="1:13" s="20" customFormat="1" x14ac:dyDescent="0.2">
      <c r="A150" s="10" t="s">
        <v>8</v>
      </c>
      <c r="B150" s="11" t="s">
        <v>9</v>
      </c>
      <c r="C150" s="75" t="s">
        <v>168</v>
      </c>
      <c r="D150" s="73">
        <v>3067762</v>
      </c>
      <c r="E150" s="72">
        <v>45422</v>
      </c>
      <c r="F150" s="12">
        <v>5000</v>
      </c>
      <c r="G150" s="13" t="s">
        <v>169</v>
      </c>
      <c r="H150" s="14" t="str">
        <f t="shared" si="4"/>
        <v>B</v>
      </c>
      <c r="I150" s="15" t="str">
        <f t="shared" si="5"/>
        <v>The Commissioner &amp; Chief Constable are satisfied the spend represents VFM in accordance with the requirements of Category B</v>
      </c>
      <c r="L150" s="17"/>
      <c r="M150" s="17"/>
    </row>
    <row r="151" spans="1:13" s="20" customFormat="1" x14ac:dyDescent="0.2">
      <c r="A151" s="10" t="s">
        <v>8</v>
      </c>
      <c r="B151" s="11" t="s">
        <v>9</v>
      </c>
      <c r="C151" s="77" t="s">
        <v>448</v>
      </c>
      <c r="D151" s="73">
        <v>7173044</v>
      </c>
      <c r="E151" s="72">
        <v>45441</v>
      </c>
      <c r="F151" s="12">
        <v>5000</v>
      </c>
      <c r="G151" s="13" t="s">
        <v>27</v>
      </c>
      <c r="H151" s="14" t="str">
        <f t="shared" si="4"/>
        <v>B</v>
      </c>
      <c r="I151" s="15" t="str">
        <f t="shared" si="5"/>
        <v>The Commissioner &amp; Chief Constable are satisfied the spend represents VFM in accordance with the requirements of Category B</v>
      </c>
      <c r="L151" s="17"/>
      <c r="M151" s="17"/>
    </row>
    <row r="152" spans="1:13" s="20" customFormat="1" x14ac:dyDescent="0.2">
      <c r="A152" s="10" t="s">
        <v>8</v>
      </c>
      <c r="B152" s="11" t="s">
        <v>9</v>
      </c>
      <c r="C152" s="77" t="s">
        <v>140</v>
      </c>
      <c r="D152" s="73">
        <v>7172561</v>
      </c>
      <c r="E152" s="72">
        <v>45419</v>
      </c>
      <c r="F152" s="12">
        <v>4928.45</v>
      </c>
      <c r="G152" s="13" t="s">
        <v>156</v>
      </c>
      <c r="H152" s="14" t="str">
        <f t="shared" si="4"/>
        <v>B</v>
      </c>
      <c r="I152" s="15" t="str">
        <f t="shared" si="5"/>
        <v>The Commissioner &amp; Chief Constable are satisfied the spend represents VFM in accordance with the requirements of Category B</v>
      </c>
      <c r="L152" s="17"/>
      <c r="M152" s="17"/>
    </row>
    <row r="153" spans="1:13" s="20" customFormat="1" x14ac:dyDescent="0.2">
      <c r="A153" s="10" t="s">
        <v>8</v>
      </c>
      <c r="B153" s="11" t="s">
        <v>9</v>
      </c>
      <c r="C153" s="75" t="s">
        <v>172</v>
      </c>
      <c r="D153" s="73">
        <v>7172836</v>
      </c>
      <c r="E153" s="72">
        <v>45426</v>
      </c>
      <c r="F153" s="12">
        <v>4800</v>
      </c>
      <c r="G153" s="13" t="s">
        <v>112</v>
      </c>
      <c r="H153" s="14" t="str">
        <f t="shared" si="4"/>
        <v>B</v>
      </c>
      <c r="I153" s="15" t="str">
        <f t="shared" si="5"/>
        <v>The Commissioner &amp; Chief Constable are satisfied the spend represents VFM in accordance with the requirements of Category B</v>
      </c>
      <c r="L153" s="17"/>
      <c r="M153" s="17"/>
    </row>
    <row r="154" spans="1:13" s="20" customFormat="1" x14ac:dyDescent="0.2">
      <c r="A154" s="10" t="s">
        <v>8</v>
      </c>
      <c r="B154" s="11" t="s">
        <v>9</v>
      </c>
      <c r="C154" s="75" t="s">
        <v>26</v>
      </c>
      <c r="D154" s="73">
        <v>7172904</v>
      </c>
      <c r="E154" s="72">
        <v>45433</v>
      </c>
      <c r="F154" s="12">
        <v>4670.8500000000004</v>
      </c>
      <c r="G154" s="13" t="s">
        <v>88</v>
      </c>
      <c r="H154" s="14" t="str">
        <f t="shared" si="4"/>
        <v>B</v>
      </c>
      <c r="I154" s="15" t="str">
        <f t="shared" si="5"/>
        <v>The Commissioner &amp; Chief Constable are satisfied the spend represents VFM in accordance with the requirements of Category B</v>
      </c>
      <c r="L154" s="17"/>
      <c r="M154" s="17"/>
    </row>
    <row r="155" spans="1:13" s="20" customFormat="1" x14ac:dyDescent="0.2">
      <c r="A155" s="10" t="s">
        <v>8</v>
      </c>
      <c r="B155" s="11" t="s">
        <v>9</v>
      </c>
      <c r="C155" s="75" t="s">
        <v>142</v>
      </c>
      <c r="D155" s="73">
        <v>7172224</v>
      </c>
      <c r="E155" s="72">
        <v>45426</v>
      </c>
      <c r="F155" s="12">
        <v>4645.13</v>
      </c>
      <c r="G155" s="13" t="s">
        <v>143</v>
      </c>
      <c r="H155" s="14" t="str">
        <f t="shared" si="4"/>
        <v>B</v>
      </c>
      <c r="I155" s="15" t="str">
        <f t="shared" si="5"/>
        <v>The Commissioner &amp; Chief Constable are satisfied the spend represents VFM in accordance with the requirements of Category B</v>
      </c>
      <c r="L155" s="17"/>
      <c r="M155" s="17"/>
    </row>
    <row r="156" spans="1:13" s="20" customFormat="1" x14ac:dyDescent="0.2">
      <c r="A156" s="10" t="s">
        <v>8</v>
      </c>
      <c r="B156" s="11" t="s">
        <v>9</v>
      </c>
      <c r="C156" s="75" t="s">
        <v>277</v>
      </c>
      <c r="D156" s="73">
        <v>7173025</v>
      </c>
      <c r="E156" s="72">
        <v>45432</v>
      </c>
      <c r="F156" s="12">
        <v>4632</v>
      </c>
      <c r="G156" s="13" t="s">
        <v>278</v>
      </c>
      <c r="H156" s="14" t="str">
        <f t="shared" si="4"/>
        <v>B</v>
      </c>
      <c r="I156" s="15" t="str">
        <f t="shared" si="5"/>
        <v>The Commissioner &amp; Chief Constable are satisfied the spend represents VFM in accordance with the requirements of Category B</v>
      </c>
      <c r="L156" s="17"/>
      <c r="M156" s="17"/>
    </row>
    <row r="157" spans="1:13" s="20" customFormat="1" x14ac:dyDescent="0.2">
      <c r="A157" s="10" t="s">
        <v>8</v>
      </c>
      <c r="B157" s="11" t="s">
        <v>9</v>
      </c>
      <c r="C157" s="75" t="s">
        <v>119</v>
      </c>
      <c r="D157" s="73">
        <v>7173070</v>
      </c>
      <c r="E157" s="72">
        <v>45434</v>
      </c>
      <c r="F157" s="12">
        <v>4510.53</v>
      </c>
      <c r="G157" s="13" t="s">
        <v>120</v>
      </c>
      <c r="H157" s="14" t="str">
        <f t="shared" si="4"/>
        <v>B</v>
      </c>
      <c r="I157" s="15" t="str">
        <f t="shared" si="5"/>
        <v>The Commissioner &amp; Chief Constable are satisfied the spend represents VFM in accordance with the requirements of Category B</v>
      </c>
      <c r="L157" s="17"/>
      <c r="M157" s="17"/>
    </row>
    <row r="158" spans="1:13" s="20" customFormat="1" x14ac:dyDescent="0.2">
      <c r="A158" s="10" t="s">
        <v>8</v>
      </c>
      <c r="B158" s="11" t="s">
        <v>9</v>
      </c>
      <c r="C158" s="75" t="s">
        <v>181</v>
      </c>
      <c r="D158" s="73">
        <v>7173223</v>
      </c>
      <c r="E158" s="72">
        <v>45442</v>
      </c>
      <c r="F158" s="12">
        <v>4498.8</v>
      </c>
      <c r="G158" s="13" t="s">
        <v>98</v>
      </c>
      <c r="H158" s="14" t="str">
        <f t="shared" si="4"/>
        <v>B</v>
      </c>
      <c r="I158" s="15" t="str">
        <f t="shared" si="5"/>
        <v>The Commissioner &amp; Chief Constable are satisfied the spend represents VFM in accordance with the requirements of Category B</v>
      </c>
      <c r="L158" s="17"/>
      <c r="M158" s="17"/>
    </row>
    <row r="159" spans="1:13" s="20" customFormat="1" x14ac:dyDescent="0.2">
      <c r="A159" s="10" t="s">
        <v>8</v>
      </c>
      <c r="B159" s="11" t="s">
        <v>9</v>
      </c>
      <c r="C159" s="75" t="s">
        <v>173</v>
      </c>
      <c r="D159" s="73">
        <v>7172857</v>
      </c>
      <c r="E159" s="72">
        <v>45427</v>
      </c>
      <c r="F159" s="12">
        <v>4414.67</v>
      </c>
      <c r="G159" s="13" t="s">
        <v>80</v>
      </c>
      <c r="H159" s="14" t="str">
        <f t="shared" si="4"/>
        <v>B</v>
      </c>
      <c r="I159" s="15" t="str">
        <f t="shared" si="5"/>
        <v>The Commissioner &amp; Chief Constable are satisfied the spend represents VFM in accordance with the requirements of Category B</v>
      </c>
      <c r="L159" s="17"/>
      <c r="M159" s="17"/>
    </row>
    <row r="160" spans="1:13" s="20" customFormat="1" x14ac:dyDescent="0.2">
      <c r="A160" s="10" t="s">
        <v>8</v>
      </c>
      <c r="B160" s="11" t="s">
        <v>9</v>
      </c>
      <c r="C160" s="75" t="s">
        <v>23</v>
      </c>
      <c r="D160" s="73">
        <v>7172696</v>
      </c>
      <c r="E160" s="72">
        <v>45425</v>
      </c>
      <c r="F160" s="12">
        <v>4312.59</v>
      </c>
      <c r="G160" s="13" t="s">
        <v>24</v>
      </c>
      <c r="H160" s="14" t="str">
        <f t="shared" si="4"/>
        <v>B</v>
      </c>
      <c r="I160" s="15" t="str">
        <f t="shared" si="5"/>
        <v>The Commissioner &amp; Chief Constable are satisfied the spend represents VFM in accordance with the requirements of Category B</v>
      </c>
      <c r="L160" s="17"/>
      <c r="M160" s="17"/>
    </row>
    <row r="161" spans="1:13" s="20" customFormat="1" x14ac:dyDescent="0.2">
      <c r="A161" s="10" t="s">
        <v>8</v>
      </c>
      <c r="B161" s="11" t="s">
        <v>9</v>
      </c>
      <c r="C161" s="75" t="s">
        <v>150</v>
      </c>
      <c r="D161" s="73">
        <v>7172337</v>
      </c>
      <c r="E161" s="72">
        <v>45414</v>
      </c>
      <c r="F161" s="12">
        <v>4225.8899999999994</v>
      </c>
      <c r="G161" s="13" t="s">
        <v>151</v>
      </c>
      <c r="H161" s="14" t="str">
        <f t="shared" si="4"/>
        <v>B</v>
      </c>
      <c r="I161" s="15" t="str">
        <f t="shared" si="5"/>
        <v>The Commissioner &amp; Chief Constable are satisfied the spend represents VFM in accordance with the requirements of Category B</v>
      </c>
      <c r="L161" s="17"/>
      <c r="M161" s="17"/>
    </row>
    <row r="162" spans="1:13" s="20" customFormat="1" x14ac:dyDescent="0.2">
      <c r="A162" s="10" t="s">
        <v>8</v>
      </c>
      <c r="B162" s="11" t="s">
        <v>9</v>
      </c>
      <c r="C162" s="77" t="s">
        <v>252</v>
      </c>
      <c r="D162" s="73">
        <v>7172820</v>
      </c>
      <c r="E162" s="72">
        <v>45426</v>
      </c>
      <c r="F162" s="12">
        <v>4200</v>
      </c>
      <c r="G162" s="13" t="s">
        <v>158</v>
      </c>
      <c r="H162" s="14" t="str">
        <f t="shared" si="4"/>
        <v>B</v>
      </c>
      <c r="I162" s="15" t="str">
        <f t="shared" si="5"/>
        <v>The Commissioner &amp; Chief Constable are satisfied the spend represents VFM in accordance with the requirements of Category B</v>
      </c>
      <c r="L162" s="17"/>
      <c r="M162" s="17"/>
    </row>
    <row r="163" spans="1:13" s="20" customFormat="1" x14ac:dyDescent="0.2">
      <c r="A163" s="10" t="s">
        <v>8</v>
      </c>
      <c r="B163" s="11" t="s">
        <v>9</v>
      </c>
      <c r="C163" s="75" t="s">
        <v>478</v>
      </c>
      <c r="D163" s="73">
        <v>7172522</v>
      </c>
      <c r="E163" s="72">
        <v>45442</v>
      </c>
      <c r="F163" s="12">
        <v>4173.22</v>
      </c>
      <c r="G163" s="13" t="s">
        <v>89</v>
      </c>
      <c r="H163" s="14" t="str">
        <f t="shared" si="4"/>
        <v>B</v>
      </c>
      <c r="I163" s="15" t="str">
        <f t="shared" si="5"/>
        <v>The Commissioner &amp; Chief Constable are satisfied the spend represents VFM in accordance with the requirements of Category B</v>
      </c>
      <c r="L163" s="17"/>
      <c r="M163" s="17"/>
    </row>
    <row r="164" spans="1:13" s="20" customFormat="1" x14ac:dyDescent="0.2">
      <c r="A164" s="10" t="s">
        <v>8</v>
      </c>
      <c r="B164" s="11" t="s">
        <v>9</v>
      </c>
      <c r="C164" s="75" t="s">
        <v>252</v>
      </c>
      <c r="D164" s="73">
        <v>7172825</v>
      </c>
      <c r="E164" s="72">
        <v>45429</v>
      </c>
      <c r="F164" s="12">
        <v>4029</v>
      </c>
      <c r="G164" s="13" t="s">
        <v>148</v>
      </c>
      <c r="H164" s="14" t="str">
        <f t="shared" si="4"/>
        <v>B</v>
      </c>
      <c r="I164" s="15" t="str">
        <f t="shared" si="5"/>
        <v>The Commissioner &amp; Chief Constable are satisfied the spend represents VFM in accordance with the requirements of Category B</v>
      </c>
      <c r="L164" s="17"/>
      <c r="M164" s="17"/>
    </row>
    <row r="165" spans="1:13" s="20" customFormat="1" x14ac:dyDescent="0.2">
      <c r="A165" s="10" t="s">
        <v>8</v>
      </c>
      <c r="B165" s="11" t="s">
        <v>9</v>
      </c>
      <c r="C165" s="75" t="s">
        <v>26</v>
      </c>
      <c r="D165" s="73">
        <v>7173128</v>
      </c>
      <c r="E165" s="72">
        <v>45435</v>
      </c>
      <c r="F165" s="12">
        <v>4028.79</v>
      </c>
      <c r="G165" s="13" t="s">
        <v>88</v>
      </c>
      <c r="H165" s="14" t="str">
        <f t="shared" si="4"/>
        <v>B</v>
      </c>
      <c r="I165" s="15" t="str">
        <f t="shared" si="5"/>
        <v>The Commissioner &amp; Chief Constable are satisfied the spend represents VFM in accordance with the requirements of Category B</v>
      </c>
      <c r="L165" s="17"/>
      <c r="M165" s="17"/>
    </row>
    <row r="166" spans="1:13" s="20" customFormat="1" x14ac:dyDescent="0.2">
      <c r="A166" s="10" t="s">
        <v>8</v>
      </c>
      <c r="B166" s="11" t="s">
        <v>9</v>
      </c>
      <c r="C166" s="75" t="s">
        <v>449</v>
      </c>
      <c r="D166" s="73">
        <v>7173183</v>
      </c>
      <c r="E166" s="72">
        <v>45436</v>
      </c>
      <c r="F166" s="12">
        <v>4010</v>
      </c>
      <c r="G166" s="13" t="s">
        <v>22</v>
      </c>
      <c r="H166" s="14" t="str">
        <f t="shared" si="4"/>
        <v>B</v>
      </c>
      <c r="I166" s="15" t="str">
        <f t="shared" si="5"/>
        <v>The Commissioner &amp; Chief Constable are satisfied the spend represents VFM in accordance with the requirements of Category B</v>
      </c>
      <c r="L166" s="17"/>
      <c r="M166" s="17"/>
    </row>
    <row r="167" spans="1:13" s="20" customFormat="1" x14ac:dyDescent="0.2">
      <c r="A167" s="10" t="s">
        <v>8</v>
      </c>
      <c r="B167" s="11" t="s">
        <v>9</v>
      </c>
      <c r="C167" s="75" t="s">
        <v>69</v>
      </c>
      <c r="D167" s="73">
        <v>7172256</v>
      </c>
      <c r="E167" s="72">
        <v>45413</v>
      </c>
      <c r="F167" s="12">
        <v>3914.19</v>
      </c>
      <c r="G167" s="13" t="s">
        <v>58</v>
      </c>
      <c r="H167" s="14" t="str">
        <f t="shared" si="4"/>
        <v>B</v>
      </c>
      <c r="I167" s="15" t="str">
        <f t="shared" si="5"/>
        <v>The Commissioner &amp; Chief Constable are satisfied the spend represents VFM in accordance with the requirements of Category B</v>
      </c>
      <c r="L167" s="17"/>
      <c r="M167" s="17"/>
    </row>
    <row r="168" spans="1:13" s="20" customFormat="1" x14ac:dyDescent="0.2">
      <c r="A168" s="10" t="s">
        <v>8</v>
      </c>
      <c r="B168" s="11" t="s">
        <v>9</v>
      </c>
      <c r="C168" s="75" t="s">
        <v>103</v>
      </c>
      <c r="D168" s="73">
        <v>7173210</v>
      </c>
      <c r="E168" s="72">
        <v>45440</v>
      </c>
      <c r="F168" s="12">
        <v>3865</v>
      </c>
      <c r="G168" s="13" t="s">
        <v>91</v>
      </c>
      <c r="H168" s="14" t="str">
        <f t="shared" si="4"/>
        <v>B</v>
      </c>
      <c r="I168" s="15" t="str">
        <f t="shared" si="5"/>
        <v>The Commissioner &amp; Chief Constable are satisfied the spend represents VFM in accordance with the requirements of Category B</v>
      </c>
      <c r="L168" s="17"/>
      <c r="M168" s="17"/>
    </row>
    <row r="169" spans="1:13" s="20" customFormat="1" x14ac:dyDescent="0.2">
      <c r="A169" s="10" t="s">
        <v>8</v>
      </c>
      <c r="B169" s="11" t="s">
        <v>9</v>
      </c>
      <c r="C169" s="75" t="s">
        <v>507</v>
      </c>
      <c r="D169" s="73">
        <v>7172902</v>
      </c>
      <c r="E169" s="72">
        <v>45428</v>
      </c>
      <c r="F169" s="12">
        <v>3860</v>
      </c>
      <c r="G169" s="13" t="s">
        <v>38</v>
      </c>
      <c r="H169" s="14" t="str">
        <f t="shared" si="4"/>
        <v>B</v>
      </c>
      <c r="I169" s="15" t="str">
        <f t="shared" si="5"/>
        <v>The Commissioner &amp; Chief Constable are satisfied the spend represents VFM in accordance with the requirements of Category B</v>
      </c>
      <c r="L169" s="17"/>
      <c r="M169" s="17"/>
    </row>
    <row r="170" spans="1:13" s="20" customFormat="1" x14ac:dyDescent="0.2">
      <c r="A170" s="10" t="s">
        <v>8</v>
      </c>
      <c r="B170" s="11" t="s">
        <v>9</v>
      </c>
      <c r="C170" s="75" t="s">
        <v>308</v>
      </c>
      <c r="D170" s="73">
        <v>7173062</v>
      </c>
      <c r="E170" s="72">
        <v>45440</v>
      </c>
      <c r="F170" s="12">
        <v>3856.13</v>
      </c>
      <c r="G170" s="13" t="s">
        <v>160</v>
      </c>
      <c r="H170" s="14" t="str">
        <f t="shared" si="4"/>
        <v>B</v>
      </c>
      <c r="I170" s="15" t="str">
        <f t="shared" si="5"/>
        <v>The Commissioner &amp; Chief Constable are satisfied the spend represents VFM in accordance with the requirements of Category B</v>
      </c>
      <c r="L170" s="17"/>
      <c r="M170" s="17"/>
    </row>
    <row r="171" spans="1:13" s="20" customFormat="1" x14ac:dyDescent="0.2">
      <c r="A171" s="10" t="s">
        <v>8</v>
      </c>
      <c r="B171" s="11" t="s">
        <v>9</v>
      </c>
      <c r="C171" s="75" t="s">
        <v>705</v>
      </c>
      <c r="D171" s="73">
        <v>7172418</v>
      </c>
      <c r="E171" s="72">
        <v>45415</v>
      </c>
      <c r="F171" s="12">
        <v>3800</v>
      </c>
      <c r="G171" s="13" t="s">
        <v>43</v>
      </c>
      <c r="H171" s="14" t="str">
        <f t="shared" si="4"/>
        <v>B</v>
      </c>
      <c r="I171" s="15" t="str">
        <f t="shared" si="5"/>
        <v>The Commissioner &amp; Chief Constable are satisfied the spend represents VFM in accordance with the requirements of Category B</v>
      </c>
      <c r="L171" s="17"/>
      <c r="M171" s="17"/>
    </row>
    <row r="172" spans="1:13" s="20" customFormat="1" x14ac:dyDescent="0.2">
      <c r="A172" s="10" t="s">
        <v>8</v>
      </c>
      <c r="B172" s="11" t="s">
        <v>9</v>
      </c>
      <c r="C172" s="75" t="s">
        <v>545</v>
      </c>
      <c r="D172" s="73">
        <v>7172532</v>
      </c>
      <c r="E172" s="72">
        <v>45442</v>
      </c>
      <c r="F172" s="12">
        <v>3700</v>
      </c>
      <c r="G172" s="13" t="s">
        <v>22</v>
      </c>
      <c r="H172" s="14" t="str">
        <f t="shared" si="4"/>
        <v>B</v>
      </c>
      <c r="I172" s="15" t="str">
        <f t="shared" si="5"/>
        <v>The Commissioner &amp; Chief Constable are satisfied the spend represents VFM in accordance with the requirements of Category B</v>
      </c>
      <c r="L172" s="17"/>
      <c r="M172" s="17"/>
    </row>
    <row r="173" spans="1:13" s="20" customFormat="1" x14ac:dyDescent="0.2">
      <c r="A173" s="10" t="s">
        <v>8</v>
      </c>
      <c r="B173" s="11" t="s">
        <v>9</v>
      </c>
      <c r="C173" s="75" t="s">
        <v>140</v>
      </c>
      <c r="D173" s="73">
        <v>7172780</v>
      </c>
      <c r="E173" s="72">
        <v>45425</v>
      </c>
      <c r="F173" s="12">
        <v>78.75</v>
      </c>
      <c r="G173" s="13" t="s">
        <v>88</v>
      </c>
      <c r="H173" s="14" t="str">
        <f t="shared" si="4"/>
        <v>A</v>
      </c>
      <c r="I173" s="15" t="str">
        <f t="shared" si="5"/>
        <v>The Commissioner &amp; Chief Constable are satisfied the spend represents VFM in accordance with the requirements of Category A</v>
      </c>
      <c r="L173" s="17"/>
      <c r="M173" s="17"/>
    </row>
    <row r="174" spans="1:13" s="20" customFormat="1" x14ac:dyDescent="0.2">
      <c r="A174" s="10" t="s">
        <v>8</v>
      </c>
      <c r="B174" s="11" t="s">
        <v>9</v>
      </c>
      <c r="C174" s="75" t="s">
        <v>140</v>
      </c>
      <c r="D174" s="73">
        <v>7172780</v>
      </c>
      <c r="E174" s="72">
        <v>45425</v>
      </c>
      <c r="F174" s="12">
        <v>3516.35</v>
      </c>
      <c r="G174" s="13" t="s">
        <v>156</v>
      </c>
      <c r="H174" s="14" t="str">
        <f t="shared" si="4"/>
        <v>B</v>
      </c>
      <c r="I174" s="15" t="str">
        <f t="shared" si="5"/>
        <v>The Commissioner &amp; Chief Constable are satisfied the spend represents VFM in accordance with the requirements of Category B</v>
      </c>
      <c r="L174" s="17"/>
      <c r="M174" s="17"/>
    </row>
    <row r="175" spans="1:13" s="20" customFormat="1" x14ac:dyDescent="0.2">
      <c r="A175" s="10" t="s">
        <v>8</v>
      </c>
      <c r="B175" s="11" t="s">
        <v>9</v>
      </c>
      <c r="C175" s="75" t="s">
        <v>90</v>
      </c>
      <c r="D175" s="73">
        <v>7172949</v>
      </c>
      <c r="E175" s="72">
        <v>45433</v>
      </c>
      <c r="F175" s="12">
        <v>3577.86</v>
      </c>
      <c r="G175" s="13" t="s">
        <v>91</v>
      </c>
      <c r="H175" s="14" t="str">
        <f t="shared" si="4"/>
        <v>B</v>
      </c>
      <c r="I175" s="15" t="str">
        <f t="shared" si="5"/>
        <v>The Commissioner &amp; Chief Constable are satisfied the spend represents VFM in accordance with the requirements of Category B</v>
      </c>
      <c r="L175" s="17"/>
      <c r="M175" s="17"/>
    </row>
    <row r="176" spans="1:13" s="20" customFormat="1" x14ac:dyDescent="0.2">
      <c r="A176" s="10" t="s">
        <v>8</v>
      </c>
      <c r="B176" s="11" t="s">
        <v>9</v>
      </c>
      <c r="C176" s="75" t="s">
        <v>90</v>
      </c>
      <c r="D176" s="73">
        <v>7172737</v>
      </c>
      <c r="E176" s="72">
        <v>45425</v>
      </c>
      <c r="F176" s="12">
        <v>3565.51</v>
      </c>
      <c r="G176" s="13" t="s">
        <v>91</v>
      </c>
      <c r="H176" s="14" t="str">
        <f t="shared" si="4"/>
        <v>B</v>
      </c>
      <c r="I176" s="15" t="str">
        <f t="shared" si="5"/>
        <v>The Commissioner &amp; Chief Constable are satisfied the spend represents VFM in accordance with the requirements of Category B</v>
      </c>
      <c r="L176" s="17"/>
      <c r="M176" s="17"/>
    </row>
    <row r="177" spans="1:13" s="20" customFormat="1" x14ac:dyDescent="0.2">
      <c r="A177" s="10" t="s">
        <v>8</v>
      </c>
      <c r="B177" s="11" t="s">
        <v>9</v>
      </c>
      <c r="C177" s="75" t="s">
        <v>450</v>
      </c>
      <c r="D177" s="73">
        <v>3067773</v>
      </c>
      <c r="E177" s="72">
        <v>45425</v>
      </c>
      <c r="F177" s="12">
        <v>3515</v>
      </c>
      <c r="G177" s="13" t="s">
        <v>22</v>
      </c>
      <c r="H177" s="14" t="str">
        <f t="shared" si="4"/>
        <v>B</v>
      </c>
      <c r="I177" s="15" t="str">
        <f t="shared" si="5"/>
        <v>The Commissioner &amp; Chief Constable are satisfied the spend represents VFM in accordance with the requirements of Category B</v>
      </c>
      <c r="L177" s="17"/>
      <c r="M177" s="17"/>
    </row>
    <row r="178" spans="1:13" s="20" customFormat="1" x14ac:dyDescent="0.2">
      <c r="A178" s="10" t="s">
        <v>8</v>
      </c>
      <c r="B178" s="11" t="s">
        <v>9</v>
      </c>
      <c r="C178" s="75" t="s">
        <v>704</v>
      </c>
      <c r="D178" s="73">
        <v>7171426</v>
      </c>
      <c r="E178" s="72">
        <v>45428</v>
      </c>
      <c r="F178" s="12">
        <v>3500</v>
      </c>
      <c r="G178" s="13" t="s">
        <v>106</v>
      </c>
      <c r="H178" s="14" t="str">
        <f t="shared" si="4"/>
        <v>B</v>
      </c>
      <c r="I178" s="15" t="str">
        <f t="shared" si="5"/>
        <v>The Commissioner &amp; Chief Constable are satisfied the spend represents VFM in accordance with the requirements of Category B</v>
      </c>
      <c r="L178" s="17"/>
      <c r="M178" s="17"/>
    </row>
    <row r="179" spans="1:13" s="20" customFormat="1" x14ac:dyDescent="0.2">
      <c r="A179" s="10" t="s">
        <v>8</v>
      </c>
      <c r="B179" s="11" t="s">
        <v>9</v>
      </c>
      <c r="C179" s="75" t="s">
        <v>428</v>
      </c>
      <c r="D179" s="73">
        <v>3067764</v>
      </c>
      <c r="E179" s="72">
        <v>45422</v>
      </c>
      <c r="F179" s="12">
        <v>3460.94</v>
      </c>
      <c r="G179" s="13" t="s">
        <v>131</v>
      </c>
      <c r="H179" s="14" t="str">
        <f t="shared" si="4"/>
        <v>B</v>
      </c>
      <c r="I179" s="15" t="str">
        <f t="shared" si="5"/>
        <v>The Commissioner &amp; Chief Constable are satisfied the spend represents VFM in accordance with the requirements of Category B</v>
      </c>
      <c r="L179" s="17"/>
      <c r="M179" s="17"/>
    </row>
    <row r="180" spans="1:13" s="20" customFormat="1" x14ac:dyDescent="0.2">
      <c r="A180" s="10" t="s">
        <v>8</v>
      </c>
      <c r="B180" s="11" t="s">
        <v>9</v>
      </c>
      <c r="C180" s="75" t="s">
        <v>90</v>
      </c>
      <c r="D180" s="73">
        <v>7172950</v>
      </c>
      <c r="E180" s="72">
        <v>45433</v>
      </c>
      <c r="F180" s="12">
        <v>3450.92</v>
      </c>
      <c r="G180" s="13" t="s">
        <v>91</v>
      </c>
      <c r="H180" s="14" t="str">
        <f t="shared" si="4"/>
        <v>B</v>
      </c>
      <c r="I180" s="15" t="str">
        <f t="shared" si="5"/>
        <v>The Commissioner &amp; Chief Constable are satisfied the spend represents VFM in accordance with the requirements of Category B</v>
      </c>
      <c r="L180" s="17"/>
      <c r="M180" s="17"/>
    </row>
    <row r="181" spans="1:13" s="20" customFormat="1" x14ac:dyDescent="0.2">
      <c r="A181" s="10" t="s">
        <v>8</v>
      </c>
      <c r="B181" s="11" t="s">
        <v>9</v>
      </c>
      <c r="C181" s="75" t="s">
        <v>411</v>
      </c>
      <c r="D181" s="73">
        <v>7172984</v>
      </c>
      <c r="E181" s="72">
        <v>45435</v>
      </c>
      <c r="F181" s="12">
        <v>3430</v>
      </c>
      <c r="G181" s="13" t="s">
        <v>131</v>
      </c>
      <c r="H181" s="14" t="str">
        <f t="shared" si="4"/>
        <v>B</v>
      </c>
      <c r="I181" s="15" t="str">
        <f t="shared" si="5"/>
        <v>The Commissioner &amp; Chief Constable are satisfied the spend represents VFM in accordance with the requirements of Category B</v>
      </c>
      <c r="L181" s="17"/>
      <c r="M181" s="17"/>
    </row>
    <row r="182" spans="1:13" s="20" customFormat="1" x14ac:dyDescent="0.2">
      <c r="A182" s="10" t="s">
        <v>8</v>
      </c>
      <c r="B182" s="11" t="s">
        <v>9</v>
      </c>
      <c r="C182" s="75" t="s">
        <v>448</v>
      </c>
      <c r="D182" s="73">
        <v>7173043</v>
      </c>
      <c r="E182" s="72">
        <v>45441</v>
      </c>
      <c r="F182" s="12">
        <v>3325</v>
      </c>
      <c r="G182" s="13" t="s">
        <v>27</v>
      </c>
      <c r="H182" s="14" t="str">
        <f t="shared" si="4"/>
        <v>B</v>
      </c>
      <c r="I182" s="15" t="str">
        <f t="shared" si="5"/>
        <v>The Commissioner &amp; Chief Constable are satisfied the spend represents VFM in accordance with the requirements of Category B</v>
      </c>
      <c r="L182" s="17"/>
      <c r="M182" s="17"/>
    </row>
    <row r="183" spans="1:13" s="20" customFormat="1" x14ac:dyDescent="0.2">
      <c r="A183" s="10" t="s">
        <v>8</v>
      </c>
      <c r="B183" s="11" t="s">
        <v>9</v>
      </c>
      <c r="C183" s="75" t="s">
        <v>196</v>
      </c>
      <c r="D183" s="73">
        <v>7171956</v>
      </c>
      <c r="E183" s="72">
        <v>45420</v>
      </c>
      <c r="F183" s="12">
        <v>3321.7200000000003</v>
      </c>
      <c r="G183" s="13" t="s">
        <v>169</v>
      </c>
      <c r="H183" s="14" t="str">
        <f t="shared" si="4"/>
        <v>B</v>
      </c>
      <c r="I183" s="15" t="str">
        <f t="shared" si="5"/>
        <v>The Commissioner &amp; Chief Constable are satisfied the spend represents VFM in accordance with the requirements of Category B</v>
      </c>
      <c r="L183" s="17"/>
      <c r="M183" s="17"/>
    </row>
    <row r="184" spans="1:13" s="20" customFormat="1" x14ac:dyDescent="0.2">
      <c r="A184" s="10" t="s">
        <v>8</v>
      </c>
      <c r="B184" s="11" t="s">
        <v>9</v>
      </c>
      <c r="C184" s="75" t="s">
        <v>193</v>
      </c>
      <c r="D184" s="73">
        <v>7173206</v>
      </c>
      <c r="E184" s="72">
        <v>45440</v>
      </c>
      <c r="F184" s="12">
        <v>3321</v>
      </c>
      <c r="G184" s="13" t="s">
        <v>194</v>
      </c>
      <c r="H184" s="14" t="str">
        <f t="shared" si="4"/>
        <v>B</v>
      </c>
      <c r="I184" s="15" t="str">
        <f t="shared" si="5"/>
        <v>The Commissioner &amp; Chief Constable are satisfied the spend represents VFM in accordance with the requirements of Category B</v>
      </c>
      <c r="L184" s="17"/>
      <c r="M184" s="17"/>
    </row>
    <row r="185" spans="1:13" s="20" customFormat="1" x14ac:dyDescent="0.2">
      <c r="A185" s="10" t="s">
        <v>8</v>
      </c>
      <c r="B185" s="11" t="s">
        <v>9</v>
      </c>
      <c r="C185" s="75" t="s">
        <v>193</v>
      </c>
      <c r="D185" s="73">
        <v>7173202</v>
      </c>
      <c r="E185" s="72">
        <v>45440</v>
      </c>
      <c r="F185" s="12">
        <v>3321</v>
      </c>
      <c r="G185" s="13" t="s">
        <v>194</v>
      </c>
      <c r="H185" s="14" t="str">
        <f t="shared" si="4"/>
        <v>B</v>
      </c>
      <c r="I185" s="15" t="str">
        <f t="shared" si="5"/>
        <v>The Commissioner &amp; Chief Constable are satisfied the spend represents VFM in accordance with the requirements of Category B</v>
      </c>
      <c r="L185" s="17"/>
      <c r="M185" s="17"/>
    </row>
    <row r="186" spans="1:13" s="20" customFormat="1" x14ac:dyDescent="0.2">
      <c r="A186" s="10" t="s">
        <v>8</v>
      </c>
      <c r="B186" s="11" t="s">
        <v>9</v>
      </c>
      <c r="C186" s="75" t="s">
        <v>193</v>
      </c>
      <c r="D186" s="73">
        <v>7173208</v>
      </c>
      <c r="E186" s="72">
        <v>45440</v>
      </c>
      <c r="F186" s="12">
        <v>3321</v>
      </c>
      <c r="G186" s="13" t="s">
        <v>194</v>
      </c>
      <c r="H186" s="14" t="str">
        <f t="shared" si="4"/>
        <v>B</v>
      </c>
      <c r="I186" s="15" t="str">
        <f t="shared" si="5"/>
        <v>The Commissioner &amp; Chief Constable are satisfied the spend represents VFM in accordance with the requirements of Category B</v>
      </c>
      <c r="L186" s="17"/>
      <c r="M186" s="17"/>
    </row>
    <row r="187" spans="1:13" s="20" customFormat="1" x14ac:dyDescent="0.2">
      <c r="A187" s="10" t="s">
        <v>8</v>
      </c>
      <c r="B187" s="11" t="s">
        <v>9</v>
      </c>
      <c r="C187" s="75" t="s">
        <v>703</v>
      </c>
      <c r="D187" s="73">
        <v>7165613</v>
      </c>
      <c r="E187" s="72">
        <v>45435</v>
      </c>
      <c r="F187" s="12">
        <v>3305</v>
      </c>
      <c r="G187" s="13" t="s">
        <v>94</v>
      </c>
      <c r="H187" s="14" t="str">
        <f t="shared" si="4"/>
        <v>B</v>
      </c>
      <c r="I187" s="15" t="str">
        <f t="shared" si="5"/>
        <v>The Commissioner &amp; Chief Constable are satisfied the spend represents VFM in accordance with the requirements of Category B</v>
      </c>
      <c r="L187" s="17"/>
      <c r="M187" s="17"/>
    </row>
    <row r="188" spans="1:13" s="20" customFormat="1" x14ac:dyDescent="0.2">
      <c r="A188" s="10" t="s">
        <v>8</v>
      </c>
      <c r="B188" s="11" t="s">
        <v>9</v>
      </c>
      <c r="C188" s="75" t="s">
        <v>135</v>
      </c>
      <c r="D188" s="73">
        <v>7172625</v>
      </c>
      <c r="E188" s="72">
        <v>45425</v>
      </c>
      <c r="F188" s="12">
        <v>3294.55</v>
      </c>
      <c r="G188" s="13" t="s">
        <v>40</v>
      </c>
      <c r="H188" s="14" t="str">
        <f t="shared" si="4"/>
        <v>B</v>
      </c>
      <c r="I188" s="15" t="str">
        <f t="shared" si="5"/>
        <v>The Commissioner &amp; Chief Constable are satisfied the spend represents VFM in accordance with the requirements of Category B</v>
      </c>
      <c r="L188" s="17"/>
      <c r="M188" s="17"/>
    </row>
    <row r="189" spans="1:13" s="20" customFormat="1" x14ac:dyDescent="0.2">
      <c r="A189" s="10" t="s">
        <v>8</v>
      </c>
      <c r="B189" s="11" t="s">
        <v>9</v>
      </c>
      <c r="C189" s="75" t="s">
        <v>135</v>
      </c>
      <c r="D189" s="73">
        <v>7172626</v>
      </c>
      <c r="E189" s="72">
        <v>45425</v>
      </c>
      <c r="F189" s="12">
        <v>3256.65</v>
      </c>
      <c r="G189" s="13" t="s">
        <v>40</v>
      </c>
      <c r="H189" s="14" t="str">
        <f t="shared" si="4"/>
        <v>B</v>
      </c>
      <c r="I189" s="15" t="str">
        <f t="shared" si="5"/>
        <v>The Commissioner &amp; Chief Constable are satisfied the spend represents VFM in accordance with the requirements of Category B</v>
      </c>
      <c r="L189" s="17"/>
      <c r="M189" s="17"/>
    </row>
    <row r="190" spans="1:13" s="20" customFormat="1" x14ac:dyDescent="0.2">
      <c r="A190" s="10" t="s">
        <v>8</v>
      </c>
      <c r="B190" s="11" t="s">
        <v>9</v>
      </c>
      <c r="C190" s="75" t="s">
        <v>702</v>
      </c>
      <c r="D190" s="73">
        <v>7172564</v>
      </c>
      <c r="E190" s="72">
        <v>45421</v>
      </c>
      <c r="F190" s="12">
        <v>3200</v>
      </c>
      <c r="G190" s="13" t="s">
        <v>106</v>
      </c>
      <c r="H190" s="14" t="str">
        <f t="shared" si="4"/>
        <v>B</v>
      </c>
      <c r="I190" s="15" t="str">
        <f t="shared" si="5"/>
        <v>The Commissioner &amp; Chief Constable are satisfied the spend represents VFM in accordance with the requirements of Category B</v>
      </c>
      <c r="L190" s="17"/>
      <c r="M190" s="17"/>
    </row>
    <row r="191" spans="1:13" s="20" customFormat="1" x14ac:dyDescent="0.2">
      <c r="A191" s="10" t="s">
        <v>8</v>
      </c>
      <c r="B191" s="11" t="s">
        <v>9</v>
      </c>
      <c r="C191" s="75" t="s">
        <v>181</v>
      </c>
      <c r="D191" s="73">
        <v>7173019</v>
      </c>
      <c r="E191" s="72">
        <v>45435</v>
      </c>
      <c r="F191" s="12">
        <v>3177</v>
      </c>
      <c r="G191" s="13" t="s">
        <v>106</v>
      </c>
      <c r="H191" s="14" t="str">
        <f t="shared" si="4"/>
        <v>B</v>
      </c>
      <c r="I191" s="15" t="str">
        <f t="shared" si="5"/>
        <v>The Commissioner &amp; Chief Constable are satisfied the spend represents VFM in accordance with the requirements of Category B</v>
      </c>
      <c r="L191" s="17"/>
      <c r="M191" s="17"/>
    </row>
    <row r="192" spans="1:13" s="20" customFormat="1" x14ac:dyDescent="0.2">
      <c r="A192" s="10" t="s">
        <v>8</v>
      </c>
      <c r="B192" s="11" t="s">
        <v>9</v>
      </c>
      <c r="C192" s="75" t="s">
        <v>26</v>
      </c>
      <c r="D192" s="73">
        <v>7172648</v>
      </c>
      <c r="E192" s="72">
        <v>45426</v>
      </c>
      <c r="F192" s="12">
        <v>3080</v>
      </c>
      <c r="G192" s="13" t="s">
        <v>131</v>
      </c>
      <c r="H192" s="14" t="str">
        <f t="shared" si="4"/>
        <v>B</v>
      </c>
      <c r="I192" s="15" t="str">
        <f t="shared" si="5"/>
        <v>The Commissioner &amp; Chief Constable are satisfied the spend represents VFM in accordance with the requirements of Category B</v>
      </c>
      <c r="L192" s="17"/>
      <c r="M192" s="17"/>
    </row>
    <row r="193" spans="1:13" s="20" customFormat="1" x14ac:dyDescent="0.2">
      <c r="A193" s="10" t="s">
        <v>8</v>
      </c>
      <c r="B193" s="11" t="s">
        <v>9</v>
      </c>
      <c r="C193" s="75" t="s">
        <v>231</v>
      </c>
      <c r="D193" s="73">
        <v>7172397</v>
      </c>
      <c r="E193" s="72">
        <v>45428</v>
      </c>
      <c r="F193" s="12">
        <v>3074.85</v>
      </c>
      <c r="G193" s="13" t="s">
        <v>22</v>
      </c>
      <c r="H193" s="14" t="str">
        <f t="shared" si="4"/>
        <v>B</v>
      </c>
      <c r="I193" s="15" t="str">
        <f t="shared" si="5"/>
        <v>The Commissioner &amp; Chief Constable are satisfied the spend represents VFM in accordance with the requirements of Category B</v>
      </c>
      <c r="L193" s="17"/>
      <c r="M193" s="17"/>
    </row>
    <row r="194" spans="1:13" s="20" customFormat="1" x14ac:dyDescent="0.2">
      <c r="A194" s="10" t="s">
        <v>8</v>
      </c>
      <c r="B194" s="11" t="s">
        <v>9</v>
      </c>
      <c r="C194" s="75" t="s">
        <v>192</v>
      </c>
      <c r="D194" s="73">
        <v>7172882</v>
      </c>
      <c r="E194" s="72">
        <v>45435</v>
      </c>
      <c r="F194" s="12">
        <v>3000</v>
      </c>
      <c r="G194" s="13" t="s">
        <v>106</v>
      </c>
      <c r="H194" s="14" t="str">
        <f t="shared" ref="H194:H257" si="6">IF(F194&gt;25000,"C",IF(F194&gt;1000,"B","A"))</f>
        <v>B</v>
      </c>
      <c r="I194" s="15" t="str">
        <f t="shared" ref="I194:I257" si="7">VLOOKUP(H194,$L$2:$M$4,2,FALSE)</f>
        <v>The Commissioner &amp; Chief Constable are satisfied the spend represents VFM in accordance with the requirements of Category B</v>
      </c>
      <c r="L194" s="17"/>
      <c r="M194" s="17"/>
    </row>
    <row r="195" spans="1:13" s="20" customFormat="1" x14ac:dyDescent="0.2">
      <c r="A195" s="10" t="s">
        <v>8</v>
      </c>
      <c r="B195" s="11" t="s">
        <v>9</v>
      </c>
      <c r="C195" s="75" t="s">
        <v>701</v>
      </c>
      <c r="D195" s="73">
        <v>7172694</v>
      </c>
      <c r="E195" s="72">
        <v>45435</v>
      </c>
      <c r="F195" s="12">
        <v>2960</v>
      </c>
      <c r="G195" s="13" t="s">
        <v>106</v>
      </c>
      <c r="H195" s="14" t="str">
        <f t="shared" si="6"/>
        <v>B</v>
      </c>
      <c r="I195" s="15" t="str">
        <f t="shared" si="7"/>
        <v>The Commissioner &amp; Chief Constable are satisfied the spend represents VFM in accordance with the requirements of Category B</v>
      </c>
      <c r="L195" s="17"/>
      <c r="M195" s="17"/>
    </row>
    <row r="196" spans="1:13" s="20" customFormat="1" x14ac:dyDescent="0.2">
      <c r="A196" s="10" t="s">
        <v>8</v>
      </c>
      <c r="B196" s="11" t="s">
        <v>9</v>
      </c>
      <c r="C196" s="75" t="s">
        <v>700</v>
      </c>
      <c r="D196" s="73">
        <v>7173160</v>
      </c>
      <c r="E196" s="72">
        <v>45440</v>
      </c>
      <c r="F196" s="12">
        <v>2950</v>
      </c>
      <c r="G196" s="13" t="s">
        <v>38</v>
      </c>
      <c r="H196" s="14" t="str">
        <f t="shared" si="6"/>
        <v>B</v>
      </c>
      <c r="I196" s="15" t="str">
        <f t="shared" si="7"/>
        <v>The Commissioner &amp; Chief Constable are satisfied the spend represents VFM in accordance with the requirements of Category B</v>
      </c>
      <c r="L196" s="17"/>
      <c r="M196" s="17"/>
    </row>
    <row r="197" spans="1:13" s="20" customFormat="1" x14ac:dyDescent="0.2">
      <c r="A197" s="10" t="s">
        <v>8</v>
      </c>
      <c r="B197" s="11" t="s">
        <v>9</v>
      </c>
      <c r="C197" s="75" t="s">
        <v>172</v>
      </c>
      <c r="D197" s="73">
        <v>7172824</v>
      </c>
      <c r="E197" s="72">
        <v>45426</v>
      </c>
      <c r="F197" s="12">
        <v>2941.66</v>
      </c>
      <c r="G197" s="13" t="s">
        <v>112</v>
      </c>
      <c r="H197" s="14" t="str">
        <f t="shared" si="6"/>
        <v>B</v>
      </c>
      <c r="I197" s="15" t="str">
        <f t="shared" si="7"/>
        <v>The Commissioner &amp; Chief Constable are satisfied the spend represents VFM in accordance with the requirements of Category B</v>
      </c>
      <c r="L197" s="17"/>
      <c r="M197" s="17"/>
    </row>
    <row r="198" spans="1:13" s="20" customFormat="1" x14ac:dyDescent="0.2">
      <c r="A198" s="10" t="s">
        <v>8</v>
      </c>
      <c r="B198" s="11" t="s">
        <v>9</v>
      </c>
      <c r="C198" s="75" t="s">
        <v>100</v>
      </c>
      <c r="D198" s="73">
        <v>7172534</v>
      </c>
      <c r="E198" s="72">
        <v>45421</v>
      </c>
      <c r="F198" s="12">
        <v>2878</v>
      </c>
      <c r="G198" s="13" t="s">
        <v>131</v>
      </c>
      <c r="H198" s="14" t="str">
        <f t="shared" si="6"/>
        <v>B</v>
      </c>
      <c r="I198" s="15" t="str">
        <f t="shared" si="7"/>
        <v>The Commissioner &amp; Chief Constable are satisfied the spend represents VFM in accordance with the requirements of Category B</v>
      </c>
      <c r="L198" s="17"/>
      <c r="M198" s="17"/>
    </row>
    <row r="199" spans="1:13" s="20" customFormat="1" x14ac:dyDescent="0.2">
      <c r="A199" s="10" t="s">
        <v>8</v>
      </c>
      <c r="B199" s="11" t="s">
        <v>9</v>
      </c>
      <c r="C199" s="75" t="s">
        <v>100</v>
      </c>
      <c r="D199" s="73">
        <v>7172535</v>
      </c>
      <c r="E199" s="72">
        <v>45421</v>
      </c>
      <c r="F199" s="12">
        <v>2878</v>
      </c>
      <c r="G199" s="13" t="s">
        <v>131</v>
      </c>
      <c r="H199" s="14" t="str">
        <f t="shared" si="6"/>
        <v>B</v>
      </c>
      <c r="I199" s="15" t="str">
        <f t="shared" si="7"/>
        <v>The Commissioner &amp; Chief Constable are satisfied the spend represents VFM in accordance with the requirements of Category B</v>
      </c>
      <c r="L199" s="17"/>
      <c r="M199" s="17"/>
    </row>
    <row r="200" spans="1:13" s="20" customFormat="1" x14ac:dyDescent="0.2">
      <c r="A200" s="10" t="s">
        <v>8</v>
      </c>
      <c r="B200" s="11" t="s">
        <v>9</v>
      </c>
      <c r="C200" s="75" t="s">
        <v>196</v>
      </c>
      <c r="D200" s="73">
        <v>7172751</v>
      </c>
      <c r="E200" s="72">
        <v>45426</v>
      </c>
      <c r="F200" s="12">
        <v>2853.45</v>
      </c>
      <c r="G200" s="13" t="s">
        <v>169</v>
      </c>
      <c r="H200" s="14" t="str">
        <f t="shared" si="6"/>
        <v>B</v>
      </c>
      <c r="I200" s="15" t="str">
        <f t="shared" si="7"/>
        <v>The Commissioner &amp; Chief Constable are satisfied the spend represents VFM in accordance with the requirements of Category B</v>
      </c>
      <c r="L200" s="17"/>
      <c r="M200" s="17"/>
    </row>
    <row r="201" spans="1:13" s="20" customFormat="1" x14ac:dyDescent="0.2">
      <c r="A201" s="10" t="s">
        <v>8</v>
      </c>
      <c r="B201" s="11" t="s">
        <v>9</v>
      </c>
      <c r="C201" s="75" t="s">
        <v>196</v>
      </c>
      <c r="D201" s="73">
        <v>7173257</v>
      </c>
      <c r="E201" s="72">
        <v>45441</v>
      </c>
      <c r="F201" s="12">
        <v>2823.83</v>
      </c>
      <c r="G201" s="13" t="s">
        <v>169</v>
      </c>
      <c r="H201" s="14" t="str">
        <f t="shared" si="6"/>
        <v>B</v>
      </c>
      <c r="I201" s="15" t="str">
        <f t="shared" si="7"/>
        <v>The Commissioner &amp; Chief Constable are satisfied the spend represents VFM in accordance with the requirements of Category B</v>
      </c>
      <c r="L201" s="17"/>
      <c r="M201" s="17"/>
    </row>
    <row r="202" spans="1:13" s="20" customFormat="1" x14ac:dyDescent="0.2">
      <c r="A202" s="10" t="s">
        <v>8</v>
      </c>
      <c r="B202" s="11" t="s">
        <v>9</v>
      </c>
      <c r="C202" s="75" t="s">
        <v>277</v>
      </c>
      <c r="D202" s="73">
        <v>7172768</v>
      </c>
      <c r="E202" s="72">
        <v>45426</v>
      </c>
      <c r="F202" s="12">
        <v>2752</v>
      </c>
      <c r="G202" s="13" t="s">
        <v>35</v>
      </c>
      <c r="H202" s="14" t="str">
        <f t="shared" si="6"/>
        <v>B</v>
      </c>
      <c r="I202" s="15" t="str">
        <f t="shared" si="7"/>
        <v>The Commissioner &amp; Chief Constable are satisfied the spend represents VFM in accordance with the requirements of Category B</v>
      </c>
      <c r="L202" s="17"/>
      <c r="M202" s="17"/>
    </row>
    <row r="203" spans="1:13" s="20" customFormat="1" x14ac:dyDescent="0.2">
      <c r="A203" s="10" t="s">
        <v>8</v>
      </c>
      <c r="B203" s="11" t="s">
        <v>9</v>
      </c>
      <c r="C203" s="75" t="s">
        <v>196</v>
      </c>
      <c r="D203" s="73">
        <v>7172576</v>
      </c>
      <c r="E203" s="72">
        <v>45420</v>
      </c>
      <c r="F203" s="12">
        <v>2751.1099999999997</v>
      </c>
      <c r="G203" s="13" t="s">
        <v>169</v>
      </c>
      <c r="H203" s="14" t="str">
        <f t="shared" si="6"/>
        <v>B</v>
      </c>
      <c r="I203" s="15" t="str">
        <f t="shared" si="7"/>
        <v>The Commissioner &amp; Chief Constable are satisfied the spend represents VFM in accordance with the requirements of Category B</v>
      </c>
      <c r="L203" s="17"/>
      <c r="M203" s="17"/>
    </row>
    <row r="204" spans="1:13" s="20" customFormat="1" x14ac:dyDescent="0.2">
      <c r="A204" s="10" t="s">
        <v>8</v>
      </c>
      <c r="B204" s="11" t="s">
        <v>9</v>
      </c>
      <c r="C204" s="75" t="s">
        <v>699</v>
      </c>
      <c r="D204" s="73">
        <v>7173099</v>
      </c>
      <c r="E204" s="72">
        <v>45436</v>
      </c>
      <c r="F204" s="12">
        <v>2700</v>
      </c>
      <c r="G204" s="13" t="s">
        <v>22</v>
      </c>
      <c r="H204" s="14" t="str">
        <f t="shared" si="6"/>
        <v>B</v>
      </c>
      <c r="I204" s="15" t="str">
        <f t="shared" si="7"/>
        <v>The Commissioner &amp; Chief Constable are satisfied the spend represents VFM in accordance with the requirements of Category B</v>
      </c>
      <c r="L204" s="17"/>
      <c r="M204" s="17"/>
    </row>
    <row r="205" spans="1:13" s="20" customFormat="1" x14ac:dyDescent="0.2">
      <c r="A205" s="10" t="s">
        <v>8</v>
      </c>
      <c r="B205" s="11" t="s">
        <v>9</v>
      </c>
      <c r="C205" s="75" t="s">
        <v>119</v>
      </c>
      <c r="D205" s="73">
        <v>7173069</v>
      </c>
      <c r="E205" s="72">
        <v>45434</v>
      </c>
      <c r="F205" s="12">
        <v>2695.2</v>
      </c>
      <c r="G205" s="13" t="s">
        <v>120</v>
      </c>
      <c r="H205" s="14" t="str">
        <f t="shared" si="6"/>
        <v>B</v>
      </c>
      <c r="I205" s="15" t="str">
        <f t="shared" si="7"/>
        <v>The Commissioner &amp; Chief Constable are satisfied the spend represents VFM in accordance with the requirements of Category B</v>
      </c>
      <c r="L205" s="17"/>
      <c r="M205" s="17"/>
    </row>
    <row r="206" spans="1:13" s="20" customFormat="1" x14ac:dyDescent="0.2">
      <c r="A206" s="10" t="s">
        <v>8</v>
      </c>
      <c r="B206" s="11" t="s">
        <v>9</v>
      </c>
      <c r="C206" s="75" t="s">
        <v>196</v>
      </c>
      <c r="D206" s="73">
        <v>7172995</v>
      </c>
      <c r="E206" s="72">
        <v>45433</v>
      </c>
      <c r="F206" s="12">
        <v>2671.8399999999997</v>
      </c>
      <c r="G206" s="13" t="s">
        <v>169</v>
      </c>
      <c r="H206" s="14" t="str">
        <f t="shared" si="6"/>
        <v>B</v>
      </c>
      <c r="I206" s="15" t="str">
        <f t="shared" si="7"/>
        <v>The Commissioner &amp; Chief Constable are satisfied the spend represents VFM in accordance with the requirements of Category B</v>
      </c>
      <c r="L206" s="17"/>
      <c r="M206" s="17"/>
    </row>
    <row r="207" spans="1:13" s="20" customFormat="1" x14ac:dyDescent="0.2">
      <c r="A207" s="10" t="s">
        <v>8</v>
      </c>
      <c r="B207" s="11" t="s">
        <v>9</v>
      </c>
      <c r="C207" s="75" t="s">
        <v>124</v>
      </c>
      <c r="D207" s="73">
        <v>7172690</v>
      </c>
      <c r="E207" s="72">
        <v>45427</v>
      </c>
      <c r="F207" s="12">
        <v>2667.06</v>
      </c>
      <c r="G207" s="13" t="s">
        <v>91</v>
      </c>
      <c r="H207" s="14" t="str">
        <f t="shared" si="6"/>
        <v>B</v>
      </c>
      <c r="I207" s="15" t="str">
        <f t="shared" si="7"/>
        <v>The Commissioner &amp; Chief Constable are satisfied the spend represents VFM in accordance with the requirements of Category B</v>
      </c>
      <c r="L207" s="17"/>
      <c r="M207" s="17"/>
    </row>
    <row r="208" spans="1:13" s="20" customFormat="1" x14ac:dyDescent="0.2">
      <c r="A208" s="10" t="s">
        <v>8</v>
      </c>
      <c r="B208" s="11" t="s">
        <v>9</v>
      </c>
      <c r="C208" s="75" t="s">
        <v>508</v>
      </c>
      <c r="D208" s="73">
        <v>7173080</v>
      </c>
      <c r="E208" s="72">
        <v>45434</v>
      </c>
      <c r="F208" s="12">
        <v>2666.66</v>
      </c>
      <c r="G208" s="13" t="s">
        <v>345</v>
      </c>
      <c r="H208" s="14" t="str">
        <f t="shared" si="6"/>
        <v>B</v>
      </c>
      <c r="I208" s="15" t="str">
        <f t="shared" si="7"/>
        <v>The Commissioner &amp; Chief Constable are satisfied the spend represents VFM in accordance with the requirements of Category B</v>
      </c>
      <c r="L208" s="17"/>
      <c r="M208" s="17"/>
    </row>
    <row r="209" spans="1:13" s="20" customFormat="1" x14ac:dyDescent="0.2">
      <c r="A209" s="10" t="s">
        <v>8</v>
      </c>
      <c r="B209" s="11" t="s">
        <v>9</v>
      </c>
      <c r="C209" s="75" t="s">
        <v>469</v>
      </c>
      <c r="D209" s="73">
        <v>7172466</v>
      </c>
      <c r="E209" s="72">
        <v>45419</v>
      </c>
      <c r="F209" s="12">
        <v>2601</v>
      </c>
      <c r="G209" s="13" t="s">
        <v>94</v>
      </c>
      <c r="H209" s="14" t="str">
        <f t="shared" si="6"/>
        <v>B</v>
      </c>
      <c r="I209" s="15" t="str">
        <f t="shared" si="7"/>
        <v>The Commissioner &amp; Chief Constable are satisfied the spend represents VFM in accordance with the requirements of Category B</v>
      </c>
      <c r="L209" s="17"/>
      <c r="M209" s="17"/>
    </row>
    <row r="210" spans="1:13" s="20" customFormat="1" x14ac:dyDescent="0.2">
      <c r="A210" s="10" t="s">
        <v>8</v>
      </c>
      <c r="B210" s="11" t="s">
        <v>9</v>
      </c>
      <c r="C210" s="75" t="s">
        <v>698</v>
      </c>
      <c r="D210" s="73">
        <v>7172679</v>
      </c>
      <c r="E210" s="72">
        <v>45426</v>
      </c>
      <c r="F210" s="12">
        <v>2599.96</v>
      </c>
      <c r="G210" s="13" t="s">
        <v>94</v>
      </c>
      <c r="H210" s="14" t="str">
        <f t="shared" si="6"/>
        <v>B</v>
      </c>
      <c r="I210" s="15" t="str">
        <f t="shared" si="7"/>
        <v>The Commissioner &amp; Chief Constable are satisfied the spend represents VFM in accordance with the requirements of Category B</v>
      </c>
      <c r="L210" s="17"/>
      <c r="M210" s="17"/>
    </row>
    <row r="211" spans="1:13" s="20" customFormat="1" x14ac:dyDescent="0.2">
      <c r="A211" s="10" t="s">
        <v>8</v>
      </c>
      <c r="B211" s="11" t="s">
        <v>9</v>
      </c>
      <c r="C211" s="75" t="s">
        <v>74</v>
      </c>
      <c r="D211" s="73">
        <v>7171164</v>
      </c>
      <c r="E211" s="72">
        <v>45442</v>
      </c>
      <c r="F211" s="12">
        <v>2585.1799999999998</v>
      </c>
      <c r="G211" s="13" t="s">
        <v>75</v>
      </c>
      <c r="H211" s="14" t="str">
        <f t="shared" si="6"/>
        <v>B</v>
      </c>
      <c r="I211" s="15" t="str">
        <f t="shared" si="7"/>
        <v>The Commissioner &amp; Chief Constable are satisfied the spend represents VFM in accordance with the requirements of Category B</v>
      </c>
      <c r="L211" s="17"/>
      <c r="M211" s="17"/>
    </row>
    <row r="212" spans="1:13" s="20" customFormat="1" x14ac:dyDescent="0.2">
      <c r="A212" s="10" t="s">
        <v>8</v>
      </c>
      <c r="B212" s="11" t="s">
        <v>9</v>
      </c>
      <c r="C212" s="75" t="s">
        <v>423</v>
      </c>
      <c r="D212" s="73">
        <v>7172829</v>
      </c>
      <c r="E212" s="72">
        <v>45426</v>
      </c>
      <c r="F212" s="12">
        <v>2558.1999999999998</v>
      </c>
      <c r="G212" s="13" t="s">
        <v>390</v>
      </c>
      <c r="H212" s="14" t="str">
        <f t="shared" si="6"/>
        <v>B</v>
      </c>
      <c r="I212" s="15" t="str">
        <f t="shared" si="7"/>
        <v>The Commissioner &amp; Chief Constable are satisfied the spend represents VFM in accordance with the requirements of Category B</v>
      </c>
      <c r="L212" s="17"/>
      <c r="M212" s="17"/>
    </row>
    <row r="213" spans="1:13" s="20" customFormat="1" x14ac:dyDescent="0.2">
      <c r="A213" s="10" t="s">
        <v>8</v>
      </c>
      <c r="B213" s="11" t="s">
        <v>9</v>
      </c>
      <c r="C213" s="75" t="s">
        <v>691</v>
      </c>
      <c r="D213" s="73">
        <v>7173321</v>
      </c>
      <c r="E213" s="72">
        <v>45442</v>
      </c>
      <c r="F213" s="12">
        <v>2520</v>
      </c>
      <c r="G213" s="13" t="s">
        <v>138</v>
      </c>
      <c r="H213" s="14" t="str">
        <f t="shared" si="6"/>
        <v>B</v>
      </c>
      <c r="I213" s="15" t="str">
        <f t="shared" si="7"/>
        <v>The Commissioner &amp; Chief Constable are satisfied the spend represents VFM in accordance with the requirements of Category B</v>
      </c>
      <c r="L213" s="17"/>
      <c r="M213" s="17"/>
    </row>
    <row r="214" spans="1:13" s="20" customFormat="1" x14ac:dyDescent="0.2">
      <c r="A214" s="10" t="s">
        <v>8</v>
      </c>
      <c r="B214" s="11" t="s">
        <v>9</v>
      </c>
      <c r="C214" s="75" t="s">
        <v>698</v>
      </c>
      <c r="D214" s="73">
        <v>7172805</v>
      </c>
      <c r="E214" s="72">
        <v>45426</v>
      </c>
      <c r="F214" s="12">
        <v>2518.7399999999998</v>
      </c>
      <c r="G214" s="13" t="s">
        <v>94</v>
      </c>
      <c r="H214" s="14" t="str">
        <f t="shared" si="6"/>
        <v>B</v>
      </c>
      <c r="I214" s="15" t="str">
        <f t="shared" si="7"/>
        <v>The Commissioner &amp; Chief Constable are satisfied the spend represents VFM in accordance with the requirements of Category B</v>
      </c>
      <c r="L214" s="17"/>
      <c r="M214" s="17"/>
    </row>
    <row r="215" spans="1:13" s="20" customFormat="1" x14ac:dyDescent="0.2">
      <c r="A215" s="10" t="s">
        <v>8</v>
      </c>
      <c r="B215" s="11" t="s">
        <v>9</v>
      </c>
      <c r="C215" s="75" t="s">
        <v>30</v>
      </c>
      <c r="D215" s="73">
        <v>7172328</v>
      </c>
      <c r="E215" s="72">
        <v>45413</v>
      </c>
      <c r="F215" s="12">
        <v>2504.61</v>
      </c>
      <c r="G215" s="13" t="s">
        <v>31</v>
      </c>
      <c r="H215" s="14" t="str">
        <f t="shared" si="6"/>
        <v>B</v>
      </c>
      <c r="I215" s="15" t="str">
        <f t="shared" si="7"/>
        <v>The Commissioner &amp; Chief Constable are satisfied the spend represents VFM in accordance with the requirements of Category B</v>
      </c>
      <c r="L215" s="17"/>
      <c r="M215" s="17"/>
    </row>
    <row r="216" spans="1:13" s="20" customFormat="1" x14ac:dyDescent="0.2">
      <c r="A216" s="10" t="s">
        <v>8</v>
      </c>
      <c r="B216" s="11" t="s">
        <v>9</v>
      </c>
      <c r="C216" s="75" t="s">
        <v>208</v>
      </c>
      <c r="D216" s="73">
        <v>7172731</v>
      </c>
      <c r="E216" s="72">
        <v>45425</v>
      </c>
      <c r="F216" s="12">
        <v>2501.17</v>
      </c>
      <c r="G216" s="13" t="s">
        <v>209</v>
      </c>
      <c r="H216" s="14" t="str">
        <f t="shared" si="6"/>
        <v>B</v>
      </c>
      <c r="I216" s="15" t="str">
        <f t="shared" si="7"/>
        <v>The Commissioner &amp; Chief Constable are satisfied the spend represents VFM in accordance with the requirements of Category B</v>
      </c>
      <c r="L216" s="17"/>
      <c r="M216" s="17"/>
    </row>
    <row r="217" spans="1:13" s="20" customFormat="1" x14ac:dyDescent="0.2">
      <c r="A217" s="10" t="s">
        <v>8</v>
      </c>
      <c r="B217" s="11" t="s">
        <v>9</v>
      </c>
      <c r="C217" s="75" t="s">
        <v>697</v>
      </c>
      <c r="D217" s="73">
        <v>7173329</v>
      </c>
      <c r="E217" s="72">
        <v>45443</v>
      </c>
      <c r="F217" s="12">
        <v>2500</v>
      </c>
      <c r="G217" s="13" t="s">
        <v>251</v>
      </c>
      <c r="H217" s="14" t="str">
        <f t="shared" si="6"/>
        <v>B</v>
      </c>
      <c r="I217" s="15" t="str">
        <f t="shared" si="7"/>
        <v>The Commissioner &amp; Chief Constable are satisfied the spend represents VFM in accordance with the requirements of Category B</v>
      </c>
      <c r="L217" s="17"/>
      <c r="M217" s="17"/>
    </row>
    <row r="218" spans="1:13" s="20" customFormat="1" x14ac:dyDescent="0.2">
      <c r="A218" s="10" t="s">
        <v>8</v>
      </c>
      <c r="B218" s="11" t="s">
        <v>9</v>
      </c>
      <c r="C218" s="75" t="s">
        <v>696</v>
      </c>
      <c r="D218" s="73">
        <v>7172309</v>
      </c>
      <c r="E218" s="72">
        <v>45432</v>
      </c>
      <c r="F218" s="12">
        <v>2495</v>
      </c>
      <c r="G218" s="13" t="s">
        <v>345</v>
      </c>
      <c r="H218" s="14" t="str">
        <f t="shared" si="6"/>
        <v>B</v>
      </c>
      <c r="I218" s="15" t="str">
        <f t="shared" si="7"/>
        <v>The Commissioner &amp; Chief Constable are satisfied the spend represents VFM in accordance with the requirements of Category B</v>
      </c>
      <c r="L218" s="17"/>
      <c r="M218" s="17"/>
    </row>
    <row r="219" spans="1:13" s="20" customFormat="1" x14ac:dyDescent="0.2">
      <c r="A219" s="10" t="s">
        <v>8</v>
      </c>
      <c r="B219" s="11" t="s">
        <v>9</v>
      </c>
      <c r="C219" s="75" t="s">
        <v>200</v>
      </c>
      <c r="D219" s="73">
        <v>7173221</v>
      </c>
      <c r="E219" s="72">
        <v>45442</v>
      </c>
      <c r="F219" s="12">
        <v>2454</v>
      </c>
      <c r="G219" s="13" t="s">
        <v>38</v>
      </c>
      <c r="H219" s="14" t="str">
        <f t="shared" si="6"/>
        <v>B</v>
      </c>
      <c r="I219" s="15" t="str">
        <f t="shared" si="7"/>
        <v>The Commissioner &amp; Chief Constable are satisfied the spend represents VFM in accordance with the requirements of Category B</v>
      </c>
      <c r="L219" s="17"/>
      <c r="M219" s="17"/>
    </row>
    <row r="220" spans="1:13" s="20" customFormat="1" x14ac:dyDescent="0.2">
      <c r="A220" s="10" t="s">
        <v>8</v>
      </c>
      <c r="B220" s="11" t="s">
        <v>9</v>
      </c>
      <c r="C220" s="75" t="s">
        <v>221</v>
      </c>
      <c r="D220" s="73">
        <v>7173021</v>
      </c>
      <c r="E220" s="72">
        <v>45435</v>
      </c>
      <c r="F220" s="12">
        <v>2433</v>
      </c>
      <c r="G220" s="13" t="s">
        <v>106</v>
      </c>
      <c r="H220" s="14" t="str">
        <f t="shared" si="6"/>
        <v>B</v>
      </c>
      <c r="I220" s="15" t="str">
        <f t="shared" si="7"/>
        <v>The Commissioner &amp; Chief Constable are satisfied the spend represents VFM in accordance with the requirements of Category B</v>
      </c>
      <c r="L220" s="17"/>
      <c r="M220" s="17"/>
    </row>
    <row r="221" spans="1:13" s="20" customFormat="1" x14ac:dyDescent="0.2">
      <c r="A221" s="10" t="s">
        <v>8</v>
      </c>
      <c r="B221" s="11" t="s">
        <v>9</v>
      </c>
      <c r="C221" s="75" t="s">
        <v>207</v>
      </c>
      <c r="D221" s="73">
        <v>7172521</v>
      </c>
      <c r="E221" s="72">
        <v>45419</v>
      </c>
      <c r="F221" s="12">
        <v>2364.92</v>
      </c>
      <c r="G221" s="13" t="s">
        <v>114</v>
      </c>
      <c r="H221" s="14" t="str">
        <f t="shared" si="6"/>
        <v>B</v>
      </c>
      <c r="I221" s="15" t="str">
        <f t="shared" si="7"/>
        <v>The Commissioner &amp; Chief Constable are satisfied the spend represents VFM in accordance with the requirements of Category B</v>
      </c>
      <c r="L221" s="17"/>
      <c r="M221" s="17"/>
    </row>
    <row r="222" spans="1:13" s="20" customFormat="1" x14ac:dyDescent="0.2">
      <c r="A222" s="10" t="s">
        <v>8</v>
      </c>
      <c r="B222" s="11" t="s">
        <v>9</v>
      </c>
      <c r="C222" s="75" t="s">
        <v>48</v>
      </c>
      <c r="D222" s="73">
        <v>7172941</v>
      </c>
      <c r="E222" s="72">
        <v>45429</v>
      </c>
      <c r="F222" s="12">
        <v>2278.33</v>
      </c>
      <c r="G222" s="13" t="s">
        <v>15</v>
      </c>
      <c r="H222" s="14" t="str">
        <f t="shared" si="6"/>
        <v>B</v>
      </c>
      <c r="I222" s="15" t="str">
        <f t="shared" si="7"/>
        <v>The Commissioner &amp; Chief Constable are satisfied the spend represents VFM in accordance with the requirements of Category B</v>
      </c>
      <c r="L222" s="17"/>
      <c r="M222" s="17"/>
    </row>
    <row r="223" spans="1:13" s="20" customFormat="1" x14ac:dyDescent="0.2">
      <c r="A223" s="10" t="s">
        <v>8</v>
      </c>
      <c r="B223" s="11" t="s">
        <v>9</v>
      </c>
      <c r="C223" s="75" t="s">
        <v>217</v>
      </c>
      <c r="D223" s="73">
        <v>7173051</v>
      </c>
      <c r="E223" s="72">
        <v>45435</v>
      </c>
      <c r="F223" s="12">
        <v>2242</v>
      </c>
      <c r="G223" s="13" t="s">
        <v>218</v>
      </c>
      <c r="H223" s="14" t="str">
        <f t="shared" si="6"/>
        <v>B</v>
      </c>
      <c r="I223" s="15" t="str">
        <f t="shared" si="7"/>
        <v>The Commissioner &amp; Chief Constable are satisfied the spend represents VFM in accordance with the requirements of Category B</v>
      </c>
      <c r="L223" s="17"/>
      <c r="M223" s="17"/>
    </row>
    <row r="224" spans="1:13" s="20" customFormat="1" x14ac:dyDescent="0.2">
      <c r="A224" s="10" t="s">
        <v>8</v>
      </c>
      <c r="B224" s="11" t="s">
        <v>9</v>
      </c>
      <c r="C224" s="75" t="s">
        <v>238</v>
      </c>
      <c r="D224" s="73">
        <v>7172199</v>
      </c>
      <c r="E224" s="72">
        <v>45414</v>
      </c>
      <c r="F224" s="12">
        <v>2210.7399999999998</v>
      </c>
      <c r="G224" s="13" t="s">
        <v>106</v>
      </c>
      <c r="H224" s="14" t="str">
        <f t="shared" si="6"/>
        <v>B</v>
      </c>
      <c r="I224" s="15" t="str">
        <f t="shared" si="7"/>
        <v>The Commissioner &amp; Chief Constable are satisfied the spend represents VFM in accordance with the requirements of Category B</v>
      </c>
      <c r="L224" s="17"/>
      <c r="M224" s="17"/>
    </row>
    <row r="225" spans="1:13" s="20" customFormat="1" x14ac:dyDescent="0.2">
      <c r="A225" s="10" t="s">
        <v>8</v>
      </c>
      <c r="B225" s="11" t="s">
        <v>9</v>
      </c>
      <c r="C225" s="75" t="s">
        <v>332</v>
      </c>
      <c r="D225" s="73">
        <v>7172471</v>
      </c>
      <c r="E225" s="72">
        <v>45421</v>
      </c>
      <c r="F225" s="12">
        <v>2182</v>
      </c>
      <c r="G225" s="13" t="s">
        <v>131</v>
      </c>
      <c r="H225" s="14" t="str">
        <f t="shared" si="6"/>
        <v>B</v>
      </c>
      <c r="I225" s="15" t="str">
        <f t="shared" si="7"/>
        <v>The Commissioner &amp; Chief Constable are satisfied the spend represents VFM in accordance with the requirements of Category B</v>
      </c>
      <c r="L225" s="17"/>
      <c r="M225" s="17"/>
    </row>
    <row r="226" spans="1:13" s="20" customFormat="1" x14ac:dyDescent="0.2">
      <c r="A226" s="10" t="s">
        <v>8</v>
      </c>
      <c r="B226" s="11" t="s">
        <v>9</v>
      </c>
      <c r="C226" s="75" t="s">
        <v>303</v>
      </c>
      <c r="D226" s="73">
        <v>7171991</v>
      </c>
      <c r="E226" s="72">
        <v>45428</v>
      </c>
      <c r="F226" s="12">
        <v>2165.69</v>
      </c>
      <c r="G226" s="13" t="s">
        <v>91</v>
      </c>
      <c r="H226" s="14" t="str">
        <f t="shared" si="6"/>
        <v>B</v>
      </c>
      <c r="I226" s="15" t="str">
        <f t="shared" si="7"/>
        <v>The Commissioner &amp; Chief Constable are satisfied the spend represents VFM in accordance with the requirements of Category B</v>
      </c>
      <c r="L226" s="17"/>
      <c r="M226" s="17"/>
    </row>
    <row r="227" spans="1:13" s="20" customFormat="1" x14ac:dyDescent="0.2">
      <c r="A227" s="10" t="s">
        <v>8</v>
      </c>
      <c r="B227" s="11" t="s">
        <v>9</v>
      </c>
      <c r="C227" s="75" t="s">
        <v>240</v>
      </c>
      <c r="D227" s="73">
        <v>7172908</v>
      </c>
      <c r="E227" s="72">
        <v>45428</v>
      </c>
      <c r="F227" s="12">
        <v>2137.36</v>
      </c>
      <c r="G227" s="13" t="s">
        <v>241</v>
      </c>
      <c r="H227" s="14" t="str">
        <f t="shared" si="6"/>
        <v>B</v>
      </c>
      <c r="I227" s="15" t="str">
        <f t="shared" si="7"/>
        <v>The Commissioner &amp; Chief Constable are satisfied the spend represents VFM in accordance with the requirements of Category B</v>
      </c>
      <c r="L227" s="17"/>
      <c r="M227" s="17"/>
    </row>
    <row r="228" spans="1:13" s="20" customFormat="1" x14ac:dyDescent="0.2">
      <c r="A228" s="10" t="s">
        <v>8</v>
      </c>
      <c r="B228" s="11" t="s">
        <v>9</v>
      </c>
      <c r="C228" s="75" t="s">
        <v>540</v>
      </c>
      <c r="D228" s="73">
        <v>7172878</v>
      </c>
      <c r="E228" s="72">
        <v>45428</v>
      </c>
      <c r="F228" s="12">
        <v>2090.67</v>
      </c>
      <c r="G228" s="13" t="s">
        <v>58</v>
      </c>
      <c r="H228" s="14" t="str">
        <f t="shared" si="6"/>
        <v>B</v>
      </c>
      <c r="I228" s="15" t="str">
        <f t="shared" si="7"/>
        <v>The Commissioner &amp; Chief Constable are satisfied the spend represents VFM in accordance with the requirements of Category B</v>
      </c>
      <c r="L228" s="17"/>
      <c r="M228" s="17"/>
    </row>
    <row r="229" spans="1:13" s="20" customFormat="1" x14ac:dyDescent="0.2">
      <c r="A229" s="10" t="s">
        <v>8</v>
      </c>
      <c r="B229" s="11" t="s">
        <v>9</v>
      </c>
      <c r="C229" s="75" t="s">
        <v>385</v>
      </c>
      <c r="D229" s="73">
        <v>7172583</v>
      </c>
      <c r="E229" s="72">
        <v>45426</v>
      </c>
      <c r="F229" s="12">
        <v>2089.21</v>
      </c>
      <c r="G229" s="13" t="s">
        <v>112</v>
      </c>
      <c r="H229" s="14" t="str">
        <f t="shared" si="6"/>
        <v>B</v>
      </c>
      <c r="I229" s="15" t="str">
        <f t="shared" si="7"/>
        <v>The Commissioner &amp; Chief Constable are satisfied the spend represents VFM in accordance with the requirements of Category B</v>
      </c>
      <c r="L229" s="17"/>
      <c r="M229" s="17"/>
    </row>
    <row r="230" spans="1:13" s="20" customFormat="1" x14ac:dyDescent="0.2">
      <c r="A230" s="10" t="s">
        <v>8</v>
      </c>
      <c r="B230" s="11" t="s">
        <v>9</v>
      </c>
      <c r="C230" s="75" t="s">
        <v>90</v>
      </c>
      <c r="D230" s="73">
        <v>7172951</v>
      </c>
      <c r="E230" s="72">
        <v>45433</v>
      </c>
      <c r="F230" s="12">
        <v>2080.71</v>
      </c>
      <c r="G230" s="13" t="s">
        <v>91</v>
      </c>
      <c r="H230" s="14" t="str">
        <f t="shared" si="6"/>
        <v>B</v>
      </c>
      <c r="I230" s="15" t="str">
        <f t="shared" si="7"/>
        <v>The Commissioner &amp; Chief Constable are satisfied the spend represents VFM in accordance with the requirements of Category B</v>
      </c>
      <c r="L230" s="17"/>
      <c r="M230" s="17"/>
    </row>
    <row r="231" spans="1:13" s="20" customFormat="1" x14ac:dyDescent="0.2">
      <c r="A231" s="10" t="s">
        <v>8</v>
      </c>
      <c r="B231" s="11" t="s">
        <v>9</v>
      </c>
      <c r="C231" s="75" t="s">
        <v>90</v>
      </c>
      <c r="D231" s="73">
        <v>7172948</v>
      </c>
      <c r="E231" s="72">
        <v>45433</v>
      </c>
      <c r="F231" s="12">
        <v>2054.6</v>
      </c>
      <c r="G231" s="13" t="s">
        <v>91</v>
      </c>
      <c r="H231" s="14" t="str">
        <f t="shared" si="6"/>
        <v>B</v>
      </c>
      <c r="I231" s="15" t="str">
        <f t="shared" si="7"/>
        <v>The Commissioner &amp; Chief Constable are satisfied the spend represents VFM in accordance with the requirements of Category B</v>
      </c>
      <c r="L231" s="17"/>
      <c r="M231" s="17"/>
    </row>
    <row r="232" spans="1:13" s="20" customFormat="1" x14ac:dyDescent="0.2">
      <c r="A232" s="10" t="s">
        <v>8</v>
      </c>
      <c r="B232" s="11" t="s">
        <v>9</v>
      </c>
      <c r="C232" s="75" t="s">
        <v>294</v>
      </c>
      <c r="D232" s="73">
        <v>7172808</v>
      </c>
      <c r="E232" s="72">
        <v>45436</v>
      </c>
      <c r="F232" s="12">
        <v>2023.5</v>
      </c>
      <c r="G232" s="13" t="s">
        <v>131</v>
      </c>
      <c r="H232" s="14" t="str">
        <f t="shared" si="6"/>
        <v>B</v>
      </c>
      <c r="I232" s="15" t="str">
        <f t="shared" si="7"/>
        <v>The Commissioner &amp; Chief Constable are satisfied the spend represents VFM in accordance with the requirements of Category B</v>
      </c>
      <c r="L232" s="17"/>
      <c r="M232" s="17"/>
    </row>
    <row r="233" spans="1:13" s="20" customFormat="1" x14ac:dyDescent="0.2">
      <c r="A233" s="10" t="s">
        <v>8</v>
      </c>
      <c r="B233" s="11" t="s">
        <v>9</v>
      </c>
      <c r="C233" s="77" t="s">
        <v>695</v>
      </c>
      <c r="D233" s="73">
        <v>7172609</v>
      </c>
      <c r="E233" s="72">
        <v>45426</v>
      </c>
      <c r="F233" s="12">
        <v>2001.77</v>
      </c>
      <c r="G233" s="13" t="s">
        <v>22</v>
      </c>
      <c r="H233" s="14" t="str">
        <f t="shared" si="6"/>
        <v>B</v>
      </c>
      <c r="I233" s="15" t="str">
        <f t="shared" si="7"/>
        <v>The Commissioner &amp; Chief Constable are satisfied the spend represents VFM in accordance with the requirements of Category B</v>
      </c>
      <c r="L233" s="17"/>
      <c r="M233" s="17"/>
    </row>
    <row r="234" spans="1:13" s="20" customFormat="1" x14ac:dyDescent="0.2">
      <c r="A234" s="10" t="s">
        <v>8</v>
      </c>
      <c r="B234" s="11" t="s">
        <v>9</v>
      </c>
      <c r="C234" s="75" t="s">
        <v>221</v>
      </c>
      <c r="D234" s="73">
        <v>7173114</v>
      </c>
      <c r="E234" s="72">
        <v>45435</v>
      </c>
      <c r="F234" s="12">
        <v>1995</v>
      </c>
      <c r="G234" s="13" t="s">
        <v>106</v>
      </c>
      <c r="H234" s="14" t="str">
        <f t="shared" si="6"/>
        <v>B</v>
      </c>
      <c r="I234" s="15" t="str">
        <f t="shared" si="7"/>
        <v>The Commissioner &amp; Chief Constable are satisfied the spend represents VFM in accordance with the requirements of Category B</v>
      </c>
      <c r="L234" s="17"/>
      <c r="M234" s="17"/>
    </row>
    <row r="235" spans="1:13" s="20" customFormat="1" x14ac:dyDescent="0.2">
      <c r="A235" s="10" t="s">
        <v>8</v>
      </c>
      <c r="B235" s="11" t="s">
        <v>9</v>
      </c>
      <c r="C235" s="75" t="s">
        <v>694</v>
      </c>
      <c r="D235" s="73">
        <v>7172139</v>
      </c>
      <c r="E235" s="72">
        <v>45419</v>
      </c>
      <c r="F235" s="12">
        <v>1980</v>
      </c>
      <c r="G235" s="13" t="s">
        <v>158</v>
      </c>
      <c r="H235" s="14" t="str">
        <f t="shared" si="6"/>
        <v>B</v>
      </c>
      <c r="I235" s="15" t="str">
        <f t="shared" si="7"/>
        <v>The Commissioner &amp; Chief Constable are satisfied the spend represents VFM in accordance with the requirements of Category B</v>
      </c>
      <c r="L235" s="17"/>
      <c r="M235" s="17"/>
    </row>
    <row r="236" spans="1:13" s="20" customFormat="1" x14ac:dyDescent="0.2">
      <c r="A236" s="10" t="s">
        <v>8</v>
      </c>
      <c r="B236" s="11" t="s">
        <v>9</v>
      </c>
      <c r="C236" s="75" t="s">
        <v>262</v>
      </c>
      <c r="D236" s="73">
        <v>7172293</v>
      </c>
      <c r="E236" s="72">
        <v>45415</v>
      </c>
      <c r="F236" s="12">
        <v>1942.5</v>
      </c>
      <c r="G236" s="13" t="s">
        <v>263</v>
      </c>
      <c r="H236" s="14" t="str">
        <f t="shared" si="6"/>
        <v>B</v>
      </c>
      <c r="I236" s="15" t="str">
        <f t="shared" si="7"/>
        <v>The Commissioner &amp; Chief Constable are satisfied the spend represents VFM in accordance with the requirements of Category B</v>
      </c>
      <c r="L236" s="17"/>
      <c r="M236" s="17"/>
    </row>
    <row r="237" spans="1:13" s="20" customFormat="1" x14ac:dyDescent="0.2">
      <c r="A237" s="10" t="s">
        <v>8</v>
      </c>
      <c r="B237" s="11" t="s">
        <v>9</v>
      </c>
      <c r="C237" s="75" t="s">
        <v>221</v>
      </c>
      <c r="D237" s="73">
        <v>7173116</v>
      </c>
      <c r="E237" s="72">
        <v>45435</v>
      </c>
      <c r="F237" s="12">
        <v>1935</v>
      </c>
      <c r="G237" s="13" t="s">
        <v>106</v>
      </c>
      <c r="H237" s="14" t="str">
        <f t="shared" si="6"/>
        <v>B</v>
      </c>
      <c r="I237" s="15" t="str">
        <f t="shared" si="7"/>
        <v>The Commissioner &amp; Chief Constable are satisfied the spend represents VFM in accordance with the requirements of Category B</v>
      </c>
      <c r="L237" s="17"/>
      <c r="M237" s="17"/>
    </row>
    <row r="238" spans="1:13" s="20" customFormat="1" x14ac:dyDescent="0.2">
      <c r="A238" s="10" t="s">
        <v>8</v>
      </c>
      <c r="B238" s="11" t="s">
        <v>9</v>
      </c>
      <c r="C238" s="75" t="s">
        <v>221</v>
      </c>
      <c r="D238" s="73">
        <v>7173265</v>
      </c>
      <c r="E238" s="72">
        <v>45442</v>
      </c>
      <c r="F238" s="12">
        <v>1935</v>
      </c>
      <c r="G238" s="13" t="s">
        <v>106</v>
      </c>
      <c r="H238" s="14" t="str">
        <f t="shared" si="6"/>
        <v>B</v>
      </c>
      <c r="I238" s="15" t="str">
        <f t="shared" si="7"/>
        <v>The Commissioner &amp; Chief Constable are satisfied the spend represents VFM in accordance with the requirements of Category B</v>
      </c>
      <c r="L238" s="17"/>
      <c r="M238" s="17"/>
    </row>
    <row r="239" spans="1:13" s="20" customFormat="1" x14ac:dyDescent="0.2">
      <c r="A239" s="10" t="s">
        <v>8</v>
      </c>
      <c r="B239" s="11" t="s">
        <v>9</v>
      </c>
      <c r="C239" s="75" t="s">
        <v>153</v>
      </c>
      <c r="D239" s="73">
        <v>7173203</v>
      </c>
      <c r="E239" s="72">
        <v>45442</v>
      </c>
      <c r="F239" s="12">
        <v>1907.5</v>
      </c>
      <c r="G239" s="13" t="s">
        <v>39</v>
      </c>
      <c r="H239" s="14" t="str">
        <f t="shared" si="6"/>
        <v>B</v>
      </c>
      <c r="I239" s="15" t="str">
        <f t="shared" si="7"/>
        <v>The Commissioner &amp; Chief Constable are satisfied the spend represents VFM in accordance with the requirements of Category B</v>
      </c>
      <c r="L239" s="17"/>
      <c r="M239" s="17"/>
    </row>
    <row r="240" spans="1:13" s="20" customFormat="1" x14ac:dyDescent="0.2">
      <c r="A240" s="10" t="s">
        <v>8</v>
      </c>
      <c r="B240" s="11" t="s">
        <v>9</v>
      </c>
      <c r="C240" s="75" t="s">
        <v>266</v>
      </c>
      <c r="D240" s="73">
        <v>7172925</v>
      </c>
      <c r="E240" s="72">
        <v>45429</v>
      </c>
      <c r="F240" s="12">
        <v>1902.23</v>
      </c>
      <c r="G240" s="13" t="s">
        <v>84</v>
      </c>
      <c r="H240" s="14" t="str">
        <f t="shared" si="6"/>
        <v>B</v>
      </c>
      <c r="I240" s="15" t="str">
        <f t="shared" si="7"/>
        <v>The Commissioner &amp; Chief Constable are satisfied the spend represents VFM in accordance with the requirements of Category B</v>
      </c>
      <c r="L240" s="17"/>
      <c r="M240" s="17"/>
    </row>
    <row r="241" spans="1:13" s="20" customFormat="1" x14ac:dyDescent="0.2">
      <c r="A241" s="10" t="s">
        <v>8</v>
      </c>
      <c r="B241" s="11" t="s">
        <v>9</v>
      </c>
      <c r="C241" s="75" t="s">
        <v>26</v>
      </c>
      <c r="D241" s="73">
        <v>7172288</v>
      </c>
      <c r="E241" s="72">
        <v>45418</v>
      </c>
      <c r="F241" s="12">
        <v>1131.58</v>
      </c>
      <c r="G241" s="13" t="s">
        <v>131</v>
      </c>
      <c r="H241" s="14" t="str">
        <f t="shared" si="6"/>
        <v>B</v>
      </c>
      <c r="I241" s="15" t="str">
        <f t="shared" si="7"/>
        <v>The Commissioner &amp; Chief Constable are satisfied the spend represents VFM in accordance with the requirements of Category B</v>
      </c>
      <c r="L241" s="17"/>
      <c r="M241" s="17"/>
    </row>
    <row r="242" spans="1:13" s="20" customFormat="1" x14ac:dyDescent="0.2">
      <c r="A242" s="10" t="s">
        <v>8</v>
      </c>
      <c r="B242" s="11" t="s">
        <v>9</v>
      </c>
      <c r="C242" s="75" t="s">
        <v>26</v>
      </c>
      <c r="D242" s="73">
        <v>7172288</v>
      </c>
      <c r="E242" s="72">
        <v>45418</v>
      </c>
      <c r="F242" s="12">
        <v>739.46</v>
      </c>
      <c r="G242" s="13" t="s">
        <v>75</v>
      </c>
      <c r="H242" s="14" t="str">
        <f t="shared" si="6"/>
        <v>A</v>
      </c>
      <c r="I242" s="15" t="str">
        <f t="shared" si="7"/>
        <v>The Commissioner &amp; Chief Constable are satisfied the spend represents VFM in accordance with the requirements of Category A</v>
      </c>
      <c r="L242" s="17"/>
      <c r="M242" s="17"/>
    </row>
    <row r="243" spans="1:13" s="20" customFormat="1" x14ac:dyDescent="0.2">
      <c r="A243" s="10" t="s">
        <v>8</v>
      </c>
      <c r="B243" s="11" t="s">
        <v>9</v>
      </c>
      <c r="C243" s="75" t="s">
        <v>637</v>
      </c>
      <c r="D243" s="73">
        <v>7172929</v>
      </c>
      <c r="E243" s="72">
        <v>45429</v>
      </c>
      <c r="F243" s="12">
        <v>1865</v>
      </c>
      <c r="G243" s="13" t="s">
        <v>129</v>
      </c>
      <c r="H243" s="14" t="str">
        <f t="shared" si="6"/>
        <v>B</v>
      </c>
      <c r="I243" s="15" t="str">
        <f t="shared" si="7"/>
        <v>The Commissioner &amp; Chief Constable are satisfied the spend represents VFM in accordance with the requirements of Category B</v>
      </c>
      <c r="L243" s="17"/>
      <c r="M243" s="17"/>
    </row>
    <row r="244" spans="1:13" s="20" customFormat="1" x14ac:dyDescent="0.2">
      <c r="A244" s="10" t="s">
        <v>8</v>
      </c>
      <c r="B244" s="11" t="s">
        <v>9</v>
      </c>
      <c r="C244" s="75" t="s">
        <v>236</v>
      </c>
      <c r="D244" s="73">
        <v>7173207</v>
      </c>
      <c r="E244" s="72">
        <v>45440</v>
      </c>
      <c r="F244" s="12">
        <v>1850</v>
      </c>
      <c r="G244" s="13" t="s">
        <v>237</v>
      </c>
      <c r="H244" s="14" t="str">
        <f t="shared" si="6"/>
        <v>B</v>
      </c>
      <c r="I244" s="15" t="str">
        <f t="shared" si="7"/>
        <v>The Commissioner &amp; Chief Constable are satisfied the spend represents VFM in accordance with the requirements of Category B</v>
      </c>
      <c r="L244" s="17"/>
      <c r="M244" s="17"/>
    </row>
    <row r="245" spans="1:13" s="20" customFormat="1" x14ac:dyDescent="0.2">
      <c r="A245" s="10" t="s">
        <v>8</v>
      </c>
      <c r="B245" s="11" t="s">
        <v>9</v>
      </c>
      <c r="C245" s="75" t="s">
        <v>163</v>
      </c>
      <c r="D245" s="73">
        <v>7172340</v>
      </c>
      <c r="E245" s="72">
        <v>45415</v>
      </c>
      <c r="F245" s="12">
        <v>205</v>
      </c>
      <c r="G245" s="13" t="s">
        <v>45</v>
      </c>
      <c r="H245" s="14" t="str">
        <f t="shared" si="6"/>
        <v>A</v>
      </c>
      <c r="I245" s="15" t="str">
        <f t="shared" si="7"/>
        <v>The Commissioner &amp; Chief Constable are satisfied the spend represents VFM in accordance with the requirements of Category A</v>
      </c>
      <c r="L245" s="17"/>
      <c r="M245" s="17"/>
    </row>
    <row r="246" spans="1:13" s="20" customFormat="1" x14ac:dyDescent="0.2">
      <c r="A246" s="10" t="s">
        <v>8</v>
      </c>
      <c r="B246" s="11" t="s">
        <v>9</v>
      </c>
      <c r="C246" s="75" t="s">
        <v>163</v>
      </c>
      <c r="D246" s="73">
        <v>7172340</v>
      </c>
      <c r="E246" s="72">
        <v>45415</v>
      </c>
      <c r="F246" s="12">
        <v>1645</v>
      </c>
      <c r="G246" s="13" t="s">
        <v>81</v>
      </c>
      <c r="H246" s="14" t="str">
        <f t="shared" si="6"/>
        <v>B</v>
      </c>
      <c r="I246" s="15" t="str">
        <f t="shared" si="7"/>
        <v>The Commissioner &amp; Chief Constable are satisfied the spend represents VFM in accordance with the requirements of Category B</v>
      </c>
      <c r="L246" s="17"/>
      <c r="M246" s="17"/>
    </row>
    <row r="247" spans="1:13" s="20" customFormat="1" x14ac:dyDescent="0.2">
      <c r="A247" s="10" t="s">
        <v>8</v>
      </c>
      <c r="B247" s="11" t="s">
        <v>9</v>
      </c>
      <c r="C247" s="75" t="s">
        <v>535</v>
      </c>
      <c r="D247" s="73">
        <v>7171871</v>
      </c>
      <c r="E247" s="72">
        <v>45413</v>
      </c>
      <c r="F247" s="12">
        <v>1847</v>
      </c>
      <c r="G247" s="13" t="s">
        <v>112</v>
      </c>
      <c r="H247" s="14" t="str">
        <f t="shared" si="6"/>
        <v>B</v>
      </c>
      <c r="I247" s="15" t="str">
        <f t="shared" si="7"/>
        <v>The Commissioner &amp; Chief Constable are satisfied the spend represents VFM in accordance with the requirements of Category B</v>
      </c>
      <c r="L247" s="17"/>
      <c r="M247" s="17"/>
    </row>
    <row r="248" spans="1:13" s="20" customFormat="1" x14ac:dyDescent="0.2">
      <c r="A248" s="10" t="s">
        <v>8</v>
      </c>
      <c r="B248" s="11" t="s">
        <v>9</v>
      </c>
      <c r="C248" s="75" t="s">
        <v>608</v>
      </c>
      <c r="D248" s="73">
        <v>7173102</v>
      </c>
      <c r="E248" s="72">
        <v>45435</v>
      </c>
      <c r="F248" s="12">
        <v>1750</v>
      </c>
      <c r="G248" s="13" t="s">
        <v>138</v>
      </c>
      <c r="H248" s="14" t="str">
        <f t="shared" si="6"/>
        <v>B</v>
      </c>
      <c r="I248" s="15" t="str">
        <f t="shared" si="7"/>
        <v>The Commissioner &amp; Chief Constable are satisfied the spend represents VFM in accordance with the requirements of Category B</v>
      </c>
      <c r="L248" s="17"/>
      <c r="M248" s="17"/>
    </row>
    <row r="249" spans="1:13" s="20" customFormat="1" x14ac:dyDescent="0.2">
      <c r="A249" s="10" t="s">
        <v>8</v>
      </c>
      <c r="B249" s="11" t="s">
        <v>9</v>
      </c>
      <c r="C249" s="77" t="s">
        <v>608</v>
      </c>
      <c r="D249" s="73">
        <v>7172227</v>
      </c>
      <c r="E249" s="72">
        <v>45419</v>
      </c>
      <c r="F249" s="12">
        <v>1750</v>
      </c>
      <c r="G249" s="13" t="s">
        <v>138</v>
      </c>
      <c r="H249" s="14" t="str">
        <f t="shared" si="6"/>
        <v>B</v>
      </c>
      <c r="I249" s="15" t="str">
        <f t="shared" si="7"/>
        <v>The Commissioner &amp; Chief Constable are satisfied the spend represents VFM in accordance with the requirements of Category B</v>
      </c>
      <c r="L249" s="17"/>
      <c r="M249" s="17"/>
    </row>
    <row r="250" spans="1:13" s="20" customFormat="1" x14ac:dyDescent="0.2">
      <c r="A250" s="10" t="s">
        <v>8</v>
      </c>
      <c r="B250" s="11" t="s">
        <v>9</v>
      </c>
      <c r="C250" s="75" t="s">
        <v>608</v>
      </c>
      <c r="D250" s="73">
        <v>7173259</v>
      </c>
      <c r="E250" s="72">
        <v>45442</v>
      </c>
      <c r="F250" s="12">
        <v>1750</v>
      </c>
      <c r="G250" s="13" t="s">
        <v>138</v>
      </c>
      <c r="H250" s="14" t="str">
        <f t="shared" si="6"/>
        <v>B</v>
      </c>
      <c r="I250" s="15" t="str">
        <f t="shared" si="7"/>
        <v>The Commissioner &amp; Chief Constable are satisfied the spend represents VFM in accordance with the requirements of Category B</v>
      </c>
      <c r="L250" s="17"/>
      <c r="M250" s="17"/>
    </row>
    <row r="251" spans="1:13" s="20" customFormat="1" x14ac:dyDescent="0.2">
      <c r="A251" s="10" t="s">
        <v>8</v>
      </c>
      <c r="B251" s="11" t="s">
        <v>9</v>
      </c>
      <c r="C251" s="75" t="s">
        <v>283</v>
      </c>
      <c r="D251" s="73">
        <v>7172372</v>
      </c>
      <c r="E251" s="72">
        <v>45414</v>
      </c>
      <c r="F251" s="12">
        <v>1733.36</v>
      </c>
      <c r="G251" s="13" t="s">
        <v>40</v>
      </c>
      <c r="H251" s="14" t="str">
        <f t="shared" si="6"/>
        <v>B</v>
      </c>
      <c r="I251" s="15" t="str">
        <f t="shared" si="7"/>
        <v>The Commissioner &amp; Chief Constable are satisfied the spend represents VFM in accordance with the requirements of Category B</v>
      </c>
      <c r="L251" s="17"/>
      <c r="M251" s="17"/>
    </row>
    <row r="252" spans="1:13" s="20" customFormat="1" x14ac:dyDescent="0.2">
      <c r="A252" s="10" t="s">
        <v>8</v>
      </c>
      <c r="B252" s="11" t="s">
        <v>9</v>
      </c>
      <c r="C252" s="75" t="s">
        <v>693</v>
      </c>
      <c r="D252" s="73">
        <v>7172673</v>
      </c>
      <c r="E252" s="72">
        <v>45440</v>
      </c>
      <c r="F252" s="12">
        <v>1725</v>
      </c>
      <c r="G252" s="13" t="s">
        <v>133</v>
      </c>
      <c r="H252" s="14" t="str">
        <f t="shared" si="6"/>
        <v>B</v>
      </c>
      <c r="I252" s="15" t="str">
        <f t="shared" si="7"/>
        <v>The Commissioner &amp; Chief Constable are satisfied the spend represents VFM in accordance with the requirements of Category B</v>
      </c>
      <c r="L252" s="17"/>
      <c r="M252" s="17"/>
    </row>
    <row r="253" spans="1:13" s="20" customFormat="1" x14ac:dyDescent="0.2">
      <c r="A253" s="10" t="s">
        <v>8</v>
      </c>
      <c r="B253" s="11" t="s">
        <v>9</v>
      </c>
      <c r="C253" s="75" t="s">
        <v>183</v>
      </c>
      <c r="D253" s="73">
        <v>3067771</v>
      </c>
      <c r="E253" s="72">
        <v>45425</v>
      </c>
      <c r="F253" s="12">
        <v>1716</v>
      </c>
      <c r="G253" s="13" t="s">
        <v>129</v>
      </c>
      <c r="H253" s="14" t="str">
        <f t="shared" si="6"/>
        <v>B</v>
      </c>
      <c r="I253" s="15" t="str">
        <f t="shared" si="7"/>
        <v>The Commissioner &amp; Chief Constable are satisfied the spend represents VFM in accordance with the requirements of Category B</v>
      </c>
      <c r="L253" s="17"/>
      <c r="M253" s="17"/>
    </row>
    <row r="254" spans="1:13" s="20" customFormat="1" x14ac:dyDescent="0.2">
      <c r="A254" s="10" t="s">
        <v>8</v>
      </c>
      <c r="B254" s="11" t="s">
        <v>9</v>
      </c>
      <c r="C254" s="75" t="s">
        <v>135</v>
      </c>
      <c r="D254" s="73">
        <v>7172255</v>
      </c>
      <c r="E254" s="72">
        <v>45414</v>
      </c>
      <c r="F254" s="12">
        <v>1701.5</v>
      </c>
      <c r="G254" s="13" t="s">
        <v>40</v>
      </c>
      <c r="H254" s="14" t="str">
        <f t="shared" si="6"/>
        <v>B</v>
      </c>
      <c r="I254" s="15" t="str">
        <f t="shared" si="7"/>
        <v>The Commissioner &amp; Chief Constable are satisfied the spend represents VFM in accordance with the requirements of Category B</v>
      </c>
      <c r="L254" s="17"/>
      <c r="M254" s="17"/>
    </row>
    <row r="255" spans="1:13" s="20" customFormat="1" x14ac:dyDescent="0.2">
      <c r="A255" s="10" t="s">
        <v>8</v>
      </c>
      <c r="B255" s="11" t="s">
        <v>9</v>
      </c>
      <c r="C255" s="75" t="s">
        <v>252</v>
      </c>
      <c r="D255" s="73">
        <v>7173339</v>
      </c>
      <c r="E255" s="72">
        <v>45443</v>
      </c>
      <c r="F255" s="12">
        <v>1700.4</v>
      </c>
      <c r="G255" s="13" t="s">
        <v>148</v>
      </c>
      <c r="H255" s="14" t="str">
        <f t="shared" si="6"/>
        <v>B</v>
      </c>
      <c r="I255" s="15" t="str">
        <f t="shared" si="7"/>
        <v>The Commissioner &amp; Chief Constable are satisfied the spend represents VFM in accordance with the requirements of Category B</v>
      </c>
      <c r="L255" s="17"/>
      <c r="M255" s="17"/>
    </row>
    <row r="256" spans="1:13" s="20" customFormat="1" x14ac:dyDescent="0.2">
      <c r="A256" s="10" t="s">
        <v>8</v>
      </c>
      <c r="B256" s="11" t="s">
        <v>9</v>
      </c>
      <c r="C256" s="75" t="s">
        <v>227</v>
      </c>
      <c r="D256" s="73">
        <v>7172274</v>
      </c>
      <c r="E256" s="72">
        <v>45426</v>
      </c>
      <c r="F256" s="12">
        <v>1695</v>
      </c>
      <c r="G256" s="13" t="s">
        <v>106</v>
      </c>
      <c r="H256" s="14" t="str">
        <f t="shared" si="6"/>
        <v>B</v>
      </c>
      <c r="I256" s="15" t="str">
        <f t="shared" si="7"/>
        <v>The Commissioner &amp; Chief Constable are satisfied the spend represents VFM in accordance with the requirements of Category B</v>
      </c>
      <c r="L256" s="17"/>
      <c r="M256" s="17"/>
    </row>
    <row r="257" spans="1:13" s="20" customFormat="1" x14ac:dyDescent="0.2">
      <c r="A257" s="10" t="s">
        <v>8</v>
      </c>
      <c r="B257" s="11" t="s">
        <v>9</v>
      </c>
      <c r="C257" s="75" t="s">
        <v>464</v>
      </c>
      <c r="D257" s="73">
        <v>7172937</v>
      </c>
      <c r="E257" s="72">
        <v>45429</v>
      </c>
      <c r="F257" s="12">
        <v>1684.8</v>
      </c>
      <c r="G257" s="13" t="s">
        <v>131</v>
      </c>
      <c r="H257" s="14" t="str">
        <f t="shared" si="6"/>
        <v>B</v>
      </c>
      <c r="I257" s="15" t="str">
        <f t="shared" si="7"/>
        <v>The Commissioner &amp; Chief Constable are satisfied the spend represents VFM in accordance with the requirements of Category B</v>
      </c>
      <c r="L257" s="17"/>
      <c r="M257" s="17"/>
    </row>
    <row r="258" spans="1:13" s="20" customFormat="1" x14ac:dyDescent="0.2">
      <c r="A258" s="10" t="s">
        <v>8</v>
      </c>
      <c r="B258" s="11" t="s">
        <v>9</v>
      </c>
      <c r="C258" s="75" t="s">
        <v>74</v>
      </c>
      <c r="D258" s="73">
        <v>7172183</v>
      </c>
      <c r="E258" s="72">
        <v>45421</v>
      </c>
      <c r="F258" s="12">
        <v>1668</v>
      </c>
      <c r="G258" s="13" t="s">
        <v>15</v>
      </c>
      <c r="H258" s="14" t="str">
        <f t="shared" ref="H258:H321" si="8">IF(F258&gt;25000,"C",IF(F258&gt;1000,"B","A"))</f>
        <v>B</v>
      </c>
      <c r="I258" s="15" t="str">
        <f t="shared" ref="I258:I321" si="9">VLOOKUP(H258,$L$2:$M$4,2,FALSE)</f>
        <v>The Commissioner &amp; Chief Constable are satisfied the spend represents VFM in accordance with the requirements of Category B</v>
      </c>
      <c r="L258" s="17"/>
      <c r="M258" s="17"/>
    </row>
    <row r="259" spans="1:13" s="20" customFormat="1" x14ac:dyDescent="0.2">
      <c r="A259" s="10" t="s">
        <v>8</v>
      </c>
      <c r="B259" s="11" t="s">
        <v>9</v>
      </c>
      <c r="C259" s="75" t="s">
        <v>342</v>
      </c>
      <c r="D259" s="73">
        <v>7172675</v>
      </c>
      <c r="E259" s="72">
        <v>45426</v>
      </c>
      <c r="F259" s="12">
        <v>1643</v>
      </c>
      <c r="G259" s="13" t="s">
        <v>112</v>
      </c>
      <c r="H259" s="14" t="str">
        <f t="shared" si="8"/>
        <v>B</v>
      </c>
      <c r="I259" s="15" t="str">
        <f t="shared" si="9"/>
        <v>The Commissioner &amp; Chief Constable are satisfied the spend represents VFM in accordance with the requirements of Category B</v>
      </c>
      <c r="L259" s="17"/>
      <c r="M259" s="17"/>
    </row>
    <row r="260" spans="1:13" s="20" customFormat="1" x14ac:dyDescent="0.2">
      <c r="A260" s="10" t="s">
        <v>8</v>
      </c>
      <c r="B260" s="11" t="s">
        <v>9</v>
      </c>
      <c r="C260" s="75" t="s">
        <v>219</v>
      </c>
      <c r="D260" s="73">
        <v>7172269</v>
      </c>
      <c r="E260" s="72">
        <v>45414</v>
      </c>
      <c r="F260" s="12">
        <v>1614.7</v>
      </c>
      <c r="G260" s="13" t="s">
        <v>220</v>
      </c>
      <c r="H260" s="14" t="str">
        <f t="shared" si="8"/>
        <v>B</v>
      </c>
      <c r="I260" s="15" t="str">
        <f t="shared" si="9"/>
        <v>The Commissioner &amp; Chief Constable are satisfied the spend represents VFM in accordance with the requirements of Category B</v>
      </c>
      <c r="L260" s="17"/>
      <c r="M260" s="17"/>
    </row>
    <row r="261" spans="1:13" s="20" customFormat="1" x14ac:dyDescent="0.2">
      <c r="A261" s="10" t="s">
        <v>8</v>
      </c>
      <c r="B261" s="11" t="s">
        <v>9</v>
      </c>
      <c r="C261" s="75" t="s">
        <v>99</v>
      </c>
      <c r="D261" s="73">
        <v>7172936</v>
      </c>
      <c r="E261" s="72">
        <v>45436</v>
      </c>
      <c r="F261" s="12">
        <v>1611.2</v>
      </c>
      <c r="G261" s="13" t="s">
        <v>94</v>
      </c>
      <c r="H261" s="14" t="str">
        <f t="shared" si="8"/>
        <v>B</v>
      </c>
      <c r="I261" s="15" t="str">
        <f t="shared" si="9"/>
        <v>The Commissioner &amp; Chief Constable are satisfied the spend represents VFM in accordance with the requirements of Category B</v>
      </c>
      <c r="L261" s="17"/>
      <c r="M261" s="17"/>
    </row>
    <row r="262" spans="1:13" s="20" customFormat="1" x14ac:dyDescent="0.2">
      <c r="A262" s="10" t="s">
        <v>8</v>
      </c>
      <c r="B262" s="11" t="s">
        <v>9</v>
      </c>
      <c r="C262" s="75" t="s">
        <v>119</v>
      </c>
      <c r="D262" s="73">
        <v>7173071</v>
      </c>
      <c r="E262" s="72">
        <v>45434</v>
      </c>
      <c r="F262" s="12">
        <v>1601.58</v>
      </c>
      <c r="G262" s="13" t="s">
        <v>120</v>
      </c>
      <c r="H262" s="14" t="str">
        <f t="shared" si="8"/>
        <v>B</v>
      </c>
      <c r="I262" s="15" t="str">
        <f t="shared" si="9"/>
        <v>The Commissioner &amp; Chief Constable are satisfied the spend represents VFM in accordance with the requirements of Category B</v>
      </c>
      <c r="L262" s="17"/>
      <c r="M262" s="17"/>
    </row>
    <row r="263" spans="1:13" s="20" customFormat="1" x14ac:dyDescent="0.2">
      <c r="A263" s="10" t="s">
        <v>8</v>
      </c>
      <c r="B263" s="11" t="s">
        <v>9</v>
      </c>
      <c r="C263" s="75" t="s">
        <v>352</v>
      </c>
      <c r="D263" s="73">
        <v>7173283</v>
      </c>
      <c r="E263" s="72">
        <v>45442</v>
      </c>
      <c r="F263" s="12">
        <v>1600</v>
      </c>
      <c r="G263" s="13" t="s">
        <v>106</v>
      </c>
      <c r="H263" s="14" t="str">
        <f t="shared" si="8"/>
        <v>B</v>
      </c>
      <c r="I263" s="15" t="str">
        <f t="shared" si="9"/>
        <v>The Commissioner &amp; Chief Constable are satisfied the spend represents VFM in accordance with the requirements of Category B</v>
      </c>
      <c r="L263" s="17"/>
      <c r="M263" s="17"/>
    </row>
    <row r="264" spans="1:13" s="20" customFormat="1" x14ac:dyDescent="0.2">
      <c r="A264" s="10" t="s">
        <v>8</v>
      </c>
      <c r="B264" s="11" t="s">
        <v>9</v>
      </c>
      <c r="C264" s="75" t="s">
        <v>342</v>
      </c>
      <c r="D264" s="73">
        <v>7172368</v>
      </c>
      <c r="E264" s="72">
        <v>45415</v>
      </c>
      <c r="F264" s="12">
        <v>1595</v>
      </c>
      <c r="G264" s="13" t="s">
        <v>112</v>
      </c>
      <c r="H264" s="14" t="str">
        <f t="shared" si="8"/>
        <v>B</v>
      </c>
      <c r="I264" s="15" t="str">
        <f t="shared" si="9"/>
        <v>The Commissioner &amp; Chief Constable are satisfied the spend represents VFM in accordance with the requirements of Category B</v>
      </c>
      <c r="L264" s="17"/>
      <c r="M264" s="17"/>
    </row>
    <row r="265" spans="1:13" s="20" customFormat="1" x14ac:dyDescent="0.2">
      <c r="A265" s="10" t="s">
        <v>8</v>
      </c>
      <c r="B265" s="11" t="s">
        <v>9</v>
      </c>
      <c r="C265" s="75" t="s">
        <v>293</v>
      </c>
      <c r="D265" s="73">
        <v>7173088</v>
      </c>
      <c r="E265" s="72">
        <v>45441</v>
      </c>
      <c r="F265" s="12">
        <v>1580.1</v>
      </c>
      <c r="G265" s="13" t="s">
        <v>133</v>
      </c>
      <c r="H265" s="14" t="str">
        <f t="shared" si="8"/>
        <v>B</v>
      </c>
      <c r="I265" s="15" t="str">
        <f t="shared" si="9"/>
        <v>The Commissioner &amp; Chief Constable are satisfied the spend represents VFM in accordance with the requirements of Category B</v>
      </c>
      <c r="L265" s="17"/>
      <c r="M265" s="17"/>
    </row>
    <row r="266" spans="1:13" s="20" customFormat="1" x14ac:dyDescent="0.2">
      <c r="A266" s="10" t="s">
        <v>8</v>
      </c>
      <c r="B266" s="11" t="s">
        <v>9</v>
      </c>
      <c r="C266" s="75" t="s">
        <v>527</v>
      </c>
      <c r="D266" s="73">
        <v>7173293</v>
      </c>
      <c r="E266" s="72">
        <v>45442</v>
      </c>
      <c r="F266" s="12">
        <v>1568.82</v>
      </c>
      <c r="G266" s="13" t="s">
        <v>296</v>
      </c>
      <c r="H266" s="14" t="str">
        <f t="shared" si="8"/>
        <v>B</v>
      </c>
      <c r="I266" s="15" t="str">
        <f t="shared" si="9"/>
        <v>The Commissioner &amp; Chief Constable are satisfied the spend represents VFM in accordance with the requirements of Category B</v>
      </c>
      <c r="L266" s="17"/>
      <c r="M266" s="17"/>
    </row>
    <row r="267" spans="1:13" s="20" customFormat="1" x14ac:dyDescent="0.2">
      <c r="A267" s="10" t="s">
        <v>8</v>
      </c>
      <c r="B267" s="11" t="s">
        <v>9</v>
      </c>
      <c r="C267" s="75" t="s">
        <v>266</v>
      </c>
      <c r="D267" s="73">
        <v>7172978</v>
      </c>
      <c r="E267" s="72">
        <v>45435</v>
      </c>
      <c r="F267" s="12">
        <v>1568.35</v>
      </c>
      <c r="G267" s="13" t="s">
        <v>209</v>
      </c>
      <c r="H267" s="14" t="str">
        <f t="shared" si="8"/>
        <v>B</v>
      </c>
      <c r="I267" s="15" t="str">
        <f t="shared" si="9"/>
        <v>The Commissioner &amp; Chief Constable are satisfied the spend represents VFM in accordance with the requirements of Category B</v>
      </c>
      <c r="L267" s="17"/>
      <c r="M267" s="17"/>
    </row>
    <row r="268" spans="1:13" s="20" customFormat="1" x14ac:dyDescent="0.2">
      <c r="A268" s="10" t="s">
        <v>8</v>
      </c>
      <c r="B268" s="11" t="s">
        <v>9</v>
      </c>
      <c r="C268" s="75" t="s">
        <v>217</v>
      </c>
      <c r="D268" s="73">
        <v>7172924</v>
      </c>
      <c r="E268" s="72">
        <v>45429</v>
      </c>
      <c r="F268" s="12">
        <v>1542.56</v>
      </c>
      <c r="G268" s="13" t="s">
        <v>84</v>
      </c>
      <c r="H268" s="14" t="str">
        <f t="shared" si="8"/>
        <v>B</v>
      </c>
      <c r="I268" s="15" t="str">
        <f t="shared" si="9"/>
        <v>The Commissioner &amp; Chief Constable are satisfied the spend represents VFM in accordance with the requirements of Category B</v>
      </c>
      <c r="L268" s="17"/>
      <c r="M268" s="17"/>
    </row>
    <row r="269" spans="1:13" s="20" customFormat="1" x14ac:dyDescent="0.2">
      <c r="A269" s="10" t="s">
        <v>8</v>
      </c>
      <c r="B269" s="11" t="s">
        <v>9</v>
      </c>
      <c r="C269" s="75" t="s">
        <v>202</v>
      </c>
      <c r="D269" s="73">
        <v>7172331</v>
      </c>
      <c r="E269" s="72">
        <v>45414</v>
      </c>
      <c r="F269" s="12">
        <v>1542.4</v>
      </c>
      <c r="G269" s="13" t="s">
        <v>203</v>
      </c>
      <c r="H269" s="14" t="str">
        <f t="shared" si="8"/>
        <v>B</v>
      </c>
      <c r="I269" s="15" t="str">
        <f t="shared" si="9"/>
        <v>The Commissioner &amp; Chief Constable are satisfied the spend represents VFM in accordance with the requirements of Category B</v>
      </c>
      <c r="L269" s="17"/>
      <c r="M269" s="17"/>
    </row>
    <row r="270" spans="1:13" s="20" customFormat="1" x14ac:dyDescent="0.2">
      <c r="A270" s="10" t="s">
        <v>8</v>
      </c>
      <c r="B270" s="11" t="s">
        <v>9</v>
      </c>
      <c r="C270" s="75" t="s">
        <v>276</v>
      </c>
      <c r="D270" s="73">
        <v>7172409</v>
      </c>
      <c r="E270" s="72">
        <v>45419</v>
      </c>
      <c r="F270" s="12">
        <v>1542.18</v>
      </c>
      <c r="G270" s="13" t="s">
        <v>40</v>
      </c>
      <c r="H270" s="14" t="str">
        <f t="shared" si="8"/>
        <v>B</v>
      </c>
      <c r="I270" s="15" t="str">
        <f t="shared" si="9"/>
        <v>The Commissioner &amp; Chief Constable are satisfied the spend represents VFM in accordance with the requirements of Category B</v>
      </c>
      <c r="L270" s="17"/>
      <c r="M270" s="17"/>
    </row>
    <row r="271" spans="1:13" s="20" customFormat="1" x14ac:dyDescent="0.2">
      <c r="A271" s="10" t="s">
        <v>8</v>
      </c>
      <c r="B271" s="11" t="s">
        <v>9</v>
      </c>
      <c r="C271" s="75" t="s">
        <v>276</v>
      </c>
      <c r="D271" s="73">
        <v>7172445</v>
      </c>
      <c r="E271" s="72">
        <v>45419</v>
      </c>
      <c r="F271" s="12">
        <v>1542.18</v>
      </c>
      <c r="G271" s="13" t="s">
        <v>40</v>
      </c>
      <c r="H271" s="14" t="str">
        <f t="shared" si="8"/>
        <v>B</v>
      </c>
      <c r="I271" s="15" t="str">
        <f t="shared" si="9"/>
        <v>The Commissioner &amp; Chief Constable are satisfied the spend represents VFM in accordance with the requirements of Category B</v>
      </c>
      <c r="L271" s="17"/>
      <c r="M271" s="17"/>
    </row>
    <row r="272" spans="1:13" s="20" customFormat="1" x14ac:dyDescent="0.2">
      <c r="A272" s="10" t="s">
        <v>8</v>
      </c>
      <c r="B272" s="11" t="s">
        <v>9</v>
      </c>
      <c r="C272" s="75" t="s">
        <v>305</v>
      </c>
      <c r="D272" s="73">
        <v>7173333</v>
      </c>
      <c r="E272" s="72">
        <v>45442</v>
      </c>
      <c r="F272" s="12">
        <v>1500.8</v>
      </c>
      <c r="G272" s="13" t="s">
        <v>306</v>
      </c>
      <c r="H272" s="14" t="str">
        <f t="shared" si="8"/>
        <v>B</v>
      </c>
      <c r="I272" s="15" t="str">
        <f t="shared" si="9"/>
        <v>The Commissioner &amp; Chief Constable are satisfied the spend represents VFM in accordance with the requirements of Category B</v>
      </c>
      <c r="L272" s="17"/>
      <c r="M272" s="17"/>
    </row>
    <row r="273" spans="1:13" s="20" customFormat="1" x14ac:dyDescent="0.2">
      <c r="A273" s="10" t="s">
        <v>8</v>
      </c>
      <c r="B273" s="11" t="s">
        <v>9</v>
      </c>
      <c r="C273" s="75" t="s">
        <v>470</v>
      </c>
      <c r="D273" s="73">
        <v>7171986</v>
      </c>
      <c r="E273" s="72">
        <v>45442</v>
      </c>
      <c r="F273" s="12">
        <v>1467</v>
      </c>
      <c r="G273" s="13" t="s">
        <v>106</v>
      </c>
      <c r="H273" s="14" t="str">
        <f t="shared" si="8"/>
        <v>B</v>
      </c>
      <c r="I273" s="15" t="str">
        <f t="shared" si="9"/>
        <v>The Commissioner &amp; Chief Constable are satisfied the spend represents VFM in accordance with the requirements of Category B</v>
      </c>
      <c r="L273" s="17"/>
      <c r="M273" s="17"/>
    </row>
    <row r="274" spans="1:13" s="20" customFormat="1" x14ac:dyDescent="0.2">
      <c r="A274" s="10" t="s">
        <v>8</v>
      </c>
      <c r="B274" s="11" t="s">
        <v>9</v>
      </c>
      <c r="C274" s="75" t="s">
        <v>90</v>
      </c>
      <c r="D274" s="73">
        <v>7171918</v>
      </c>
      <c r="E274" s="72">
        <v>45413</v>
      </c>
      <c r="F274" s="12">
        <v>1461.78</v>
      </c>
      <c r="G274" s="13" t="s">
        <v>91</v>
      </c>
      <c r="H274" s="14" t="str">
        <f t="shared" si="8"/>
        <v>B</v>
      </c>
      <c r="I274" s="15" t="str">
        <f t="shared" si="9"/>
        <v>The Commissioner &amp; Chief Constable are satisfied the spend represents VFM in accordance with the requirements of Category B</v>
      </c>
      <c r="L274" s="17"/>
      <c r="M274" s="17"/>
    </row>
    <row r="275" spans="1:13" s="20" customFormat="1" x14ac:dyDescent="0.2">
      <c r="A275" s="10" t="s">
        <v>8</v>
      </c>
      <c r="B275" s="11" t="s">
        <v>9</v>
      </c>
      <c r="C275" s="75" t="s">
        <v>412</v>
      </c>
      <c r="D275" s="73">
        <v>7172523</v>
      </c>
      <c r="E275" s="72">
        <v>45421</v>
      </c>
      <c r="F275" s="12">
        <v>1450.13</v>
      </c>
      <c r="G275" s="13" t="s">
        <v>388</v>
      </c>
      <c r="H275" s="14" t="str">
        <f t="shared" si="8"/>
        <v>B</v>
      </c>
      <c r="I275" s="15" t="str">
        <f t="shared" si="9"/>
        <v>The Commissioner &amp; Chief Constable are satisfied the spend represents VFM in accordance with the requirements of Category B</v>
      </c>
      <c r="L275" s="17"/>
      <c r="M275" s="17"/>
    </row>
    <row r="276" spans="1:13" s="20" customFormat="1" x14ac:dyDescent="0.2">
      <c r="A276" s="10" t="s">
        <v>8</v>
      </c>
      <c r="B276" s="11" t="s">
        <v>9</v>
      </c>
      <c r="C276" s="75" t="s">
        <v>292</v>
      </c>
      <c r="D276" s="73">
        <v>7172246</v>
      </c>
      <c r="E276" s="72">
        <v>45419</v>
      </c>
      <c r="F276" s="12">
        <v>1430</v>
      </c>
      <c r="G276" s="13" t="s">
        <v>84</v>
      </c>
      <c r="H276" s="14" t="str">
        <f t="shared" si="8"/>
        <v>B</v>
      </c>
      <c r="I276" s="15" t="str">
        <f t="shared" si="9"/>
        <v>The Commissioner &amp; Chief Constable are satisfied the spend represents VFM in accordance with the requirements of Category B</v>
      </c>
      <c r="L276" s="17"/>
      <c r="M276" s="17"/>
    </row>
    <row r="277" spans="1:13" s="20" customFormat="1" x14ac:dyDescent="0.2">
      <c r="A277" s="10" t="s">
        <v>8</v>
      </c>
      <c r="B277" s="11" t="s">
        <v>9</v>
      </c>
      <c r="C277" s="75" t="s">
        <v>608</v>
      </c>
      <c r="D277" s="73">
        <v>7172746</v>
      </c>
      <c r="E277" s="72">
        <v>45427</v>
      </c>
      <c r="F277" s="12">
        <v>1400</v>
      </c>
      <c r="G277" s="13" t="s">
        <v>138</v>
      </c>
      <c r="H277" s="14" t="str">
        <f t="shared" si="8"/>
        <v>B</v>
      </c>
      <c r="I277" s="15" t="str">
        <f t="shared" si="9"/>
        <v>The Commissioner &amp; Chief Constable are satisfied the spend represents VFM in accordance with the requirements of Category B</v>
      </c>
      <c r="L277" s="17"/>
      <c r="M277" s="17"/>
    </row>
    <row r="278" spans="1:13" s="20" customFormat="1" x14ac:dyDescent="0.2">
      <c r="A278" s="10" t="s">
        <v>8</v>
      </c>
      <c r="B278" s="11" t="s">
        <v>9</v>
      </c>
      <c r="C278" s="75" t="s">
        <v>334</v>
      </c>
      <c r="D278" s="73">
        <v>7172444</v>
      </c>
      <c r="E278" s="72">
        <v>45419</v>
      </c>
      <c r="F278" s="12">
        <v>1388.08</v>
      </c>
      <c r="G278" s="13" t="s">
        <v>91</v>
      </c>
      <c r="H278" s="14" t="str">
        <f t="shared" si="8"/>
        <v>B</v>
      </c>
      <c r="I278" s="15" t="str">
        <f t="shared" si="9"/>
        <v>The Commissioner &amp; Chief Constable are satisfied the spend represents VFM in accordance with the requirements of Category B</v>
      </c>
      <c r="L278" s="17"/>
      <c r="M278" s="17"/>
    </row>
    <row r="279" spans="1:13" s="20" customFormat="1" x14ac:dyDescent="0.2">
      <c r="A279" s="10" t="s">
        <v>8</v>
      </c>
      <c r="B279" s="11" t="s">
        <v>9</v>
      </c>
      <c r="C279" s="75" t="s">
        <v>124</v>
      </c>
      <c r="D279" s="73">
        <v>7173270</v>
      </c>
      <c r="E279" s="72">
        <v>45443</v>
      </c>
      <c r="F279" s="12">
        <v>1382.37</v>
      </c>
      <c r="G279" s="13" t="s">
        <v>91</v>
      </c>
      <c r="H279" s="14" t="str">
        <f t="shared" si="8"/>
        <v>B</v>
      </c>
      <c r="I279" s="15" t="str">
        <f t="shared" si="9"/>
        <v>The Commissioner &amp; Chief Constable are satisfied the spend represents VFM in accordance with the requirements of Category B</v>
      </c>
      <c r="L279" s="17"/>
      <c r="M279" s="17"/>
    </row>
    <row r="280" spans="1:13" s="20" customFormat="1" x14ac:dyDescent="0.2">
      <c r="A280" s="10" t="s">
        <v>8</v>
      </c>
      <c r="B280" s="11" t="s">
        <v>9</v>
      </c>
      <c r="C280" s="75" t="s">
        <v>90</v>
      </c>
      <c r="D280" s="73">
        <v>7173331</v>
      </c>
      <c r="E280" s="72">
        <v>45442</v>
      </c>
      <c r="F280" s="12">
        <v>1366.24</v>
      </c>
      <c r="G280" s="13" t="s">
        <v>91</v>
      </c>
      <c r="H280" s="14" t="str">
        <f t="shared" si="8"/>
        <v>B</v>
      </c>
      <c r="I280" s="15" t="str">
        <f t="shared" si="9"/>
        <v>The Commissioner &amp; Chief Constable are satisfied the spend represents VFM in accordance with the requirements of Category B</v>
      </c>
      <c r="L280" s="17"/>
      <c r="M280" s="17"/>
    </row>
    <row r="281" spans="1:13" s="20" customFormat="1" x14ac:dyDescent="0.2">
      <c r="A281" s="10" t="s">
        <v>8</v>
      </c>
      <c r="B281" s="11" t="s">
        <v>9</v>
      </c>
      <c r="C281" s="75" t="s">
        <v>74</v>
      </c>
      <c r="D281" s="73">
        <v>7172298</v>
      </c>
      <c r="E281" s="72">
        <v>45443</v>
      </c>
      <c r="F281" s="12">
        <v>1333.34</v>
      </c>
      <c r="G281" s="13" t="s">
        <v>75</v>
      </c>
      <c r="H281" s="14" t="str">
        <f t="shared" si="8"/>
        <v>B</v>
      </c>
      <c r="I281" s="15" t="str">
        <f t="shared" si="9"/>
        <v>The Commissioner &amp; Chief Constable are satisfied the spend represents VFM in accordance with the requirements of Category B</v>
      </c>
      <c r="L281" s="17"/>
      <c r="M281" s="17"/>
    </row>
    <row r="282" spans="1:13" s="20" customFormat="1" x14ac:dyDescent="0.2">
      <c r="A282" s="10" t="s">
        <v>8</v>
      </c>
      <c r="B282" s="11" t="s">
        <v>9</v>
      </c>
      <c r="C282" s="75" t="s">
        <v>246</v>
      </c>
      <c r="D282" s="73">
        <v>7172867</v>
      </c>
      <c r="E282" s="72">
        <v>45428</v>
      </c>
      <c r="F282" s="12">
        <v>1312.8</v>
      </c>
      <c r="G282" s="13" t="s">
        <v>131</v>
      </c>
      <c r="H282" s="14" t="str">
        <f t="shared" si="8"/>
        <v>B</v>
      </c>
      <c r="I282" s="15" t="str">
        <f t="shared" si="9"/>
        <v>The Commissioner &amp; Chief Constable are satisfied the spend represents VFM in accordance with the requirements of Category B</v>
      </c>
      <c r="L282" s="17"/>
      <c r="M282" s="17"/>
    </row>
    <row r="283" spans="1:13" s="20" customFormat="1" x14ac:dyDescent="0.2">
      <c r="A283" s="10" t="s">
        <v>8</v>
      </c>
      <c r="B283" s="11" t="s">
        <v>9</v>
      </c>
      <c r="C283" s="75" t="s">
        <v>249</v>
      </c>
      <c r="D283" s="73">
        <v>7172231</v>
      </c>
      <c r="E283" s="72">
        <v>45425</v>
      </c>
      <c r="F283" s="12">
        <v>1301</v>
      </c>
      <c r="G283" s="13" t="s">
        <v>138</v>
      </c>
      <c r="H283" s="14" t="str">
        <f t="shared" si="8"/>
        <v>B</v>
      </c>
      <c r="I283" s="15" t="str">
        <f t="shared" si="9"/>
        <v>The Commissioner &amp; Chief Constable are satisfied the spend represents VFM in accordance with the requirements of Category B</v>
      </c>
      <c r="L283" s="17"/>
      <c r="M283" s="17"/>
    </row>
    <row r="284" spans="1:13" s="20" customFormat="1" x14ac:dyDescent="0.2">
      <c r="A284" s="10" t="s">
        <v>8</v>
      </c>
      <c r="B284" s="11" t="s">
        <v>9</v>
      </c>
      <c r="C284" s="75" t="s">
        <v>202</v>
      </c>
      <c r="D284" s="73">
        <v>7170790</v>
      </c>
      <c r="E284" s="72">
        <v>45427</v>
      </c>
      <c r="F284" s="12">
        <v>1292.21</v>
      </c>
      <c r="G284" s="13" t="s">
        <v>203</v>
      </c>
      <c r="H284" s="14" t="str">
        <f t="shared" si="8"/>
        <v>B</v>
      </c>
      <c r="I284" s="15" t="str">
        <f t="shared" si="9"/>
        <v>The Commissioner &amp; Chief Constable are satisfied the spend represents VFM in accordance with the requirements of Category B</v>
      </c>
      <c r="L284" s="17"/>
      <c r="M284" s="17"/>
    </row>
    <row r="285" spans="1:13" s="20" customFormat="1" x14ac:dyDescent="0.2">
      <c r="A285" s="10" t="s">
        <v>8</v>
      </c>
      <c r="B285" s="11" t="s">
        <v>9</v>
      </c>
      <c r="C285" s="75" t="s">
        <v>149</v>
      </c>
      <c r="D285" s="73">
        <v>7173137</v>
      </c>
      <c r="E285" s="72">
        <v>45435</v>
      </c>
      <c r="F285" s="12">
        <v>1286.19</v>
      </c>
      <c r="G285" s="13" t="s">
        <v>138</v>
      </c>
      <c r="H285" s="14" t="str">
        <f t="shared" si="8"/>
        <v>B</v>
      </c>
      <c r="I285" s="15" t="str">
        <f t="shared" si="9"/>
        <v>The Commissioner &amp; Chief Constable are satisfied the spend represents VFM in accordance with the requirements of Category B</v>
      </c>
      <c r="L285" s="17"/>
      <c r="M285" s="17"/>
    </row>
    <row r="286" spans="1:13" s="20" customFormat="1" x14ac:dyDescent="0.2">
      <c r="A286" s="10" t="s">
        <v>8</v>
      </c>
      <c r="B286" s="11" t="s">
        <v>9</v>
      </c>
      <c r="C286" s="75" t="s">
        <v>195</v>
      </c>
      <c r="D286" s="73">
        <v>7172307</v>
      </c>
      <c r="E286" s="72">
        <v>45421</v>
      </c>
      <c r="F286" s="12">
        <v>1279.07</v>
      </c>
      <c r="G286" s="13" t="s">
        <v>22</v>
      </c>
      <c r="H286" s="14" t="str">
        <f t="shared" si="8"/>
        <v>B</v>
      </c>
      <c r="I286" s="15" t="str">
        <f t="shared" si="9"/>
        <v>The Commissioner &amp; Chief Constable are satisfied the spend represents VFM in accordance with the requirements of Category B</v>
      </c>
      <c r="L286" s="17"/>
      <c r="M286" s="17"/>
    </row>
    <row r="287" spans="1:13" s="20" customFormat="1" x14ac:dyDescent="0.2">
      <c r="A287" s="10" t="s">
        <v>8</v>
      </c>
      <c r="B287" s="11" t="s">
        <v>9</v>
      </c>
      <c r="C287" s="75" t="s">
        <v>691</v>
      </c>
      <c r="D287" s="73">
        <v>7172972</v>
      </c>
      <c r="E287" s="72">
        <v>45429</v>
      </c>
      <c r="F287" s="12">
        <v>1260</v>
      </c>
      <c r="G287" s="13" t="s">
        <v>138</v>
      </c>
      <c r="H287" s="14" t="str">
        <f t="shared" si="8"/>
        <v>B</v>
      </c>
      <c r="I287" s="15" t="str">
        <f t="shared" si="9"/>
        <v>The Commissioner &amp; Chief Constable are satisfied the spend represents VFM in accordance with the requirements of Category B</v>
      </c>
      <c r="L287" s="17"/>
      <c r="M287" s="17"/>
    </row>
    <row r="288" spans="1:13" s="20" customFormat="1" x14ac:dyDescent="0.2">
      <c r="A288" s="10" t="s">
        <v>8</v>
      </c>
      <c r="B288" s="11" t="s">
        <v>9</v>
      </c>
      <c r="C288" s="75" t="s">
        <v>308</v>
      </c>
      <c r="D288" s="73">
        <v>7172406</v>
      </c>
      <c r="E288" s="72">
        <v>45419</v>
      </c>
      <c r="F288" s="12">
        <v>1257.69</v>
      </c>
      <c r="G288" s="13" t="s">
        <v>160</v>
      </c>
      <c r="H288" s="14" t="str">
        <f t="shared" si="8"/>
        <v>B</v>
      </c>
      <c r="I288" s="15" t="str">
        <f t="shared" si="9"/>
        <v>The Commissioner &amp; Chief Constable are satisfied the spend represents VFM in accordance with the requirements of Category B</v>
      </c>
      <c r="L288" s="17"/>
      <c r="M288" s="17"/>
    </row>
    <row r="289" spans="1:13" s="20" customFormat="1" x14ac:dyDescent="0.2">
      <c r="A289" s="10" t="s">
        <v>8</v>
      </c>
      <c r="B289" s="11" t="s">
        <v>9</v>
      </c>
      <c r="C289" s="75" t="s">
        <v>692</v>
      </c>
      <c r="D289" s="73">
        <v>7173055</v>
      </c>
      <c r="E289" s="72">
        <v>45435</v>
      </c>
      <c r="F289" s="12">
        <v>1237.1600000000001</v>
      </c>
      <c r="G289" s="13" t="s">
        <v>319</v>
      </c>
      <c r="H289" s="14" t="str">
        <f t="shared" si="8"/>
        <v>B</v>
      </c>
      <c r="I289" s="15" t="str">
        <f t="shared" si="9"/>
        <v>The Commissioner &amp; Chief Constable are satisfied the spend represents VFM in accordance with the requirements of Category B</v>
      </c>
      <c r="L289" s="17"/>
      <c r="M289" s="17"/>
    </row>
    <row r="290" spans="1:13" s="20" customFormat="1" x14ac:dyDescent="0.2">
      <c r="A290" s="10" t="s">
        <v>8</v>
      </c>
      <c r="B290" s="11" t="s">
        <v>9</v>
      </c>
      <c r="C290" s="75" t="s">
        <v>195</v>
      </c>
      <c r="D290" s="73">
        <v>7172308</v>
      </c>
      <c r="E290" s="72">
        <v>45421</v>
      </c>
      <c r="F290" s="12">
        <v>1232</v>
      </c>
      <c r="G290" s="13" t="s">
        <v>22</v>
      </c>
      <c r="H290" s="14" t="str">
        <f t="shared" si="8"/>
        <v>B</v>
      </c>
      <c r="I290" s="15" t="str">
        <f t="shared" si="9"/>
        <v>The Commissioner &amp; Chief Constable are satisfied the spend represents VFM in accordance with the requirements of Category B</v>
      </c>
      <c r="L290" s="17"/>
      <c r="M290" s="17"/>
    </row>
    <row r="291" spans="1:13" s="20" customFormat="1" x14ac:dyDescent="0.2">
      <c r="A291" s="10" t="s">
        <v>8</v>
      </c>
      <c r="B291" s="11" t="s">
        <v>9</v>
      </c>
      <c r="C291" s="75" t="s">
        <v>264</v>
      </c>
      <c r="D291" s="73">
        <v>7172235</v>
      </c>
      <c r="E291" s="72">
        <v>45419</v>
      </c>
      <c r="F291" s="12">
        <v>1230</v>
      </c>
      <c r="G291" s="13" t="s">
        <v>203</v>
      </c>
      <c r="H291" s="14" t="str">
        <f t="shared" si="8"/>
        <v>B</v>
      </c>
      <c r="I291" s="15" t="str">
        <f t="shared" si="9"/>
        <v>The Commissioner &amp; Chief Constable are satisfied the spend represents VFM in accordance with the requirements of Category B</v>
      </c>
      <c r="L291" s="17"/>
      <c r="M291" s="17"/>
    </row>
    <row r="292" spans="1:13" s="20" customFormat="1" x14ac:dyDescent="0.2">
      <c r="A292" s="10" t="s">
        <v>8</v>
      </c>
      <c r="B292" s="11" t="s">
        <v>9</v>
      </c>
      <c r="C292" s="75" t="s">
        <v>107</v>
      </c>
      <c r="D292" s="73">
        <v>7172455</v>
      </c>
      <c r="E292" s="72">
        <v>45419</v>
      </c>
      <c r="F292" s="12">
        <v>1225.1099999999999</v>
      </c>
      <c r="G292" s="13" t="s">
        <v>108</v>
      </c>
      <c r="H292" s="14" t="str">
        <f t="shared" si="8"/>
        <v>B</v>
      </c>
      <c r="I292" s="15" t="str">
        <f t="shared" si="9"/>
        <v>The Commissioner &amp; Chief Constable are satisfied the spend represents VFM in accordance with the requirements of Category B</v>
      </c>
      <c r="L292" s="17"/>
      <c r="M292" s="17"/>
    </row>
    <row r="293" spans="1:13" s="20" customFormat="1" x14ac:dyDescent="0.2">
      <c r="A293" s="10" t="s">
        <v>8</v>
      </c>
      <c r="B293" s="11" t="s">
        <v>9</v>
      </c>
      <c r="C293" s="75" t="s">
        <v>691</v>
      </c>
      <c r="D293" s="73">
        <v>7172344</v>
      </c>
      <c r="E293" s="72">
        <v>45425</v>
      </c>
      <c r="F293" s="12">
        <v>1218</v>
      </c>
      <c r="G293" s="13" t="s">
        <v>138</v>
      </c>
      <c r="H293" s="14" t="str">
        <f t="shared" si="8"/>
        <v>B</v>
      </c>
      <c r="I293" s="15" t="str">
        <f t="shared" si="9"/>
        <v>The Commissioner &amp; Chief Constable are satisfied the spend represents VFM in accordance with the requirements of Category B</v>
      </c>
      <c r="L293" s="17"/>
      <c r="M293" s="17"/>
    </row>
    <row r="294" spans="1:13" s="20" customFormat="1" x14ac:dyDescent="0.2">
      <c r="A294" s="10" t="s">
        <v>8</v>
      </c>
      <c r="B294" s="11" t="s">
        <v>9</v>
      </c>
      <c r="C294" s="75" t="s">
        <v>318</v>
      </c>
      <c r="D294" s="73">
        <v>7171621</v>
      </c>
      <c r="E294" s="72">
        <v>45413</v>
      </c>
      <c r="F294" s="12">
        <v>1186.8</v>
      </c>
      <c r="G294" s="13" t="s">
        <v>131</v>
      </c>
      <c r="H294" s="14" t="str">
        <f t="shared" si="8"/>
        <v>B</v>
      </c>
      <c r="I294" s="15" t="str">
        <f t="shared" si="9"/>
        <v>The Commissioner &amp; Chief Constable are satisfied the spend represents VFM in accordance with the requirements of Category B</v>
      </c>
      <c r="L294" s="17"/>
      <c r="M294" s="17"/>
    </row>
    <row r="295" spans="1:13" s="20" customFormat="1" x14ac:dyDescent="0.2">
      <c r="A295" s="10" t="s">
        <v>8</v>
      </c>
      <c r="B295" s="11" t="s">
        <v>9</v>
      </c>
      <c r="C295" s="75" t="s">
        <v>410</v>
      </c>
      <c r="D295" s="73">
        <v>7172356</v>
      </c>
      <c r="E295" s="72">
        <v>45415</v>
      </c>
      <c r="F295" s="12">
        <v>1181</v>
      </c>
      <c r="G295" s="13" t="s">
        <v>123</v>
      </c>
      <c r="H295" s="14" t="str">
        <f t="shared" si="8"/>
        <v>B</v>
      </c>
      <c r="I295" s="15" t="str">
        <f t="shared" si="9"/>
        <v>The Commissioner &amp; Chief Constable are satisfied the spend represents VFM in accordance with the requirements of Category B</v>
      </c>
      <c r="L295" s="17"/>
      <c r="M295" s="17"/>
    </row>
    <row r="296" spans="1:13" s="20" customFormat="1" x14ac:dyDescent="0.2">
      <c r="A296" s="10" t="s">
        <v>8</v>
      </c>
      <c r="B296" s="11" t="s">
        <v>9</v>
      </c>
      <c r="C296" s="75" t="s">
        <v>230</v>
      </c>
      <c r="D296" s="73">
        <v>7172624</v>
      </c>
      <c r="E296" s="72">
        <v>45426</v>
      </c>
      <c r="F296" s="12">
        <v>1161.6099999999999</v>
      </c>
      <c r="G296" s="13" t="s">
        <v>40</v>
      </c>
      <c r="H296" s="14" t="str">
        <f t="shared" si="8"/>
        <v>B</v>
      </c>
      <c r="I296" s="15" t="str">
        <f t="shared" si="9"/>
        <v>The Commissioner &amp; Chief Constable are satisfied the spend represents VFM in accordance with the requirements of Category B</v>
      </c>
      <c r="L296" s="17"/>
      <c r="M296" s="17"/>
    </row>
    <row r="297" spans="1:13" s="20" customFormat="1" x14ac:dyDescent="0.2">
      <c r="A297" s="10" t="s">
        <v>8</v>
      </c>
      <c r="B297" s="11" t="s">
        <v>9</v>
      </c>
      <c r="C297" s="75" t="s">
        <v>74</v>
      </c>
      <c r="D297" s="73">
        <v>7171539</v>
      </c>
      <c r="E297" s="72">
        <v>45443</v>
      </c>
      <c r="F297" s="12">
        <v>1136.6400000000001</v>
      </c>
      <c r="G297" s="13" t="s">
        <v>75</v>
      </c>
      <c r="H297" s="14" t="str">
        <f t="shared" si="8"/>
        <v>B</v>
      </c>
      <c r="I297" s="15" t="str">
        <f t="shared" si="9"/>
        <v>The Commissioner &amp; Chief Constable are satisfied the spend represents VFM in accordance with the requirements of Category B</v>
      </c>
      <c r="L297" s="17"/>
      <c r="M297" s="17"/>
    </row>
    <row r="298" spans="1:13" s="20" customFormat="1" x14ac:dyDescent="0.2">
      <c r="A298" s="10" t="s">
        <v>8</v>
      </c>
      <c r="B298" s="11" t="s">
        <v>9</v>
      </c>
      <c r="C298" s="75" t="s">
        <v>281</v>
      </c>
      <c r="D298" s="73">
        <v>7172595</v>
      </c>
      <c r="E298" s="72">
        <v>45422</v>
      </c>
      <c r="F298" s="12">
        <v>1113.3</v>
      </c>
      <c r="G298" s="13" t="s">
        <v>209</v>
      </c>
      <c r="H298" s="14" t="str">
        <f t="shared" si="8"/>
        <v>B</v>
      </c>
      <c r="I298" s="15" t="str">
        <f t="shared" si="9"/>
        <v>The Commissioner &amp; Chief Constable are satisfied the spend represents VFM in accordance with the requirements of Category B</v>
      </c>
      <c r="L298" s="17"/>
      <c r="M298" s="17"/>
    </row>
    <row r="299" spans="1:13" s="20" customFormat="1" x14ac:dyDescent="0.2">
      <c r="A299" s="10" t="s">
        <v>8</v>
      </c>
      <c r="B299" s="11" t="s">
        <v>9</v>
      </c>
      <c r="C299" s="75" t="s">
        <v>690</v>
      </c>
      <c r="D299" s="73">
        <v>7172460</v>
      </c>
      <c r="E299" s="72">
        <v>45425</v>
      </c>
      <c r="F299" s="12">
        <v>1102</v>
      </c>
      <c r="G299" s="13" t="s">
        <v>131</v>
      </c>
      <c r="H299" s="14" t="str">
        <f t="shared" si="8"/>
        <v>B</v>
      </c>
      <c r="I299" s="15" t="str">
        <f t="shared" si="9"/>
        <v>The Commissioner &amp; Chief Constable are satisfied the spend represents VFM in accordance with the requirements of Category B</v>
      </c>
      <c r="L299" s="17"/>
      <c r="M299" s="17"/>
    </row>
    <row r="300" spans="1:13" s="20" customFormat="1" x14ac:dyDescent="0.2">
      <c r="A300" s="10" t="s">
        <v>8</v>
      </c>
      <c r="B300" s="11" t="s">
        <v>9</v>
      </c>
      <c r="C300" s="75" t="s">
        <v>302</v>
      </c>
      <c r="D300" s="73">
        <v>7172634</v>
      </c>
      <c r="E300" s="72">
        <v>45421</v>
      </c>
      <c r="F300" s="12">
        <v>1084.3499999999999</v>
      </c>
      <c r="G300" s="13" t="s">
        <v>131</v>
      </c>
      <c r="H300" s="14" t="str">
        <f t="shared" si="8"/>
        <v>B</v>
      </c>
      <c r="I300" s="15" t="str">
        <f t="shared" si="9"/>
        <v>The Commissioner &amp; Chief Constable are satisfied the spend represents VFM in accordance with the requirements of Category B</v>
      </c>
      <c r="L300" s="17"/>
      <c r="M300" s="17"/>
    </row>
    <row r="301" spans="1:13" s="20" customFormat="1" x14ac:dyDescent="0.2">
      <c r="A301" s="10" t="s">
        <v>8</v>
      </c>
      <c r="B301" s="11" t="s">
        <v>9</v>
      </c>
      <c r="C301" s="75" t="s">
        <v>689</v>
      </c>
      <c r="D301" s="73">
        <v>7172131</v>
      </c>
      <c r="E301" s="72">
        <v>45419</v>
      </c>
      <c r="F301" s="12">
        <v>1079.8900000000001</v>
      </c>
      <c r="G301" s="13" t="s">
        <v>319</v>
      </c>
      <c r="H301" s="14" t="str">
        <f t="shared" si="8"/>
        <v>B</v>
      </c>
      <c r="I301" s="15" t="str">
        <f t="shared" si="9"/>
        <v>The Commissioner &amp; Chief Constable are satisfied the spend represents VFM in accordance with the requirements of Category B</v>
      </c>
      <c r="L301" s="17"/>
      <c r="M301" s="17"/>
    </row>
    <row r="302" spans="1:13" s="20" customFormat="1" x14ac:dyDescent="0.2">
      <c r="A302" s="10" t="s">
        <v>8</v>
      </c>
      <c r="B302" s="11" t="s">
        <v>9</v>
      </c>
      <c r="C302" s="75" t="s">
        <v>400</v>
      </c>
      <c r="D302" s="73">
        <v>7172764</v>
      </c>
      <c r="E302" s="72">
        <v>45442</v>
      </c>
      <c r="F302" s="12">
        <v>1071.8599999999999</v>
      </c>
      <c r="G302" s="13" t="s">
        <v>131</v>
      </c>
      <c r="H302" s="14" t="str">
        <f t="shared" si="8"/>
        <v>B</v>
      </c>
      <c r="I302" s="15" t="str">
        <f t="shared" si="9"/>
        <v>The Commissioner &amp; Chief Constable are satisfied the spend represents VFM in accordance with the requirements of Category B</v>
      </c>
      <c r="L302" s="17"/>
      <c r="M302" s="17"/>
    </row>
    <row r="303" spans="1:13" s="20" customFormat="1" x14ac:dyDescent="0.2">
      <c r="A303" s="10" t="s">
        <v>8</v>
      </c>
      <c r="B303" s="11" t="s">
        <v>9</v>
      </c>
      <c r="C303" s="75" t="s">
        <v>293</v>
      </c>
      <c r="D303" s="73">
        <v>7172097</v>
      </c>
      <c r="E303" s="72">
        <v>45441</v>
      </c>
      <c r="F303" s="12">
        <v>1069.81</v>
      </c>
      <c r="G303" s="13" t="s">
        <v>133</v>
      </c>
      <c r="H303" s="14" t="str">
        <f t="shared" si="8"/>
        <v>B</v>
      </c>
      <c r="I303" s="15" t="str">
        <f t="shared" si="9"/>
        <v>The Commissioner &amp; Chief Constable are satisfied the spend represents VFM in accordance with the requirements of Category B</v>
      </c>
      <c r="L303" s="17"/>
      <c r="M303" s="17"/>
    </row>
    <row r="304" spans="1:13" x14ac:dyDescent="0.2">
      <c r="A304" s="10" t="s">
        <v>8</v>
      </c>
      <c r="B304" s="11" t="s">
        <v>9</v>
      </c>
      <c r="C304" s="75" t="s">
        <v>294</v>
      </c>
      <c r="D304" s="73">
        <v>7172299</v>
      </c>
      <c r="E304" s="72">
        <v>45414</v>
      </c>
      <c r="F304" s="12">
        <v>1057.69</v>
      </c>
      <c r="G304" s="13" t="s">
        <v>155</v>
      </c>
      <c r="H304" s="14" t="str">
        <f t="shared" si="8"/>
        <v>B</v>
      </c>
      <c r="I304" s="15" t="str">
        <f t="shared" si="9"/>
        <v>The Commissioner &amp; Chief Constable are satisfied the spend represents VFM in accordance with the requirements of Category B</v>
      </c>
    </row>
    <row r="305" spans="1:9" x14ac:dyDescent="0.2">
      <c r="A305" s="10" t="s">
        <v>8</v>
      </c>
      <c r="B305" s="11" t="s">
        <v>9</v>
      </c>
      <c r="C305" s="75" t="s">
        <v>608</v>
      </c>
      <c r="D305" s="73">
        <v>7172554</v>
      </c>
      <c r="E305" s="72">
        <v>45419</v>
      </c>
      <c r="F305" s="12">
        <v>1050</v>
      </c>
      <c r="G305" s="13" t="s">
        <v>138</v>
      </c>
      <c r="H305" s="14" t="str">
        <f t="shared" si="8"/>
        <v>B</v>
      </c>
      <c r="I305" s="15" t="str">
        <f t="shared" si="9"/>
        <v>The Commissioner &amp; Chief Constable are satisfied the spend represents VFM in accordance with the requirements of Category B</v>
      </c>
    </row>
    <row r="306" spans="1:9" x14ac:dyDescent="0.2">
      <c r="A306" s="10" t="s">
        <v>8</v>
      </c>
      <c r="B306" s="11" t="s">
        <v>9</v>
      </c>
      <c r="C306" s="75" t="s">
        <v>594</v>
      </c>
      <c r="D306" s="73">
        <v>7173115</v>
      </c>
      <c r="E306" s="72">
        <v>45435</v>
      </c>
      <c r="F306" s="18">
        <v>1050</v>
      </c>
      <c r="G306" s="19" t="s">
        <v>106</v>
      </c>
      <c r="H306" s="14" t="str">
        <f t="shared" si="8"/>
        <v>B</v>
      </c>
      <c r="I306" s="15" t="str">
        <f t="shared" si="9"/>
        <v>The Commissioner &amp; Chief Constable are satisfied the spend represents VFM in accordance with the requirements of Category B</v>
      </c>
    </row>
    <row r="307" spans="1:9" x14ac:dyDescent="0.2">
      <c r="A307" s="10" t="s">
        <v>8</v>
      </c>
      <c r="B307" s="11" t="s">
        <v>9</v>
      </c>
      <c r="C307" s="75" t="s">
        <v>231</v>
      </c>
      <c r="D307" s="73">
        <v>7172399</v>
      </c>
      <c r="E307" s="72">
        <v>45428</v>
      </c>
      <c r="F307" s="12">
        <v>1024.95</v>
      </c>
      <c r="G307" s="13" t="s">
        <v>22</v>
      </c>
      <c r="H307" s="14" t="str">
        <f t="shared" si="8"/>
        <v>B</v>
      </c>
      <c r="I307" s="15" t="str">
        <f t="shared" si="9"/>
        <v>The Commissioner &amp; Chief Constable are satisfied the spend represents VFM in accordance with the requirements of Category B</v>
      </c>
    </row>
    <row r="308" spans="1:9" x14ac:dyDescent="0.2">
      <c r="A308" s="10" t="s">
        <v>8</v>
      </c>
      <c r="B308" s="11" t="s">
        <v>9</v>
      </c>
      <c r="C308" s="75" t="s">
        <v>340</v>
      </c>
      <c r="D308" s="73">
        <v>7172672</v>
      </c>
      <c r="E308" s="72">
        <v>45426</v>
      </c>
      <c r="F308" s="12">
        <v>1000</v>
      </c>
      <c r="G308" s="13" t="s">
        <v>15</v>
      </c>
      <c r="H308" s="14" t="str">
        <f t="shared" si="8"/>
        <v>A</v>
      </c>
      <c r="I308" s="15" t="str">
        <f t="shared" si="9"/>
        <v>The Commissioner &amp; Chief Constable are satisfied the spend represents VFM in accordance with the requirements of Category A</v>
      </c>
    </row>
    <row r="309" spans="1:9" x14ac:dyDescent="0.2">
      <c r="A309" s="10" t="s">
        <v>8</v>
      </c>
      <c r="B309" s="11" t="s">
        <v>9</v>
      </c>
      <c r="C309" s="75" t="s">
        <v>688</v>
      </c>
      <c r="D309" s="73">
        <v>7172334</v>
      </c>
      <c r="E309" s="72">
        <v>45413</v>
      </c>
      <c r="F309" s="12">
        <v>998.75</v>
      </c>
      <c r="G309" s="13" t="s">
        <v>131</v>
      </c>
      <c r="H309" s="14" t="str">
        <f t="shared" si="8"/>
        <v>A</v>
      </c>
      <c r="I309" s="15" t="str">
        <f t="shared" si="9"/>
        <v>The Commissioner &amp; Chief Constable are satisfied the spend represents VFM in accordance with the requirements of Category A</v>
      </c>
    </row>
    <row r="310" spans="1:9" x14ac:dyDescent="0.2">
      <c r="A310" s="10" t="s">
        <v>8</v>
      </c>
      <c r="B310" s="11" t="s">
        <v>9</v>
      </c>
      <c r="C310" s="75" t="s">
        <v>687</v>
      </c>
      <c r="D310" s="73">
        <v>7172980</v>
      </c>
      <c r="E310" s="72">
        <v>45433</v>
      </c>
      <c r="F310" s="12">
        <v>983.33</v>
      </c>
      <c r="G310" s="13" t="s">
        <v>686</v>
      </c>
      <c r="H310" s="14" t="str">
        <f t="shared" si="8"/>
        <v>A</v>
      </c>
      <c r="I310" s="15" t="str">
        <f t="shared" si="9"/>
        <v>The Commissioner &amp; Chief Constable are satisfied the spend represents VFM in accordance with the requirements of Category A</v>
      </c>
    </row>
    <row r="311" spans="1:9" x14ac:dyDescent="0.2">
      <c r="A311" s="10" t="s">
        <v>8</v>
      </c>
      <c r="B311" s="11" t="s">
        <v>9</v>
      </c>
      <c r="C311" s="75" t="s">
        <v>685</v>
      </c>
      <c r="D311" s="73">
        <v>7173204</v>
      </c>
      <c r="E311" s="72">
        <v>45436</v>
      </c>
      <c r="F311" s="12">
        <v>978</v>
      </c>
      <c r="G311" s="13" t="s">
        <v>22</v>
      </c>
      <c r="H311" s="14" t="str">
        <f t="shared" si="8"/>
        <v>A</v>
      </c>
      <c r="I311" s="15" t="str">
        <f t="shared" si="9"/>
        <v>The Commissioner &amp; Chief Constable are satisfied the spend represents VFM in accordance with the requirements of Category A</v>
      </c>
    </row>
    <row r="312" spans="1:9" x14ac:dyDescent="0.2">
      <c r="A312" s="10" t="s">
        <v>8</v>
      </c>
      <c r="B312" s="11" t="s">
        <v>9</v>
      </c>
      <c r="C312" s="75" t="s">
        <v>231</v>
      </c>
      <c r="D312" s="73">
        <v>7172391</v>
      </c>
      <c r="E312" s="72">
        <v>45414</v>
      </c>
      <c r="F312" s="12">
        <v>975</v>
      </c>
      <c r="G312" s="13" t="s">
        <v>22</v>
      </c>
      <c r="H312" s="14" t="str">
        <f t="shared" si="8"/>
        <v>A</v>
      </c>
      <c r="I312" s="15" t="str">
        <f t="shared" si="9"/>
        <v>The Commissioner &amp; Chief Constable are satisfied the spend represents VFM in accordance with the requirements of Category A</v>
      </c>
    </row>
    <row r="313" spans="1:9" x14ac:dyDescent="0.2">
      <c r="A313" s="10" t="s">
        <v>8</v>
      </c>
      <c r="B313" s="11" t="s">
        <v>9</v>
      </c>
      <c r="C313" s="75" t="s">
        <v>393</v>
      </c>
      <c r="D313" s="73">
        <v>7172920</v>
      </c>
      <c r="E313" s="72">
        <v>45443</v>
      </c>
      <c r="F313" s="12">
        <v>960.35</v>
      </c>
      <c r="G313" s="13" t="s">
        <v>392</v>
      </c>
      <c r="H313" s="14" t="str">
        <f t="shared" si="8"/>
        <v>A</v>
      </c>
      <c r="I313" s="15" t="str">
        <f t="shared" si="9"/>
        <v>The Commissioner &amp; Chief Constable are satisfied the spend represents VFM in accordance with the requirements of Category A</v>
      </c>
    </row>
    <row r="314" spans="1:9" x14ac:dyDescent="0.2">
      <c r="A314" s="10" t="s">
        <v>8</v>
      </c>
      <c r="B314" s="11" t="s">
        <v>9</v>
      </c>
      <c r="C314" s="75" t="s">
        <v>10</v>
      </c>
      <c r="D314" s="73">
        <v>7172775</v>
      </c>
      <c r="E314" s="72">
        <v>45435</v>
      </c>
      <c r="F314" s="12">
        <v>960</v>
      </c>
      <c r="G314" s="13" t="s">
        <v>22</v>
      </c>
      <c r="H314" s="14" t="str">
        <f t="shared" si="8"/>
        <v>A</v>
      </c>
      <c r="I314" s="15" t="str">
        <f t="shared" si="9"/>
        <v>The Commissioner &amp; Chief Constable are satisfied the spend represents VFM in accordance with the requirements of Category A</v>
      </c>
    </row>
    <row r="315" spans="1:9" x14ac:dyDescent="0.2">
      <c r="A315" s="10" t="s">
        <v>8</v>
      </c>
      <c r="B315" s="11" t="s">
        <v>9</v>
      </c>
      <c r="C315" s="75" t="s">
        <v>256</v>
      </c>
      <c r="D315" s="73">
        <v>7172485</v>
      </c>
      <c r="E315" s="72">
        <v>45425</v>
      </c>
      <c r="F315" s="12">
        <v>933.42</v>
      </c>
      <c r="G315" s="13" t="s">
        <v>155</v>
      </c>
      <c r="H315" s="14" t="str">
        <f t="shared" si="8"/>
        <v>A</v>
      </c>
      <c r="I315" s="15" t="str">
        <f t="shared" si="9"/>
        <v>The Commissioner &amp; Chief Constable are satisfied the spend represents VFM in accordance with the requirements of Category A</v>
      </c>
    </row>
    <row r="316" spans="1:9" x14ac:dyDescent="0.2">
      <c r="A316" s="10" t="s">
        <v>8</v>
      </c>
      <c r="B316" s="11" t="s">
        <v>9</v>
      </c>
      <c r="C316" s="75" t="s">
        <v>264</v>
      </c>
      <c r="D316" s="73">
        <v>7172811</v>
      </c>
      <c r="E316" s="72">
        <v>45440</v>
      </c>
      <c r="F316" s="12">
        <v>918</v>
      </c>
      <c r="G316" s="13" t="s">
        <v>203</v>
      </c>
      <c r="H316" s="14" t="str">
        <f t="shared" si="8"/>
        <v>A</v>
      </c>
      <c r="I316" s="15" t="str">
        <f t="shared" si="9"/>
        <v>The Commissioner &amp; Chief Constable are satisfied the spend represents VFM in accordance with the requirements of Category A</v>
      </c>
    </row>
    <row r="317" spans="1:9" x14ac:dyDescent="0.2">
      <c r="A317" s="10" t="s">
        <v>8</v>
      </c>
      <c r="B317" s="11" t="s">
        <v>9</v>
      </c>
      <c r="C317" s="75" t="s">
        <v>272</v>
      </c>
      <c r="D317" s="73">
        <v>7172835</v>
      </c>
      <c r="E317" s="72">
        <v>45426</v>
      </c>
      <c r="F317" s="12">
        <v>912</v>
      </c>
      <c r="G317" s="13" t="s">
        <v>22</v>
      </c>
      <c r="H317" s="14" t="str">
        <f t="shared" si="8"/>
        <v>A</v>
      </c>
      <c r="I317" s="15" t="str">
        <f t="shared" si="9"/>
        <v>The Commissioner &amp; Chief Constable are satisfied the spend represents VFM in accordance with the requirements of Category A</v>
      </c>
    </row>
    <row r="318" spans="1:9" x14ac:dyDescent="0.2">
      <c r="A318" s="10" t="s">
        <v>8</v>
      </c>
      <c r="B318" s="11" t="s">
        <v>9</v>
      </c>
      <c r="C318" s="75" t="s">
        <v>684</v>
      </c>
      <c r="D318" s="73">
        <v>7172200</v>
      </c>
      <c r="E318" s="72">
        <v>45413</v>
      </c>
      <c r="F318" s="12">
        <v>907.5</v>
      </c>
      <c r="G318" s="13" t="s">
        <v>131</v>
      </c>
      <c r="H318" s="14" t="str">
        <f t="shared" si="8"/>
        <v>A</v>
      </c>
      <c r="I318" s="15" t="str">
        <f t="shared" si="9"/>
        <v>The Commissioner &amp; Chief Constable are satisfied the spend represents VFM in accordance with the requirements of Category A</v>
      </c>
    </row>
    <row r="319" spans="1:9" x14ac:dyDescent="0.2">
      <c r="A319" s="10" t="s">
        <v>8</v>
      </c>
      <c r="B319" s="11" t="s">
        <v>9</v>
      </c>
      <c r="C319" s="75" t="s">
        <v>107</v>
      </c>
      <c r="D319" s="73">
        <v>7172457</v>
      </c>
      <c r="E319" s="72">
        <v>45419</v>
      </c>
      <c r="F319" s="12">
        <v>872.13</v>
      </c>
      <c r="G319" s="13" t="s">
        <v>108</v>
      </c>
      <c r="H319" s="14" t="str">
        <f t="shared" si="8"/>
        <v>A</v>
      </c>
      <c r="I319" s="15" t="str">
        <f t="shared" si="9"/>
        <v>The Commissioner &amp; Chief Constable are satisfied the spend represents VFM in accordance with the requirements of Category A</v>
      </c>
    </row>
    <row r="320" spans="1:9" x14ac:dyDescent="0.2">
      <c r="A320" s="10" t="s">
        <v>8</v>
      </c>
      <c r="B320" s="11" t="s">
        <v>9</v>
      </c>
      <c r="C320" s="75" t="s">
        <v>149</v>
      </c>
      <c r="D320" s="73">
        <v>7172033</v>
      </c>
      <c r="E320" s="72">
        <v>45425</v>
      </c>
      <c r="F320" s="12">
        <v>870.54</v>
      </c>
      <c r="G320" s="13" t="s">
        <v>138</v>
      </c>
      <c r="H320" s="14" t="str">
        <f t="shared" si="8"/>
        <v>A</v>
      </c>
      <c r="I320" s="15" t="str">
        <f t="shared" si="9"/>
        <v>The Commissioner &amp; Chief Constable are satisfied the spend represents VFM in accordance with the requirements of Category A</v>
      </c>
    </row>
    <row r="321" spans="1:9" x14ac:dyDescent="0.2">
      <c r="A321" s="10" t="s">
        <v>8</v>
      </c>
      <c r="B321" s="11" t="s">
        <v>9</v>
      </c>
      <c r="C321" s="75" t="s">
        <v>304</v>
      </c>
      <c r="D321" s="73">
        <v>7172666</v>
      </c>
      <c r="E321" s="72">
        <v>45433</v>
      </c>
      <c r="F321" s="12">
        <v>870.5</v>
      </c>
      <c r="G321" s="13" t="s">
        <v>155</v>
      </c>
      <c r="H321" s="14" t="str">
        <f t="shared" si="8"/>
        <v>A</v>
      </c>
      <c r="I321" s="15" t="str">
        <f t="shared" si="9"/>
        <v>The Commissioner &amp; Chief Constable are satisfied the spend represents VFM in accordance with the requirements of Category A</v>
      </c>
    </row>
    <row r="322" spans="1:9" x14ac:dyDescent="0.2">
      <c r="A322" s="10" t="s">
        <v>8</v>
      </c>
      <c r="B322" s="11" t="s">
        <v>9</v>
      </c>
      <c r="C322" s="75" t="s">
        <v>304</v>
      </c>
      <c r="D322" s="73">
        <v>7172861</v>
      </c>
      <c r="E322" s="72">
        <v>45433</v>
      </c>
      <c r="F322" s="12">
        <v>863.5</v>
      </c>
      <c r="G322" s="13" t="s">
        <v>155</v>
      </c>
      <c r="H322" s="14" t="str">
        <f t="shared" ref="H322:H385" si="10">IF(F322&gt;25000,"C",IF(F322&gt;1000,"B","A"))</f>
        <v>A</v>
      </c>
      <c r="I322" s="15" t="str">
        <f t="shared" ref="I322:I385" si="11">VLOOKUP(H322,$L$2:$M$4,2,FALSE)</f>
        <v>The Commissioner &amp; Chief Constable are satisfied the spend represents VFM in accordance with the requirements of Category A</v>
      </c>
    </row>
    <row r="323" spans="1:9" x14ac:dyDescent="0.2">
      <c r="A323" s="10" t="s">
        <v>8</v>
      </c>
      <c r="B323" s="11" t="s">
        <v>9</v>
      </c>
      <c r="C323" s="75" t="s">
        <v>683</v>
      </c>
      <c r="D323" s="73">
        <v>7172106</v>
      </c>
      <c r="E323" s="72">
        <v>45414</v>
      </c>
      <c r="F323" s="12">
        <v>860</v>
      </c>
      <c r="G323" s="13" t="s">
        <v>131</v>
      </c>
      <c r="H323" s="14" t="str">
        <f t="shared" si="10"/>
        <v>A</v>
      </c>
      <c r="I323" s="15" t="str">
        <f t="shared" si="11"/>
        <v>The Commissioner &amp; Chief Constable are satisfied the spend represents VFM in accordance with the requirements of Category A</v>
      </c>
    </row>
    <row r="324" spans="1:9" x14ac:dyDescent="0.2">
      <c r="A324" s="10" t="s">
        <v>8</v>
      </c>
      <c r="B324" s="11" t="s">
        <v>9</v>
      </c>
      <c r="C324" s="75" t="s">
        <v>162</v>
      </c>
      <c r="D324" s="73">
        <v>7172933</v>
      </c>
      <c r="E324" s="72">
        <v>45429</v>
      </c>
      <c r="F324" s="12">
        <v>860</v>
      </c>
      <c r="G324" s="13" t="s">
        <v>39</v>
      </c>
      <c r="H324" s="14" t="str">
        <f t="shared" si="10"/>
        <v>A</v>
      </c>
      <c r="I324" s="15" t="str">
        <f t="shared" si="11"/>
        <v>The Commissioner &amp; Chief Constable are satisfied the spend represents VFM in accordance with the requirements of Category A</v>
      </c>
    </row>
    <row r="325" spans="1:9" x14ac:dyDescent="0.2">
      <c r="A325" s="10" t="s">
        <v>8</v>
      </c>
      <c r="B325" s="11" t="s">
        <v>9</v>
      </c>
      <c r="C325" s="75" t="s">
        <v>309</v>
      </c>
      <c r="D325" s="73">
        <v>7172325</v>
      </c>
      <c r="E325" s="72">
        <v>45415</v>
      </c>
      <c r="F325" s="12">
        <v>845</v>
      </c>
      <c r="G325" s="13" t="s">
        <v>38</v>
      </c>
      <c r="H325" s="14" t="str">
        <f t="shared" si="10"/>
        <v>A</v>
      </c>
      <c r="I325" s="15" t="str">
        <f t="shared" si="11"/>
        <v>The Commissioner &amp; Chief Constable are satisfied the spend represents VFM in accordance with the requirements of Category A</v>
      </c>
    </row>
    <row r="326" spans="1:9" x14ac:dyDescent="0.2">
      <c r="A326" s="10" t="s">
        <v>8</v>
      </c>
      <c r="B326" s="11" t="s">
        <v>9</v>
      </c>
      <c r="C326" s="75" t="s">
        <v>378</v>
      </c>
      <c r="D326" s="73">
        <v>7172684</v>
      </c>
      <c r="E326" s="72">
        <v>45426</v>
      </c>
      <c r="F326" s="12">
        <v>842.37</v>
      </c>
      <c r="G326" s="13" t="s">
        <v>106</v>
      </c>
      <c r="H326" s="14" t="str">
        <f t="shared" si="10"/>
        <v>A</v>
      </c>
      <c r="I326" s="15" t="str">
        <f t="shared" si="11"/>
        <v>The Commissioner &amp; Chief Constable are satisfied the spend represents VFM in accordance with the requirements of Category A</v>
      </c>
    </row>
    <row r="327" spans="1:9" x14ac:dyDescent="0.2">
      <c r="A327" s="10" t="s">
        <v>8</v>
      </c>
      <c r="B327" s="11" t="s">
        <v>9</v>
      </c>
      <c r="C327" s="75" t="s">
        <v>256</v>
      </c>
      <c r="D327" s="73">
        <v>7173234</v>
      </c>
      <c r="E327" s="72">
        <v>45440</v>
      </c>
      <c r="F327" s="12">
        <v>838.05</v>
      </c>
      <c r="G327" s="13" t="s">
        <v>131</v>
      </c>
      <c r="H327" s="14" t="str">
        <f t="shared" si="10"/>
        <v>A</v>
      </c>
      <c r="I327" s="15" t="str">
        <f t="shared" si="11"/>
        <v>The Commissioner &amp; Chief Constable are satisfied the spend represents VFM in accordance with the requirements of Category A</v>
      </c>
    </row>
    <row r="328" spans="1:9" x14ac:dyDescent="0.2">
      <c r="A328" s="10" t="s">
        <v>8</v>
      </c>
      <c r="B328" s="11" t="s">
        <v>9</v>
      </c>
      <c r="C328" s="75" t="s">
        <v>366</v>
      </c>
      <c r="D328" s="73">
        <v>7173134</v>
      </c>
      <c r="E328" s="72">
        <v>45435</v>
      </c>
      <c r="F328" s="12">
        <v>829.21</v>
      </c>
      <c r="G328" s="13" t="s">
        <v>155</v>
      </c>
      <c r="H328" s="14" t="str">
        <f t="shared" si="10"/>
        <v>A</v>
      </c>
      <c r="I328" s="15" t="str">
        <f t="shared" si="11"/>
        <v>The Commissioner &amp; Chief Constable are satisfied the spend represents VFM in accordance with the requirements of Category A</v>
      </c>
    </row>
    <row r="329" spans="1:9" x14ac:dyDescent="0.2">
      <c r="A329" s="10" t="s">
        <v>8</v>
      </c>
      <c r="B329" s="11" t="s">
        <v>9</v>
      </c>
      <c r="C329" s="75" t="s">
        <v>69</v>
      </c>
      <c r="D329" s="73">
        <v>7172747</v>
      </c>
      <c r="E329" s="72">
        <v>45425</v>
      </c>
      <c r="F329" s="12">
        <v>820</v>
      </c>
      <c r="G329" s="13" t="s">
        <v>363</v>
      </c>
      <c r="H329" s="14" t="str">
        <f t="shared" si="10"/>
        <v>A</v>
      </c>
      <c r="I329" s="15" t="str">
        <f t="shared" si="11"/>
        <v>The Commissioner &amp; Chief Constable are satisfied the spend represents VFM in accordance with the requirements of Category A</v>
      </c>
    </row>
    <row r="330" spans="1:9" x14ac:dyDescent="0.2">
      <c r="A330" s="10" t="s">
        <v>8</v>
      </c>
      <c r="B330" s="11" t="s">
        <v>9</v>
      </c>
      <c r="C330" s="75" t="s">
        <v>479</v>
      </c>
      <c r="D330" s="73">
        <v>7173142</v>
      </c>
      <c r="E330" s="72">
        <v>45435</v>
      </c>
      <c r="F330" s="12">
        <v>815</v>
      </c>
      <c r="G330" s="13" t="s">
        <v>75</v>
      </c>
      <c r="H330" s="14" t="str">
        <f t="shared" si="10"/>
        <v>A</v>
      </c>
      <c r="I330" s="15" t="str">
        <f t="shared" si="11"/>
        <v>The Commissioner &amp; Chief Constable are satisfied the spend represents VFM in accordance with the requirements of Category A</v>
      </c>
    </row>
    <row r="331" spans="1:9" x14ac:dyDescent="0.2">
      <c r="A331" s="10" t="s">
        <v>8</v>
      </c>
      <c r="B331" s="11" t="s">
        <v>9</v>
      </c>
      <c r="C331" s="75" t="s">
        <v>153</v>
      </c>
      <c r="D331" s="73">
        <v>7173199</v>
      </c>
      <c r="E331" s="72">
        <v>45436</v>
      </c>
      <c r="F331" s="12">
        <v>814.75</v>
      </c>
      <c r="G331" s="13" t="s">
        <v>39</v>
      </c>
      <c r="H331" s="14" t="str">
        <f t="shared" si="10"/>
        <v>A</v>
      </c>
      <c r="I331" s="15" t="str">
        <f t="shared" si="11"/>
        <v>The Commissioner &amp; Chief Constable are satisfied the spend represents VFM in accordance with the requirements of Category A</v>
      </c>
    </row>
    <row r="332" spans="1:9" x14ac:dyDescent="0.2">
      <c r="A332" s="10" t="s">
        <v>8</v>
      </c>
      <c r="B332" s="11" t="s">
        <v>9</v>
      </c>
      <c r="C332" s="75" t="s">
        <v>312</v>
      </c>
      <c r="D332" s="73">
        <v>7172667</v>
      </c>
      <c r="E332" s="72">
        <v>45421</v>
      </c>
      <c r="F332" s="12">
        <v>809</v>
      </c>
      <c r="G332" s="13" t="s">
        <v>151</v>
      </c>
      <c r="H332" s="14" t="str">
        <f t="shared" si="10"/>
        <v>A</v>
      </c>
      <c r="I332" s="15" t="str">
        <f t="shared" si="11"/>
        <v>The Commissioner &amp; Chief Constable are satisfied the spend represents VFM in accordance with the requirements of Category A</v>
      </c>
    </row>
    <row r="333" spans="1:9" x14ac:dyDescent="0.2">
      <c r="A333" s="10" t="s">
        <v>8</v>
      </c>
      <c r="B333" s="11" t="s">
        <v>9</v>
      </c>
      <c r="C333" s="75" t="s">
        <v>329</v>
      </c>
      <c r="D333" s="73">
        <v>7172738</v>
      </c>
      <c r="E333" s="72">
        <v>45422</v>
      </c>
      <c r="F333" s="12">
        <v>808.4</v>
      </c>
      <c r="G333" s="13" t="s">
        <v>330</v>
      </c>
      <c r="H333" s="14" t="str">
        <f t="shared" si="10"/>
        <v>A</v>
      </c>
      <c r="I333" s="15" t="str">
        <f t="shared" si="11"/>
        <v>The Commissioner &amp; Chief Constable are satisfied the spend represents VFM in accordance with the requirements of Category A</v>
      </c>
    </row>
    <row r="334" spans="1:9" x14ac:dyDescent="0.2">
      <c r="A334" s="10" t="s">
        <v>8</v>
      </c>
      <c r="B334" s="11" t="s">
        <v>9</v>
      </c>
      <c r="C334" s="75" t="s">
        <v>602</v>
      </c>
      <c r="D334" s="73">
        <v>7172294</v>
      </c>
      <c r="E334" s="72">
        <v>45413</v>
      </c>
      <c r="F334" s="12">
        <v>807.34</v>
      </c>
      <c r="G334" s="13" t="s">
        <v>38</v>
      </c>
      <c r="H334" s="14" t="str">
        <f t="shared" si="10"/>
        <v>A</v>
      </c>
      <c r="I334" s="15" t="str">
        <f t="shared" si="11"/>
        <v>The Commissioner &amp; Chief Constable are satisfied the spend represents VFM in accordance with the requirements of Category A</v>
      </c>
    </row>
    <row r="335" spans="1:9" x14ac:dyDescent="0.2">
      <c r="A335" s="10" t="s">
        <v>8</v>
      </c>
      <c r="B335" s="11" t="s">
        <v>9</v>
      </c>
      <c r="C335" s="75" t="s">
        <v>385</v>
      </c>
      <c r="D335" s="73">
        <v>7172707</v>
      </c>
      <c r="E335" s="72">
        <v>45426</v>
      </c>
      <c r="F335" s="12">
        <v>803.97</v>
      </c>
      <c r="G335" s="13" t="s">
        <v>112</v>
      </c>
      <c r="H335" s="14" t="str">
        <f t="shared" si="10"/>
        <v>A</v>
      </c>
      <c r="I335" s="15" t="str">
        <f t="shared" si="11"/>
        <v>The Commissioner &amp; Chief Constable are satisfied the spend represents VFM in accordance with the requirements of Category A</v>
      </c>
    </row>
    <row r="336" spans="1:9" x14ac:dyDescent="0.2">
      <c r="A336" s="10" t="s">
        <v>8</v>
      </c>
      <c r="B336" s="11" t="s">
        <v>9</v>
      </c>
      <c r="C336" s="75" t="s">
        <v>90</v>
      </c>
      <c r="D336" s="73">
        <v>7172952</v>
      </c>
      <c r="E336" s="72">
        <v>45429</v>
      </c>
      <c r="F336" s="12">
        <v>802.74</v>
      </c>
      <c r="G336" s="13" t="s">
        <v>91</v>
      </c>
      <c r="H336" s="14" t="str">
        <f t="shared" si="10"/>
        <v>A</v>
      </c>
      <c r="I336" s="15" t="str">
        <f t="shared" si="11"/>
        <v>The Commissioner &amp; Chief Constable are satisfied the spend represents VFM in accordance with the requirements of Category A</v>
      </c>
    </row>
    <row r="337" spans="1:9" x14ac:dyDescent="0.2">
      <c r="A337" s="10" t="s">
        <v>8</v>
      </c>
      <c r="B337" s="11" t="s">
        <v>9</v>
      </c>
      <c r="C337" s="75" t="s">
        <v>33</v>
      </c>
      <c r="D337" s="73">
        <v>7172899</v>
      </c>
      <c r="E337" s="72">
        <v>45435</v>
      </c>
      <c r="F337" s="12">
        <v>800</v>
      </c>
      <c r="G337" s="13" t="s">
        <v>106</v>
      </c>
      <c r="H337" s="14" t="str">
        <f t="shared" si="10"/>
        <v>A</v>
      </c>
      <c r="I337" s="15" t="str">
        <f t="shared" si="11"/>
        <v>The Commissioner &amp; Chief Constable are satisfied the spend represents VFM in accordance with the requirements of Category A</v>
      </c>
    </row>
    <row r="338" spans="1:9" x14ac:dyDescent="0.2">
      <c r="A338" s="10" t="s">
        <v>8</v>
      </c>
      <c r="B338" s="11" t="s">
        <v>9</v>
      </c>
      <c r="C338" s="75" t="s">
        <v>526</v>
      </c>
      <c r="D338" s="73">
        <v>7173150</v>
      </c>
      <c r="E338" s="72">
        <v>45435</v>
      </c>
      <c r="F338" s="18">
        <v>799</v>
      </c>
      <c r="G338" s="19" t="s">
        <v>151</v>
      </c>
      <c r="H338" s="14" t="str">
        <f t="shared" si="10"/>
        <v>A</v>
      </c>
      <c r="I338" s="15" t="str">
        <f t="shared" si="11"/>
        <v>The Commissioner &amp; Chief Constable are satisfied the spend represents VFM in accordance with the requirements of Category A</v>
      </c>
    </row>
    <row r="339" spans="1:9" x14ac:dyDescent="0.2">
      <c r="A339" s="10" t="s">
        <v>8</v>
      </c>
      <c r="B339" s="11" t="s">
        <v>9</v>
      </c>
      <c r="C339" s="75" t="s">
        <v>277</v>
      </c>
      <c r="D339" s="73">
        <v>7172769</v>
      </c>
      <c r="E339" s="72">
        <v>45425</v>
      </c>
      <c r="F339" s="12">
        <v>790</v>
      </c>
      <c r="G339" s="13" t="s">
        <v>278</v>
      </c>
      <c r="H339" s="14" t="str">
        <f t="shared" si="10"/>
        <v>A</v>
      </c>
      <c r="I339" s="15" t="str">
        <f t="shared" si="11"/>
        <v>The Commissioner &amp; Chief Constable are satisfied the spend represents VFM in accordance with the requirements of Category A</v>
      </c>
    </row>
    <row r="340" spans="1:9" x14ac:dyDescent="0.2">
      <c r="A340" s="10" t="s">
        <v>8</v>
      </c>
      <c r="B340" s="11" t="s">
        <v>9</v>
      </c>
      <c r="C340" s="75" t="s">
        <v>317</v>
      </c>
      <c r="D340" s="73">
        <v>7172389</v>
      </c>
      <c r="E340" s="72">
        <v>45419</v>
      </c>
      <c r="F340" s="12">
        <v>782.86</v>
      </c>
      <c r="G340" s="13" t="s">
        <v>102</v>
      </c>
      <c r="H340" s="14" t="str">
        <f t="shared" si="10"/>
        <v>A</v>
      </c>
      <c r="I340" s="15" t="str">
        <f t="shared" si="11"/>
        <v>The Commissioner &amp; Chief Constable are satisfied the spend represents VFM in accordance with the requirements of Category A</v>
      </c>
    </row>
    <row r="341" spans="1:9" x14ac:dyDescent="0.2">
      <c r="A341" s="10" t="s">
        <v>8</v>
      </c>
      <c r="B341" s="11" t="s">
        <v>9</v>
      </c>
      <c r="C341" s="75" t="s">
        <v>317</v>
      </c>
      <c r="D341" s="73">
        <v>7173056</v>
      </c>
      <c r="E341" s="72">
        <v>45436</v>
      </c>
      <c r="F341" s="12">
        <v>782.86</v>
      </c>
      <c r="G341" s="13" t="s">
        <v>102</v>
      </c>
      <c r="H341" s="14" t="str">
        <f t="shared" si="10"/>
        <v>A</v>
      </c>
      <c r="I341" s="15" t="str">
        <f t="shared" si="11"/>
        <v>The Commissioner &amp; Chief Constable are satisfied the spend represents VFM in accordance with the requirements of Category A</v>
      </c>
    </row>
    <row r="342" spans="1:9" x14ac:dyDescent="0.2">
      <c r="A342" s="10" t="s">
        <v>8</v>
      </c>
      <c r="B342" s="11" t="s">
        <v>9</v>
      </c>
      <c r="C342" s="75" t="s">
        <v>172</v>
      </c>
      <c r="D342" s="73">
        <v>7173227</v>
      </c>
      <c r="E342" s="72">
        <v>45440</v>
      </c>
      <c r="F342" s="12">
        <v>781.83</v>
      </c>
      <c r="G342" s="13" t="s">
        <v>39</v>
      </c>
      <c r="H342" s="14" t="str">
        <f t="shared" si="10"/>
        <v>A</v>
      </c>
      <c r="I342" s="15" t="str">
        <f t="shared" si="11"/>
        <v>The Commissioner &amp; Chief Constable are satisfied the spend represents VFM in accordance with the requirements of Category A</v>
      </c>
    </row>
    <row r="343" spans="1:9" x14ac:dyDescent="0.2">
      <c r="A343" s="10" t="s">
        <v>8</v>
      </c>
      <c r="B343" s="11" t="s">
        <v>9</v>
      </c>
      <c r="C343" s="77" t="s">
        <v>372</v>
      </c>
      <c r="D343" s="73">
        <v>7172652</v>
      </c>
      <c r="E343" s="72">
        <v>45425</v>
      </c>
      <c r="F343" s="12">
        <v>779.02</v>
      </c>
      <c r="G343" s="13" t="s">
        <v>11</v>
      </c>
      <c r="H343" s="14" t="str">
        <f t="shared" si="10"/>
        <v>A</v>
      </c>
      <c r="I343" s="15" t="str">
        <f t="shared" si="11"/>
        <v>The Commissioner &amp; Chief Constable are satisfied the spend represents VFM in accordance with the requirements of Category A</v>
      </c>
    </row>
    <row r="344" spans="1:9" x14ac:dyDescent="0.2">
      <c r="A344" s="10" t="s">
        <v>8</v>
      </c>
      <c r="B344" s="11" t="s">
        <v>9</v>
      </c>
      <c r="C344" s="75" t="s">
        <v>682</v>
      </c>
      <c r="D344" s="73">
        <v>7172563</v>
      </c>
      <c r="E344" s="72">
        <v>45419</v>
      </c>
      <c r="F344" s="12">
        <v>767.64</v>
      </c>
      <c r="G344" s="13" t="s">
        <v>131</v>
      </c>
      <c r="H344" s="14" t="str">
        <f t="shared" si="10"/>
        <v>A</v>
      </c>
      <c r="I344" s="15" t="str">
        <f t="shared" si="11"/>
        <v>The Commissioner &amp; Chief Constable are satisfied the spend represents VFM in accordance with the requirements of Category A</v>
      </c>
    </row>
    <row r="345" spans="1:9" x14ac:dyDescent="0.2">
      <c r="A345" s="10" t="s">
        <v>8</v>
      </c>
      <c r="B345" s="11" t="s">
        <v>9</v>
      </c>
      <c r="C345" s="75" t="s">
        <v>507</v>
      </c>
      <c r="D345" s="73">
        <v>7173220</v>
      </c>
      <c r="E345" s="72">
        <v>45441</v>
      </c>
      <c r="F345" s="12">
        <v>760</v>
      </c>
      <c r="G345" s="13" t="s">
        <v>38</v>
      </c>
      <c r="H345" s="14" t="str">
        <f t="shared" si="10"/>
        <v>A</v>
      </c>
      <c r="I345" s="15" t="str">
        <f t="shared" si="11"/>
        <v>The Commissioner &amp; Chief Constable are satisfied the spend represents VFM in accordance with the requirements of Category A</v>
      </c>
    </row>
    <row r="346" spans="1:9" x14ac:dyDescent="0.2">
      <c r="A346" s="10" t="s">
        <v>8</v>
      </c>
      <c r="B346" s="11" t="s">
        <v>9</v>
      </c>
      <c r="C346" s="75" t="s">
        <v>418</v>
      </c>
      <c r="D346" s="73">
        <v>7172127</v>
      </c>
      <c r="E346" s="72">
        <v>45443</v>
      </c>
      <c r="F346" s="12">
        <v>758.2</v>
      </c>
      <c r="G346" s="13" t="s">
        <v>155</v>
      </c>
      <c r="H346" s="14" t="str">
        <f t="shared" si="10"/>
        <v>A</v>
      </c>
      <c r="I346" s="15" t="str">
        <f t="shared" si="11"/>
        <v>The Commissioner &amp; Chief Constable are satisfied the spend represents VFM in accordance with the requirements of Category A</v>
      </c>
    </row>
    <row r="347" spans="1:9" x14ac:dyDescent="0.2">
      <c r="A347" s="10" t="s">
        <v>8</v>
      </c>
      <c r="B347" s="11" t="s">
        <v>9</v>
      </c>
      <c r="C347" s="75" t="s">
        <v>124</v>
      </c>
      <c r="D347" s="73">
        <v>7173144</v>
      </c>
      <c r="E347" s="72">
        <v>45435</v>
      </c>
      <c r="F347" s="12">
        <v>755.25</v>
      </c>
      <c r="G347" s="13" t="s">
        <v>112</v>
      </c>
      <c r="H347" s="14" t="str">
        <f t="shared" si="10"/>
        <v>A</v>
      </c>
      <c r="I347" s="15" t="str">
        <f t="shared" si="11"/>
        <v>The Commissioner &amp; Chief Constable are satisfied the spend represents VFM in accordance with the requirements of Category A</v>
      </c>
    </row>
    <row r="348" spans="1:9" x14ac:dyDescent="0.2">
      <c r="A348" s="10" t="s">
        <v>8</v>
      </c>
      <c r="B348" s="11" t="s">
        <v>9</v>
      </c>
      <c r="C348" s="75" t="s">
        <v>321</v>
      </c>
      <c r="D348" s="73">
        <v>7173184</v>
      </c>
      <c r="E348" s="72">
        <v>45436</v>
      </c>
      <c r="F348" s="12">
        <v>745</v>
      </c>
      <c r="G348" s="13" t="s">
        <v>15</v>
      </c>
      <c r="H348" s="14" t="str">
        <f t="shared" si="10"/>
        <v>A</v>
      </c>
      <c r="I348" s="15" t="str">
        <f t="shared" si="11"/>
        <v>The Commissioner &amp; Chief Constable are satisfied the spend represents VFM in accordance with the requirements of Category A</v>
      </c>
    </row>
    <row r="349" spans="1:9" x14ac:dyDescent="0.2">
      <c r="A349" s="10" t="s">
        <v>8</v>
      </c>
      <c r="B349" s="11" t="s">
        <v>9</v>
      </c>
      <c r="C349" s="75" t="s">
        <v>469</v>
      </c>
      <c r="D349" s="73">
        <v>7172550</v>
      </c>
      <c r="E349" s="72">
        <v>45421</v>
      </c>
      <c r="F349" s="12">
        <v>744</v>
      </c>
      <c r="G349" s="13" t="s">
        <v>94</v>
      </c>
      <c r="H349" s="14" t="str">
        <f t="shared" si="10"/>
        <v>A</v>
      </c>
      <c r="I349" s="15" t="str">
        <f t="shared" si="11"/>
        <v>The Commissioner &amp; Chief Constable are satisfied the spend represents VFM in accordance with the requirements of Category A</v>
      </c>
    </row>
    <row r="350" spans="1:9" x14ac:dyDescent="0.2">
      <c r="A350" s="10" t="s">
        <v>8</v>
      </c>
      <c r="B350" s="11" t="s">
        <v>9</v>
      </c>
      <c r="C350" s="75" t="s">
        <v>283</v>
      </c>
      <c r="D350" s="73">
        <v>7172464</v>
      </c>
      <c r="E350" s="72">
        <v>45419</v>
      </c>
      <c r="F350" s="12">
        <v>740.22</v>
      </c>
      <c r="G350" s="13" t="s">
        <v>40</v>
      </c>
      <c r="H350" s="14" t="str">
        <f t="shared" si="10"/>
        <v>A</v>
      </c>
      <c r="I350" s="15" t="str">
        <f t="shared" si="11"/>
        <v>The Commissioner &amp; Chief Constable are satisfied the spend represents VFM in accordance with the requirements of Category A</v>
      </c>
    </row>
    <row r="351" spans="1:9" x14ac:dyDescent="0.2">
      <c r="A351" s="10" t="s">
        <v>8</v>
      </c>
      <c r="B351" s="11" t="s">
        <v>9</v>
      </c>
      <c r="C351" s="75" t="s">
        <v>681</v>
      </c>
      <c r="D351" s="73">
        <v>7173336</v>
      </c>
      <c r="E351" s="72">
        <v>45442</v>
      </c>
      <c r="F351" s="12">
        <v>734.9</v>
      </c>
      <c r="G351" s="13" t="s">
        <v>131</v>
      </c>
      <c r="H351" s="14" t="str">
        <f t="shared" si="10"/>
        <v>A</v>
      </c>
      <c r="I351" s="15" t="str">
        <f t="shared" si="11"/>
        <v>The Commissioner &amp; Chief Constable are satisfied the spend represents VFM in accordance with the requirements of Category A</v>
      </c>
    </row>
    <row r="352" spans="1:9" x14ac:dyDescent="0.2">
      <c r="A352" s="10" t="s">
        <v>8</v>
      </c>
      <c r="B352" s="11" t="s">
        <v>9</v>
      </c>
      <c r="C352" s="75" t="s">
        <v>124</v>
      </c>
      <c r="D352" s="73">
        <v>7172621</v>
      </c>
      <c r="E352" s="72">
        <v>45421</v>
      </c>
      <c r="F352" s="12">
        <v>721.37</v>
      </c>
      <c r="G352" s="13" t="s">
        <v>91</v>
      </c>
      <c r="H352" s="14" t="str">
        <f t="shared" si="10"/>
        <v>A</v>
      </c>
      <c r="I352" s="15" t="str">
        <f t="shared" si="11"/>
        <v>The Commissioner &amp; Chief Constable are satisfied the spend represents VFM in accordance with the requirements of Category A</v>
      </c>
    </row>
    <row r="353" spans="1:9" x14ac:dyDescent="0.2">
      <c r="A353" s="10" t="s">
        <v>8</v>
      </c>
      <c r="B353" s="11" t="s">
        <v>9</v>
      </c>
      <c r="C353" s="75" t="s">
        <v>124</v>
      </c>
      <c r="D353" s="73">
        <v>7173012</v>
      </c>
      <c r="E353" s="72">
        <v>45432</v>
      </c>
      <c r="F353" s="12">
        <v>715.63</v>
      </c>
      <c r="G353" s="13" t="s">
        <v>376</v>
      </c>
      <c r="H353" s="14" t="str">
        <f t="shared" si="10"/>
        <v>A</v>
      </c>
      <c r="I353" s="15" t="str">
        <f t="shared" si="11"/>
        <v>The Commissioner &amp; Chief Constable are satisfied the spend represents VFM in accordance with the requirements of Category A</v>
      </c>
    </row>
    <row r="354" spans="1:9" x14ac:dyDescent="0.2">
      <c r="A354" s="10" t="s">
        <v>8</v>
      </c>
      <c r="B354" s="11" t="s">
        <v>9</v>
      </c>
      <c r="C354" s="75" t="s">
        <v>680</v>
      </c>
      <c r="D354" s="73">
        <v>7172663</v>
      </c>
      <c r="E354" s="72">
        <v>45428</v>
      </c>
      <c r="F354" s="12">
        <v>714.79</v>
      </c>
      <c r="G354" s="13" t="s">
        <v>38</v>
      </c>
      <c r="H354" s="14" t="str">
        <f t="shared" si="10"/>
        <v>A</v>
      </c>
      <c r="I354" s="15" t="str">
        <f t="shared" si="11"/>
        <v>The Commissioner &amp; Chief Constable are satisfied the spend represents VFM in accordance with the requirements of Category A</v>
      </c>
    </row>
    <row r="355" spans="1:9" x14ac:dyDescent="0.2">
      <c r="A355" s="10" t="s">
        <v>8</v>
      </c>
      <c r="B355" s="11" t="s">
        <v>9</v>
      </c>
      <c r="C355" s="75" t="s">
        <v>608</v>
      </c>
      <c r="D355" s="73">
        <v>7172553</v>
      </c>
      <c r="E355" s="72">
        <v>45419</v>
      </c>
      <c r="F355" s="12">
        <v>700</v>
      </c>
      <c r="G355" s="13" t="s">
        <v>138</v>
      </c>
      <c r="H355" s="14" t="str">
        <f t="shared" si="10"/>
        <v>A</v>
      </c>
      <c r="I355" s="15" t="str">
        <f t="shared" si="11"/>
        <v>The Commissioner &amp; Chief Constable are satisfied the spend represents VFM in accordance with the requirements of Category A</v>
      </c>
    </row>
    <row r="356" spans="1:9" x14ac:dyDescent="0.2">
      <c r="A356" s="10" t="s">
        <v>8</v>
      </c>
      <c r="B356" s="11" t="s">
        <v>9</v>
      </c>
      <c r="C356" s="75" t="s">
        <v>554</v>
      </c>
      <c r="D356" s="73">
        <v>7172448</v>
      </c>
      <c r="E356" s="72">
        <v>45419</v>
      </c>
      <c r="F356" s="12">
        <v>695.55</v>
      </c>
      <c r="G356" s="13" t="s">
        <v>188</v>
      </c>
      <c r="H356" s="14" t="str">
        <f t="shared" si="10"/>
        <v>A</v>
      </c>
      <c r="I356" s="15" t="str">
        <f t="shared" si="11"/>
        <v>The Commissioner &amp; Chief Constable are satisfied the spend represents VFM in accordance with the requirements of Category A</v>
      </c>
    </row>
    <row r="357" spans="1:9" x14ac:dyDescent="0.2">
      <c r="A357" s="10" t="s">
        <v>8</v>
      </c>
      <c r="B357" s="11" t="s">
        <v>9</v>
      </c>
      <c r="C357" s="75" t="s">
        <v>211</v>
      </c>
      <c r="D357" s="73">
        <v>7172555</v>
      </c>
      <c r="E357" s="72">
        <v>45419</v>
      </c>
      <c r="F357" s="12">
        <v>691.26</v>
      </c>
      <c r="G357" s="13" t="s">
        <v>131</v>
      </c>
      <c r="H357" s="14" t="str">
        <f t="shared" si="10"/>
        <v>A</v>
      </c>
      <c r="I357" s="15" t="str">
        <f t="shared" si="11"/>
        <v>The Commissioner &amp; Chief Constable are satisfied the spend represents VFM in accordance with the requirements of Category A</v>
      </c>
    </row>
    <row r="358" spans="1:9" x14ac:dyDescent="0.2">
      <c r="A358" s="10" t="s">
        <v>8</v>
      </c>
      <c r="B358" s="11" t="s">
        <v>9</v>
      </c>
      <c r="C358" s="75" t="s">
        <v>181</v>
      </c>
      <c r="D358" s="73">
        <v>7172528</v>
      </c>
      <c r="E358" s="72">
        <v>45419</v>
      </c>
      <c r="F358" s="12">
        <v>689</v>
      </c>
      <c r="G358" s="13" t="s">
        <v>106</v>
      </c>
      <c r="H358" s="14" t="str">
        <f t="shared" si="10"/>
        <v>A</v>
      </c>
      <c r="I358" s="15" t="str">
        <f t="shared" si="11"/>
        <v>The Commissioner &amp; Chief Constable are satisfied the spend represents VFM in accordance with the requirements of Category A</v>
      </c>
    </row>
    <row r="359" spans="1:9" x14ac:dyDescent="0.2">
      <c r="A359" s="10" t="s">
        <v>8</v>
      </c>
      <c r="B359" s="11" t="s">
        <v>9</v>
      </c>
      <c r="C359" s="75" t="s">
        <v>679</v>
      </c>
      <c r="D359" s="73">
        <v>7173341</v>
      </c>
      <c r="E359" s="72">
        <v>45443</v>
      </c>
      <c r="F359" s="12">
        <v>685</v>
      </c>
      <c r="G359" s="13" t="s">
        <v>131</v>
      </c>
      <c r="H359" s="14" t="str">
        <f t="shared" si="10"/>
        <v>A</v>
      </c>
      <c r="I359" s="15" t="str">
        <f t="shared" si="11"/>
        <v>The Commissioner &amp; Chief Constable are satisfied the spend represents VFM in accordance with the requirements of Category A</v>
      </c>
    </row>
    <row r="360" spans="1:9" x14ac:dyDescent="0.2">
      <c r="A360" s="10" t="s">
        <v>8</v>
      </c>
      <c r="B360" s="11" t="s">
        <v>9</v>
      </c>
      <c r="C360" s="75" t="s">
        <v>328</v>
      </c>
      <c r="D360" s="73">
        <v>7172541</v>
      </c>
      <c r="E360" s="72">
        <v>45419</v>
      </c>
      <c r="F360" s="12">
        <v>675</v>
      </c>
      <c r="G360" s="13" t="s">
        <v>131</v>
      </c>
      <c r="H360" s="14" t="str">
        <f t="shared" si="10"/>
        <v>A</v>
      </c>
      <c r="I360" s="15" t="str">
        <f t="shared" si="11"/>
        <v>The Commissioner &amp; Chief Constable are satisfied the spend represents VFM in accordance with the requirements of Category A</v>
      </c>
    </row>
    <row r="361" spans="1:9" x14ac:dyDescent="0.2">
      <c r="A361" s="10" t="s">
        <v>8</v>
      </c>
      <c r="B361" s="11" t="s">
        <v>9</v>
      </c>
      <c r="C361" s="75" t="s">
        <v>334</v>
      </c>
      <c r="D361" s="73">
        <v>7172443</v>
      </c>
      <c r="E361" s="72">
        <v>45426</v>
      </c>
      <c r="F361" s="12">
        <v>675</v>
      </c>
      <c r="G361" s="13" t="s">
        <v>91</v>
      </c>
      <c r="H361" s="14" t="str">
        <f t="shared" si="10"/>
        <v>A</v>
      </c>
      <c r="I361" s="15" t="str">
        <f t="shared" si="11"/>
        <v>The Commissioner &amp; Chief Constable are satisfied the spend represents VFM in accordance with the requirements of Category A</v>
      </c>
    </row>
    <row r="362" spans="1:9" x14ac:dyDescent="0.2">
      <c r="A362" s="10" t="s">
        <v>8</v>
      </c>
      <c r="B362" s="11" t="s">
        <v>9</v>
      </c>
      <c r="C362" s="75" t="s">
        <v>219</v>
      </c>
      <c r="D362" s="73">
        <v>7172272</v>
      </c>
      <c r="E362" s="72">
        <v>45414</v>
      </c>
      <c r="F362" s="12">
        <v>665.9</v>
      </c>
      <c r="G362" s="13" t="s">
        <v>220</v>
      </c>
      <c r="H362" s="14" t="str">
        <f t="shared" si="10"/>
        <v>A</v>
      </c>
      <c r="I362" s="15" t="str">
        <f t="shared" si="11"/>
        <v>The Commissioner &amp; Chief Constable are satisfied the spend represents VFM in accordance with the requirements of Category A</v>
      </c>
    </row>
    <row r="363" spans="1:9" x14ac:dyDescent="0.2">
      <c r="A363" s="10" t="s">
        <v>8</v>
      </c>
      <c r="B363" s="11" t="s">
        <v>9</v>
      </c>
      <c r="C363" s="75" t="s">
        <v>172</v>
      </c>
      <c r="D363" s="73">
        <v>7173228</v>
      </c>
      <c r="E363" s="72">
        <v>45440</v>
      </c>
      <c r="F363" s="12">
        <v>650</v>
      </c>
      <c r="G363" s="13" t="s">
        <v>39</v>
      </c>
      <c r="H363" s="14" t="str">
        <f t="shared" si="10"/>
        <v>A</v>
      </c>
      <c r="I363" s="15" t="str">
        <f t="shared" si="11"/>
        <v>The Commissioner &amp; Chief Constable are satisfied the spend represents VFM in accordance with the requirements of Category A</v>
      </c>
    </row>
    <row r="364" spans="1:9" x14ac:dyDescent="0.2">
      <c r="A364" s="10" t="s">
        <v>8</v>
      </c>
      <c r="B364" s="11" t="s">
        <v>9</v>
      </c>
      <c r="C364" s="75" t="s">
        <v>678</v>
      </c>
      <c r="D364" s="73">
        <v>7172566</v>
      </c>
      <c r="E364" s="72">
        <v>45422</v>
      </c>
      <c r="F364" s="12">
        <v>649.79999999999995</v>
      </c>
      <c r="G364" s="13" t="s">
        <v>84</v>
      </c>
      <c r="H364" s="14" t="str">
        <f t="shared" si="10"/>
        <v>A</v>
      </c>
      <c r="I364" s="15" t="str">
        <f t="shared" si="11"/>
        <v>The Commissioner &amp; Chief Constable are satisfied the spend represents VFM in accordance with the requirements of Category A</v>
      </c>
    </row>
    <row r="365" spans="1:9" x14ac:dyDescent="0.2">
      <c r="A365" s="10" t="s">
        <v>8</v>
      </c>
      <c r="B365" s="11" t="s">
        <v>9</v>
      </c>
      <c r="C365" s="75" t="s">
        <v>279</v>
      </c>
      <c r="D365" s="73">
        <v>7173067</v>
      </c>
      <c r="E365" s="72">
        <v>45433</v>
      </c>
      <c r="F365" s="12">
        <v>641.16999999999996</v>
      </c>
      <c r="G365" s="13" t="s">
        <v>131</v>
      </c>
      <c r="H365" s="14" t="str">
        <f t="shared" si="10"/>
        <v>A</v>
      </c>
      <c r="I365" s="15" t="str">
        <f t="shared" si="11"/>
        <v>The Commissioner &amp; Chief Constable are satisfied the spend represents VFM in accordance with the requirements of Category A</v>
      </c>
    </row>
    <row r="366" spans="1:9" x14ac:dyDescent="0.2">
      <c r="A366" s="10" t="s">
        <v>8</v>
      </c>
      <c r="B366" s="11" t="s">
        <v>9</v>
      </c>
      <c r="C366" s="75" t="s">
        <v>294</v>
      </c>
      <c r="D366" s="73">
        <v>7172590</v>
      </c>
      <c r="E366" s="72">
        <v>45421</v>
      </c>
      <c r="F366" s="12">
        <v>635.20000000000005</v>
      </c>
      <c r="G366" s="13" t="s">
        <v>155</v>
      </c>
      <c r="H366" s="14" t="str">
        <f t="shared" si="10"/>
        <v>A</v>
      </c>
      <c r="I366" s="15" t="str">
        <f t="shared" si="11"/>
        <v>The Commissioner &amp; Chief Constable are satisfied the spend represents VFM in accordance with the requirements of Category A</v>
      </c>
    </row>
    <row r="367" spans="1:9" x14ac:dyDescent="0.2">
      <c r="A367" s="10" t="s">
        <v>8</v>
      </c>
      <c r="B367" s="11" t="s">
        <v>9</v>
      </c>
      <c r="C367" s="75" t="s">
        <v>677</v>
      </c>
      <c r="D367" s="73">
        <v>7172856</v>
      </c>
      <c r="E367" s="72">
        <v>45426</v>
      </c>
      <c r="F367" s="12">
        <v>631.5</v>
      </c>
      <c r="G367" s="13" t="s">
        <v>131</v>
      </c>
      <c r="H367" s="14" t="str">
        <f t="shared" si="10"/>
        <v>A</v>
      </c>
      <c r="I367" s="15" t="str">
        <f t="shared" si="11"/>
        <v>The Commissioner &amp; Chief Constable are satisfied the spend represents VFM in accordance with the requirements of Category A</v>
      </c>
    </row>
    <row r="368" spans="1:9" x14ac:dyDescent="0.2">
      <c r="A368" s="10" t="s">
        <v>8</v>
      </c>
      <c r="B368" s="11" t="s">
        <v>9</v>
      </c>
      <c r="C368" s="75" t="s">
        <v>355</v>
      </c>
      <c r="D368" s="73">
        <v>7172345</v>
      </c>
      <c r="E368" s="72">
        <v>45414</v>
      </c>
      <c r="F368" s="12">
        <v>630</v>
      </c>
      <c r="G368" s="13" t="s">
        <v>94</v>
      </c>
      <c r="H368" s="14" t="str">
        <f t="shared" si="10"/>
        <v>A</v>
      </c>
      <c r="I368" s="15" t="str">
        <f t="shared" si="11"/>
        <v>The Commissioner &amp; Chief Constable are satisfied the spend represents VFM in accordance with the requirements of Category A</v>
      </c>
    </row>
    <row r="369" spans="1:13" x14ac:dyDescent="0.2">
      <c r="A369" s="10" t="s">
        <v>8</v>
      </c>
      <c r="B369" s="11" t="s">
        <v>9</v>
      </c>
      <c r="C369" s="75" t="s">
        <v>676</v>
      </c>
      <c r="D369" s="73">
        <v>7173049</v>
      </c>
      <c r="E369" s="72">
        <v>45433</v>
      </c>
      <c r="F369" s="12">
        <v>614.72</v>
      </c>
      <c r="G369" s="13" t="s">
        <v>22</v>
      </c>
      <c r="H369" s="14" t="str">
        <f t="shared" si="10"/>
        <v>A</v>
      </c>
      <c r="I369" s="15" t="str">
        <f t="shared" si="11"/>
        <v>The Commissioner &amp; Chief Constable are satisfied the spend represents VFM in accordance with the requirements of Category A</v>
      </c>
    </row>
    <row r="370" spans="1:13" x14ac:dyDescent="0.2">
      <c r="A370" s="10" t="s">
        <v>8</v>
      </c>
      <c r="B370" s="11" t="s">
        <v>9</v>
      </c>
      <c r="C370" s="75" t="s">
        <v>193</v>
      </c>
      <c r="D370" s="73">
        <v>7173182</v>
      </c>
      <c r="E370" s="72">
        <v>45436</v>
      </c>
      <c r="F370" s="12">
        <v>600</v>
      </c>
      <c r="G370" s="13" t="s">
        <v>22</v>
      </c>
      <c r="H370" s="14" t="str">
        <f t="shared" si="10"/>
        <v>A</v>
      </c>
      <c r="I370" s="15" t="str">
        <f t="shared" si="11"/>
        <v>The Commissioner &amp; Chief Constable are satisfied the spend represents VFM in accordance with the requirements of Category A</v>
      </c>
    </row>
    <row r="371" spans="1:13" x14ac:dyDescent="0.2">
      <c r="A371" s="10" t="s">
        <v>8</v>
      </c>
      <c r="B371" s="11" t="s">
        <v>9</v>
      </c>
      <c r="C371" s="75" t="s">
        <v>193</v>
      </c>
      <c r="D371" s="73">
        <v>7172411</v>
      </c>
      <c r="E371" s="72">
        <v>45415</v>
      </c>
      <c r="F371" s="12">
        <v>600</v>
      </c>
      <c r="G371" s="13" t="s">
        <v>22</v>
      </c>
      <c r="H371" s="14" t="str">
        <f t="shared" si="10"/>
        <v>A</v>
      </c>
      <c r="I371" s="15" t="str">
        <f t="shared" si="11"/>
        <v>The Commissioner &amp; Chief Constable are satisfied the spend represents VFM in accordance with the requirements of Category A</v>
      </c>
    </row>
    <row r="372" spans="1:13" x14ac:dyDescent="0.2">
      <c r="A372" s="10" t="s">
        <v>8</v>
      </c>
      <c r="B372" s="11" t="s">
        <v>9</v>
      </c>
      <c r="C372" s="75" t="s">
        <v>309</v>
      </c>
      <c r="D372" s="73">
        <v>7173152</v>
      </c>
      <c r="E372" s="72">
        <v>45441</v>
      </c>
      <c r="F372" s="12">
        <v>600</v>
      </c>
      <c r="G372" s="13" t="s">
        <v>38</v>
      </c>
      <c r="H372" s="14" t="str">
        <f t="shared" si="10"/>
        <v>A</v>
      </c>
      <c r="I372" s="15" t="str">
        <f t="shared" si="11"/>
        <v>The Commissioner &amp; Chief Constable are satisfied the spend represents VFM in accordance with the requirements of Category A</v>
      </c>
    </row>
    <row r="373" spans="1:13" x14ac:dyDescent="0.2">
      <c r="A373" s="10" t="s">
        <v>8</v>
      </c>
      <c r="B373" s="11" t="s">
        <v>9</v>
      </c>
      <c r="C373" s="75" t="s">
        <v>113</v>
      </c>
      <c r="D373" s="73">
        <v>7172886</v>
      </c>
      <c r="E373" s="72">
        <v>45427</v>
      </c>
      <c r="F373" s="12">
        <v>588.23</v>
      </c>
      <c r="G373" s="13" t="s">
        <v>114</v>
      </c>
      <c r="H373" s="14" t="str">
        <f t="shared" si="10"/>
        <v>A</v>
      </c>
      <c r="I373" s="15" t="str">
        <f t="shared" si="11"/>
        <v>The Commissioner &amp; Chief Constable are satisfied the spend represents VFM in accordance with the requirements of Category A</v>
      </c>
    </row>
    <row r="374" spans="1:13" x14ac:dyDescent="0.2">
      <c r="A374" s="10" t="s">
        <v>8</v>
      </c>
      <c r="B374" s="11" t="s">
        <v>9</v>
      </c>
      <c r="C374" s="75" t="s">
        <v>675</v>
      </c>
      <c r="D374" s="73">
        <v>7172577</v>
      </c>
      <c r="E374" s="72">
        <v>45421</v>
      </c>
      <c r="F374" s="12">
        <v>583.32000000000005</v>
      </c>
      <c r="G374" s="13" t="s">
        <v>674</v>
      </c>
      <c r="H374" s="14" t="str">
        <f t="shared" si="10"/>
        <v>A</v>
      </c>
      <c r="I374" s="15" t="str">
        <f t="shared" si="11"/>
        <v>The Commissioner &amp; Chief Constable are satisfied the spend represents VFM in accordance with the requirements of Category A</v>
      </c>
    </row>
    <row r="375" spans="1:13" x14ac:dyDescent="0.2">
      <c r="A375" s="10" t="s">
        <v>8</v>
      </c>
      <c r="B375" s="11" t="s">
        <v>9</v>
      </c>
      <c r="C375" s="75" t="s">
        <v>433</v>
      </c>
      <c r="D375" s="73">
        <v>7172990</v>
      </c>
      <c r="E375" s="72">
        <v>45433</v>
      </c>
      <c r="F375" s="12">
        <v>7.5</v>
      </c>
      <c r="G375" s="13" t="s">
        <v>94</v>
      </c>
      <c r="H375" s="14" t="str">
        <f t="shared" si="10"/>
        <v>A</v>
      </c>
      <c r="I375" s="15" t="str">
        <f t="shared" si="11"/>
        <v>The Commissioner &amp; Chief Constable are satisfied the spend represents VFM in accordance with the requirements of Category A</v>
      </c>
    </row>
    <row r="376" spans="1:13" x14ac:dyDescent="0.2">
      <c r="A376" s="10" t="s">
        <v>8</v>
      </c>
      <c r="B376" s="11" t="s">
        <v>9</v>
      </c>
      <c r="C376" s="75" t="s">
        <v>433</v>
      </c>
      <c r="D376" s="73">
        <v>7172990</v>
      </c>
      <c r="E376" s="72">
        <v>45433</v>
      </c>
      <c r="F376" s="12">
        <v>556.14</v>
      </c>
      <c r="G376" s="13" t="s">
        <v>673</v>
      </c>
      <c r="H376" s="14" t="str">
        <f t="shared" si="10"/>
        <v>A</v>
      </c>
      <c r="I376" s="15" t="str">
        <f t="shared" si="11"/>
        <v>The Commissioner &amp; Chief Constable are satisfied the spend represents VFM in accordance with the requirements of Category A</v>
      </c>
    </row>
    <row r="377" spans="1:13" x14ac:dyDescent="0.2">
      <c r="A377" s="10" t="s">
        <v>8</v>
      </c>
      <c r="B377" s="11" t="s">
        <v>9</v>
      </c>
      <c r="C377" s="75" t="s">
        <v>305</v>
      </c>
      <c r="D377" s="73">
        <v>7172407</v>
      </c>
      <c r="E377" s="72">
        <v>45419</v>
      </c>
      <c r="F377" s="12">
        <v>559.43999999999994</v>
      </c>
      <c r="G377" s="13" t="s">
        <v>306</v>
      </c>
      <c r="H377" s="14" t="str">
        <f t="shared" si="10"/>
        <v>A</v>
      </c>
      <c r="I377" s="15" t="str">
        <f t="shared" si="11"/>
        <v>The Commissioner &amp; Chief Constable are satisfied the spend represents VFM in accordance with the requirements of Category A</v>
      </c>
    </row>
    <row r="378" spans="1:13" x14ac:dyDescent="0.2">
      <c r="A378" s="10" t="s">
        <v>8</v>
      </c>
      <c r="B378" s="11" t="s">
        <v>9</v>
      </c>
      <c r="C378" s="75" t="s">
        <v>502</v>
      </c>
      <c r="D378" s="73">
        <v>7172623</v>
      </c>
      <c r="E378" s="72">
        <v>45421</v>
      </c>
      <c r="F378" s="12">
        <v>558.79999999999995</v>
      </c>
      <c r="G378" s="13" t="s">
        <v>38</v>
      </c>
      <c r="H378" s="14" t="str">
        <f t="shared" si="10"/>
        <v>A</v>
      </c>
      <c r="I378" s="15" t="str">
        <f t="shared" si="11"/>
        <v>The Commissioner &amp; Chief Constable are satisfied the spend represents VFM in accordance with the requirements of Category A</v>
      </c>
    </row>
    <row r="379" spans="1:13" x14ac:dyDescent="0.2">
      <c r="A379" s="10" t="s">
        <v>8</v>
      </c>
      <c r="B379" s="11" t="s">
        <v>9</v>
      </c>
      <c r="C379" s="75" t="s">
        <v>537</v>
      </c>
      <c r="D379" s="73">
        <v>7173118</v>
      </c>
      <c r="E379" s="72">
        <v>45435</v>
      </c>
      <c r="F379" s="12">
        <v>554.29</v>
      </c>
      <c r="G379" s="13" t="s">
        <v>131</v>
      </c>
      <c r="H379" s="14" t="str">
        <f t="shared" si="10"/>
        <v>A</v>
      </c>
      <c r="I379" s="15" t="str">
        <f t="shared" si="11"/>
        <v>The Commissioner &amp; Chief Constable are satisfied the spend represents VFM in accordance with the requirements of Category A</v>
      </c>
    </row>
    <row r="380" spans="1:13" x14ac:dyDescent="0.2">
      <c r="A380" s="10" t="s">
        <v>8</v>
      </c>
      <c r="B380" s="11" t="s">
        <v>9</v>
      </c>
      <c r="C380" s="75" t="s">
        <v>124</v>
      </c>
      <c r="D380" s="73">
        <v>7173145</v>
      </c>
      <c r="E380" s="72">
        <v>45435</v>
      </c>
      <c r="F380" s="12">
        <v>546.55999999999995</v>
      </c>
      <c r="G380" s="13" t="s">
        <v>112</v>
      </c>
      <c r="H380" s="14" t="str">
        <f t="shared" si="10"/>
        <v>A</v>
      </c>
      <c r="I380" s="15" t="str">
        <f t="shared" si="11"/>
        <v>The Commissioner &amp; Chief Constable are satisfied the spend represents VFM in accordance with the requirements of Category A</v>
      </c>
    </row>
    <row r="381" spans="1:13" s="20" customFormat="1" x14ac:dyDescent="0.2">
      <c r="A381" s="10" t="s">
        <v>8</v>
      </c>
      <c r="B381" s="11" t="s">
        <v>9</v>
      </c>
      <c r="C381" s="75" t="s">
        <v>232</v>
      </c>
      <c r="D381" s="73">
        <v>7172058</v>
      </c>
      <c r="E381" s="72">
        <v>45429</v>
      </c>
      <c r="F381" s="12">
        <v>544.04</v>
      </c>
      <c r="G381" s="13" t="s">
        <v>94</v>
      </c>
      <c r="H381" s="14" t="str">
        <f t="shared" si="10"/>
        <v>A</v>
      </c>
      <c r="I381" s="15" t="str">
        <f t="shared" si="11"/>
        <v>The Commissioner &amp; Chief Constable are satisfied the spend represents VFM in accordance with the requirements of Category A</v>
      </c>
      <c r="L381" s="17"/>
      <c r="M381" s="17"/>
    </row>
    <row r="382" spans="1:13" s="20" customFormat="1" x14ac:dyDescent="0.2">
      <c r="A382" s="10" t="s">
        <v>8</v>
      </c>
      <c r="B382" s="11" t="s">
        <v>9</v>
      </c>
      <c r="C382" s="75" t="s">
        <v>234</v>
      </c>
      <c r="D382" s="73">
        <v>7172605</v>
      </c>
      <c r="E382" s="72">
        <v>45433</v>
      </c>
      <c r="F382" s="12">
        <v>542</v>
      </c>
      <c r="G382" s="13" t="s">
        <v>42</v>
      </c>
      <c r="H382" s="14" t="str">
        <f t="shared" si="10"/>
        <v>A</v>
      </c>
      <c r="I382" s="15" t="str">
        <f t="shared" si="11"/>
        <v>The Commissioner &amp; Chief Constable are satisfied the spend represents VFM in accordance with the requirements of Category A</v>
      </c>
      <c r="L382" s="17"/>
      <c r="M382" s="17"/>
    </row>
    <row r="383" spans="1:13" s="20" customFormat="1" x14ac:dyDescent="0.2">
      <c r="A383" s="10" t="s">
        <v>8</v>
      </c>
      <c r="B383" s="11" t="s">
        <v>9</v>
      </c>
      <c r="C383" s="75" t="s">
        <v>292</v>
      </c>
      <c r="D383" s="73">
        <v>7172778</v>
      </c>
      <c r="E383" s="72">
        <v>45426</v>
      </c>
      <c r="F383" s="12">
        <v>541.66</v>
      </c>
      <c r="G383" s="13" t="s">
        <v>84</v>
      </c>
      <c r="H383" s="14" t="str">
        <f t="shared" si="10"/>
        <v>A</v>
      </c>
      <c r="I383" s="15" t="str">
        <f t="shared" si="11"/>
        <v>The Commissioner &amp; Chief Constable are satisfied the spend represents VFM in accordance with the requirements of Category A</v>
      </c>
      <c r="L383" s="17"/>
      <c r="M383" s="17"/>
    </row>
    <row r="384" spans="1:13" s="20" customFormat="1" x14ac:dyDescent="0.2">
      <c r="A384" s="10" t="s">
        <v>8</v>
      </c>
      <c r="B384" s="11" t="s">
        <v>9</v>
      </c>
      <c r="C384" s="75" t="s">
        <v>222</v>
      </c>
      <c r="D384" s="73">
        <v>7172794</v>
      </c>
      <c r="E384" s="72">
        <v>45426</v>
      </c>
      <c r="F384" s="12">
        <v>540</v>
      </c>
      <c r="G384" s="13" t="s">
        <v>22</v>
      </c>
      <c r="H384" s="14" t="str">
        <f t="shared" si="10"/>
        <v>A</v>
      </c>
      <c r="I384" s="15" t="str">
        <f t="shared" si="11"/>
        <v>The Commissioner &amp; Chief Constable are satisfied the spend represents VFM in accordance with the requirements of Category A</v>
      </c>
      <c r="L384" s="17"/>
      <c r="M384" s="17"/>
    </row>
    <row r="385" spans="1:13" s="20" customFormat="1" x14ac:dyDescent="0.2">
      <c r="A385" s="10" t="s">
        <v>8</v>
      </c>
      <c r="B385" s="11" t="s">
        <v>9</v>
      </c>
      <c r="C385" s="75" t="s">
        <v>294</v>
      </c>
      <c r="D385" s="73">
        <v>7172417</v>
      </c>
      <c r="E385" s="72">
        <v>45415</v>
      </c>
      <c r="F385" s="12">
        <v>539.6</v>
      </c>
      <c r="G385" s="13" t="s">
        <v>131</v>
      </c>
      <c r="H385" s="14" t="str">
        <f t="shared" si="10"/>
        <v>A</v>
      </c>
      <c r="I385" s="15" t="str">
        <f t="shared" si="11"/>
        <v>The Commissioner &amp; Chief Constable are satisfied the spend represents VFM in accordance with the requirements of Category A</v>
      </c>
      <c r="L385" s="17"/>
      <c r="M385" s="17"/>
    </row>
    <row r="386" spans="1:13" s="20" customFormat="1" x14ac:dyDescent="0.2">
      <c r="A386" s="10" t="s">
        <v>8</v>
      </c>
      <c r="B386" s="11" t="s">
        <v>9</v>
      </c>
      <c r="C386" s="75" t="s">
        <v>103</v>
      </c>
      <c r="D386" s="73">
        <v>7172676</v>
      </c>
      <c r="E386" s="72">
        <v>45421</v>
      </c>
      <c r="F386" s="12">
        <v>530</v>
      </c>
      <c r="G386" s="13" t="s">
        <v>91</v>
      </c>
      <c r="H386" s="14" t="str">
        <f t="shared" ref="H386:H449" si="12">IF(F386&gt;25000,"C",IF(F386&gt;1000,"B","A"))</f>
        <v>A</v>
      </c>
      <c r="I386" s="15" t="str">
        <f t="shared" ref="I386:I449" si="13">VLOOKUP(H386,$L$2:$M$4,2,FALSE)</f>
        <v>The Commissioner &amp; Chief Constable are satisfied the spend represents VFM in accordance with the requirements of Category A</v>
      </c>
      <c r="L386" s="17"/>
      <c r="M386" s="17"/>
    </row>
    <row r="387" spans="1:13" s="20" customFormat="1" x14ac:dyDescent="0.2">
      <c r="A387" s="10" t="s">
        <v>8</v>
      </c>
      <c r="B387" s="11" t="s">
        <v>9</v>
      </c>
      <c r="C387" s="75" t="s">
        <v>672</v>
      </c>
      <c r="D387" s="73">
        <v>7173386</v>
      </c>
      <c r="E387" s="72">
        <v>45443</v>
      </c>
      <c r="F387" s="12">
        <v>529.04999999999995</v>
      </c>
      <c r="G387" s="13" t="s">
        <v>148</v>
      </c>
      <c r="H387" s="14" t="str">
        <f t="shared" si="12"/>
        <v>A</v>
      </c>
      <c r="I387" s="15" t="str">
        <f t="shared" si="13"/>
        <v>The Commissioner &amp; Chief Constable are satisfied the spend represents VFM in accordance with the requirements of Category A</v>
      </c>
      <c r="L387" s="17"/>
      <c r="M387" s="17"/>
    </row>
    <row r="388" spans="1:13" s="20" customFormat="1" x14ac:dyDescent="0.2">
      <c r="A388" s="10" t="s">
        <v>8</v>
      </c>
      <c r="B388" s="11" t="s">
        <v>9</v>
      </c>
      <c r="C388" s="75" t="s">
        <v>487</v>
      </c>
      <c r="D388" s="73">
        <v>7172973</v>
      </c>
      <c r="E388" s="72">
        <v>45429</v>
      </c>
      <c r="F388" s="12">
        <v>523.84</v>
      </c>
      <c r="G388" s="13" t="s">
        <v>131</v>
      </c>
      <c r="H388" s="14" t="str">
        <f t="shared" si="12"/>
        <v>A</v>
      </c>
      <c r="I388" s="15" t="str">
        <f t="shared" si="13"/>
        <v>The Commissioner &amp; Chief Constable are satisfied the spend represents VFM in accordance with the requirements of Category A</v>
      </c>
      <c r="L388" s="17"/>
      <c r="M388" s="17"/>
    </row>
    <row r="389" spans="1:13" s="20" customFormat="1" x14ac:dyDescent="0.2">
      <c r="A389" s="10" t="s">
        <v>8</v>
      </c>
      <c r="B389" s="11" t="s">
        <v>9</v>
      </c>
      <c r="C389" s="75" t="s">
        <v>671</v>
      </c>
      <c r="D389" s="73">
        <v>7172704</v>
      </c>
      <c r="E389" s="72">
        <v>45421</v>
      </c>
      <c r="F389" s="12">
        <v>514</v>
      </c>
      <c r="G389" s="13" t="s">
        <v>131</v>
      </c>
      <c r="H389" s="14" t="str">
        <f t="shared" si="12"/>
        <v>A</v>
      </c>
      <c r="I389" s="15" t="str">
        <f t="shared" si="13"/>
        <v>The Commissioner &amp; Chief Constable are satisfied the spend represents VFM in accordance with the requirements of Category A</v>
      </c>
      <c r="L389" s="17"/>
      <c r="M389" s="17"/>
    </row>
    <row r="390" spans="1:13" s="20" customFormat="1" x14ac:dyDescent="0.2">
      <c r="A390" s="10" t="s">
        <v>8</v>
      </c>
      <c r="B390" s="11" t="s">
        <v>9</v>
      </c>
      <c r="C390" s="75" t="s">
        <v>202</v>
      </c>
      <c r="D390" s="73">
        <v>7172413</v>
      </c>
      <c r="E390" s="72">
        <v>45415</v>
      </c>
      <c r="F390" s="12">
        <v>502.05</v>
      </c>
      <c r="G390" s="13" t="s">
        <v>203</v>
      </c>
      <c r="H390" s="14" t="str">
        <f t="shared" si="12"/>
        <v>A</v>
      </c>
      <c r="I390" s="15" t="str">
        <f t="shared" si="13"/>
        <v>The Commissioner &amp; Chief Constable are satisfied the spend represents VFM in accordance with the requirements of Category A</v>
      </c>
      <c r="L390" s="17"/>
      <c r="M390" s="17"/>
    </row>
    <row r="391" spans="1:13" s="20" customFormat="1" x14ac:dyDescent="0.2">
      <c r="A391" s="10" t="s">
        <v>8</v>
      </c>
      <c r="B391" s="11" t="s">
        <v>9</v>
      </c>
      <c r="C391" s="75" t="s">
        <v>501</v>
      </c>
      <c r="D391" s="73">
        <v>7172750</v>
      </c>
      <c r="E391" s="72">
        <v>45425</v>
      </c>
      <c r="F391" s="12">
        <v>501.49</v>
      </c>
      <c r="G391" s="13" t="s">
        <v>94</v>
      </c>
      <c r="H391" s="14" t="str">
        <f t="shared" si="12"/>
        <v>A</v>
      </c>
      <c r="I391" s="15" t="str">
        <f t="shared" si="13"/>
        <v>The Commissioner &amp; Chief Constable are satisfied the spend represents VFM in accordance with the requirements of Category A</v>
      </c>
      <c r="L391" s="17"/>
      <c r="M391" s="17"/>
    </row>
    <row r="392" spans="1:13" s="20" customFormat="1" x14ac:dyDescent="0.2">
      <c r="A392" s="10" t="s">
        <v>8</v>
      </c>
      <c r="B392" s="11" t="s">
        <v>9</v>
      </c>
      <c r="C392" s="75" t="s">
        <v>670</v>
      </c>
      <c r="D392" s="73">
        <v>7172889</v>
      </c>
      <c r="E392" s="72">
        <v>45427</v>
      </c>
      <c r="F392" s="12">
        <v>500</v>
      </c>
      <c r="G392" s="13" t="s">
        <v>98</v>
      </c>
      <c r="H392" s="14" t="str">
        <f t="shared" si="12"/>
        <v>A</v>
      </c>
      <c r="I392" s="15" t="str">
        <f t="shared" si="13"/>
        <v>The Commissioner &amp; Chief Constable are satisfied the spend represents VFM in accordance with the requirements of Category A</v>
      </c>
      <c r="L392" s="17"/>
      <c r="M392" s="17"/>
    </row>
    <row r="393" spans="1:13" s="20" customFormat="1" x14ac:dyDescent="0.2">
      <c r="A393" s="10" t="s">
        <v>8</v>
      </c>
      <c r="B393" s="11" t="s">
        <v>9</v>
      </c>
      <c r="C393" s="75" t="s">
        <v>48</v>
      </c>
      <c r="D393" s="73">
        <v>3067778</v>
      </c>
      <c r="E393" s="72">
        <v>45426</v>
      </c>
      <c r="F393" s="12">
        <v>-600</v>
      </c>
      <c r="G393" s="13" t="s">
        <v>194</v>
      </c>
      <c r="H393" s="14" t="str">
        <f t="shared" si="12"/>
        <v>A</v>
      </c>
      <c r="I393" s="15" t="str">
        <f t="shared" si="13"/>
        <v>The Commissioner &amp; Chief Constable are satisfied the spend represents VFM in accordance with the requirements of Category A</v>
      </c>
      <c r="L393" s="17"/>
      <c r="M393" s="17"/>
    </row>
    <row r="394" spans="1:13" s="20" customFormat="1" x14ac:dyDescent="0.2">
      <c r="A394" s="10" t="s">
        <v>8</v>
      </c>
      <c r="B394" s="11" t="s">
        <v>9</v>
      </c>
      <c r="C394" s="75" t="s">
        <v>173</v>
      </c>
      <c r="D394" s="73">
        <v>7172280</v>
      </c>
      <c r="E394" s="72">
        <v>45414</v>
      </c>
      <c r="F394" s="12">
        <v>-9627.65</v>
      </c>
      <c r="G394" s="13" t="s">
        <v>80</v>
      </c>
      <c r="H394" s="14" t="str">
        <f t="shared" si="12"/>
        <v>A</v>
      </c>
      <c r="I394" s="15" t="str">
        <f t="shared" si="13"/>
        <v>The Commissioner &amp; Chief Constable are satisfied the spend represents VFM in accordance with the requirements of Category A</v>
      </c>
      <c r="L394" s="17"/>
      <c r="M394" s="17"/>
    </row>
    <row r="395" spans="1:13" s="20" customFormat="1" x14ac:dyDescent="0.2">
      <c r="A395" s="10" t="s">
        <v>8</v>
      </c>
      <c r="B395" s="11" t="s">
        <v>9</v>
      </c>
      <c r="C395" s="75"/>
      <c r="D395" s="73"/>
      <c r="E395" s="72"/>
      <c r="F395" s="12"/>
      <c r="G395" s="13"/>
      <c r="H395" s="14" t="str">
        <f t="shared" si="12"/>
        <v>A</v>
      </c>
      <c r="I395" s="15" t="str">
        <f t="shared" si="13"/>
        <v>The Commissioner &amp; Chief Constable are satisfied the spend represents VFM in accordance with the requirements of Category A</v>
      </c>
      <c r="L395" s="17"/>
      <c r="M395" s="17"/>
    </row>
    <row r="396" spans="1:13" s="20" customFormat="1" x14ac:dyDescent="0.2">
      <c r="A396" s="10" t="s">
        <v>8</v>
      </c>
      <c r="B396" s="11" t="s">
        <v>9</v>
      </c>
      <c r="C396" s="75"/>
      <c r="D396" s="73"/>
      <c r="E396" s="72"/>
      <c r="F396" s="12"/>
      <c r="G396" s="13"/>
      <c r="H396" s="14" t="str">
        <f t="shared" si="12"/>
        <v>A</v>
      </c>
      <c r="I396" s="15" t="str">
        <f t="shared" si="13"/>
        <v>The Commissioner &amp; Chief Constable are satisfied the spend represents VFM in accordance with the requirements of Category A</v>
      </c>
      <c r="L396" s="17"/>
      <c r="M396" s="17"/>
    </row>
    <row r="397" spans="1:13" x14ac:dyDescent="0.2">
      <c r="A397" s="10" t="s">
        <v>8</v>
      </c>
      <c r="B397" s="11" t="s">
        <v>9</v>
      </c>
      <c r="C397" s="75"/>
      <c r="D397" s="73"/>
      <c r="E397" s="72"/>
      <c r="F397" s="12"/>
      <c r="G397" s="13"/>
      <c r="H397" s="14" t="str">
        <f t="shared" si="12"/>
        <v>A</v>
      </c>
      <c r="I397" s="15" t="str">
        <f t="shared" si="13"/>
        <v>The Commissioner &amp; Chief Constable are satisfied the spend represents VFM in accordance with the requirements of Category A</v>
      </c>
    </row>
    <row r="398" spans="1:13" x14ac:dyDescent="0.2">
      <c r="A398" s="10" t="s">
        <v>8</v>
      </c>
      <c r="B398" s="11" t="s">
        <v>9</v>
      </c>
      <c r="C398" s="75"/>
      <c r="D398" s="73"/>
      <c r="E398" s="72"/>
      <c r="F398" s="12"/>
      <c r="G398" s="13"/>
      <c r="H398" s="14" t="str">
        <f t="shared" si="12"/>
        <v>A</v>
      </c>
      <c r="I398" s="15" t="str">
        <f t="shared" si="13"/>
        <v>The Commissioner &amp; Chief Constable are satisfied the spend represents VFM in accordance with the requirements of Category A</v>
      </c>
    </row>
    <row r="399" spans="1:13" x14ac:dyDescent="0.2">
      <c r="A399" s="10" t="s">
        <v>8</v>
      </c>
      <c r="B399" s="11" t="s">
        <v>9</v>
      </c>
      <c r="C399" s="75"/>
      <c r="D399" s="73"/>
      <c r="E399" s="72"/>
      <c r="F399" s="12"/>
      <c r="G399" s="13"/>
      <c r="H399" s="14" t="str">
        <f t="shared" si="12"/>
        <v>A</v>
      </c>
      <c r="I399" s="15" t="str">
        <f t="shared" si="13"/>
        <v>The Commissioner &amp; Chief Constable are satisfied the spend represents VFM in accordance with the requirements of Category A</v>
      </c>
    </row>
    <row r="400" spans="1:13" x14ac:dyDescent="0.2">
      <c r="A400" s="10" t="s">
        <v>8</v>
      </c>
      <c r="B400" s="11" t="s">
        <v>9</v>
      </c>
      <c r="C400" s="75"/>
      <c r="D400" s="73"/>
      <c r="E400" s="72"/>
      <c r="F400" s="12"/>
      <c r="G400" s="13"/>
      <c r="H400" s="14" t="str">
        <f t="shared" si="12"/>
        <v>A</v>
      </c>
      <c r="I400" s="15" t="str">
        <f t="shared" si="13"/>
        <v>The Commissioner &amp; Chief Constable are satisfied the spend represents VFM in accordance with the requirements of Category A</v>
      </c>
    </row>
    <row r="401" spans="1:13" x14ac:dyDescent="0.2">
      <c r="A401" s="10" t="s">
        <v>8</v>
      </c>
      <c r="B401" s="11" t="s">
        <v>9</v>
      </c>
      <c r="C401" s="75"/>
      <c r="D401" s="73"/>
      <c r="E401" s="72"/>
      <c r="F401" s="12"/>
      <c r="G401" s="13"/>
      <c r="H401" s="14" t="str">
        <f t="shared" si="12"/>
        <v>A</v>
      </c>
      <c r="I401" s="15" t="str">
        <f t="shared" si="13"/>
        <v>The Commissioner &amp; Chief Constable are satisfied the spend represents VFM in accordance with the requirements of Category A</v>
      </c>
    </row>
    <row r="402" spans="1:13" x14ac:dyDescent="0.2">
      <c r="A402" s="10" t="s">
        <v>8</v>
      </c>
      <c r="B402" s="11" t="s">
        <v>9</v>
      </c>
      <c r="C402" s="75"/>
      <c r="D402" s="73"/>
      <c r="E402" s="72"/>
      <c r="F402" s="12"/>
      <c r="G402" s="13"/>
      <c r="H402" s="14" t="str">
        <f t="shared" si="12"/>
        <v>A</v>
      </c>
      <c r="I402" s="15" t="str">
        <f t="shared" si="13"/>
        <v>The Commissioner &amp; Chief Constable are satisfied the spend represents VFM in accordance with the requirements of Category A</v>
      </c>
    </row>
    <row r="403" spans="1:13" x14ac:dyDescent="0.2">
      <c r="A403" s="10" t="s">
        <v>8</v>
      </c>
      <c r="B403" s="11" t="s">
        <v>9</v>
      </c>
      <c r="C403" s="75"/>
      <c r="D403" s="73"/>
      <c r="E403" s="72"/>
      <c r="F403" s="12"/>
      <c r="G403" s="13"/>
      <c r="H403" s="14" t="str">
        <f t="shared" si="12"/>
        <v>A</v>
      </c>
      <c r="I403" s="15" t="str">
        <f t="shared" si="13"/>
        <v>The Commissioner &amp; Chief Constable are satisfied the spend represents VFM in accordance with the requirements of Category A</v>
      </c>
    </row>
    <row r="404" spans="1:13" x14ac:dyDescent="0.2">
      <c r="A404" s="10" t="s">
        <v>8</v>
      </c>
      <c r="B404" s="11" t="s">
        <v>9</v>
      </c>
      <c r="C404" s="75"/>
      <c r="D404" s="73"/>
      <c r="E404" s="72"/>
      <c r="F404" s="12"/>
      <c r="G404" s="13"/>
      <c r="H404" s="14" t="str">
        <f t="shared" si="12"/>
        <v>A</v>
      </c>
      <c r="I404" s="15" t="str">
        <f t="shared" si="13"/>
        <v>The Commissioner &amp; Chief Constable are satisfied the spend represents VFM in accordance with the requirements of Category A</v>
      </c>
    </row>
    <row r="405" spans="1:13" x14ac:dyDescent="0.2">
      <c r="A405" s="10" t="s">
        <v>8</v>
      </c>
      <c r="B405" s="11" t="s">
        <v>9</v>
      </c>
      <c r="C405" s="75"/>
      <c r="D405" s="73"/>
      <c r="E405" s="72"/>
      <c r="F405" s="12"/>
      <c r="G405" s="13"/>
      <c r="H405" s="14" t="str">
        <f t="shared" si="12"/>
        <v>A</v>
      </c>
      <c r="I405" s="15" t="str">
        <f t="shared" si="13"/>
        <v>The Commissioner &amp; Chief Constable are satisfied the spend represents VFM in accordance with the requirements of Category A</v>
      </c>
    </row>
    <row r="406" spans="1:13" x14ac:dyDescent="0.2">
      <c r="A406" s="10" t="s">
        <v>8</v>
      </c>
      <c r="B406" s="11" t="s">
        <v>9</v>
      </c>
      <c r="C406" s="75"/>
      <c r="D406" s="73"/>
      <c r="E406" s="72"/>
      <c r="F406" s="12"/>
      <c r="G406" s="13"/>
      <c r="H406" s="14" t="str">
        <f t="shared" si="12"/>
        <v>A</v>
      </c>
      <c r="I406" s="15" t="str">
        <f t="shared" si="13"/>
        <v>The Commissioner &amp; Chief Constable are satisfied the spend represents VFM in accordance with the requirements of Category A</v>
      </c>
    </row>
    <row r="407" spans="1:13" x14ac:dyDescent="0.2">
      <c r="A407" s="10" t="s">
        <v>8</v>
      </c>
      <c r="B407" s="11" t="s">
        <v>9</v>
      </c>
      <c r="C407" s="75"/>
      <c r="D407" s="73"/>
      <c r="E407" s="72"/>
      <c r="F407" s="12"/>
      <c r="G407" s="13"/>
      <c r="H407" s="14" t="str">
        <f t="shared" si="12"/>
        <v>A</v>
      </c>
      <c r="I407" s="15" t="str">
        <f t="shared" si="13"/>
        <v>The Commissioner &amp; Chief Constable are satisfied the spend represents VFM in accordance with the requirements of Category A</v>
      </c>
    </row>
    <row r="408" spans="1:13" x14ac:dyDescent="0.2">
      <c r="A408" s="10" t="s">
        <v>8</v>
      </c>
      <c r="B408" s="11" t="s">
        <v>9</v>
      </c>
      <c r="C408" s="75"/>
      <c r="D408" s="73"/>
      <c r="E408" s="72"/>
      <c r="F408" s="12"/>
      <c r="G408" s="13"/>
      <c r="H408" s="14" t="str">
        <f t="shared" si="12"/>
        <v>A</v>
      </c>
      <c r="I408" s="15" t="str">
        <f t="shared" si="13"/>
        <v>The Commissioner &amp; Chief Constable are satisfied the spend represents VFM in accordance with the requirements of Category A</v>
      </c>
    </row>
    <row r="409" spans="1:13" x14ac:dyDescent="0.2">
      <c r="A409" s="10" t="s">
        <v>8</v>
      </c>
      <c r="B409" s="11" t="s">
        <v>9</v>
      </c>
      <c r="C409" s="75"/>
      <c r="D409" s="73"/>
      <c r="E409" s="72"/>
      <c r="F409" s="12"/>
      <c r="G409" s="13"/>
      <c r="H409" s="14" t="str">
        <f t="shared" si="12"/>
        <v>A</v>
      </c>
      <c r="I409" s="15" t="str">
        <f t="shared" si="13"/>
        <v>The Commissioner &amp; Chief Constable are satisfied the spend represents VFM in accordance with the requirements of Category A</v>
      </c>
    </row>
    <row r="410" spans="1:13" s="20" customFormat="1" x14ac:dyDescent="0.2">
      <c r="A410" s="10" t="s">
        <v>8</v>
      </c>
      <c r="B410" s="11" t="s">
        <v>9</v>
      </c>
      <c r="C410" s="75"/>
      <c r="D410" s="73"/>
      <c r="E410" s="72"/>
      <c r="F410" s="12"/>
      <c r="G410" s="13"/>
      <c r="H410" s="14" t="str">
        <f t="shared" si="12"/>
        <v>A</v>
      </c>
      <c r="I410" s="15" t="str">
        <f t="shared" si="13"/>
        <v>The Commissioner &amp; Chief Constable are satisfied the spend represents VFM in accordance with the requirements of Category A</v>
      </c>
      <c r="L410" s="17"/>
      <c r="M410" s="17"/>
    </row>
    <row r="411" spans="1:13" s="20" customFormat="1" x14ac:dyDescent="0.2">
      <c r="A411" s="10" t="s">
        <v>8</v>
      </c>
      <c r="B411" s="11" t="s">
        <v>9</v>
      </c>
      <c r="C411" s="75"/>
      <c r="D411" s="73"/>
      <c r="E411" s="72"/>
      <c r="F411" s="12"/>
      <c r="G411" s="13"/>
      <c r="H411" s="14" t="str">
        <f t="shared" si="12"/>
        <v>A</v>
      </c>
      <c r="I411" s="15" t="str">
        <f t="shared" si="13"/>
        <v>The Commissioner &amp; Chief Constable are satisfied the spend represents VFM in accordance with the requirements of Category A</v>
      </c>
      <c r="L411" s="17"/>
      <c r="M411" s="17"/>
    </row>
    <row r="412" spans="1:13" s="20" customFormat="1" x14ac:dyDescent="0.2">
      <c r="A412" s="10" t="s">
        <v>8</v>
      </c>
      <c r="B412" s="11" t="s">
        <v>9</v>
      </c>
      <c r="C412" s="77"/>
      <c r="D412" s="73"/>
      <c r="E412" s="72"/>
      <c r="F412" s="12"/>
      <c r="G412" s="13"/>
      <c r="H412" s="14" t="str">
        <f t="shared" si="12"/>
        <v>A</v>
      </c>
      <c r="I412" s="15" t="str">
        <f t="shared" si="13"/>
        <v>The Commissioner &amp; Chief Constable are satisfied the spend represents VFM in accordance with the requirements of Category A</v>
      </c>
      <c r="L412" s="17"/>
      <c r="M412" s="17"/>
    </row>
    <row r="413" spans="1:13" s="20" customFormat="1" x14ac:dyDescent="0.2">
      <c r="A413" s="10" t="s">
        <v>8</v>
      </c>
      <c r="B413" s="11" t="s">
        <v>9</v>
      </c>
      <c r="C413" s="75"/>
      <c r="D413" s="73"/>
      <c r="E413" s="72"/>
      <c r="F413" s="12"/>
      <c r="G413" s="13"/>
      <c r="H413" s="14" t="str">
        <f t="shared" si="12"/>
        <v>A</v>
      </c>
      <c r="I413" s="15" t="str">
        <f t="shared" si="13"/>
        <v>The Commissioner &amp; Chief Constable are satisfied the spend represents VFM in accordance with the requirements of Category A</v>
      </c>
      <c r="L413" s="17"/>
      <c r="M413" s="17"/>
    </row>
    <row r="414" spans="1:13" s="20" customFormat="1" x14ac:dyDescent="0.2">
      <c r="A414" s="10" t="s">
        <v>8</v>
      </c>
      <c r="B414" s="11" t="s">
        <v>9</v>
      </c>
      <c r="C414" s="75"/>
      <c r="D414" s="73"/>
      <c r="E414" s="72"/>
      <c r="F414" s="12"/>
      <c r="G414" s="13"/>
      <c r="H414" s="14" t="str">
        <f t="shared" si="12"/>
        <v>A</v>
      </c>
      <c r="I414" s="15" t="str">
        <f t="shared" si="13"/>
        <v>The Commissioner &amp; Chief Constable are satisfied the spend represents VFM in accordance with the requirements of Category A</v>
      </c>
      <c r="L414" s="17"/>
      <c r="M414" s="17"/>
    </row>
    <row r="415" spans="1:13" s="20" customFormat="1" x14ac:dyDescent="0.2">
      <c r="A415" s="10" t="s">
        <v>8</v>
      </c>
      <c r="B415" s="11" t="s">
        <v>9</v>
      </c>
      <c r="C415" s="75"/>
      <c r="D415" s="73"/>
      <c r="E415" s="72"/>
      <c r="F415" s="12"/>
      <c r="G415" s="13"/>
      <c r="H415" s="14" t="str">
        <f t="shared" si="12"/>
        <v>A</v>
      </c>
      <c r="I415" s="15" t="str">
        <f t="shared" si="13"/>
        <v>The Commissioner &amp; Chief Constable are satisfied the spend represents VFM in accordance with the requirements of Category A</v>
      </c>
      <c r="L415" s="17"/>
      <c r="M415" s="17"/>
    </row>
    <row r="416" spans="1:13" s="20" customFormat="1" x14ac:dyDescent="0.2">
      <c r="A416" s="10" t="s">
        <v>8</v>
      </c>
      <c r="B416" s="11" t="s">
        <v>9</v>
      </c>
      <c r="C416" s="75"/>
      <c r="D416" s="73"/>
      <c r="E416" s="72"/>
      <c r="F416" s="12"/>
      <c r="G416" s="13"/>
      <c r="H416" s="14" t="str">
        <f t="shared" si="12"/>
        <v>A</v>
      </c>
      <c r="I416" s="15" t="str">
        <f t="shared" si="13"/>
        <v>The Commissioner &amp; Chief Constable are satisfied the spend represents VFM in accordance with the requirements of Category A</v>
      </c>
      <c r="L416" s="17"/>
      <c r="M416" s="17"/>
    </row>
    <row r="417" spans="1:13" s="20" customFormat="1" x14ac:dyDescent="0.2">
      <c r="A417" s="10" t="s">
        <v>8</v>
      </c>
      <c r="B417" s="11" t="s">
        <v>9</v>
      </c>
      <c r="C417" s="75"/>
      <c r="D417" s="73"/>
      <c r="E417" s="72"/>
      <c r="F417" s="12"/>
      <c r="G417" s="13"/>
      <c r="H417" s="14" t="str">
        <f t="shared" si="12"/>
        <v>A</v>
      </c>
      <c r="I417" s="15" t="str">
        <f t="shared" si="13"/>
        <v>The Commissioner &amp; Chief Constable are satisfied the spend represents VFM in accordance with the requirements of Category A</v>
      </c>
      <c r="L417" s="17"/>
      <c r="M417" s="17"/>
    </row>
    <row r="418" spans="1:13" s="20" customFormat="1" x14ac:dyDescent="0.2">
      <c r="A418" s="10" t="s">
        <v>8</v>
      </c>
      <c r="B418" s="11" t="s">
        <v>9</v>
      </c>
      <c r="C418" s="75"/>
      <c r="D418" s="73"/>
      <c r="E418" s="72"/>
      <c r="F418" s="12"/>
      <c r="G418" s="13"/>
      <c r="H418" s="14" t="str">
        <f t="shared" si="12"/>
        <v>A</v>
      </c>
      <c r="I418" s="15" t="str">
        <f t="shared" si="13"/>
        <v>The Commissioner &amp; Chief Constable are satisfied the spend represents VFM in accordance with the requirements of Category A</v>
      </c>
      <c r="L418" s="17"/>
      <c r="M418" s="17"/>
    </row>
    <row r="419" spans="1:13" s="20" customFormat="1" x14ac:dyDescent="0.2">
      <c r="A419" s="10" t="s">
        <v>8</v>
      </c>
      <c r="B419" s="11" t="s">
        <v>9</v>
      </c>
      <c r="C419" s="75"/>
      <c r="D419" s="73"/>
      <c r="E419" s="72"/>
      <c r="F419" s="12"/>
      <c r="G419" s="13"/>
      <c r="H419" s="14" t="str">
        <f t="shared" si="12"/>
        <v>A</v>
      </c>
      <c r="I419" s="15" t="str">
        <f t="shared" si="13"/>
        <v>The Commissioner &amp; Chief Constable are satisfied the spend represents VFM in accordance with the requirements of Category A</v>
      </c>
      <c r="L419" s="17"/>
      <c r="M419" s="17"/>
    </row>
    <row r="420" spans="1:13" s="20" customFormat="1" x14ac:dyDescent="0.2">
      <c r="A420" s="10" t="s">
        <v>8</v>
      </c>
      <c r="B420" s="11" t="s">
        <v>9</v>
      </c>
      <c r="C420" s="77"/>
      <c r="D420" s="73"/>
      <c r="E420" s="72"/>
      <c r="F420" s="12"/>
      <c r="G420" s="13"/>
      <c r="H420" s="14" t="str">
        <f t="shared" si="12"/>
        <v>A</v>
      </c>
      <c r="I420" s="15" t="str">
        <f t="shared" si="13"/>
        <v>The Commissioner &amp; Chief Constable are satisfied the spend represents VFM in accordance with the requirements of Category A</v>
      </c>
      <c r="L420" s="17"/>
      <c r="M420" s="17"/>
    </row>
    <row r="421" spans="1:13" s="20" customFormat="1" x14ac:dyDescent="0.2">
      <c r="A421" s="10" t="s">
        <v>8</v>
      </c>
      <c r="B421" s="11" t="s">
        <v>9</v>
      </c>
      <c r="C421" s="75"/>
      <c r="D421" s="73"/>
      <c r="E421" s="72"/>
      <c r="F421" s="12"/>
      <c r="G421" s="13"/>
      <c r="H421" s="14" t="str">
        <f t="shared" si="12"/>
        <v>A</v>
      </c>
      <c r="I421" s="15" t="str">
        <f t="shared" si="13"/>
        <v>The Commissioner &amp; Chief Constable are satisfied the spend represents VFM in accordance with the requirements of Category A</v>
      </c>
      <c r="L421" s="17"/>
      <c r="M421" s="17"/>
    </row>
    <row r="422" spans="1:13" s="20" customFormat="1" x14ac:dyDescent="0.2">
      <c r="A422" s="10" t="s">
        <v>8</v>
      </c>
      <c r="B422" s="11" t="s">
        <v>9</v>
      </c>
      <c r="C422" s="75"/>
      <c r="D422" s="73"/>
      <c r="E422" s="72"/>
      <c r="F422" s="12"/>
      <c r="G422" s="13"/>
      <c r="H422" s="14" t="str">
        <f t="shared" si="12"/>
        <v>A</v>
      </c>
      <c r="I422" s="15" t="str">
        <f t="shared" si="13"/>
        <v>The Commissioner &amp; Chief Constable are satisfied the spend represents VFM in accordance with the requirements of Category A</v>
      </c>
      <c r="L422" s="17"/>
      <c r="M422" s="17"/>
    </row>
    <row r="423" spans="1:13" s="20" customFormat="1" x14ac:dyDescent="0.2">
      <c r="A423" s="10" t="s">
        <v>8</v>
      </c>
      <c r="B423" s="11" t="s">
        <v>9</v>
      </c>
      <c r="C423" s="75"/>
      <c r="D423" s="73"/>
      <c r="E423" s="72"/>
      <c r="F423" s="12"/>
      <c r="G423" s="13"/>
      <c r="H423" s="14" t="str">
        <f t="shared" si="12"/>
        <v>A</v>
      </c>
      <c r="I423" s="15" t="str">
        <f t="shared" si="13"/>
        <v>The Commissioner &amp; Chief Constable are satisfied the spend represents VFM in accordance with the requirements of Category A</v>
      </c>
      <c r="L423" s="17"/>
      <c r="M423" s="17"/>
    </row>
    <row r="424" spans="1:13" s="20" customFormat="1" x14ac:dyDescent="0.2">
      <c r="A424" s="10" t="s">
        <v>8</v>
      </c>
      <c r="B424" s="11" t="s">
        <v>9</v>
      </c>
      <c r="C424" s="75"/>
      <c r="D424" s="73"/>
      <c r="E424" s="72"/>
      <c r="F424" s="12"/>
      <c r="G424" s="13"/>
      <c r="H424" s="14" t="str">
        <f t="shared" si="12"/>
        <v>A</v>
      </c>
      <c r="I424" s="15" t="str">
        <f t="shared" si="13"/>
        <v>The Commissioner &amp; Chief Constable are satisfied the spend represents VFM in accordance with the requirements of Category A</v>
      </c>
      <c r="L424" s="17"/>
      <c r="M424" s="17"/>
    </row>
    <row r="425" spans="1:13" s="20" customFormat="1" x14ac:dyDescent="0.2">
      <c r="A425" s="10" t="s">
        <v>8</v>
      </c>
      <c r="B425" s="11" t="s">
        <v>9</v>
      </c>
      <c r="C425" s="75"/>
      <c r="D425" s="73"/>
      <c r="E425" s="72"/>
      <c r="F425" s="12"/>
      <c r="G425" s="13"/>
      <c r="H425" s="14" t="str">
        <f t="shared" si="12"/>
        <v>A</v>
      </c>
      <c r="I425" s="15" t="str">
        <f t="shared" si="13"/>
        <v>The Commissioner &amp; Chief Constable are satisfied the spend represents VFM in accordance with the requirements of Category A</v>
      </c>
      <c r="L425" s="17"/>
      <c r="M425" s="17"/>
    </row>
    <row r="426" spans="1:13" s="20" customFormat="1" x14ac:dyDescent="0.2">
      <c r="A426" s="10" t="s">
        <v>8</v>
      </c>
      <c r="B426" s="11" t="s">
        <v>9</v>
      </c>
      <c r="C426" s="75"/>
      <c r="D426" s="73"/>
      <c r="E426" s="72"/>
      <c r="F426" s="12"/>
      <c r="G426" s="13"/>
      <c r="H426" s="14" t="str">
        <f t="shared" si="12"/>
        <v>A</v>
      </c>
      <c r="I426" s="15" t="str">
        <f t="shared" si="13"/>
        <v>The Commissioner &amp; Chief Constable are satisfied the spend represents VFM in accordance with the requirements of Category A</v>
      </c>
      <c r="L426" s="17"/>
      <c r="M426" s="17"/>
    </row>
    <row r="427" spans="1:13" s="20" customFormat="1" x14ac:dyDescent="0.2">
      <c r="A427" s="10" t="s">
        <v>8</v>
      </c>
      <c r="B427" s="11" t="s">
        <v>9</v>
      </c>
      <c r="C427" s="75"/>
      <c r="D427" s="73"/>
      <c r="E427" s="72"/>
      <c r="F427" s="12"/>
      <c r="G427" s="13"/>
      <c r="H427" s="14" t="str">
        <f t="shared" si="12"/>
        <v>A</v>
      </c>
      <c r="I427" s="15" t="str">
        <f t="shared" si="13"/>
        <v>The Commissioner &amp; Chief Constable are satisfied the spend represents VFM in accordance with the requirements of Category A</v>
      </c>
      <c r="L427" s="17"/>
      <c r="M427" s="17"/>
    </row>
    <row r="428" spans="1:13" s="20" customFormat="1" x14ac:dyDescent="0.2">
      <c r="A428" s="10" t="s">
        <v>8</v>
      </c>
      <c r="B428" s="11" t="s">
        <v>9</v>
      </c>
      <c r="C428" s="75"/>
      <c r="D428" s="73"/>
      <c r="E428" s="72"/>
      <c r="F428" s="12"/>
      <c r="G428" s="13"/>
      <c r="H428" s="14" t="str">
        <f t="shared" si="12"/>
        <v>A</v>
      </c>
      <c r="I428" s="15" t="str">
        <f t="shared" si="13"/>
        <v>The Commissioner &amp; Chief Constable are satisfied the spend represents VFM in accordance with the requirements of Category A</v>
      </c>
      <c r="L428" s="17"/>
      <c r="M428" s="17"/>
    </row>
    <row r="429" spans="1:13" s="20" customFormat="1" x14ac:dyDescent="0.2">
      <c r="A429" s="10" t="s">
        <v>8</v>
      </c>
      <c r="B429" s="11" t="s">
        <v>9</v>
      </c>
      <c r="C429" s="75"/>
      <c r="D429" s="73"/>
      <c r="E429" s="72"/>
      <c r="F429" s="12"/>
      <c r="G429" s="13"/>
      <c r="H429" s="14" t="str">
        <f t="shared" si="12"/>
        <v>A</v>
      </c>
      <c r="I429" s="15" t="str">
        <f t="shared" si="13"/>
        <v>The Commissioner &amp; Chief Constable are satisfied the spend represents VFM in accordance with the requirements of Category A</v>
      </c>
      <c r="L429" s="17"/>
      <c r="M429" s="17"/>
    </row>
    <row r="430" spans="1:13" s="20" customFormat="1" x14ac:dyDescent="0.2">
      <c r="A430" s="10" t="s">
        <v>8</v>
      </c>
      <c r="B430" s="11" t="s">
        <v>9</v>
      </c>
      <c r="C430" s="75"/>
      <c r="D430" s="73"/>
      <c r="E430" s="72"/>
      <c r="F430" s="12"/>
      <c r="G430" s="13"/>
      <c r="H430" s="14" t="str">
        <f t="shared" si="12"/>
        <v>A</v>
      </c>
      <c r="I430" s="15" t="str">
        <f t="shared" si="13"/>
        <v>The Commissioner &amp; Chief Constable are satisfied the spend represents VFM in accordance with the requirements of Category A</v>
      </c>
      <c r="L430" s="17"/>
      <c r="M430" s="17"/>
    </row>
    <row r="431" spans="1:13" s="20" customFormat="1" x14ac:dyDescent="0.2">
      <c r="A431" s="10" t="s">
        <v>8</v>
      </c>
      <c r="B431" s="11" t="s">
        <v>9</v>
      </c>
      <c r="C431" s="75"/>
      <c r="D431" s="73"/>
      <c r="E431" s="72"/>
      <c r="F431" s="12"/>
      <c r="G431" s="13"/>
      <c r="H431" s="14" t="str">
        <f t="shared" si="12"/>
        <v>A</v>
      </c>
      <c r="I431" s="15" t="str">
        <f t="shared" si="13"/>
        <v>The Commissioner &amp; Chief Constable are satisfied the spend represents VFM in accordance with the requirements of Category A</v>
      </c>
      <c r="L431" s="17"/>
      <c r="M431" s="17"/>
    </row>
    <row r="432" spans="1:13" s="20" customFormat="1" x14ac:dyDescent="0.2">
      <c r="A432" s="10" t="s">
        <v>8</v>
      </c>
      <c r="B432" s="11" t="s">
        <v>9</v>
      </c>
      <c r="C432" s="75"/>
      <c r="D432" s="73"/>
      <c r="E432" s="72"/>
      <c r="F432" s="12"/>
      <c r="G432" s="13"/>
      <c r="H432" s="14" t="str">
        <f t="shared" si="12"/>
        <v>A</v>
      </c>
      <c r="I432" s="15" t="str">
        <f t="shared" si="13"/>
        <v>The Commissioner &amp; Chief Constable are satisfied the spend represents VFM in accordance with the requirements of Category A</v>
      </c>
      <c r="L432" s="17"/>
      <c r="M432" s="17"/>
    </row>
    <row r="433" spans="1:13" s="20" customFormat="1" x14ac:dyDescent="0.2">
      <c r="A433" s="10" t="s">
        <v>8</v>
      </c>
      <c r="B433" s="11" t="s">
        <v>9</v>
      </c>
      <c r="C433" s="75"/>
      <c r="D433" s="73"/>
      <c r="E433" s="72"/>
      <c r="F433" s="12"/>
      <c r="G433" s="13"/>
      <c r="H433" s="14" t="str">
        <f t="shared" si="12"/>
        <v>A</v>
      </c>
      <c r="I433" s="15" t="str">
        <f t="shared" si="13"/>
        <v>The Commissioner &amp; Chief Constable are satisfied the spend represents VFM in accordance with the requirements of Category A</v>
      </c>
      <c r="L433" s="17"/>
      <c r="M433" s="17"/>
    </row>
    <row r="434" spans="1:13" s="20" customFormat="1" x14ac:dyDescent="0.2">
      <c r="A434" s="10" t="s">
        <v>8</v>
      </c>
      <c r="B434" s="11" t="s">
        <v>9</v>
      </c>
      <c r="C434" s="75"/>
      <c r="D434" s="73"/>
      <c r="E434" s="72"/>
      <c r="F434" s="12"/>
      <c r="G434" s="13"/>
      <c r="H434" s="14" t="str">
        <f t="shared" si="12"/>
        <v>A</v>
      </c>
      <c r="I434" s="15" t="str">
        <f t="shared" si="13"/>
        <v>The Commissioner &amp; Chief Constable are satisfied the spend represents VFM in accordance with the requirements of Category A</v>
      </c>
      <c r="L434" s="17"/>
      <c r="M434" s="17"/>
    </row>
    <row r="435" spans="1:13" s="20" customFormat="1" x14ac:dyDescent="0.2">
      <c r="A435" s="10" t="s">
        <v>8</v>
      </c>
      <c r="B435" s="11" t="s">
        <v>9</v>
      </c>
      <c r="C435" s="75"/>
      <c r="D435" s="73"/>
      <c r="E435" s="72"/>
      <c r="F435" s="12"/>
      <c r="G435" s="13"/>
      <c r="H435" s="14" t="str">
        <f t="shared" si="12"/>
        <v>A</v>
      </c>
      <c r="I435" s="15" t="str">
        <f t="shared" si="13"/>
        <v>The Commissioner &amp; Chief Constable are satisfied the spend represents VFM in accordance with the requirements of Category A</v>
      </c>
      <c r="L435" s="17"/>
      <c r="M435" s="17"/>
    </row>
    <row r="436" spans="1:13" s="20" customFormat="1" x14ac:dyDescent="0.2">
      <c r="A436" s="10" t="s">
        <v>8</v>
      </c>
      <c r="B436" s="11" t="s">
        <v>9</v>
      </c>
      <c r="C436" s="75"/>
      <c r="D436" s="73"/>
      <c r="E436" s="72"/>
      <c r="F436" s="12"/>
      <c r="G436" s="13"/>
      <c r="H436" s="14" t="str">
        <f t="shared" si="12"/>
        <v>A</v>
      </c>
      <c r="I436" s="15" t="str">
        <f t="shared" si="13"/>
        <v>The Commissioner &amp; Chief Constable are satisfied the spend represents VFM in accordance with the requirements of Category A</v>
      </c>
      <c r="L436" s="17"/>
      <c r="M436" s="17"/>
    </row>
    <row r="437" spans="1:13" s="20" customFormat="1" x14ac:dyDescent="0.2">
      <c r="A437" s="10" t="s">
        <v>8</v>
      </c>
      <c r="B437" s="11" t="s">
        <v>9</v>
      </c>
      <c r="C437" s="75"/>
      <c r="D437" s="73"/>
      <c r="E437" s="72"/>
      <c r="F437" s="12"/>
      <c r="G437" s="13"/>
      <c r="H437" s="14" t="str">
        <f t="shared" si="12"/>
        <v>A</v>
      </c>
      <c r="I437" s="15" t="str">
        <f t="shared" si="13"/>
        <v>The Commissioner &amp; Chief Constable are satisfied the spend represents VFM in accordance with the requirements of Category A</v>
      </c>
      <c r="L437" s="17"/>
      <c r="M437" s="17"/>
    </row>
    <row r="438" spans="1:13" s="20" customFormat="1" x14ac:dyDescent="0.2">
      <c r="A438" s="10" t="s">
        <v>8</v>
      </c>
      <c r="B438" s="11" t="s">
        <v>9</v>
      </c>
      <c r="C438" s="75"/>
      <c r="D438" s="73"/>
      <c r="E438" s="72"/>
      <c r="F438" s="12"/>
      <c r="G438" s="13"/>
      <c r="H438" s="14" t="str">
        <f t="shared" si="12"/>
        <v>A</v>
      </c>
      <c r="I438" s="15" t="str">
        <f t="shared" si="13"/>
        <v>The Commissioner &amp; Chief Constable are satisfied the spend represents VFM in accordance with the requirements of Category A</v>
      </c>
      <c r="L438" s="17"/>
      <c r="M438" s="17"/>
    </row>
    <row r="439" spans="1:13" s="20" customFormat="1" x14ac:dyDescent="0.2">
      <c r="A439" s="10" t="s">
        <v>8</v>
      </c>
      <c r="B439" s="11" t="s">
        <v>9</v>
      </c>
      <c r="C439" s="75"/>
      <c r="D439" s="73"/>
      <c r="E439" s="72"/>
      <c r="F439" s="12"/>
      <c r="G439" s="13"/>
      <c r="H439" s="14" t="str">
        <f t="shared" si="12"/>
        <v>A</v>
      </c>
      <c r="I439" s="15" t="str">
        <f t="shared" si="13"/>
        <v>The Commissioner &amp; Chief Constable are satisfied the spend represents VFM in accordance with the requirements of Category A</v>
      </c>
      <c r="L439" s="17"/>
      <c r="M439" s="17"/>
    </row>
    <row r="440" spans="1:13" s="20" customFormat="1" x14ac:dyDescent="0.2">
      <c r="A440" s="10" t="s">
        <v>8</v>
      </c>
      <c r="B440" s="11" t="s">
        <v>9</v>
      </c>
      <c r="C440" s="75"/>
      <c r="D440" s="73"/>
      <c r="E440" s="72"/>
      <c r="F440" s="18"/>
      <c r="G440" s="19"/>
      <c r="H440" s="14" t="str">
        <f t="shared" si="12"/>
        <v>A</v>
      </c>
      <c r="I440" s="15" t="str">
        <f t="shared" si="13"/>
        <v>The Commissioner &amp; Chief Constable are satisfied the spend represents VFM in accordance with the requirements of Category A</v>
      </c>
      <c r="L440" s="17"/>
      <c r="M440" s="17"/>
    </row>
    <row r="441" spans="1:13" s="20" customFormat="1" x14ac:dyDescent="0.2">
      <c r="A441" s="10" t="s">
        <v>8</v>
      </c>
      <c r="B441" s="11" t="s">
        <v>9</v>
      </c>
      <c r="C441" s="75"/>
      <c r="D441" s="73"/>
      <c r="E441" s="72"/>
      <c r="F441" s="12"/>
      <c r="G441" s="13"/>
      <c r="H441" s="14" t="str">
        <f t="shared" si="12"/>
        <v>A</v>
      </c>
      <c r="I441" s="15" t="str">
        <f t="shared" si="13"/>
        <v>The Commissioner &amp; Chief Constable are satisfied the spend represents VFM in accordance with the requirements of Category A</v>
      </c>
      <c r="L441" s="17"/>
      <c r="M441" s="17"/>
    </row>
    <row r="442" spans="1:13" s="20" customFormat="1" x14ac:dyDescent="0.2">
      <c r="A442" s="10" t="s">
        <v>8</v>
      </c>
      <c r="B442" s="11" t="s">
        <v>9</v>
      </c>
      <c r="C442" s="75"/>
      <c r="D442" s="73"/>
      <c r="E442" s="72"/>
      <c r="F442" s="12"/>
      <c r="G442" s="13"/>
      <c r="H442" s="14" t="str">
        <f t="shared" si="12"/>
        <v>A</v>
      </c>
      <c r="I442" s="15" t="str">
        <f t="shared" si="13"/>
        <v>The Commissioner &amp; Chief Constable are satisfied the spend represents VFM in accordance with the requirements of Category A</v>
      </c>
      <c r="L442" s="17"/>
      <c r="M442" s="17"/>
    </row>
    <row r="443" spans="1:13" s="20" customFormat="1" x14ac:dyDescent="0.2">
      <c r="A443" s="10" t="s">
        <v>8</v>
      </c>
      <c r="B443" s="11" t="s">
        <v>9</v>
      </c>
      <c r="C443" s="75"/>
      <c r="D443" s="73"/>
      <c r="E443" s="72"/>
      <c r="F443" s="12"/>
      <c r="G443" s="13"/>
      <c r="H443" s="14" t="str">
        <f t="shared" si="12"/>
        <v>A</v>
      </c>
      <c r="I443" s="15" t="str">
        <f t="shared" si="13"/>
        <v>The Commissioner &amp; Chief Constable are satisfied the spend represents VFM in accordance with the requirements of Category A</v>
      </c>
      <c r="L443" s="17"/>
      <c r="M443" s="17"/>
    </row>
    <row r="444" spans="1:13" s="20" customFormat="1" x14ac:dyDescent="0.2">
      <c r="A444" s="10" t="s">
        <v>8</v>
      </c>
      <c r="B444" s="11" t="s">
        <v>9</v>
      </c>
      <c r="C444" s="75"/>
      <c r="D444" s="73"/>
      <c r="E444" s="72"/>
      <c r="F444" s="12"/>
      <c r="G444" s="13"/>
      <c r="H444" s="14" t="str">
        <f t="shared" si="12"/>
        <v>A</v>
      </c>
      <c r="I444" s="15" t="str">
        <f t="shared" si="13"/>
        <v>The Commissioner &amp; Chief Constable are satisfied the spend represents VFM in accordance with the requirements of Category A</v>
      </c>
      <c r="L444" s="17"/>
      <c r="M444" s="17"/>
    </row>
    <row r="445" spans="1:13" s="20" customFormat="1" x14ac:dyDescent="0.2">
      <c r="A445" s="10" t="s">
        <v>8</v>
      </c>
      <c r="B445" s="11" t="s">
        <v>9</v>
      </c>
      <c r="C445" s="75"/>
      <c r="D445" s="73"/>
      <c r="E445" s="72"/>
      <c r="F445" s="12"/>
      <c r="G445" s="13"/>
      <c r="H445" s="14" t="str">
        <f t="shared" si="12"/>
        <v>A</v>
      </c>
      <c r="I445" s="15" t="str">
        <f t="shared" si="13"/>
        <v>The Commissioner &amp; Chief Constable are satisfied the spend represents VFM in accordance with the requirements of Category A</v>
      </c>
      <c r="L445" s="17"/>
      <c r="M445" s="17"/>
    </row>
    <row r="446" spans="1:13" s="20" customFormat="1" x14ac:dyDescent="0.2">
      <c r="A446" s="10" t="s">
        <v>8</v>
      </c>
      <c r="B446" s="11" t="s">
        <v>9</v>
      </c>
      <c r="C446" s="75"/>
      <c r="D446" s="73"/>
      <c r="E446" s="72"/>
      <c r="F446" s="12"/>
      <c r="G446" s="13"/>
      <c r="H446" s="14" t="str">
        <f t="shared" si="12"/>
        <v>A</v>
      </c>
      <c r="I446" s="15" t="str">
        <f t="shared" si="13"/>
        <v>The Commissioner &amp; Chief Constable are satisfied the spend represents VFM in accordance with the requirements of Category A</v>
      </c>
      <c r="L446" s="17"/>
      <c r="M446" s="17"/>
    </row>
    <row r="447" spans="1:13" s="20" customFormat="1" x14ac:dyDescent="0.2">
      <c r="A447" s="10" t="s">
        <v>8</v>
      </c>
      <c r="B447" s="11" t="s">
        <v>9</v>
      </c>
      <c r="C447" s="75"/>
      <c r="D447" s="73"/>
      <c r="E447" s="72"/>
      <c r="F447" s="12"/>
      <c r="G447" s="13"/>
      <c r="H447" s="14" t="str">
        <f t="shared" si="12"/>
        <v>A</v>
      </c>
      <c r="I447" s="15" t="str">
        <f t="shared" si="13"/>
        <v>The Commissioner &amp; Chief Constable are satisfied the spend represents VFM in accordance with the requirements of Category A</v>
      </c>
      <c r="L447" s="17"/>
      <c r="M447" s="17"/>
    </row>
    <row r="448" spans="1:13" s="20" customFormat="1" x14ac:dyDescent="0.2">
      <c r="A448" s="10" t="s">
        <v>8</v>
      </c>
      <c r="B448" s="11" t="s">
        <v>9</v>
      </c>
      <c r="C448" s="75"/>
      <c r="D448" s="73"/>
      <c r="E448" s="72"/>
      <c r="F448" s="12"/>
      <c r="G448" s="13"/>
      <c r="H448" s="14" t="str">
        <f t="shared" si="12"/>
        <v>A</v>
      </c>
      <c r="I448" s="15" t="str">
        <f t="shared" si="13"/>
        <v>The Commissioner &amp; Chief Constable are satisfied the spend represents VFM in accordance with the requirements of Category A</v>
      </c>
      <c r="L448" s="17"/>
      <c r="M448" s="17"/>
    </row>
    <row r="449" spans="1:13" s="20" customFormat="1" x14ac:dyDescent="0.2">
      <c r="A449" s="10" t="s">
        <v>8</v>
      </c>
      <c r="B449" s="11" t="s">
        <v>9</v>
      </c>
      <c r="C449" s="75"/>
      <c r="D449" s="73"/>
      <c r="E449" s="72"/>
      <c r="F449" s="12"/>
      <c r="G449" s="13"/>
      <c r="H449" s="14" t="str">
        <f t="shared" si="12"/>
        <v>A</v>
      </c>
      <c r="I449" s="15" t="str">
        <f t="shared" si="13"/>
        <v>The Commissioner &amp; Chief Constable are satisfied the spend represents VFM in accordance with the requirements of Category A</v>
      </c>
      <c r="L449" s="17"/>
      <c r="M449" s="17"/>
    </row>
    <row r="450" spans="1:13" s="20" customFormat="1" x14ac:dyDescent="0.2">
      <c r="A450" s="10" t="s">
        <v>8</v>
      </c>
      <c r="B450" s="11" t="s">
        <v>9</v>
      </c>
      <c r="C450" s="75"/>
      <c r="D450" s="73"/>
      <c r="E450" s="72"/>
      <c r="F450" s="12"/>
      <c r="G450" s="13"/>
      <c r="H450" s="14" t="str">
        <f t="shared" ref="H450:H513" si="14">IF(F450&gt;25000,"C",IF(F450&gt;1000,"B","A"))</f>
        <v>A</v>
      </c>
      <c r="I450" s="15" t="str">
        <f t="shared" ref="I450:I513" si="15">VLOOKUP(H450,$L$2:$M$4,2,FALSE)</f>
        <v>The Commissioner &amp; Chief Constable are satisfied the spend represents VFM in accordance with the requirements of Category A</v>
      </c>
      <c r="L450" s="17"/>
      <c r="M450" s="17"/>
    </row>
    <row r="451" spans="1:13" s="20" customFormat="1" x14ac:dyDescent="0.2">
      <c r="A451" s="10" t="s">
        <v>8</v>
      </c>
      <c r="B451" s="11" t="s">
        <v>9</v>
      </c>
      <c r="C451" s="75"/>
      <c r="D451" s="73"/>
      <c r="E451" s="72"/>
      <c r="F451" s="12"/>
      <c r="G451" s="13"/>
      <c r="H451" s="14" t="str">
        <f t="shared" si="14"/>
        <v>A</v>
      </c>
      <c r="I451" s="15" t="str">
        <f t="shared" si="15"/>
        <v>The Commissioner &amp; Chief Constable are satisfied the spend represents VFM in accordance with the requirements of Category A</v>
      </c>
      <c r="L451" s="17"/>
      <c r="M451" s="17"/>
    </row>
    <row r="452" spans="1:13" s="20" customFormat="1" x14ac:dyDescent="0.2">
      <c r="A452" s="10" t="s">
        <v>8</v>
      </c>
      <c r="B452" s="11" t="s">
        <v>9</v>
      </c>
      <c r="C452" s="75"/>
      <c r="D452" s="73"/>
      <c r="E452" s="72"/>
      <c r="F452" s="12"/>
      <c r="G452" s="13"/>
      <c r="H452" s="14" t="str">
        <f t="shared" si="14"/>
        <v>A</v>
      </c>
      <c r="I452" s="15" t="str">
        <f t="shared" si="15"/>
        <v>The Commissioner &amp; Chief Constable are satisfied the spend represents VFM in accordance with the requirements of Category A</v>
      </c>
      <c r="L452" s="17"/>
      <c r="M452" s="17"/>
    </row>
    <row r="453" spans="1:13" s="20" customFormat="1" x14ac:dyDescent="0.2">
      <c r="A453" s="10" t="s">
        <v>8</v>
      </c>
      <c r="B453" s="11" t="s">
        <v>9</v>
      </c>
      <c r="C453" s="75"/>
      <c r="D453" s="73"/>
      <c r="E453" s="72"/>
      <c r="F453" s="12"/>
      <c r="G453" s="13"/>
      <c r="H453" s="14" t="str">
        <f t="shared" si="14"/>
        <v>A</v>
      </c>
      <c r="I453" s="15" t="str">
        <f t="shared" si="15"/>
        <v>The Commissioner &amp; Chief Constable are satisfied the spend represents VFM in accordance with the requirements of Category A</v>
      </c>
      <c r="L453" s="17"/>
      <c r="M453" s="17"/>
    </row>
    <row r="454" spans="1:13" s="20" customFormat="1" x14ac:dyDescent="0.2">
      <c r="A454" s="10" t="s">
        <v>8</v>
      </c>
      <c r="B454" s="11" t="s">
        <v>9</v>
      </c>
      <c r="C454" s="75"/>
      <c r="D454" s="73"/>
      <c r="E454" s="72"/>
      <c r="F454" s="12"/>
      <c r="G454" s="13"/>
      <c r="H454" s="14" t="str">
        <f t="shared" si="14"/>
        <v>A</v>
      </c>
      <c r="I454" s="15" t="str">
        <f t="shared" si="15"/>
        <v>The Commissioner &amp; Chief Constable are satisfied the spend represents VFM in accordance with the requirements of Category A</v>
      </c>
      <c r="L454" s="17"/>
      <c r="M454" s="17"/>
    </row>
    <row r="455" spans="1:13" s="20" customFormat="1" x14ac:dyDescent="0.2">
      <c r="A455" s="10" t="s">
        <v>8</v>
      </c>
      <c r="B455" s="11" t="s">
        <v>9</v>
      </c>
      <c r="C455" s="75"/>
      <c r="D455" s="73"/>
      <c r="E455" s="72"/>
      <c r="F455" s="12"/>
      <c r="G455" s="13"/>
      <c r="H455" s="14" t="str">
        <f t="shared" si="14"/>
        <v>A</v>
      </c>
      <c r="I455" s="15" t="str">
        <f t="shared" si="15"/>
        <v>The Commissioner &amp; Chief Constable are satisfied the spend represents VFM in accordance with the requirements of Category A</v>
      </c>
      <c r="L455" s="17"/>
      <c r="M455" s="17"/>
    </row>
    <row r="456" spans="1:13" s="20" customFormat="1" x14ac:dyDescent="0.2">
      <c r="A456" s="10" t="s">
        <v>8</v>
      </c>
      <c r="B456" s="11" t="s">
        <v>9</v>
      </c>
      <c r="C456" s="75"/>
      <c r="D456" s="73"/>
      <c r="E456" s="72"/>
      <c r="F456" s="12"/>
      <c r="G456" s="13"/>
      <c r="H456" s="14" t="str">
        <f t="shared" si="14"/>
        <v>A</v>
      </c>
      <c r="I456" s="15" t="str">
        <f t="shared" si="15"/>
        <v>The Commissioner &amp; Chief Constable are satisfied the spend represents VFM in accordance with the requirements of Category A</v>
      </c>
      <c r="L456" s="17"/>
      <c r="M456" s="17"/>
    </row>
    <row r="457" spans="1:13" s="20" customFormat="1" x14ac:dyDescent="0.2">
      <c r="A457" s="10" t="s">
        <v>8</v>
      </c>
      <c r="B457" s="11" t="s">
        <v>9</v>
      </c>
      <c r="C457" s="75"/>
      <c r="D457" s="73"/>
      <c r="E457" s="72"/>
      <c r="F457" s="12"/>
      <c r="G457" s="13"/>
      <c r="H457" s="14" t="str">
        <f t="shared" si="14"/>
        <v>A</v>
      </c>
      <c r="I457" s="15" t="str">
        <f t="shared" si="15"/>
        <v>The Commissioner &amp; Chief Constable are satisfied the spend represents VFM in accordance with the requirements of Category A</v>
      </c>
      <c r="L457" s="17"/>
      <c r="M457" s="17"/>
    </row>
    <row r="458" spans="1:13" x14ac:dyDescent="0.2">
      <c r="A458" s="10" t="s">
        <v>8</v>
      </c>
      <c r="B458" s="11" t="s">
        <v>9</v>
      </c>
      <c r="C458" s="75"/>
      <c r="D458" s="73"/>
      <c r="E458" s="72"/>
      <c r="F458" s="12"/>
      <c r="G458" s="13"/>
      <c r="H458" s="14" t="str">
        <f t="shared" si="14"/>
        <v>A</v>
      </c>
      <c r="I458" s="15" t="str">
        <f t="shared" si="15"/>
        <v>The Commissioner &amp; Chief Constable are satisfied the spend represents VFM in accordance with the requirements of Category A</v>
      </c>
    </row>
    <row r="459" spans="1:13" x14ac:dyDescent="0.2">
      <c r="A459" s="10" t="s">
        <v>8</v>
      </c>
      <c r="B459" s="11" t="s">
        <v>9</v>
      </c>
      <c r="C459" s="75"/>
      <c r="D459" s="73"/>
      <c r="E459" s="72"/>
      <c r="F459" s="12"/>
      <c r="G459" s="13"/>
      <c r="H459" s="14" t="str">
        <f t="shared" si="14"/>
        <v>A</v>
      </c>
      <c r="I459" s="15" t="str">
        <f t="shared" si="15"/>
        <v>The Commissioner &amp; Chief Constable are satisfied the spend represents VFM in accordance with the requirements of Category A</v>
      </c>
    </row>
    <row r="460" spans="1:13" x14ac:dyDescent="0.2">
      <c r="A460" s="10" t="s">
        <v>8</v>
      </c>
      <c r="B460" s="11" t="s">
        <v>9</v>
      </c>
      <c r="C460" s="75"/>
      <c r="D460" s="73"/>
      <c r="E460" s="72"/>
      <c r="F460" s="12"/>
      <c r="G460" s="13"/>
      <c r="H460" s="14" t="str">
        <f t="shared" si="14"/>
        <v>A</v>
      </c>
      <c r="I460" s="15" t="str">
        <f t="shared" si="15"/>
        <v>The Commissioner &amp; Chief Constable are satisfied the spend represents VFM in accordance with the requirements of Category A</v>
      </c>
    </row>
    <row r="461" spans="1:13" x14ac:dyDescent="0.2">
      <c r="A461" s="10" t="s">
        <v>8</v>
      </c>
      <c r="B461" s="11" t="s">
        <v>9</v>
      </c>
      <c r="C461" s="75"/>
      <c r="D461" s="73"/>
      <c r="E461" s="72"/>
      <c r="F461" s="12"/>
      <c r="G461" s="13"/>
      <c r="H461" s="14" t="str">
        <f t="shared" si="14"/>
        <v>A</v>
      </c>
      <c r="I461" s="15" t="str">
        <f t="shared" si="15"/>
        <v>The Commissioner &amp; Chief Constable are satisfied the spend represents VFM in accordance with the requirements of Category A</v>
      </c>
    </row>
    <row r="462" spans="1:13" x14ac:dyDescent="0.2">
      <c r="A462" s="10" t="s">
        <v>8</v>
      </c>
      <c r="B462" s="11" t="s">
        <v>9</v>
      </c>
      <c r="C462" s="75"/>
      <c r="D462" s="73"/>
      <c r="E462" s="72"/>
      <c r="F462" s="12"/>
      <c r="G462" s="13"/>
      <c r="H462" s="14" t="str">
        <f t="shared" si="14"/>
        <v>A</v>
      </c>
      <c r="I462" s="15" t="str">
        <f t="shared" si="15"/>
        <v>The Commissioner &amp; Chief Constable are satisfied the spend represents VFM in accordance with the requirements of Category A</v>
      </c>
    </row>
    <row r="463" spans="1:13" x14ac:dyDescent="0.2">
      <c r="A463" s="10" t="s">
        <v>8</v>
      </c>
      <c r="B463" s="11" t="s">
        <v>9</v>
      </c>
      <c r="C463" s="75"/>
      <c r="D463" s="73"/>
      <c r="E463" s="72"/>
      <c r="F463" s="12"/>
      <c r="G463" s="13"/>
      <c r="H463" s="14" t="str">
        <f t="shared" si="14"/>
        <v>A</v>
      </c>
      <c r="I463" s="15" t="str">
        <f t="shared" si="15"/>
        <v>The Commissioner &amp; Chief Constable are satisfied the spend represents VFM in accordance with the requirements of Category A</v>
      </c>
    </row>
    <row r="464" spans="1:13" x14ac:dyDescent="0.2">
      <c r="A464" s="10" t="s">
        <v>8</v>
      </c>
      <c r="B464" s="11" t="s">
        <v>9</v>
      </c>
      <c r="C464" s="75"/>
      <c r="D464" s="73"/>
      <c r="E464" s="72"/>
      <c r="F464" s="12"/>
      <c r="G464" s="13"/>
      <c r="H464" s="14" t="str">
        <f t="shared" si="14"/>
        <v>A</v>
      </c>
      <c r="I464" s="15" t="str">
        <f t="shared" si="15"/>
        <v>The Commissioner &amp; Chief Constable are satisfied the spend represents VFM in accordance with the requirements of Category A</v>
      </c>
    </row>
    <row r="465" spans="1:9" x14ac:dyDescent="0.2">
      <c r="A465" s="10" t="s">
        <v>8</v>
      </c>
      <c r="B465" s="11" t="s">
        <v>9</v>
      </c>
      <c r="C465" s="75"/>
      <c r="D465" s="73"/>
      <c r="E465" s="72"/>
      <c r="F465" s="12"/>
      <c r="G465" s="13"/>
      <c r="H465" s="14" t="str">
        <f t="shared" si="14"/>
        <v>A</v>
      </c>
      <c r="I465" s="15" t="str">
        <f t="shared" si="15"/>
        <v>The Commissioner &amp; Chief Constable are satisfied the spend represents VFM in accordance with the requirements of Category A</v>
      </c>
    </row>
    <row r="466" spans="1:9" x14ac:dyDescent="0.2">
      <c r="A466" s="10" t="s">
        <v>8</v>
      </c>
      <c r="B466" s="11" t="s">
        <v>9</v>
      </c>
      <c r="C466" s="75"/>
      <c r="D466" s="73"/>
      <c r="E466" s="72"/>
      <c r="F466" s="12"/>
      <c r="G466" s="13"/>
      <c r="H466" s="14" t="str">
        <f t="shared" si="14"/>
        <v>A</v>
      </c>
      <c r="I466" s="15" t="str">
        <f t="shared" si="15"/>
        <v>The Commissioner &amp; Chief Constable are satisfied the spend represents VFM in accordance with the requirements of Category A</v>
      </c>
    </row>
    <row r="467" spans="1:9" x14ac:dyDescent="0.2">
      <c r="A467" s="10" t="s">
        <v>8</v>
      </c>
      <c r="B467" s="11" t="s">
        <v>9</v>
      </c>
      <c r="C467" s="75"/>
      <c r="D467" s="73"/>
      <c r="E467" s="72"/>
      <c r="F467" s="12"/>
      <c r="G467" s="13"/>
      <c r="H467" s="14" t="str">
        <f t="shared" si="14"/>
        <v>A</v>
      </c>
      <c r="I467" s="15" t="str">
        <f t="shared" si="15"/>
        <v>The Commissioner &amp; Chief Constable are satisfied the spend represents VFM in accordance with the requirements of Category A</v>
      </c>
    </row>
    <row r="468" spans="1:9" x14ac:dyDescent="0.2">
      <c r="A468" s="10" t="s">
        <v>8</v>
      </c>
      <c r="B468" s="11" t="s">
        <v>9</v>
      </c>
      <c r="C468" s="75"/>
      <c r="D468" s="73"/>
      <c r="E468" s="72"/>
      <c r="F468" s="12"/>
      <c r="G468" s="13"/>
      <c r="H468" s="14" t="str">
        <f t="shared" si="14"/>
        <v>A</v>
      </c>
      <c r="I468" s="15" t="str">
        <f t="shared" si="15"/>
        <v>The Commissioner &amp; Chief Constable are satisfied the spend represents VFM in accordance with the requirements of Category A</v>
      </c>
    </row>
    <row r="469" spans="1:9" x14ac:dyDescent="0.2">
      <c r="A469" s="10" t="s">
        <v>8</v>
      </c>
      <c r="B469" s="11" t="s">
        <v>9</v>
      </c>
      <c r="C469" s="75"/>
      <c r="D469" s="73"/>
      <c r="E469" s="72"/>
      <c r="F469" s="12"/>
      <c r="G469" s="13"/>
      <c r="H469" s="14" t="str">
        <f t="shared" si="14"/>
        <v>A</v>
      </c>
      <c r="I469" s="15" t="str">
        <f t="shared" si="15"/>
        <v>The Commissioner &amp; Chief Constable are satisfied the spend represents VFM in accordance with the requirements of Category A</v>
      </c>
    </row>
    <row r="470" spans="1:9" x14ac:dyDescent="0.2">
      <c r="A470" s="10" t="s">
        <v>8</v>
      </c>
      <c r="B470" s="11" t="s">
        <v>9</v>
      </c>
      <c r="C470" s="75"/>
      <c r="D470" s="73"/>
      <c r="E470" s="72"/>
      <c r="F470" s="12"/>
      <c r="G470" s="13"/>
      <c r="H470" s="14" t="str">
        <f t="shared" si="14"/>
        <v>A</v>
      </c>
      <c r="I470" s="15" t="str">
        <f t="shared" si="15"/>
        <v>The Commissioner &amp; Chief Constable are satisfied the spend represents VFM in accordance with the requirements of Category A</v>
      </c>
    </row>
    <row r="471" spans="1:9" x14ac:dyDescent="0.2">
      <c r="A471" s="10" t="s">
        <v>8</v>
      </c>
      <c r="B471" s="11" t="s">
        <v>9</v>
      </c>
      <c r="C471" s="75"/>
      <c r="D471" s="73"/>
      <c r="E471" s="72"/>
      <c r="F471" s="12"/>
      <c r="G471" s="13"/>
      <c r="H471" s="14" t="str">
        <f t="shared" si="14"/>
        <v>A</v>
      </c>
      <c r="I471" s="15" t="str">
        <f t="shared" si="15"/>
        <v>The Commissioner &amp; Chief Constable are satisfied the spend represents VFM in accordance with the requirements of Category A</v>
      </c>
    </row>
    <row r="472" spans="1:9" x14ac:dyDescent="0.2">
      <c r="A472" s="10" t="s">
        <v>8</v>
      </c>
      <c r="B472" s="11" t="s">
        <v>9</v>
      </c>
      <c r="C472" s="75"/>
      <c r="D472" s="73"/>
      <c r="E472" s="72"/>
      <c r="F472" s="12"/>
      <c r="G472" s="13"/>
      <c r="H472" s="14" t="str">
        <f t="shared" si="14"/>
        <v>A</v>
      </c>
      <c r="I472" s="15" t="str">
        <f t="shared" si="15"/>
        <v>The Commissioner &amp; Chief Constable are satisfied the spend represents VFM in accordance with the requirements of Category A</v>
      </c>
    </row>
    <row r="473" spans="1:9" x14ac:dyDescent="0.2">
      <c r="A473" s="10" t="s">
        <v>8</v>
      </c>
      <c r="B473" s="11" t="s">
        <v>9</v>
      </c>
      <c r="C473" s="75"/>
      <c r="D473" s="73"/>
      <c r="E473" s="72"/>
      <c r="F473" s="12"/>
      <c r="G473" s="13"/>
      <c r="H473" s="14" t="str">
        <f t="shared" si="14"/>
        <v>A</v>
      </c>
      <c r="I473" s="15" t="str">
        <f t="shared" si="15"/>
        <v>The Commissioner &amp; Chief Constable are satisfied the spend represents VFM in accordance with the requirements of Category A</v>
      </c>
    </row>
    <row r="474" spans="1:9" x14ac:dyDescent="0.2">
      <c r="A474" s="10" t="s">
        <v>8</v>
      </c>
      <c r="B474" s="11" t="s">
        <v>9</v>
      </c>
      <c r="C474" s="75"/>
      <c r="D474" s="73"/>
      <c r="E474" s="72"/>
      <c r="F474" s="12"/>
      <c r="G474" s="13"/>
      <c r="H474" s="14" t="str">
        <f t="shared" si="14"/>
        <v>A</v>
      </c>
      <c r="I474" s="15" t="str">
        <f t="shared" si="15"/>
        <v>The Commissioner &amp; Chief Constable are satisfied the spend represents VFM in accordance with the requirements of Category A</v>
      </c>
    </row>
    <row r="475" spans="1:9" x14ac:dyDescent="0.2">
      <c r="A475" s="10" t="s">
        <v>8</v>
      </c>
      <c r="B475" s="11" t="s">
        <v>9</v>
      </c>
      <c r="C475" s="75"/>
      <c r="D475" s="73"/>
      <c r="E475" s="72"/>
      <c r="F475" s="12"/>
      <c r="G475" s="13"/>
      <c r="H475" s="14" t="str">
        <f t="shared" si="14"/>
        <v>A</v>
      </c>
      <c r="I475" s="15" t="str">
        <f t="shared" si="15"/>
        <v>The Commissioner &amp; Chief Constable are satisfied the spend represents VFM in accordance with the requirements of Category A</v>
      </c>
    </row>
    <row r="476" spans="1:9" x14ac:dyDescent="0.2">
      <c r="A476" s="10" t="s">
        <v>8</v>
      </c>
      <c r="B476" s="11" t="s">
        <v>9</v>
      </c>
      <c r="C476" s="75"/>
      <c r="D476" s="73"/>
      <c r="E476" s="72"/>
      <c r="F476" s="12"/>
      <c r="G476" s="13"/>
      <c r="H476" s="14" t="str">
        <f t="shared" si="14"/>
        <v>A</v>
      </c>
      <c r="I476" s="15" t="str">
        <f t="shared" si="15"/>
        <v>The Commissioner &amp; Chief Constable are satisfied the spend represents VFM in accordance with the requirements of Category A</v>
      </c>
    </row>
    <row r="477" spans="1:9" x14ac:dyDescent="0.2">
      <c r="A477" s="10" t="s">
        <v>8</v>
      </c>
      <c r="B477" s="11" t="s">
        <v>9</v>
      </c>
      <c r="C477" s="75"/>
      <c r="D477" s="73"/>
      <c r="E477" s="72"/>
      <c r="F477" s="12"/>
      <c r="G477" s="13"/>
      <c r="H477" s="14" t="str">
        <f t="shared" si="14"/>
        <v>A</v>
      </c>
      <c r="I477" s="15" t="str">
        <f t="shared" si="15"/>
        <v>The Commissioner &amp; Chief Constable are satisfied the spend represents VFM in accordance with the requirements of Category A</v>
      </c>
    </row>
    <row r="478" spans="1:9" x14ac:dyDescent="0.2">
      <c r="A478" s="10" t="s">
        <v>8</v>
      </c>
      <c r="B478" s="11" t="s">
        <v>9</v>
      </c>
      <c r="C478" s="75"/>
      <c r="D478" s="73"/>
      <c r="E478" s="72"/>
      <c r="F478" s="12"/>
      <c r="G478" s="13"/>
      <c r="H478" s="14" t="str">
        <f t="shared" si="14"/>
        <v>A</v>
      </c>
      <c r="I478" s="15" t="str">
        <f t="shared" si="15"/>
        <v>The Commissioner &amp; Chief Constable are satisfied the spend represents VFM in accordance with the requirements of Category A</v>
      </c>
    </row>
    <row r="479" spans="1:9" x14ac:dyDescent="0.2">
      <c r="A479" s="10" t="s">
        <v>8</v>
      </c>
      <c r="B479" s="11" t="s">
        <v>9</v>
      </c>
      <c r="C479" s="75"/>
      <c r="D479" s="73"/>
      <c r="E479" s="72"/>
      <c r="F479" s="12"/>
      <c r="G479" s="13"/>
      <c r="H479" s="14" t="str">
        <f t="shared" si="14"/>
        <v>A</v>
      </c>
      <c r="I479" s="15" t="str">
        <f t="shared" si="15"/>
        <v>The Commissioner &amp; Chief Constable are satisfied the spend represents VFM in accordance with the requirements of Category A</v>
      </c>
    </row>
    <row r="480" spans="1:9" x14ac:dyDescent="0.2">
      <c r="A480" s="10" t="s">
        <v>8</v>
      </c>
      <c r="B480" s="11" t="s">
        <v>9</v>
      </c>
      <c r="C480" s="75"/>
      <c r="D480" s="73"/>
      <c r="E480" s="72"/>
      <c r="F480" s="12"/>
      <c r="G480" s="13"/>
      <c r="H480" s="14" t="str">
        <f t="shared" si="14"/>
        <v>A</v>
      </c>
      <c r="I480" s="15" t="str">
        <f t="shared" si="15"/>
        <v>The Commissioner &amp; Chief Constable are satisfied the spend represents VFM in accordance with the requirements of Category A</v>
      </c>
    </row>
    <row r="481" spans="1:9" x14ac:dyDescent="0.2">
      <c r="A481" s="10" t="s">
        <v>8</v>
      </c>
      <c r="B481" s="11" t="s">
        <v>9</v>
      </c>
      <c r="C481" s="75"/>
      <c r="D481" s="73"/>
      <c r="E481" s="72"/>
      <c r="F481" s="12"/>
      <c r="G481" s="13"/>
      <c r="H481" s="14" t="str">
        <f t="shared" si="14"/>
        <v>A</v>
      </c>
      <c r="I481" s="15" t="str">
        <f t="shared" si="15"/>
        <v>The Commissioner &amp; Chief Constable are satisfied the spend represents VFM in accordance with the requirements of Category A</v>
      </c>
    </row>
    <row r="482" spans="1:9" x14ac:dyDescent="0.2">
      <c r="A482" s="10" t="s">
        <v>8</v>
      </c>
      <c r="B482" s="11" t="s">
        <v>9</v>
      </c>
      <c r="C482" s="75"/>
      <c r="D482" s="73"/>
      <c r="E482" s="72"/>
      <c r="F482" s="12"/>
      <c r="G482" s="13"/>
      <c r="H482" s="14" t="str">
        <f t="shared" si="14"/>
        <v>A</v>
      </c>
      <c r="I482" s="15" t="str">
        <f t="shared" si="15"/>
        <v>The Commissioner &amp; Chief Constable are satisfied the spend represents VFM in accordance with the requirements of Category A</v>
      </c>
    </row>
    <row r="483" spans="1:9" x14ac:dyDescent="0.2">
      <c r="A483" s="10" t="s">
        <v>8</v>
      </c>
      <c r="B483" s="11" t="s">
        <v>9</v>
      </c>
      <c r="C483" s="75"/>
      <c r="D483" s="73"/>
      <c r="E483" s="72"/>
      <c r="F483" s="12"/>
      <c r="G483" s="13"/>
      <c r="H483" s="14" t="str">
        <f t="shared" si="14"/>
        <v>A</v>
      </c>
      <c r="I483" s="15" t="str">
        <f t="shared" si="15"/>
        <v>The Commissioner &amp; Chief Constable are satisfied the spend represents VFM in accordance with the requirements of Category A</v>
      </c>
    </row>
    <row r="484" spans="1:9" x14ac:dyDescent="0.2">
      <c r="A484" s="10" t="s">
        <v>8</v>
      </c>
      <c r="B484" s="11" t="s">
        <v>9</v>
      </c>
      <c r="C484" s="75"/>
      <c r="D484" s="73"/>
      <c r="E484" s="72"/>
      <c r="F484" s="12"/>
      <c r="G484" s="13"/>
      <c r="H484" s="14" t="str">
        <f t="shared" si="14"/>
        <v>A</v>
      </c>
      <c r="I484" s="15" t="str">
        <f t="shared" si="15"/>
        <v>The Commissioner &amp; Chief Constable are satisfied the spend represents VFM in accordance with the requirements of Category A</v>
      </c>
    </row>
    <row r="485" spans="1:9" x14ac:dyDescent="0.2">
      <c r="A485" s="10" t="s">
        <v>8</v>
      </c>
      <c r="B485" s="11" t="s">
        <v>9</v>
      </c>
      <c r="C485" s="75"/>
      <c r="D485" s="73"/>
      <c r="E485" s="72"/>
      <c r="F485" s="12"/>
      <c r="G485" s="13"/>
      <c r="H485" s="14" t="str">
        <f t="shared" si="14"/>
        <v>A</v>
      </c>
      <c r="I485" s="15" t="str">
        <f t="shared" si="15"/>
        <v>The Commissioner &amp; Chief Constable are satisfied the spend represents VFM in accordance with the requirements of Category A</v>
      </c>
    </row>
    <row r="486" spans="1:9" x14ac:dyDescent="0.2">
      <c r="A486" s="10" t="s">
        <v>8</v>
      </c>
      <c r="B486" s="11" t="s">
        <v>9</v>
      </c>
      <c r="C486" s="75"/>
      <c r="D486" s="73"/>
      <c r="E486" s="72"/>
      <c r="F486" s="12"/>
      <c r="G486" s="13"/>
      <c r="H486" s="14" t="str">
        <f t="shared" si="14"/>
        <v>A</v>
      </c>
      <c r="I486" s="15" t="str">
        <f t="shared" si="15"/>
        <v>The Commissioner &amp; Chief Constable are satisfied the spend represents VFM in accordance with the requirements of Category A</v>
      </c>
    </row>
    <row r="487" spans="1:9" x14ac:dyDescent="0.2">
      <c r="A487" s="10" t="s">
        <v>8</v>
      </c>
      <c r="B487" s="11" t="s">
        <v>9</v>
      </c>
      <c r="C487" s="75"/>
      <c r="D487" s="73"/>
      <c r="E487" s="72"/>
      <c r="F487" s="12"/>
      <c r="G487" s="13"/>
      <c r="H487" s="14" t="str">
        <f t="shared" si="14"/>
        <v>A</v>
      </c>
      <c r="I487" s="15" t="str">
        <f t="shared" si="15"/>
        <v>The Commissioner &amp; Chief Constable are satisfied the spend represents VFM in accordance with the requirements of Category A</v>
      </c>
    </row>
    <row r="488" spans="1:9" x14ac:dyDescent="0.2">
      <c r="A488" s="10" t="s">
        <v>8</v>
      </c>
      <c r="B488" s="11" t="s">
        <v>9</v>
      </c>
      <c r="C488" s="75"/>
      <c r="D488" s="73"/>
      <c r="E488" s="72"/>
      <c r="F488" s="12"/>
      <c r="G488" s="13"/>
      <c r="H488" s="14" t="str">
        <f t="shared" si="14"/>
        <v>A</v>
      </c>
      <c r="I488" s="15" t="str">
        <f t="shared" si="15"/>
        <v>The Commissioner &amp; Chief Constable are satisfied the spend represents VFM in accordance with the requirements of Category A</v>
      </c>
    </row>
    <row r="489" spans="1:9" x14ac:dyDescent="0.2">
      <c r="A489" s="10" t="s">
        <v>8</v>
      </c>
      <c r="B489" s="11" t="s">
        <v>9</v>
      </c>
      <c r="C489" s="75"/>
      <c r="D489" s="73"/>
      <c r="E489" s="72"/>
      <c r="F489" s="12"/>
      <c r="G489" s="13"/>
      <c r="H489" s="14" t="str">
        <f t="shared" si="14"/>
        <v>A</v>
      </c>
      <c r="I489" s="15" t="str">
        <f t="shared" si="15"/>
        <v>The Commissioner &amp; Chief Constable are satisfied the spend represents VFM in accordance with the requirements of Category A</v>
      </c>
    </row>
    <row r="490" spans="1:9" x14ac:dyDescent="0.2">
      <c r="A490" s="10" t="s">
        <v>8</v>
      </c>
      <c r="B490" s="11" t="s">
        <v>9</v>
      </c>
      <c r="C490" s="75"/>
      <c r="D490" s="73"/>
      <c r="E490" s="72"/>
      <c r="F490" s="12"/>
      <c r="G490" s="13"/>
      <c r="H490" s="14" t="str">
        <f t="shared" si="14"/>
        <v>A</v>
      </c>
      <c r="I490" s="15" t="str">
        <f t="shared" si="15"/>
        <v>The Commissioner &amp; Chief Constable are satisfied the spend represents VFM in accordance with the requirements of Category A</v>
      </c>
    </row>
    <row r="491" spans="1:9" x14ac:dyDescent="0.2">
      <c r="A491" s="10" t="s">
        <v>8</v>
      </c>
      <c r="B491" s="11" t="s">
        <v>9</v>
      </c>
      <c r="C491" s="75"/>
      <c r="D491" s="73"/>
      <c r="E491" s="72"/>
      <c r="F491" s="12"/>
      <c r="G491" s="13"/>
      <c r="H491" s="14" t="str">
        <f t="shared" si="14"/>
        <v>A</v>
      </c>
      <c r="I491" s="15" t="str">
        <f t="shared" si="15"/>
        <v>The Commissioner &amp; Chief Constable are satisfied the spend represents VFM in accordance with the requirements of Category A</v>
      </c>
    </row>
    <row r="492" spans="1:9" x14ac:dyDescent="0.2">
      <c r="A492" s="10" t="s">
        <v>8</v>
      </c>
      <c r="B492" s="11" t="s">
        <v>9</v>
      </c>
      <c r="C492" s="75"/>
      <c r="D492" s="73"/>
      <c r="E492" s="72"/>
      <c r="F492" s="12"/>
      <c r="G492" s="13"/>
      <c r="H492" s="14" t="str">
        <f t="shared" si="14"/>
        <v>A</v>
      </c>
      <c r="I492" s="15" t="str">
        <f t="shared" si="15"/>
        <v>The Commissioner &amp; Chief Constable are satisfied the spend represents VFM in accordance with the requirements of Category A</v>
      </c>
    </row>
    <row r="493" spans="1:9" x14ac:dyDescent="0.2">
      <c r="A493" s="10" t="s">
        <v>8</v>
      </c>
      <c r="B493" s="11" t="s">
        <v>9</v>
      </c>
      <c r="C493" s="75"/>
      <c r="D493" s="73"/>
      <c r="E493" s="72"/>
      <c r="F493" s="12"/>
      <c r="G493" s="13"/>
      <c r="H493" s="14" t="str">
        <f t="shared" si="14"/>
        <v>A</v>
      </c>
      <c r="I493" s="15" t="str">
        <f t="shared" si="15"/>
        <v>The Commissioner &amp; Chief Constable are satisfied the spend represents VFM in accordance with the requirements of Category A</v>
      </c>
    </row>
    <row r="494" spans="1:9" x14ac:dyDescent="0.2">
      <c r="A494" s="10" t="s">
        <v>8</v>
      </c>
      <c r="B494" s="11" t="s">
        <v>9</v>
      </c>
      <c r="C494" s="75"/>
      <c r="D494" s="73"/>
      <c r="E494" s="72"/>
      <c r="F494" s="12"/>
      <c r="G494" s="13"/>
      <c r="H494" s="14" t="str">
        <f t="shared" si="14"/>
        <v>A</v>
      </c>
      <c r="I494" s="15" t="str">
        <f t="shared" si="15"/>
        <v>The Commissioner &amp; Chief Constable are satisfied the spend represents VFM in accordance with the requirements of Category A</v>
      </c>
    </row>
    <row r="495" spans="1:9" x14ac:dyDescent="0.2">
      <c r="A495" s="10" t="s">
        <v>8</v>
      </c>
      <c r="B495" s="11" t="s">
        <v>9</v>
      </c>
      <c r="C495" s="75"/>
      <c r="D495" s="73"/>
      <c r="E495" s="72"/>
      <c r="F495" s="12"/>
      <c r="G495" s="13"/>
      <c r="H495" s="14" t="str">
        <f t="shared" si="14"/>
        <v>A</v>
      </c>
      <c r="I495" s="15" t="str">
        <f t="shared" si="15"/>
        <v>The Commissioner &amp; Chief Constable are satisfied the spend represents VFM in accordance with the requirements of Category A</v>
      </c>
    </row>
    <row r="496" spans="1:9" x14ac:dyDescent="0.2">
      <c r="A496" s="10" t="s">
        <v>8</v>
      </c>
      <c r="B496" s="11" t="s">
        <v>9</v>
      </c>
      <c r="C496" s="75"/>
      <c r="D496" s="73"/>
      <c r="E496" s="72"/>
      <c r="F496" s="12"/>
      <c r="G496" s="13"/>
      <c r="H496" s="14" t="str">
        <f t="shared" si="14"/>
        <v>A</v>
      </c>
      <c r="I496" s="15" t="str">
        <f t="shared" si="15"/>
        <v>The Commissioner &amp; Chief Constable are satisfied the spend represents VFM in accordance with the requirements of Category A</v>
      </c>
    </row>
    <row r="497" spans="1:9" x14ac:dyDescent="0.2">
      <c r="A497" s="10" t="s">
        <v>8</v>
      </c>
      <c r="B497" s="11" t="s">
        <v>9</v>
      </c>
      <c r="C497" s="75"/>
      <c r="D497" s="73"/>
      <c r="E497" s="72"/>
      <c r="F497" s="12"/>
      <c r="G497" s="13"/>
      <c r="H497" s="14" t="str">
        <f t="shared" si="14"/>
        <v>A</v>
      </c>
      <c r="I497" s="15" t="str">
        <f t="shared" si="15"/>
        <v>The Commissioner &amp; Chief Constable are satisfied the spend represents VFM in accordance with the requirements of Category A</v>
      </c>
    </row>
    <row r="498" spans="1:9" x14ac:dyDescent="0.2">
      <c r="A498" s="10" t="s">
        <v>8</v>
      </c>
      <c r="B498" s="11" t="s">
        <v>9</v>
      </c>
      <c r="C498" s="75"/>
      <c r="D498" s="73"/>
      <c r="E498" s="72"/>
      <c r="F498" s="12"/>
      <c r="G498" s="13"/>
      <c r="H498" s="14" t="str">
        <f t="shared" si="14"/>
        <v>A</v>
      </c>
      <c r="I498" s="15" t="str">
        <f t="shared" si="15"/>
        <v>The Commissioner &amp; Chief Constable are satisfied the spend represents VFM in accordance with the requirements of Category A</v>
      </c>
    </row>
    <row r="499" spans="1:9" x14ac:dyDescent="0.2">
      <c r="A499" s="10" t="s">
        <v>8</v>
      </c>
      <c r="B499" s="11" t="s">
        <v>9</v>
      </c>
      <c r="C499" s="75"/>
      <c r="D499" s="73"/>
      <c r="E499" s="72"/>
      <c r="F499" s="12"/>
      <c r="G499" s="13"/>
      <c r="H499" s="14" t="str">
        <f t="shared" si="14"/>
        <v>A</v>
      </c>
      <c r="I499" s="15" t="str">
        <f t="shared" si="15"/>
        <v>The Commissioner &amp; Chief Constable are satisfied the spend represents VFM in accordance with the requirements of Category A</v>
      </c>
    </row>
    <row r="500" spans="1:9" x14ac:dyDescent="0.2">
      <c r="A500" s="10" t="s">
        <v>8</v>
      </c>
      <c r="B500" s="11" t="s">
        <v>9</v>
      </c>
      <c r="C500" s="75"/>
      <c r="D500" s="73"/>
      <c r="E500" s="72"/>
      <c r="F500" s="12"/>
      <c r="G500" s="13"/>
      <c r="H500" s="14" t="str">
        <f t="shared" si="14"/>
        <v>A</v>
      </c>
      <c r="I500" s="15" t="str">
        <f t="shared" si="15"/>
        <v>The Commissioner &amp; Chief Constable are satisfied the spend represents VFM in accordance with the requirements of Category A</v>
      </c>
    </row>
    <row r="501" spans="1:9" x14ac:dyDescent="0.2">
      <c r="A501" s="10" t="s">
        <v>8</v>
      </c>
      <c r="B501" s="11" t="s">
        <v>9</v>
      </c>
      <c r="C501" s="75"/>
      <c r="D501" s="73"/>
      <c r="E501" s="72"/>
      <c r="F501" s="12"/>
      <c r="G501" s="13"/>
      <c r="H501" s="14" t="str">
        <f t="shared" si="14"/>
        <v>A</v>
      </c>
      <c r="I501" s="15" t="str">
        <f t="shared" si="15"/>
        <v>The Commissioner &amp; Chief Constable are satisfied the spend represents VFM in accordance with the requirements of Category A</v>
      </c>
    </row>
    <row r="502" spans="1:9" x14ac:dyDescent="0.2">
      <c r="A502" s="10" t="s">
        <v>8</v>
      </c>
      <c r="B502" s="11" t="s">
        <v>9</v>
      </c>
      <c r="C502" s="75"/>
      <c r="D502" s="73"/>
      <c r="E502" s="72"/>
      <c r="F502" s="12"/>
      <c r="G502" s="13"/>
      <c r="H502" s="14" t="str">
        <f t="shared" si="14"/>
        <v>A</v>
      </c>
      <c r="I502" s="15" t="str">
        <f t="shared" si="15"/>
        <v>The Commissioner &amp; Chief Constable are satisfied the spend represents VFM in accordance with the requirements of Category A</v>
      </c>
    </row>
    <row r="503" spans="1:9" x14ac:dyDescent="0.2">
      <c r="A503" s="10" t="s">
        <v>8</v>
      </c>
      <c r="B503" s="11" t="s">
        <v>9</v>
      </c>
      <c r="C503" s="75"/>
      <c r="D503" s="73"/>
      <c r="E503" s="72"/>
      <c r="F503" s="12"/>
      <c r="G503" s="13"/>
      <c r="H503" s="14" t="str">
        <f t="shared" si="14"/>
        <v>A</v>
      </c>
      <c r="I503" s="15" t="str">
        <f t="shared" si="15"/>
        <v>The Commissioner &amp; Chief Constable are satisfied the spend represents VFM in accordance with the requirements of Category A</v>
      </c>
    </row>
    <row r="504" spans="1:9" x14ac:dyDescent="0.2">
      <c r="A504" s="10" t="s">
        <v>8</v>
      </c>
      <c r="B504" s="11" t="s">
        <v>9</v>
      </c>
      <c r="C504" s="75"/>
      <c r="D504" s="73"/>
      <c r="E504" s="72"/>
      <c r="F504" s="12"/>
      <c r="G504" s="13"/>
      <c r="H504" s="14" t="str">
        <f t="shared" si="14"/>
        <v>A</v>
      </c>
      <c r="I504" s="15" t="str">
        <f t="shared" si="15"/>
        <v>The Commissioner &amp; Chief Constable are satisfied the spend represents VFM in accordance with the requirements of Category A</v>
      </c>
    </row>
    <row r="505" spans="1:9" x14ac:dyDescent="0.2">
      <c r="A505" s="10" t="s">
        <v>8</v>
      </c>
      <c r="B505" s="11" t="s">
        <v>9</v>
      </c>
      <c r="C505" s="75"/>
      <c r="D505" s="73"/>
      <c r="E505" s="72"/>
      <c r="F505" s="12"/>
      <c r="G505" s="13"/>
      <c r="H505" s="14" t="str">
        <f t="shared" si="14"/>
        <v>A</v>
      </c>
      <c r="I505" s="15" t="str">
        <f t="shared" si="15"/>
        <v>The Commissioner &amp; Chief Constable are satisfied the spend represents VFM in accordance with the requirements of Category A</v>
      </c>
    </row>
    <row r="506" spans="1:9" x14ac:dyDescent="0.2">
      <c r="A506" s="10" t="s">
        <v>8</v>
      </c>
      <c r="B506" s="11" t="s">
        <v>9</v>
      </c>
      <c r="C506" s="75"/>
      <c r="D506" s="73"/>
      <c r="E506" s="72"/>
      <c r="F506" s="12"/>
      <c r="G506" s="13"/>
      <c r="H506" s="14" t="str">
        <f t="shared" si="14"/>
        <v>A</v>
      </c>
      <c r="I506" s="15" t="str">
        <f t="shared" si="15"/>
        <v>The Commissioner &amp; Chief Constable are satisfied the spend represents VFM in accordance with the requirements of Category A</v>
      </c>
    </row>
    <row r="507" spans="1:9" x14ac:dyDescent="0.2">
      <c r="A507" s="10" t="s">
        <v>8</v>
      </c>
      <c r="B507" s="11" t="s">
        <v>9</v>
      </c>
      <c r="C507" s="75"/>
      <c r="D507" s="73"/>
      <c r="E507" s="72"/>
      <c r="F507" s="12"/>
      <c r="G507" s="13"/>
      <c r="H507" s="14" t="str">
        <f t="shared" si="14"/>
        <v>A</v>
      </c>
      <c r="I507" s="15" t="str">
        <f t="shared" si="15"/>
        <v>The Commissioner &amp; Chief Constable are satisfied the spend represents VFM in accordance with the requirements of Category A</v>
      </c>
    </row>
    <row r="508" spans="1:9" x14ac:dyDescent="0.2">
      <c r="A508" s="10" t="s">
        <v>8</v>
      </c>
      <c r="B508" s="11" t="s">
        <v>9</v>
      </c>
      <c r="C508" s="75"/>
      <c r="D508" s="73"/>
      <c r="E508" s="72"/>
      <c r="F508" s="12"/>
      <c r="G508" s="13"/>
      <c r="H508" s="14" t="str">
        <f t="shared" si="14"/>
        <v>A</v>
      </c>
      <c r="I508" s="15" t="str">
        <f t="shared" si="15"/>
        <v>The Commissioner &amp; Chief Constable are satisfied the spend represents VFM in accordance with the requirements of Category A</v>
      </c>
    </row>
    <row r="509" spans="1:9" x14ac:dyDescent="0.2">
      <c r="A509" s="10" t="s">
        <v>8</v>
      </c>
      <c r="B509" s="11" t="s">
        <v>9</v>
      </c>
      <c r="C509" s="75"/>
      <c r="D509" s="73"/>
      <c r="E509" s="72"/>
      <c r="F509" s="12"/>
      <c r="G509" s="13"/>
      <c r="H509" s="14" t="str">
        <f t="shared" si="14"/>
        <v>A</v>
      </c>
      <c r="I509" s="15" t="str">
        <f t="shared" si="15"/>
        <v>The Commissioner &amp; Chief Constable are satisfied the spend represents VFM in accordance with the requirements of Category A</v>
      </c>
    </row>
    <row r="510" spans="1:9" x14ac:dyDescent="0.2">
      <c r="A510" s="10" t="s">
        <v>8</v>
      </c>
      <c r="B510" s="11" t="s">
        <v>9</v>
      </c>
      <c r="C510" s="75"/>
      <c r="D510" s="73"/>
      <c r="E510" s="72"/>
      <c r="F510" s="12"/>
      <c r="G510" s="13"/>
      <c r="H510" s="14" t="str">
        <f t="shared" si="14"/>
        <v>A</v>
      </c>
      <c r="I510" s="15" t="str">
        <f t="shared" si="15"/>
        <v>The Commissioner &amp; Chief Constable are satisfied the spend represents VFM in accordance with the requirements of Category A</v>
      </c>
    </row>
    <row r="511" spans="1:9" x14ac:dyDescent="0.2">
      <c r="A511" s="10" t="s">
        <v>8</v>
      </c>
      <c r="B511" s="11" t="s">
        <v>9</v>
      </c>
      <c r="C511" s="75"/>
      <c r="D511" s="73"/>
      <c r="E511" s="72"/>
      <c r="F511" s="12"/>
      <c r="G511" s="13"/>
      <c r="H511" s="14" t="str">
        <f t="shared" si="14"/>
        <v>A</v>
      </c>
      <c r="I511" s="15" t="str">
        <f t="shared" si="15"/>
        <v>The Commissioner &amp; Chief Constable are satisfied the spend represents VFM in accordance with the requirements of Category A</v>
      </c>
    </row>
    <row r="512" spans="1:9" x14ac:dyDescent="0.2">
      <c r="A512" s="10" t="s">
        <v>8</v>
      </c>
      <c r="B512" s="11" t="s">
        <v>9</v>
      </c>
      <c r="C512" s="75"/>
      <c r="D512" s="73"/>
      <c r="E512" s="72"/>
      <c r="F512" s="12"/>
      <c r="G512" s="13"/>
      <c r="H512" s="14" t="str">
        <f t="shared" si="14"/>
        <v>A</v>
      </c>
      <c r="I512" s="15" t="str">
        <f t="shared" si="15"/>
        <v>The Commissioner &amp; Chief Constable are satisfied the spend represents VFM in accordance with the requirements of Category A</v>
      </c>
    </row>
    <row r="513" spans="1:9" x14ac:dyDescent="0.2">
      <c r="A513" s="10" t="s">
        <v>8</v>
      </c>
      <c r="B513" s="11" t="s">
        <v>9</v>
      </c>
      <c r="C513" s="75"/>
      <c r="D513" s="73"/>
      <c r="E513" s="72"/>
      <c r="F513" s="12"/>
      <c r="G513" s="13"/>
      <c r="H513" s="14" t="str">
        <f t="shared" si="14"/>
        <v>A</v>
      </c>
      <c r="I513" s="15" t="str">
        <f t="shared" si="15"/>
        <v>The Commissioner &amp; Chief Constable are satisfied the spend represents VFM in accordance with the requirements of Category A</v>
      </c>
    </row>
    <row r="514" spans="1:9" x14ac:dyDescent="0.2">
      <c r="A514" s="10" t="s">
        <v>8</v>
      </c>
      <c r="B514" s="11" t="s">
        <v>9</v>
      </c>
      <c r="C514" s="75"/>
      <c r="D514" s="73"/>
      <c r="E514" s="72"/>
      <c r="F514" s="12"/>
      <c r="G514" s="13"/>
      <c r="H514" s="14" t="str">
        <f t="shared" ref="H514:H566" si="16">IF(F514&gt;25000,"C",IF(F514&gt;1000,"B","A"))</f>
        <v>A</v>
      </c>
      <c r="I514" s="15" t="str">
        <f t="shared" ref="I514:I566" si="17">VLOOKUP(H514,$L$2:$M$4,2,FALSE)</f>
        <v>The Commissioner &amp; Chief Constable are satisfied the spend represents VFM in accordance with the requirements of Category A</v>
      </c>
    </row>
    <row r="515" spans="1:9" x14ac:dyDescent="0.2">
      <c r="A515" s="10" t="s">
        <v>8</v>
      </c>
      <c r="B515" s="11" t="s">
        <v>9</v>
      </c>
      <c r="C515" s="75"/>
      <c r="D515" s="73"/>
      <c r="E515" s="72"/>
      <c r="F515" s="12"/>
      <c r="G515" s="13"/>
      <c r="H515" s="14" t="str">
        <f t="shared" si="16"/>
        <v>A</v>
      </c>
      <c r="I515" s="15" t="str">
        <f t="shared" si="17"/>
        <v>The Commissioner &amp; Chief Constable are satisfied the spend represents VFM in accordance with the requirements of Category A</v>
      </c>
    </row>
    <row r="516" spans="1:9" x14ac:dyDescent="0.2">
      <c r="A516" s="10" t="s">
        <v>8</v>
      </c>
      <c r="B516" s="11" t="s">
        <v>9</v>
      </c>
      <c r="C516" s="75"/>
      <c r="D516" s="73"/>
      <c r="E516" s="72"/>
      <c r="F516" s="12"/>
      <c r="G516" s="13"/>
      <c r="H516" s="14" t="str">
        <f t="shared" si="16"/>
        <v>A</v>
      </c>
      <c r="I516" s="15" t="str">
        <f t="shared" si="17"/>
        <v>The Commissioner &amp; Chief Constable are satisfied the spend represents VFM in accordance with the requirements of Category A</v>
      </c>
    </row>
    <row r="517" spans="1:9" x14ac:dyDescent="0.2">
      <c r="A517" s="10" t="s">
        <v>8</v>
      </c>
      <c r="B517" s="11" t="s">
        <v>9</v>
      </c>
      <c r="C517" s="75"/>
      <c r="D517" s="73"/>
      <c r="E517" s="72"/>
      <c r="F517" s="12"/>
      <c r="G517" s="13"/>
      <c r="H517" s="14" t="str">
        <f t="shared" si="16"/>
        <v>A</v>
      </c>
      <c r="I517" s="15" t="str">
        <f t="shared" si="17"/>
        <v>The Commissioner &amp; Chief Constable are satisfied the spend represents VFM in accordance with the requirements of Category A</v>
      </c>
    </row>
    <row r="518" spans="1:9" x14ac:dyDescent="0.2">
      <c r="A518" s="10" t="s">
        <v>8</v>
      </c>
      <c r="B518" s="11" t="s">
        <v>9</v>
      </c>
      <c r="C518" s="75"/>
      <c r="D518" s="73"/>
      <c r="E518" s="72"/>
      <c r="F518" s="12"/>
      <c r="G518" s="13"/>
      <c r="H518" s="14" t="str">
        <f t="shared" si="16"/>
        <v>A</v>
      </c>
      <c r="I518" s="15" t="str">
        <f t="shared" si="17"/>
        <v>The Commissioner &amp; Chief Constable are satisfied the spend represents VFM in accordance with the requirements of Category A</v>
      </c>
    </row>
    <row r="519" spans="1:9" x14ac:dyDescent="0.2">
      <c r="A519" s="10" t="s">
        <v>8</v>
      </c>
      <c r="B519" s="11" t="s">
        <v>9</v>
      </c>
      <c r="C519" s="75"/>
      <c r="D519" s="73"/>
      <c r="E519" s="72"/>
      <c r="F519" s="12"/>
      <c r="G519" s="13"/>
      <c r="H519" s="14" t="str">
        <f t="shared" si="16"/>
        <v>A</v>
      </c>
      <c r="I519" s="15" t="str">
        <f t="shared" si="17"/>
        <v>The Commissioner &amp; Chief Constable are satisfied the spend represents VFM in accordance with the requirements of Category A</v>
      </c>
    </row>
    <row r="520" spans="1:9" x14ac:dyDescent="0.2">
      <c r="A520" s="10" t="s">
        <v>8</v>
      </c>
      <c r="B520" s="11" t="s">
        <v>9</v>
      </c>
      <c r="C520" s="75"/>
      <c r="D520" s="73"/>
      <c r="E520" s="72"/>
      <c r="F520" s="12"/>
      <c r="G520" s="13"/>
      <c r="H520" s="14" t="str">
        <f t="shared" si="16"/>
        <v>A</v>
      </c>
      <c r="I520" s="15" t="str">
        <f t="shared" si="17"/>
        <v>The Commissioner &amp; Chief Constable are satisfied the spend represents VFM in accordance with the requirements of Category A</v>
      </c>
    </row>
    <row r="521" spans="1:9" x14ac:dyDescent="0.2">
      <c r="A521" s="10" t="s">
        <v>8</v>
      </c>
      <c r="B521" s="11" t="s">
        <v>9</v>
      </c>
      <c r="C521" s="75"/>
      <c r="D521" s="73"/>
      <c r="E521" s="72"/>
      <c r="F521" s="12"/>
      <c r="G521" s="13"/>
      <c r="H521" s="14" t="str">
        <f t="shared" si="16"/>
        <v>A</v>
      </c>
      <c r="I521" s="15" t="str">
        <f t="shared" si="17"/>
        <v>The Commissioner &amp; Chief Constable are satisfied the spend represents VFM in accordance with the requirements of Category A</v>
      </c>
    </row>
    <row r="522" spans="1:9" x14ac:dyDescent="0.2">
      <c r="A522" s="10" t="s">
        <v>8</v>
      </c>
      <c r="B522" s="11" t="s">
        <v>9</v>
      </c>
      <c r="C522" s="75"/>
      <c r="D522" s="73"/>
      <c r="E522" s="72"/>
      <c r="F522" s="12"/>
      <c r="G522" s="13"/>
      <c r="H522" s="14" t="str">
        <f t="shared" si="16"/>
        <v>A</v>
      </c>
      <c r="I522" s="15" t="str">
        <f t="shared" si="17"/>
        <v>The Commissioner &amp; Chief Constable are satisfied the spend represents VFM in accordance with the requirements of Category A</v>
      </c>
    </row>
    <row r="523" spans="1:9" x14ac:dyDescent="0.2">
      <c r="A523" s="10" t="s">
        <v>8</v>
      </c>
      <c r="B523" s="11" t="s">
        <v>9</v>
      </c>
      <c r="C523" s="76"/>
      <c r="D523" s="73"/>
      <c r="E523" s="72"/>
      <c r="F523" s="12"/>
      <c r="G523" s="13"/>
      <c r="H523" s="14" t="str">
        <f t="shared" si="16"/>
        <v>A</v>
      </c>
      <c r="I523" s="15" t="str">
        <f t="shared" si="17"/>
        <v>The Commissioner &amp; Chief Constable are satisfied the spend represents VFM in accordance with the requirements of Category A</v>
      </c>
    </row>
    <row r="524" spans="1:9" x14ac:dyDescent="0.2">
      <c r="A524" s="10" t="s">
        <v>8</v>
      </c>
      <c r="B524" s="11" t="s">
        <v>9</v>
      </c>
      <c r="C524" s="76"/>
      <c r="D524" s="73"/>
      <c r="E524" s="72"/>
      <c r="F524" s="12"/>
      <c r="G524" s="13"/>
      <c r="H524" s="14" t="str">
        <f t="shared" si="16"/>
        <v>A</v>
      </c>
      <c r="I524" s="15" t="str">
        <f t="shared" si="17"/>
        <v>The Commissioner &amp; Chief Constable are satisfied the spend represents VFM in accordance with the requirements of Category A</v>
      </c>
    </row>
    <row r="525" spans="1:9" x14ac:dyDescent="0.2">
      <c r="A525" s="10" t="s">
        <v>8</v>
      </c>
      <c r="B525" s="11" t="s">
        <v>9</v>
      </c>
      <c r="C525" s="75"/>
      <c r="D525" s="73"/>
      <c r="E525" s="72"/>
      <c r="F525" s="12"/>
      <c r="G525" s="13"/>
      <c r="H525" s="14" t="str">
        <f t="shared" si="16"/>
        <v>A</v>
      </c>
      <c r="I525" s="15" t="str">
        <f t="shared" si="17"/>
        <v>The Commissioner &amp; Chief Constable are satisfied the spend represents VFM in accordance with the requirements of Category A</v>
      </c>
    </row>
    <row r="526" spans="1:9" x14ac:dyDescent="0.2">
      <c r="A526" s="10" t="s">
        <v>8</v>
      </c>
      <c r="B526" s="11" t="s">
        <v>9</v>
      </c>
      <c r="C526" s="75"/>
      <c r="D526" s="73"/>
      <c r="E526" s="72"/>
      <c r="F526" s="12"/>
      <c r="G526" s="13"/>
      <c r="H526" s="14" t="str">
        <f t="shared" si="16"/>
        <v>A</v>
      </c>
      <c r="I526" s="15" t="str">
        <f t="shared" si="17"/>
        <v>The Commissioner &amp; Chief Constable are satisfied the spend represents VFM in accordance with the requirements of Category A</v>
      </c>
    </row>
    <row r="527" spans="1:9" x14ac:dyDescent="0.2">
      <c r="A527" s="10" t="s">
        <v>8</v>
      </c>
      <c r="B527" s="11" t="s">
        <v>9</v>
      </c>
      <c r="C527" s="75"/>
      <c r="D527" s="73"/>
      <c r="E527" s="72"/>
      <c r="F527" s="12"/>
      <c r="G527" s="13"/>
      <c r="H527" s="14" t="str">
        <f t="shared" si="16"/>
        <v>A</v>
      </c>
      <c r="I527" s="15" t="str">
        <f t="shared" si="17"/>
        <v>The Commissioner &amp; Chief Constable are satisfied the spend represents VFM in accordance with the requirements of Category A</v>
      </c>
    </row>
    <row r="528" spans="1:9" x14ac:dyDescent="0.2">
      <c r="A528" s="10" t="s">
        <v>8</v>
      </c>
      <c r="B528" s="11" t="s">
        <v>9</v>
      </c>
      <c r="C528" s="75"/>
      <c r="D528" s="73"/>
      <c r="E528" s="72"/>
      <c r="F528" s="12"/>
      <c r="G528" s="13"/>
      <c r="H528" s="14" t="str">
        <f t="shared" si="16"/>
        <v>A</v>
      </c>
      <c r="I528" s="15" t="str">
        <f t="shared" si="17"/>
        <v>The Commissioner &amp; Chief Constable are satisfied the spend represents VFM in accordance with the requirements of Category A</v>
      </c>
    </row>
    <row r="529" spans="1:9" x14ac:dyDescent="0.2">
      <c r="A529" s="10" t="s">
        <v>8</v>
      </c>
      <c r="B529" s="11" t="s">
        <v>9</v>
      </c>
      <c r="C529" s="75"/>
      <c r="D529" s="73"/>
      <c r="E529" s="72"/>
      <c r="F529" s="12"/>
      <c r="G529" s="13"/>
      <c r="H529" s="14" t="str">
        <f t="shared" si="16"/>
        <v>A</v>
      </c>
      <c r="I529" s="15" t="str">
        <f t="shared" si="17"/>
        <v>The Commissioner &amp; Chief Constable are satisfied the spend represents VFM in accordance with the requirements of Category A</v>
      </c>
    </row>
    <row r="530" spans="1:9" x14ac:dyDescent="0.2">
      <c r="A530" s="10" t="s">
        <v>8</v>
      </c>
      <c r="B530" s="11" t="s">
        <v>9</v>
      </c>
      <c r="C530" s="75"/>
      <c r="D530" s="73"/>
      <c r="E530" s="72"/>
      <c r="F530" s="12"/>
      <c r="G530" s="13"/>
      <c r="H530" s="14" t="str">
        <f t="shared" si="16"/>
        <v>A</v>
      </c>
      <c r="I530" s="15" t="str">
        <f t="shared" si="17"/>
        <v>The Commissioner &amp; Chief Constable are satisfied the spend represents VFM in accordance with the requirements of Category A</v>
      </c>
    </row>
    <row r="531" spans="1:9" x14ac:dyDescent="0.2">
      <c r="A531" s="10" t="s">
        <v>8</v>
      </c>
      <c r="B531" s="11" t="s">
        <v>9</v>
      </c>
      <c r="C531" s="75"/>
      <c r="D531" s="73"/>
      <c r="E531" s="72"/>
      <c r="F531" s="12"/>
      <c r="G531" s="13"/>
      <c r="H531" s="14" t="str">
        <f t="shared" si="16"/>
        <v>A</v>
      </c>
      <c r="I531" s="15" t="str">
        <f t="shared" si="17"/>
        <v>The Commissioner &amp; Chief Constable are satisfied the spend represents VFM in accordance with the requirements of Category A</v>
      </c>
    </row>
    <row r="532" spans="1:9" x14ac:dyDescent="0.2">
      <c r="A532" s="10" t="s">
        <v>8</v>
      </c>
      <c r="B532" s="11" t="s">
        <v>9</v>
      </c>
      <c r="C532" s="75"/>
      <c r="D532" s="73"/>
      <c r="E532" s="72"/>
      <c r="F532" s="12"/>
      <c r="G532" s="13"/>
      <c r="H532" s="14" t="str">
        <f t="shared" si="16"/>
        <v>A</v>
      </c>
      <c r="I532" s="15" t="str">
        <f t="shared" si="17"/>
        <v>The Commissioner &amp; Chief Constable are satisfied the spend represents VFM in accordance with the requirements of Category A</v>
      </c>
    </row>
    <row r="533" spans="1:9" x14ac:dyDescent="0.2">
      <c r="A533" s="10" t="s">
        <v>8</v>
      </c>
      <c r="B533" s="11" t="s">
        <v>9</v>
      </c>
      <c r="C533" s="75"/>
      <c r="D533" s="73"/>
      <c r="E533" s="72"/>
      <c r="F533" s="12"/>
      <c r="G533" s="13"/>
      <c r="H533" s="14" t="str">
        <f t="shared" si="16"/>
        <v>A</v>
      </c>
      <c r="I533" s="15" t="str">
        <f t="shared" si="17"/>
        <v>The Commissioner &amp; Chief Constable are satisfied the spend represents VFM in accordance with the requirements of Category A</v>
      </c>
    </row>
    <row r="534" spans="1:9" x14ac:dyDescent="0.2">
      <c r="A534" s="10" t="s">
        <v>8</v>
      </c>
      <c r="B534" s="11" t="s">
        <v>9</v>
      </c>
      <c r="C534" s="75"/>
      <c r="D534" s="73"/>
      <c r="E534" s="72"/>
      <c r="F534" s="12"/>
      <c r="G534" s="13"/>
      <c r="H534" s="14" t="str">
        <f t="shared" si="16"/>
        <v>A</v>
      </c>
      <c r="I534" s="15" t="str">
        <f t="shared" si="17"/>
        <v>The Commissioner &amp; Chief Constable are satisfied the spend represents VFM in accordance with the requirements of Category A</v>
      </c>
    </row>
    <row r="535" spans="1:9" x14ac:dyDescent="0.2">
      <c r="A535" s="10" t="s">
        <v>8</v>
      </c>
      <c r="B535" s="11" t="s">
        <v>9</v>
      </c>
      <c r="C535" s="75"/>
      <c r="D535" s="73"/>
      <c r="E535" s="72"/>
      <c r="F535" s="12"/>
      <c r="G535" s="13"/>
      <c r="H535" s="14" t="str">
        <f t="shared" si="16"/>
        <v>A</v>
      </c>
      <c r="I535" s="15" t="str">
        <f t="shared" si="17"/>
        <v>The Commissioner &amp; Chief Constable are satisfied the spend represents VFM in accordance with the requirements of Category A</v>
      </c>
    </row>
    <row r="536" spans="1:9" x14ac:dyDescent="0.2">
      <c r="A536" s="10" t="s">
        <v>8</v>
      </c>
      <c r="B536" s="11" t="s">
        <v>9</v>
      </c>
      <c r="C536" s="75"/>
      <c r="D536" s="73"/>
      <c r="E536" s="72"/>
      <c r="F536" s="12"/>
      <c r="G536" s="13"/>
      <c r="H536" s="14" t="str">
        <f t="shared" si="16"/>
        <v>A</v>
      </c>
      <c r="I536" s="15" t="str">
        <f t="shared" si="17"/>
        <v>The Commissioner &amp; Chief Constable are satisfied the spend represents VFM in accordance with the requirements of Category A</v>
      </c>
    </row>
    <row r="537" spans="1:9" x14ac:dyDescent="0.2">
      <c r="A537" s="10" t="s">
        <v>8</v>
      </c>
      <c r="B537" s="11" t="s">
        <v>9</v>
      </c>
      <c r="C537" s="75"/>
      <c r="D537" s="73"/>
      <c r="E537" s="72"/>
      <c r="F537" s="12"/>
      <c r="G537" s="13"/>
      <c r="H537" s="14" t="str">
        <f t="shared" si="16"/>
        <v>A</v>
      </c>
      <c r="I537" s="15" t="str">
        <f t="shared" si="17"/>
        <v>The Commissioner &amp; Chief Constable are satisfied the spend represents VFM in accordance with the requirements of Category A</v>
      </c>
    </row>
    <row r="538" spans="1:9" x14ac:dyDescent="0.2">
      <c r="A538" s="10" t="s">
        <v>8</v>
      </c>
      <c r="B538" s="11" t="s">
        <v>9</v>
      </c>
      <c r="C538" s="75"/>
      <c r="D538" s="73"/>
      <c r="E538" s="72"/>
      <c r="F538" s="12"/>
      <c r="G538" s="13"/>
      <c r="H538" s="14" t="str">
        <f t="shared" si="16"/>
        <v>A</v>
      </c>
      <c r="I538" s="15" t="str">
        <f t="shared" si="17"/>
        <v>The Commissioner &amp; Chief Constable are satisfied the spend represents VFM in accordance with the requirements of Category A</v>
      </c>
    </row>
    <row r="539" spans="1:9" x14ac:dyDescent="0.2">
      <c r="A539" s="10" t="s">
        <v>8</v>
      </c>
      <c r="B539" s="11" t="s">
        <v>9</v>
      </c>
      <c r="C539" s="75"/>
      <c r="D539" s="73"/>
      <c r="E539" s="72"/>
      <c r="F539" s="12"/>
      <c r="G539" s="13"/>
      <c r="H539" s="14" t="str">
        <f t="shared" si="16"/>
        <v>A</v>
      </c>
      <c r="I539" s="15" t="str">
        <f t="shared" si="17"/>
        <v>The Commissioner &amp; Chief Constable are satisfied the spend represents VFM in accordance with the requirements of Category A</v>
      </c>
    </row>
    <row r="540" spans="1:9" x14ac:dyDescent="0.2">
      <c r="A540" s="10" t="s">
        <v>8</v>
      </c>
      <c r="B540" s="11" t="s">
        <v>9</v>
      </c>
      <c r="C540" s="75"/>
      <c r="D540" s="73"/>
      <c r="E540" s="72"/>
      <c r="F540" s="12"/>
      <c r="G540" s="13"/>
      <c r="H540" s="14" t="str">
        <f t="shared" si="16"/>
        <v>A</v>
      </c>
      <c r="I540" s="15" t="str">
        <f t="shared" si="17"/>
        <v>The Commissioner &amp; Chief Constable are satisfied the spend represents VFM in accordance with the requirements of Category A</v>
      </c>
    </row>
    <row r="541" spans="1:9" x14ac:dyDescent="0.2">
      <c r="A541" s="10" t="s">
        <v>8</v>
      </c>
      <c r="B541" s="11" t="s">
        <v>9</v>
      </c>
      <c r="C541" s="75"/>
      <c r="D541" s="73"/>
      <c r="E541" s="72"/>
      <c r="F541" s="12"/>
      <c r="G541" s="13"/>
      <c r="H541" s="14" t="str">
        <f t="shared" si="16"/>
        <v>A</v>
      </c>
      <c r="I541" s="15" t="str">
        <f t="shared" si="17"/>
        <v>The Commissioner &amp; Chief Constable are satisfied the spend represents VFM in accordance with the requirements of Category A</v>
      </c>
    </row>
    <row r="542" spans="1:9" x14ac:dyDescent="0.2">
      <c r="A542" s="10" t="s">
        <v>8</v>
      </c>
      <c r="B542" s="11" t="s">
        <v>9</v>
      </c>
      <c r="C542" s="75"/>
      <c r="D542" s="73"/>
      <c r="E542" s="72"/>
      <c r="F542" s="12"/>
      <c r="G542" s="13"/>
      <c r="H542" s="14" t="str">
        <f t="shared" si="16"/>
        <v>A</v>
      </c>
      <c r="I542" s="15" t="str">
        <f t="shared" si="17"/>
        <v>The Commissioner &amp; Chief Constable are satisfied the spend represents VFM in accordance with the requirements of Category A</v>
      </c>
    </row>
    <row r="543" spans="1:9" x14ac:dyDescent="0.2">
      <c r="A543" s="10" t="s">
        <v>8</v>
      </c>
      <c r="B543" s="11" t="s">
        <v>9</v>
      </c>
      <c r="C543" s="75"/>
      <c r="D543" s="73"/>
      <c r="E543" s="72"/>
      <c r="F543" s="12"/>
      <c r="G543" s="13"/>
      <c r="H543" s="14" t="str">
        <f t="shared" si="16"/>
        <v>A</v>
      </c>
      <c r="I543" s="15" t="str">
        <f t="shared" si="17"/>
        <v>The Commissioner &amp; Chief Constable are satisfied the spend represents VFM in accordance with the requirements of Category A</v>
      </c>
    </row>
    <row r="544" spans="1:9" x14ac:dyDescent="0.2">
      <c r="A544" s="10" t="s">
        <v>8</v>
      </c>
      <c r="B544" s="11" t="s">
        <v>9</v>
      </c>
      <c r="C544" s="75"/>
      <c r="D544" s="73"/>
      <c r="E544" s="72"/>
      <c r="F544" s="12"/>
      <c r="G544" s="13"/>
      <c r="H544" s="14" t="str">
        <f t="shared" si="16"/>
        <v>A</v>
      </c>
      <c r="I544" s="15" t="str">
        <f t="shared" si="17"/>
        <v>The Commissioner &amp; Chief Constable are satisfied the spend represents VFM in accordance with the requirements of Category A</v>
      </c>
    </row>
    <row r="545" spans="1:9" x14ac:dyDescent="0.2">
      <c r="A545" s="10" t="s">
        <v>8</v>
      </c>
      <c r="B545" s="11" t="s">
        <v>9</v>
      </c>
      <c r="C545" s="75"/>
      <c r="D545" s="73"/>
      <c r="E545" s="72"/>
      <c r="F545" s="12"/>
      <c r="G545" s="13"/>
      <c r="H545" s="14" t="str">
        <f t="shared" si="16"/>
        <v>A</v>
      </c>
      <c r="I545" s="15" t="str">
        <f t="shared" si="17"/>
        <v>The Commissioner &amp; Chief Constable are satisfied the spend represents VFM in accordance with the requirements of Category A</v>
      </c>
    </row>
    <row r="546" spans="1:9" x14ac:dyDescent="0.2">
      <c r="A546" s="10" t="s">
        <v>8</v>
      </c>
      <c r="B546" s="11" t="s">
        <v>9</v>
      </c>
      <c r="C546" s="75"/>
      <c r="D546" s="73"/>
      <c r="E546" s="72"/>
      <c r="F546" s="12"/>
      <c r="G546" s="13"/>
      <c r="H546" s="14" t="str">
        <f t="shared" si="16"/>
        <v>A</v>
      </c>
      <c r="I546" s="15" t="str">
        <f t="shared" si="17"/>
        <v>The Commissioner &amp; Chief Constable are satisfied the spend represents VFM in accordance with the requirements of Category A</v>
      </c>
    </row>
    <row r="547" spans="1:9" x14ac:dyDescent="0.2">
      <c r="A547" s="10" t="s">
        <v>8</v>
      </c>
      <c r="B547" s="11" t="s">
        <v>9</v>
      </c>
      <c r="C547" s="75"/>
      <c r="D547" s="73"/>
      <c r="E547" s="72"/>
      <c r="F547" s="12"/>
      <c r="G547" s="13"/>
      <c r="H547" s="14" t="str">
        <f t="shared" si="16"/>
        <v>A</v>
      </c>
      <c r="I547" s="15" t="str">
        <f t="shared" si="17"/>
        <v>The Commissioner &amp; Chief Constable are satisfied the spend represents VFM in accordance with the requirements of Category A</v>
      </c>
    </row>
    <row r="548" spans="1:9" x14ac:dyDescent="0.2">
      <c r="A548" s="10" t="s">
        <v>8</v>
      </c>
      <c r="B548" s="11" t="s">
        <v>9</v>
      </c>
      <c r="C548" s="75"/>
      <c r="D548" s="73"/>
      <c r="E548" s="72"/>
      <c r="F548" s="12"/>
      <c r="G548" s="13"/>
      <c r="H548" s="14" t="str">
        <f t="shared" si="16"/>
        <v>A</v>
      </c>
      <c r="I548" s="15" t="str">
        <f t="shared" si="17"/>
        <v>The Commissioner &amp; Chief Constable are satisfied the spend represents VFM in accordance with the requirements of Category A</v>
      </c>
    </row>
    <row r="549" spans="1:9" x14ac:dyDescent="0.2">
      <c r="A549" s="10" t="s">
        <v>8</v>
      </c>
      <c r="B549" s="11" t="s">
        <v>9</v>
      </c>
      <c r="C549" s="75"/>
      <c r="D549" s="73"/>
      <c r="E549" s="72"/>
      <c r="F549" s="12"/>
      <c r="G549" s="13"/>
      <c r="H549" s="14" t="str">
        <f t="shared" si="16"/>
        <v>A</v>
      </c>
      <c r="I549" s="15" t="str">
        <f t="shared" si="17"/>
        <v>The Commissioner &amp; Chief Constable are satisfied the spend represents VFM in accordance with the requirements of Category A</v>
      </c>
    </row>
    <row r="550" spans="1:9" x14ac:dyDescent="0.2">
      <c r="A550" s="10" t="s">
        <v>8</v>
      </c>
      <c r="B550" s="11" t="s">
        <v>9</v>
      </c>
      <c r="C550" s="75"/>
      <c r="D550" s="73"/>
      <c r="E550" s="72"/>
      <c r="F550" s="12"/>
      <c r="G550" s="13"/>
      <c r="H550" s="14" t="str">
        <f t="shared" si="16"/>
        <v>A</v>
      </c>
      <c r="I550" s="15" t="str">
        <f t="shared" si="17"/>
        <v>The Commissioner &amp; Chief Constable are satisfied the spend represents VFM in accordance with the requirements of Category A</v>
      </c>
    </row>
    <row r="551" spans="1:9" x14ac:dyDescent="0.2">
      <c r="A551" s="10" t="s">
        <v>8</v>
      </c>
      <c r="B551" s="11" t="s">
        <v>9</v>
      </c>
      <c r="C551" s="74"/>
      <c r="D551" s="73"/>
      <c r="E551" s="72"/>
      <c r="F551" s="12"/>
      <c r="G551" s="13"/>
      <c r="H551" s="14" t="str">
        <f t="shared" si="16"/>
        <v>A</v>
      </c>
      <c r="I551" s="15" t="str">
        <f t="shared" si="17"/>
        <v>The Commissioner &amp; Chief Constable are satisfied the spend represents VFM in accordance with the requirements of Category A</v>
      </c>
    </row>
    <row r="552" spans="1:9" x14ac:dyDescent="0.2">
      <c r="A552" s="10" t="s">
        <v>8</v>
      </c>
      <c r="B552" s="11" t="s">
        <v>9</v>
      </c>
      <c r="C552" s="74"/>
      <c r="D552" s="73"/>
      <c r="E552" s="72"/>
      <c r="F552" s="12"/>
      <c r="G552" s="13"/>
      <c r="H552" s="14" t="str">
        <f t="shared" si="16"/>
        <v>A</v>
      </c>
      <c r="I552" s="15" t="str">
        <f t="shared" si="17"/>
        <v>The Commissioner &amp; Chief Constable are satisfied the spend represents VFM in accordance with the requirements of Category A</v>
      </c>
    </row>
    <row r="553" spans="1:9" x14ac:dyDescent="0.2">
      <c r="A553" s="10" t="s">
        <v>8</v>
      </c>
      <c r="B553" s="11" t="s">
        <v>9</v>
      </c>
      <c r="C553" s="74"/>
      <c r="D553" s="73"/>
      <c r="E553" s="72"/>
      <c r="F553" s="12"/>
      <c r="G553" s="13"/>
      <c r="H553" s="14" t="str">
        <f t="shared" si="16"/>
        <v>A</v>
      </c>
      <c r="I553" s="15" t="str">
        <f t="shared" si="17"/>
        <v>The Commissioner &amp; Chief Constable are satisfied the spend represents VFM in accordance with the requirements of Category A</v>
      </c>
    </row>
    <row r="554" spans="1:9" x14ac:dyDescent="0.2">
      <c r="A554" s="10" t="s">
        <v>8</v>
      </c>
      <c r="B554" s="11" t="s">
        <v>9</v>
      </c>
      <c r="C554" s="74"/>
      <c r="D554" s="73"/>
      <c r="E554" s="72"/>
      <c r="F554" s="12"/>
      <c r="G554" s="13"/>
      <c r="H554" s="14" t="str">
        <f t="shared" si="16"/>
        <v>A</v>
      </c>
      <c r="I554" s="15" t="str">
        <f t="shared" si="17"/>
        <v>The Commissioner &amp; Chief Constable are satisfied the spend represents VFM in accordance with the requirements of Category A</v>
      </c>
    </row>
    <row r="555" spans="1:9" x14ac:dyDescent="0.2">
      <c r="A555" s="10" t="s">
        <v>8</v>
      </c>
      <c r="B555" s="11" t="s">
        <v>9</v>
      </c>
      <c r="C555" s="74"/>
      <c r="D555" s="73"/>
      <c r="E555" s="72"/>
      <c r="F555" s="12"/>
      <c r="G555" s="13"/>
      <c r="H555" s="14" t="str">
        <f t="shared" si="16"/>
        <v>A</v>
      </c>
      <c r="I555" s="15" t="str">
        <f t="shared" si="17"/>
        <v>The Commissioner &amp; Chief Constable are satisfied the spend represents VFM in accordance with the requirements of Category A</v>
      </c>
    </row>
    <row r="556" spans="1:9" x14ac:dyDescent="0.2">
      <c r="A556" s="10" t="s">
        <v>8</v>
      </c>
      <c r="B556" s="11" t="s">
        <v>9</v>
      </c>
      <c r="C556" s="74"/>
      <c r="D556" s="73"/>
      <c r="E556" s="72"/>
      <c r="F556" s="12"/>
      <c r="G556" s="13"/>
      <c r="H556" s="14" t="str">
        <f t="shared" si="16"/>
        <v>A</v>
      </c>
      <c r="I556" s="15" t="str">
        <f t="shared" si="17"/>
        <v>The Commissioner &amp; Chief Constable are satisfied the spend represents VFM in accordance with the requirements of Category A</v>
      </c>
    </row>
    <row r="557" spans="1:9" x14ac:dyDescent="0.2">
      <c r="A557" s="10" t="s">
        <v>8</v>
      </c>
      <c r="B557" s="11" t="s">
        <v>9</v>
      </c>
      <c r="C557" s="74"/>
      <c r="D557" s="73"/>
      <c r="E557" s="72"/>
      <c r="F557" s="12"/>
      <c r="G557" s="13"/>
      <c r="H557" s="14" t="str">
        <f t="shared" si="16"/>
        <v>A</v>
      </c>
      <c r="I557" s="15" t="str">
        <f t="shared" si="17"/>
        <v>The Commissioner &amp; Chief Constable are satisfied the spend represents VFM in accordance with the requirements of Category A</v>
      </c>
    </row>
    <row r="558" spans="1:9" x14ac:dyDescent="0.2">
      <c r="A558" s="10" t="s">
        <v>8</v>
      </c>
      <c r="B558" s="11" t="s">
        <v>9</v>
      </c>
      <c r="C558" s="74"/>
      <c r="D558" s="73"/>
      <c r="E558" s="72"/>
      <c r="F558" s="12"/>
      <c r="G558" s="13"/>
      <c r="H558" s="14" t="str">
        <f t="shared" si="16"/>
        <v>A</v>
      </c>
      <c r="I558" s="15" t="str">
        <f t="shared" si="17"/>
        <v>The Commissioner &amp; Chief Constable are satisfied the spend represents VFM in accordance with the requirements of Category A</v>
      </c>
    </row>
    <row r="559" spans="1:9" x14ac:dyDescent="0.2">
      <c r="A559" s="10" t="s">
        <v>8</v>
      </c>
      <c r="B559" s="11" t="s">
        <v>9</v>
      </c>
      <c r="C559" s="74"/>
      <c r="D559" s="73"/>
      <c r="E559" s="72"/>
      <c r="F559" s="12"/>
      <c r="G559" s="13"/>
      <c r="H559" s="14" t="str">
        <f t="shared" si="16"/>
        <v>A</v>
      </c>
      <c r="I559" s="15" t="str">
        <f t="shared" si="17"/>
        <v>The Commissioner &amp; Chief Constable are satisfied the spend represents VFM in accordance with the requirements of Category A</v>
      </c>
    </row>
    <row r="560" spans="1:9" x14ac:dyDescent="0.2">
      <c r="A560" s="10" t="s">
        <v>8</v>
      </c>
      <c r="B560" s="11" t="s">
        <v>9</v>
      </c>
      <c r="C560" s="74"/>
      <c r="D560" s="73"/>
      <c r="E560" s="72"/>
      <c r="F560" s="12"/>
      <c r="G560" s="13"/>
      <c r="H560" s="14" t="str">
        <f t="shared" si="16"/>
        <v>A</v>
      </c>
      <c r="I560" s="15" t="str">
        <f t="shared" si="17"/>
        <v>The Commissioner &amp; Chief Constable are satisfied the spend represents VFM in accordance with the requirements of Category A</v>
      </c>
    </row>
    <row r="561" spans="1:9" x14ac:dyDescent="0.2">
      <c r="A561" s="10" t="s">
        <v>8</v>
      </c>
      <c r="B561" s="11" t="s">
        <v>9</v>
      </c>
      <c r="C561" s="74"/>
      <c r="D561" s="73"/>
      <c r="E561" s="72"/>
      <c r="F561" s="12"/>
      <c r="G561" s="13"/>
      <c r="H561" s="14" t="str">
        <f t="shared" si="16"/>
        <v>A</v>
      </c>
      <c r="I561" s="15" t="str">
        <f t="shared" si="17"/>
        <v>The Commissioner &amp; Chief Constable are satisfied the spend represents VFM in accordance with the requirements of Category A</v>
      </c>
    </row>
    <row r="562" spans="1:9" x14ac:dyDescent="0.2">
      <c r="A562" s="10" t="s">
        <v>8</v>
      </c>
      <c r="B562" s="11" t="s">
        <v>9</v>
      </c>
      <c r="C562" s="74"/>
      <c r="D562" s="73"/>
      <c r="E562" s="72"/>
      <c r="F562" s="12"/>
      <c r="G562" s="13"/>
      <c r="H562" s="14" t="str">
        <f t="shared" si="16"/>
        <v>A</v>
      </c>
      <c r="I562" s="15" t="str">
        <f t="shared" si="17"/>
        <v>The Commissioner &amp; Chief Constable are satisfied the spend represents VFM in accordance with the requirements of Category A</v>
      </c>
    </row>
    <row r="563" spans="1:9" x14ac:dyDescent="0.2">
      <c r="A563" s="10" t="s">
        <v>8</v>
      </c>
      <c r="B563" s="11" t="s">
        <v>9</v>
      </c>
      <c r="C563" s="74"/>
      <c r="D563" s="73"/>
      <c r="E563" s="72"/>
      <c r="F563" s="12"/>
      <c r="G563" s="13"/>
      <c r="H563" s="14" t="str">
        <f t="shared" si="16"/>
        <v>A</v>
      </c>
      <c r="I563" s="15" t="str">
        <f t="shared" si="17"/>
        <v>The Commissioner &amp; Chief Constable are satisfied the spend represents VFM in accordance with the requirements of Category A</v>
      </c>
    </row>
    <row r="564" spans="1:9" x14ac:dyDescent="0.2">
      <c r="A564" s="10" t="s">
        <v>8</v>
      </c>
      <c r="B564" s="11" t="s">
        <v>9</v>
      </c>
      <c r="C564" s="74"/>
      <c r="D564" s="73"/>
      <c r="E564" s="72"/>
      <c r="F564" s="12"/>
      <c r="G564" s="13"/>
      <c r="H564" s="14" t="str">
        <f t="shared" si="16"/>
        <v>A</v>
      </c>
      <c r="I564" s="15" t="str">
        <f t="shared" si="17"/>
        <v>The Commissioner &amp; Chief Constable are satisfied the spend represents VFM in accordance with the requirements of Category A</v>
      </c>
    </row>
    <row r="565" spans="1:9" x14ac:dyDescent="0.2">
      <c r="A565" s="10" t="s">
        <v>8</v>
      </c>
      <c r="B565" s="11" t="s">
        <v>9</v>
      </c>
      <c r="C565" s="74"/>
      <c r="D565" s="73"/>
      <c r="E565" s="72"/>
      <c r="F565" s="12"/>
      <c r="G565" s="13"/>
      <c r="H565" s="14" t="str">
        <f t="shared" si="16"/>
        <v>A</v>
      </c>
      <c r="I565" s="15" t="str">
        <f t="shared" si="17"/>
        <v>The Commissioner &amp; Chief Constable are satisfied the spend represents VFM in accordance with the requirements of Category A</v>
      </c>
    </row>
    <row r="566" spans="1:9" x14ac:dyDescent="0.2">
      <c r="A566" s="10" t="s">
        <v>8</v>
      </c>
      <c r="B566" s="11" t="s">
        <v>9</v>
      </c>
      <c r="C566" s="74"/>
      <c r="D566" s="73"/>
      <c r="E566" s="72"/>
      <c r="F566" s="12"/>
      <c r="G566" s="13"/>
      <c r="H566" s="14" t="str">
        <f t="shared" si="16"/>
        <v>A</v>
      </c>
      <c r="I566" s="15" t="str">
        <f t="shared" si="17"/>
        <v>The Commissioner &amp; Chief Constable are satisfied the spend represents VFM in accordance with the requirements of Category A</v>
      </c>
    </row>
  </sheetData>
  <autoFilter ref="A1:M566" xr:uid="{30B06A3B-0B49-4425-9705-5E7AA2E1A2B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1321-555F-40E9-8DC1-F53997B42D34}">
  <dimension ref="A1:M544"/>
  <sheetViews>
    <sheetView zoomScaleNormal="100" workbookViewId="0">
      <selection activeCell="A2" sqref="A2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20" style="71" customWidth="1"/>
    <col min="5" max="5" width="10.28515625" style="22" customWidth="1"/>
    <col min="6" max="6" width="11.140625" style="23" bestFit="1" customWidth="1"/>
    <col min="7" max="7" width="38.85546875" style="20" bestFit="1" customWidth="1"/>
    <col min="8" max="8" width="11.7109375" style="24" bestFit="1" customWidth="1"/>
    <col min="9" max="9" width="93.42578125" style="20" bestFit="1" customWidth="1"/>
    <col min="10" max="10" width="1.7109375" style="20" customWidth="1"/>
    <col min="11" max="11" width="16.140625" style="20" bestFit="1" customWidth="1"/>
    <col min="12" max="13" width="5.7109375" style="17" hidden="1" customWidth="1"/>
    <col min="14" max="14" width="5.7109375" style="17" bestFit="1" customWidth="1"/>
    <col min="15" max="16384" width="9.140625" style="17"/>
  </cols>
  <sheetData>
    <row r="1" spans="1:13" s="8" customFormat="1" ht="32.25" thickBot="1" x14ac:dyDescent="0.3">
      <c r="A1" s="1" t="s">
        <v>0</v>
      </c>
      <c r="B1" s="2" t="s">
        <v>1</v>
      </c>
      <c r="C1" s="3" t="s">
        <v>2</v>
      </c>
      <c r="D1" s="78" t="s">
        <v>716</v>
      </c>
      <c r="E1" s="4" t="s">
        <v>3</v>
      </c>
      <c r="F1" s="5" t="s">
        <v>4</v>
      </c>
      <c r="G1" s="6" t="s">
        <v>5</v>
      </c>
      <c r="H1" s="6" t="s">
        <v>6</v>
      </c>
      <c r="I1" s="7" t="s">
        <v>7</v>
      </c>
      <c r="K1" s="9"/>
    </row>
    <row r="2" spans="1:13" x14ac:dyDescent="0.2">
      <c r="A2" s="10" t="s">
        <v>8</v>
      </c>
      <c r="B2" s="11" t="s">
        <v>9</v>
      </c>
      <c r="C2" s="75" t="s">
        <v>121</v>
      </c>
      <c r="D2" s="73">
        <v>7174138</v>
      </c>
      <c r="E2" s="72">
        <v>45464</v>
      </c>
      <c r="F2" s="12">
        <v>1744545.48</v>
      </c>
      <c r="G2" s="13" t="s">
        <v>122</v>
      </c>
      <c r="H2" s="14" t="s">
        <v>20</v>
      </c>
      <c r="I2" s="15" t="s">
        <v>21</v>
      </c>
      <c r="J2" s="16"/>
      <c r="K2" s="16"/>
      <c r="L2" s="17" t="s">
        <v>12</v>
      </c>
      <c r="M2" s="15" t="s">
        <v>13</v>
      </c>
    </row>
    <row r="3" spans="1:13" x14ac:dyDescent="0.2">
      <c r="A3" s="10" t="s">
        <v>8</v>
      </c>
      <c r="B3" s="11" t="s">
        <v>9</v>
      </c>
      <c r="C3" s="75" t="s">
        <v>489</v>
      </c>
      <c r="D3" s="73">
        <v>7174168</v>
      </c>
      <c r="E3" s="72">
        <v>45467</v>
      </c>
      <c r="F3" s="12">
        <v>354053.17</v>
      </c>
      <c r="G3" s="13" t="s">
        <v>58</v>
      </c>
      <c r="H3" s="14" t="s">
        <v>20</v>
      </c>
      <c r="I3" s="15" t="s">
        <v>21</v>
      </c>
      <c r="J3" s="16"/>
      <c r="K3" s="16"/>
      <c r="L3" s="17" t="s">
        <v>16</v>
      </c>
      <c r="M3" s="15" t="s">
        <v>17</v>
      </c>
    </row>
    <row r="4" spans="1:13" x14ac:dyDescent="0.2">
      <c r="A4" s="10" t="s">
        <v>8</v>
      </c>
      <c r="B4" s="11" t="s">
        <v>9</v>
      </c>
      <c r="C4" s="75" t="s">
        <v>489</v>
      </c>
      <c r="D4" s="73">
        <v>7174168</v>
      </c>
      <c r="E4" s="72">
        <v>45467</v>
      </c>
      <c r="F4" s="12">
        <v>446304.43</v>
      </c>
      <c r="G4" s="13" t="s">
        <v>131</v>
      </c>
      <c r="H4" s="14" t="s">
        <v>20</v>
      </c>
      <c r="I4" s="15" t="s">
        <v>21</v>
      </c>
      <c r="J4" s="16"/>
      <c r="K4" s="16"/>
      <c r="L4" s="17" t="s">
        <v>20</v>
      </c>
      <c r="M4" s="15" t="s">
        <v>21</v>
      </c>
    </row>
    <row r="5" spans="1:13" x14ac:dyDescent="0.2">
      <c r="A5" s="10" t="s">
        <v>8</v>
      </c>
      <c r="B5" s="11" t="s">
        <v>9</v>
      </c>
      <c r="C5" s="75" t="s">
        <v>489</v>
      </c>
      <c r="D5" s="73">
        <v>7174168</v>
      </c>
      <c r="E5" s="72">
        <v>45467</v>
      </c>
      <c r="F5" s="12">
        <v>6503</v>
      </c>
      <c r="G5" s="13" t="s">
        <v>106</v>
      </c>
      <c r="H5" s="14" t="s">
        <v>16</v>
      </c>
      <c r="I5" s="15" t="s">
        <v>17</v>
      </c>
      <c r="J5" s="16"/>
      <c r="K5" s="16"/>
    </row>
    <row r="6" spans="1:13" x14ac:dyDescent="0.2">
      <c r="A6" s="10" t="s">
        <v>8</v>
      </c>
      <c r="B6" s="11" t="s">
        <v>9</v>
      </c>
      <c r="C6" s="75" t="s">
        <v>461</v>
      </c>
      <c r="D6" s="73">
        <v>7174279</v>
      </c>
      <c r="E6" s="72">
        <v>45468</v>
      </c>
      <c r="F6" s="12">
        <v>733527.2</v>
      </c>
      <c r="G6" s="13" t="s">
        <v>251</v>
      </c>
      <c r="H6" s="14" t="s">
        <v>20</v>
      </c>
      <c r="I6" s="15" t="s">
        <v>21</v>
      </c>
      <c r="J6" s="16"/>
      <c r="K6" s="16"/>
    </row>
    <row r="7" spans="1:13" x14ac:dyDescent="0.2">
      <c r="A7" s="10" t="s">
        <v>8</v>
      </c>
      <c r="B7" s="11" t="s">
        <v>9</v>
      </c>
      <c r="C7" s="77" t="s">
        <v>631</v>
      </c>
      <c r="D7" s="73">
        <v>7173491</v>
      </c>
      <c r="E7" s="72">
        <v>45448</v>
      </c>
      <c r="F7" s="12">
        <v>317780.32</v>
      </c>
      <c r="G7" s="13" t="s">
        <v>131</v>
      </c>
      <c r="H7" s="14" t="s">
        <v>20</v>
      </c>
      <c r="I7" s="15" t="s">
        <v>21</v>
      </c>
      <c r="J7" s="16"/>
      <c r="K7" s="16"/>
    </row>
    <row r="8" spans="1:13" x14ac:dyDescent="0.2">
      <c r="A8" s="10" t="s">
        <v>8</v>
      </c>
      <c r="B8" s="11" t="s">
        <v>9</v>
      </c>
      <c r="C8" s="75" t="s">
        <v>631</v>
      </c>
      <c r="D8" s="73">
        <v>7173491</v>
      </c>
      <c r="E8" s="72">
        <v>45448</v>
      </c>
      <c r="F8" s="12">
        <v>411629</v>
      </c>
      <c r="G8" s="13" t="s">
        <v>22</v>
      </c>
      <c r="H8" s="14" t="s">
        <v>20</v>
      </c>
      <c r="I8" s="15" t="s">
        <v>21</v>
      </c>
      <c r="J8" s="16"/>
      <c r="K8" s="16"/>
    </row>
    <row r="9" spans="1:13" x14ac:dyDescent="0.2">
      <c r="A9" s="10" t="s">
        <v>8</v>
      </c>
      <c r="B9" s="11" t="s">
        <v>9</v>
      </c>
      <c r="C9" s="77" t="s">
        <v>461</v>
      </c>
      <c r="D9" s="73">
        <v>7174287</v>
      </c>
      <c r="E9" s="72">
        <v>45468</v>
      </c>
      <c r="F9" s="12">
        <v>609638.40000000002</v>
      </c>
      <c r="G9" s="13" t="s">
        <v>251</v>
      </c>
      <c r="H9" s="14" t="s">
        <v>20</v>
      </c>
      <c r="I9" s="15" t="s">
        <v>21</v>
      </c>
      <c r="J9" s="16"/>
      <c r="K9" s="16"/>
    </row>
    <row r="10" spans="1:13" x14ac:dyDescent="0.2">
      <c r="A10" s="10" t="s">
        <v>8</v>
      </c>
      <c r="B10" s="11" t="s">
        <v>9</v>
      </c>
      <c r="C10" s="75" t="s">
        <v>10</v>
      </c>
      <c r="D10" s="73">
        <v>7173966</v>
      </c>
      <c r="E10" s="72">
        <v>45460</v>
      </c>
      <c r="F10" s="12">
        <v>386471.24</v>
      </c>
      <c r="G10" s="13" t="s">
        <v>11</v>
      </c>
      <c r="H10" s="14" t="s">
        <v>20</v>
      </c>
      <c r="I10" s="15" t="s">
        <v>21</v>
      </c>
      <c r="J10" s="16"/>
      <c r="K10" s="16"/>
    </row>
    <row r="11" spans="1:13" x14ac:dyDescent="0.2">
      <c r="A11" s="10" t="s">
        <v>8</v>
      </c>
      <c r="B11" s="11" t="s">
        <v>9</v>
      </c>
      <c r="C11" s="75" t="s">
        <v>801</v>
      </c>
      <c r="D11" s="73">
        <v>7173249</v>
      </c>
      <c r="E11" s="72">
        <v>45446</v>
      </c>
      <c r="F11" s="12">
        <v>322919</v>
      </c>
      <c r="G11" s="13" t="s">
        <v>58</v>
      </c>
      <c r="H11" s="14" t="s">
        <v>20</v>
      </c>
      <c r="I11" s="15" t="s">
        <v>21</v>
      </c>
      <c r="J11" s="16"/>
      <c r="K11" s="16"/>
    </row>
    <row r="12" spans="1:13" x14ac:dyDescent="0.2">
      <c r="A12" s="10" t="s">
        <v>8</v>
      </c>
      <c r="B12" s="11" t="s">
        <v>9</v>
      </c>
      <c r="C12" s="75" t="s">
        <v>166</v>
      </c>
      <c r="D12" s="73">
        <v>7173074</v>
      </c>
      <c r="E12" s="72">
        <v>45449</v>
      </c>
      <c r="F12" s="12">
        <v>296130</v>
      </c>
      <c r="G12" s="13" t="s">
        <v>22</v>
      </c>
      <c r="H12" s="14" t="s">
        <v>20</v>
      </c>
      <c r="I12" s="15" t="s">
        <v>21</v>
      </c>
      <c r="J12" s="16"/>
      <c r="K12" s="16"/>
    </row>
    <row r="13" spans="1:13" x14ac:dyDescent="0.2">
      <c r="A13" s="10" t="s">
        <v>8</v>
      </c>
      <c r="B13" s="11" t="s">
        <v>9</v>
      </c>
      <c r="C13" s="75" t="s">
        <v>23</v>
      </c>
      <c r="D13" s="73">
        <v>7174074</v>
      </c>
      <c r="E13" s="72">
        <v>45469</v>
      </c>
      <c r="F13" s="12">
        <v>131295.1</v>
      </c>
      <c r="G13" s="13" t="s">
        <v>24</v>
      </c>
      <c r="H13" s="14" t="s">
        <v>20</v>
      </c>
      <c r="I13" s="15" t="s">
        <v>21</v>
      </c>
      <c r="J13" s="16"/>
      <c r="K13" s="16"/>
    </row>
    <row r="14" spans="1:13" x14ac:dyDescent="0.2">
      <c r="A14" s="10" t="s">
        <v>8</v>
      </c>
      <c r="B14" s="11" t="s">
        <v>9</v>
      </c>
      <c r="C14" s="77" t="s">
        <v>800</v>
      </c>
      <c r="D14" s="73">
        <v>7173734</v>
      </c>
      <c r="E14" s="72">
        <v>45460</v>
      </c>
      <c r="F14" s="12">
        <v>123913.99</v>
      </c>
      <c r="G14" s="13" t="s">
        <v>27</v>
      </c>
      <c r="H14" s="14" t="s">
        <v>20</v>
      </c>
      <c r="I14" s="15" t="s">
        <v>21</v>
      </c>
      <c r="J14" s="16"/>
      <c r="K14" s="16"/>
    </row>
    <row r="15" spans="1:13" x14ac:dyDescent="0.2">
      <c r="A15" s="10" t="s">
        <v>8</v>
      </c>
      <c r="B15" s="11" t="s">
        <v>9</v>
      </c>
      <c r="C15" s="75" t="s">
        <v>23</v>
      </c>
      <c r="D15" s="73">
        <v>7173097</v>
      </c>
      <c r="E15" s="72">
        <v>45446</v>
      </c>
      <c r="F15" s="12">
        <v>116664.19</v>
      </c>
      <c r="G15" s="13" t="s">
        <v>24</v>
      </c>
      <c r="H15" s="14" t="s">
        <v>20</v>
      </c>
      <c r="I15" s="15" t="s">
        <v>21</v>
      </c>
      <c r="J15" s="16"/>
      <c r="K15" s="16"/>
    </row>
    <row r="16" spans="1:13" x14ac:dyDescent="0.2">
      <c r="A16" s="10" t="s">
        <v>8</v>
      </c>
      <c r="B16" s="11" t="s">
        <v>9</v>
      </c>
      <c r="C16" s="75" t="s">
        <v>140</v>
      </c>
      <c r="D16" s="73">
        <v>7173398</v>
      </c>
      <c r="E16" s="72">
        <v>45448</v>
      </c>
      <c r="F16" s="12">
        <v>116282.13</v>
      </c>
      <c r="G16" s="13" t="s">
        <v>34</v>
      </c>
      <c r="H16" s="14" t="s">
        <v>20</v>
      </c>
      <c r="I16" s="15" t="s">
        <v>21</v>
      </c>
      <c r="J16" s="16"/>
      <c r="K16" s="16"/>
    </row>
    <row r="17" spans="1:11" x14ac:dyDescent="0.2">
      <c r="A17" s="10" t="s">
        <v>8</v>
      </c>
      <c r="B17" s="11" t="s">
        <v>9</v>
      </c>
      <c r="C17" s="75" t="s">
        <v>121</v>
      </c>
      <c r="D17" s="73">
        <v>7173545</v>
      </c>
      <c r="E17" s="72">
        <v>45448</v>
      </c>
      <c r="F17" s="12">
        <v>108754.14</v>
      </c>
      <c r="G17" s="13" t="s">
        <v>122</v>
      </c>
      <c r="H17" s="14" t="s">
        <v>20</v>
      </c>
      <c r="I17" s="15" t="s">
        <v>21</v>
      </c>
      <c r="J17" s="16"/>
      <c r="K17" s="16"/>
    </row>
    <row r="18" spans="1:11" x14ac:dyDescent="0.2">
      <c r="A18" s="10" t="s">
        <v>8</v>
      </c>
      <c r="B18" s="11" t="s">
        <v>9</v>
      </c>
      <c r="C18" s="77" t="s">
        <v>30</v>
      </c>
      <c r="D18" s="73">
        <v>7173441</v>
      </c>
      <c r="E18" s="72">
        <v>45447</v>
      </c>
      <c r="F18" s="12">
        <v>106236.33</v>
      </c>
      <c r="G18" s="13" t="s">
        <v>31</v>
      </c>
      <c r="H18" s="14" t="s">
        <v>20</v>
      </c>
      <c r="I18" s="15" t="s">
        <v>21</v>
      </c>
      <c r="J18" s="16"/>
      <c r="K18" s="16"/>
    </row>
    <row r="19" spans="1:11" x14ac:dyDescent="0.2">
      <c r="A19" s="10" t="s">
        <v>8</v>
      </c>
      <c r="B19" s="11" t="s">
        <v>9</v>
      </c>
      <c r="C19" s="75" t="s">
        <v>30</v>
      </c>
      <c r="D19" s="73">
        <v>7173441</v>
      </c>
      <c r="E19" s="72">
        <v>45447</v>
      </c>
      <c r="F19" s="12">
        <v>14.33</v>
      </c>
      <c r="G19" s="13" t="s">
        <v>32</v>
      </c>
      <c r="H19" s="14" t="s">
        <v>12</v>
      </c>
      <c r="I19" s="15" t="s">
        <v>13</v>
      </c>
      <c r="J19" s="16"/>
      <c r="K19" s="16"/>
    </row>
    <row r="20" spans="1:11" x14ac:dyDescent="0.2">
      <c r="A20" s="10" t="s">
        <v>8</v>
      </c>
      <c r="B20" s="11" t="s">
        <v>9</v>
      </c>
      <c r="C20" s="75" t="s">
        <v>140</v>
      </c>
      <c r="D20" s="73">
        <v>7173527</v>
      </c>
      <c r="E20" s="72">
        <v>45448</v>
      </c>
      <c r="F20" s="12">
        <v>105151.89</v>
      </c>
      <c r="G20" s="13" t="s">
        <v>34</v>
      </c>
      <c r="H20" s="14" t="s">
        <v>20</v>
      </c>
      <c r="I20" s="15" t="s">
        <v>21</v>
      </c>
      <c r="J20" s="16"/>
      <c r="K20" s="16"/>
    </row>
    <row r="21" spans="1:11" x14ac:dyDescent="0.2">
      <c r="A21" s="10" t="s">
        <v>8</v>
      </c>
      <c r="B21" s="11" t="s">
        <v>9</v>
      </c>
      <c r="C21" s="77" t="s">
        <v>639</v>
      </c>
      <c r="D21" s="73">
        <v>7173736</v>
      </c>
      <c r="E21" s="72">
        <v>45460</v>
      </c>
      <c r="F21" s="12">
        <v>98613.56</v>
      </c>
      <c r="G21" s="13" t="s">
        <v>27</v>
      </c>
      <c r="H21" s="14" t="s">
        <v>20</v>
      </c>
      <c r="I21" s="15" t="s">
        <v>21</v>
      </c>
      <c r="J21" s="16"/>
      <c r="K21" s="16"/>
    </row>
    <row r="22" spans="1:11" x14ac:dyDescent="0.2">
      <c r="A22" s="10" t="s">
        <v>8</v>
      </c>
      <c r="B22" s="11" t="s">
        <v>9</v>
      </c>
      <c r="C22" s="75" t="s">
        <v>461</v>
      </c>
      <c r="D22" s="73">
        <v>7174285</v>
      </c>
      <c r="E22" s="72">
        <v>45468</v>
      </c>
      <c r="F22" s="12">
        <v>84833.279999999999</v>
      </c>
      <c r="G22" s="13" t="s">
        <v>251</v>
      </c>
      <c r="H22" s="14" t="s">
        <v>20</v>
      </c>
      <c r="I22" s="15" t="s">
        <v>21</v>
      </c>
      <c r="J22" s="16"/>
      <c r="K22" s="16"/>
    </row>
    <row r="23" spans="1:11" x14ac:dyDescent="0.2">
      <c r="A23" s="10" t="s">
        <v>8</v>
      </c>
      <c r="B23" s="11" t="s">
        <v>9</v>
      </c>
      <c r="C23" s="75" t="s">
        <v>46</v>
      </c>
      <c r="D23" s="73">
        <v>7173417</v>
      </c>
      <c r="E23" s="72">
        <v>45446</v>
      </c>
      <c r="F23" s="12">
        <v>80949.009999999995</v>
      </c>
      <c r="G23" s="13" t="s">
        <v>47</v>
      </c>
      <c r="H23" s="14" t="s">
        <v>20</v>
      </c>
      <c r="I23" s="15" t="s">
        <v>21</v>
      </c>
      <c r="J23" s="16"/>
      <c r="K23" s="16"/>
    </row>
    <row r="24" spans="1:11" x14ac:dyDescent="0.2">
      <c r="A24" s="10" t="s">
        <v>8</v>
      </c>
      <c r="B24" s="11" t="s">
        <v>9</v>
      </c>
      <c r="C24" s="77" t="s">
        <v>461</v>
      </c>
      <c r="D24" s="73">
        <v>7174280</v>
      </c>
      <c r="E24" s="72">
        <v>45468</v>
      </c>
      <c r="F24" s="12">
        <v>72850.8</v>
      </c>
      <c r="G24" s="13" t="s">
        <v>792</v>
      </c>
      <c r="H24" s="14" t="s">
        <v>20</v>
      </c>
      <c r="I24" s="15" t="s">
        <v>21</v>
      </c>
      <c r="J24" s="16"/>
      <c r="K24" s="16"/>
    </row>
    <row r="25" spans="1:11" x14ac:dyDescent="0.2">
      <c r="A25" s="10" t="s">
        <v>8</v>
      </c>
      <c r="B25" s="11" t="s">
        <v>9</v>
      </c>
      <c r="C25" s="75" t="s">
        <v>799</v>
      </c>
      <c r="D25" s="73">
        <v>7173438</v>
      </c>
      <c r="E25" s="72">
        <v>45447</v>
      </c>
      <c r="F25" s="12">
        <v>67151.61</v>
      </c>
      <c r="G25" s="13" t="s">
        <v>164</v>
      </c>
      <c r="H25" s="14" t="s">
        <v>20</v>
      </c>
      <c r="I25" s="15" t="s">
        <v>21</v>
      </c>
      <c r="J25" s="16"/>
      <c r="K25" s="16"/>
    </row>
    <row r="26" spans="1:11" x14ac:dyDescent="0.2">
      <c r="A26" s="10" t="s">
        <v>8</v>
      </c>
      <c r="B26" s="11" t="s">
        <v>9</v>
      </c>
      <c r="C26" s="75" t="s">
        <v>352</v>
      </c>
      <c r="D26" s="73">
        <v>7174312</v>
      </c>
      <c r="E26" s="72">
        <v>45468</v>
      </c>
      <c r="F26" s="12">
        <v>64105</v>
      </c>
      <c r="G26" s="13" t="s">
        <v>798</v>
      </c>
      <c r="H26" s="14" t="s">
        <v>20</v>
      </c>
      <c r="I26" s="15" t="s">
        <v>21</v>
      </c>
      <c r="J26" s="16"/>
      <c r="K26" s="16"/>
    </row>
    <row r="27" spans="1:11" x14ac:dyDescent="0.2">
      <c r="A27" s="10" t="s">
        <v>8</v>
      </c>
      <c r="B27" s="11" t="s">
        <v>9</v>
      </c>
      <c r="C27" s="75" t="s">
        <v>44</v>
      </c>
      <c r="D27" s="73">
        <v>7173602</v>
      </c>
      <c r="E27" s="72">
        <v>45456</v>
      </c>
      <c r="F27" s="12">
        <v>61584</v>
      </c>
      <c r="G27" s="13" t="s">
        <v>45</v>
      </c>
      <c r="H27" s="14" t="s">
        <v>20</v>
      </c>
      <c r="I27" s="15" t="s">
        <v>21</v>
      </c>
      <c r="J27" s="16"/>
      <c r="K27" s="16"/>
    </row>
    <row r="28" spans="1:11" x14ac:dyDescent="0.2">
      <c r="A28" s="10" t="s">
        <v>8</v>
      </c>
      <c r="B28" s="11" t="s">
        <v>9</v>
      </c>
      <c r="C28" s="75" t="s">
        <v>26</v>
      </c>
      <c r="D28" s="73">
        <v>7173620</v>
      </c>
      <c r="E28" s="72">
        <v>45453</v>
      </c>
      <c r="F28" s="12">
        <v>60615.94</v>
      </c>
      <c r="G28" s="13" t="s">
        <v>53</v>
      </c>
      <c r="H28" s="14" t="s">
        <v>20</v>
      </c>
      <c r="I28" s="15" t="s">
        <v>21</v>
      </c>
      <c r="J28" s="16"/>
      <c r="K28" s="16"/>
    </row>
    <row r="29" spans="1:11" x14ac:dyDescent="0.2">
      <c r="A29" s="10" t="s">
        <v>8</v>
      </c>
      <c r="B29" s="11" t="s">
        <v>9</v>
      </c>
      <c r="C29" s="75" t="s">
        <v>448</v>
      </c>
      <c r="D29" s="73">
        <v>7174191</v>
      </c>
      <c r="E29" s="72">
        <v>45464</v>
      </c>
      <c r="F29" s="12">
        <v>55630</v>
      </c>
      <c r="G29" s="13" t="s">
        <v>27</v>
      </c>
      <c r="H29" s="14" t="s">
        <v>20</v>
      </c>
      <c r="I29" s="15" t="s">
        <v>21</v>
      </c>
      <c r="J29" s="16"/>
      <c r="K29" s="16"/>
    </row>
    <row r="30" spans="1:11" x14ac:dyDescent="0.2">
      <c r="A30" s="10" t="s">
        <v>8</v>
      </c>
      <c r="B30" s="11" t="s">
        <v>9</v>
      </c>
      <c r="C30" s="75" t="s">
        <v>146</v>
      </c>
      <c r="D30" s="73">
        <v>7173458</v>
      </c>
      <c r="E30" s="72">
        <v>45448</v>
      </c>
      <c r="F30" s="12">
        <v>54041.33</v>
      </c>
      <c r="G30" s="13" t="s">
        <v>102</v>
      </c>
      <c r="H30" s="14" t="s">
        <v>20</v>
      </c>
      <c r="I30" s="15" t="s">
        <v>21</v>
      </c>
      <c r="J30" s="16"/>
      <c r="K30" s="16"/>
    </row>
    <row r="31" spans="1:11" x14ac:dyDescent="0.2">
      <c r="A31" s="10" t="s">
        <v>8</v>
      </c>
      <c r="B31" s="11" t="s">
        <v>9</v>
      </c>
      <c r="C31" s="75" t="s">
        <v>117</v>
      </c>
      <c r="D31" s="73">
        <v>7173362</v>
      </c>
      <c r="E31" s="72">
        <v>45462</v>
      </c>
      <c r="F31" s="12">
        <v>53544</v>
      </c>
      <c r="G31" s="13" t="s">
        <v>15</v>
      </c>
      <c r="H31" s="14" t="s">
        <v>20</v>
      </c>
      <c r="I31" s="15" t="s">
        <v>21</v>
      </c>
      <c r="J31" s="16"/>
      <c r="K31" s="16"/>
    </row>
    <row r="32" spans="1:11" x14ac:dyDescent="0.2">
      <c r="A32" s="10" t="s">
        <v>8</v>
      </c>
      <c r="B32" s="11" t="s">
        <v>9</v>
      </c>
      <c r="C32" s="75" t="s">
        <v>493</v>
      </c>
      <c r="D32" s="73">
        <v>7173927</v>
      </c>
      <c r="E32" s="72">
        <v>45460</v>
      </c>
      <c r="F32" s="12">
        <v>50370</v>
      </c>
      <c r="G32" s="13" t="s">
        <v>27</v>
      </c>
      <c r="H32" s="14" t="s">
        <v>20</v>
      </c>
      <c r="I32" s="15" t="s">
        <v>21</v>
      </c>
      <c r="J32" s="16"/>
      <c r="K32" s="16"/>
    </row>
    <row r="33" spans="1:11" x14ac:dyDescent="0.2">
      <c r="A33" s="10" t="s">
        <v>8</v>
      </c>
      <c r="B33" s="11" t="s">
        <v>9</v>
      </c>
      <c r="C33" s="77" t="s">
        <v>52</v>
      </c>
      <c r="D33" s="73">
        <v>7173670</v>
      </c>
      <c r="E33" s="72">
        <v>45456</v>
      </c>
      <c r="F33" s="12">
        <v>48832</v>
      </c>
      <c r="G33" s="13" t="s">
        <v>45</v>
      </c>
      <c r="H33" s="14" t="s">
        <v>20</v>
      </c>
      <c r="I33" s="15" t="s">
        <v>21</v>
      </c>
      <c r="J33" s="16"/>
      <c r="K33" s="16"/>
    </row>
    <row r="34" spans="1:11" x14ac:dyDescent="0.2">
      <c r="A34" s="10" t="s">
        <v>8</v>
      </c>
      <c r="B34" s="11" t="s">
        <v>9</v>
      </c>
      <c r="C34" s="75" t="s">
        <v>793</v>
      </c>
      <c r="D34" s="73">
        <v>7173926</v>
      </c>
      <c r="E34" s="72">
        <v>45460</v>
      </c>
      <c r="F34" s="12">
        <v>47679</v>
      </c>
      <c r="G34" s="13" t="s">
        <v>27</v>
      </c>
      <c r="H34" s="14" t="s">
        <v>20</v>
      </c>
      <c r="I34" s="15" t="s">
        <v>21</v>
      </c>
      <c r="J34" s="16"/>
      <c r="K34" s="16"/>
    </row>
    <row r="35" spans="1:11" x14ac:dyDescent="0.2">
      <c r="A35" s="10" t="s">
        <v>8</v>
      </c>
      <c r="B35" s="11" t="s">
        <v>9</v>
      </c>
      <c r="C35" s="75" t="s">
        <v>448</v>
      </c>
      <c r="D35" s="73">
        <v>7174189</v>
      </c>
      <c r="E35" s="72">
        <v>45464</v>
      </c>
      <c r="F35" s="12">
        <v>47335</v>
      </c>
      <c r="G35" s="13" t="s">
        <v>27</v>
      </c>
      <c r="H35" s="14" t="s">
        <v>20</v>
      </c>
      <c r="I35" s="15" t="s">
        <v>21</v>
      </c>
      <c r="J35" s="16"/>
      <c r="K35" s="16"/>
    </row>
    <row r="36" spans="1:11" x14ac:dyDescent="0.2">
      <c r="A36" s="10" t="s">
        <v>8</v>
      </c>
      <c r="B36" s="11" t="s">
        <v>9</v>
      </c>
      <c r="C36" s="75" t="s">
        <v>146</v>
      </c>
      <c r="D36" s="73">
        <v>7173991</v>
      </c>
      <c r="E36" s="72">
        <v>45461</v>
      </c>
      <c r="F36" s="12">
        <v>45034.44</v>
      </c>
      <c r="G36" s="13" t="s">
        <v>102</v>
      </c>
      <c r="H36" s="14" t="s">
        <v>20</v>
      </c>
      <c r="I36" s="15" t="s">
        <v>21</v>
      </c>
      <c r="J36" s="16"/>
      <c r="K36" s="16"/>
    </row>
    <row r="37" spans="1:11" x14ac:dyDescent="0.2">
      <c r="A37" s="10" t="s">
        <v>8</v>
      </c>
      <c r="B37" s="11" t="s">
        <v>9</v>
      </c>
      <c r="C37" s="75" t="s">
        <v>159</v>
      </c>
      <c r="D37" s="73">
        <v>7173477</v>
      </c>
      <c r="E37" s="72">
        <v>45456</v>
      </c>
      <c r="F37" s="12">
        <v>39097.870000000003</v>
      </c>
      <c r="G37" s="13" t="s">
        <v>22</v>
      </c>
      <c r="H37" s="14" t="s">
        <v>20</v>
      </c>
      <c r="I37" s="15" t="s">
        <v>21</v>
      </c>
      <c r="J37" s="16"/>
      <c r="K37" s="16"/>
    </row>
    <row r="38" spans="1:11" x14ac:dyDescent="0.2">
      <c r="A38" s="10" t="s">
        <v>8</v>
      </c>
      <c r="B38" s="11" t="s">
        <v>9</v>
      </c>
      <c r="C38" s="75" t="s">
        <v>109</v>
      </c>
      <c r="D38" s="73">
        <v>7173178</v>
      </c>
      <c r="E38" s="72">
        <v>45446</v>
      </c>
      <c r="F38" s="12">
        <v>39000</v>
      </c>
      <c r="G38" s="13" t="s">
        <v>27</v>
      </c>
      <c r="H38" s="14" t="s">
        <v>20</v>
      </c>
      <c r="I38" s="15" t="s">
        <v>21</v>
      </c>
      <c r="J38" s="16"/>
      <c r="K38" s="16"/>
    </row>
    <row r="39" spans="1:11" x14ac:dyDescent="0.2">
      <c r="A39" s="10" t="s">
        <v>8</v>
      </c>
      <c r="B39" s="11" t="s">
        <v>9</v>
      </c>
      <c r="C39" s="75" t="s">
        <v>85</v>
      </c>
      <c r="D39" s="73">
        <v>7173924</v>
      </c>
      <c r="E39" s="72">
        <v>45460</v>
      </c>
      <c r="F39" s="12">
        <v>37023.94</v>
      </c>
      <c r="G39" s="13" t="s">
        <v>27</v>
      </c>
      <c r="H39" s="14" t="s">
        <v>20</v>
      </c>
      <c r="I39" s="15" t="s">
        <v>21</v>
      </c>
      <c r="J39" s="16"/>
      <c r="K39" s="16"/>
    </row>
    <row r="40" spans="1:11" x14ac:dyDescent="0.2">
      <c r="A40" s="10" t="s">
        <v>8</v>
      </c>
      <c r="B40" s="11" t="s">
        <v>9</v>
      </c>
      <c r="C40" s="75" t="s">
        <v>715</v>
      </c>
      <c r="D40" s="73">
        <v>7173459</v>
      </c>
      <c r="E40" s="72">
        <v>45446</v>
      </c>
      <c r="F40" s="12">
        <v>35622.97</v>
      </c>
      <c r="G40" s="13" t="s">
        <v>80</v>
      </c>
      <c r="H40" s="14" t="s">
        <v>20</v>
      </c>
      <c r="I40" s="15" t="s">
        <v>21</v>
      </c>
      <c r="J40" s="16"/>
      <c r="K40" s="16"/>
    </row>
    <row r="41" spans="1:11" x14ac:dyDescent="0.2">
      <c r="A41" s="10" t="s">
        <v>8</v>
      </c>
      <c r="B41" s="11" t="s">
        <v>9</v>
      </c>
      <c r="C41" s="75" t="s">
        <v>797</v>
      </c>
      <c r="D41" s="73">
        <v>7173931</v>
      </c>
      <c r="E41" s="72">
        <v>45460</v>
      </c>
      <c r="F41" s="12">
        <v>33645.25</v>
      </c>
      <c r="G41" s="13" t="s">
        <v>27</v>
      </c>
      <c r="H41" s="14" t="s">
        <v>20</v>
      </c>
      <c r="I41" s="15" t="s">
        <v>21</v>
      </c>
      <c r="J41" s="16"/>
      <c r="K41" s="16"/>
    </row>
    <row r="42" spans="1:11" x14ac:dyDescent="0.2">
      <c r="A42" s="10" t="s">
        <v>8</v>
      </c>
      <c r="B42" s="11" t="s">
        <v>9</v>
      </c>
      <c r="C42" s="75" t="s">
        <v>790</v>
      </c>
      <c r="D42" s="73">
        <v>7173923</v>
      </c>
      <c r="E42" s="72">
        <v>45460</v>
      </c>
      <c r="F42" s="12">
        <v>32833</v>
      </c>
      <c r="G42" s="13" t="s">
        <v>27</v>
      </c>
      <c r="H42" s="14" t="s">
        <v>20</v>
      </c>
      <c r="I42" s="15" t="s">
        <v>21</v>
      </c>
      <c r="J42" s="16"/>
      <c r="K42" s="16"/>
    </row>
    <row r="43" spans="1:11" x14ac:dyDescent="0.2">
      <c r="A43" s="10" t="s">
        <v>8</v>
      </c>
      <c r="B43" s="11" t="s">
        <v>9</v>
      </c>
      <c r="C43" s="75" t="s">
        <v>589</v>
      </c>
      <c r="D43" s="73">
        <v>7173474</v>
      </c>
      <c r="E43" s="72">
        <v>45447</v>
      </c>
      <c r="F43" s="12">
        <v>32774.46</v>
      </c>
      <c r="G43" s="13" t="s">
        <v>62</v>
      </c>
      <c r="H43" s="14" t="s">
        <v>20</v>
      </c>
      <c r="I43" s="15" t="s">
        <v>21</v>
      </c>
      <c r="J43" s="16"/>
      <c r="K43" s="16"/>
    </row>
    <row r="44" spans="1:11" x14ac:dyDescent="0.2">
      <c r="A44" s="10" t="s">
        <v>8</v>
      </c>
      <c r="B44" s="11" t="s">
        <v>9</v>
      </c>
      <c r="C44" s="75" t="s">
        <v>589</v>
      </c>
      <c r="D44" s="73">
        <v>7173474</v>
      </c>
      <c r="E44" s="72">
        <v>45447</v>
      </c>
      <c r="F44" s="12">
        <v>55</v>
      </c>
      <c r="G44" s="13" t="s">
        <v>63</v>
      </c>
      <c r="H44" s="14" t="s">
        <v>12</v>
      </c>
      <c r="I44" s="15" t="s">
        <v>13</v>
      </c>
      <c r="J44" s="16"/>
      <c r="K44" s="16"/>
    </row>
    <row r="45" spans="1:11" x14ac:dyDescent="0.2">
      <c r="A45" s="10" t="s">
        <v>8</v>
      </c>
      <c r="B45" s="11" t="s">
        <v>9</v>
      </c>
      <c r="C45" s="75" t="s">
        <v>86</v>
      </c>
      <c r="D45" s="73">
        <v>7173554</v>
      </c>
      <c r="E45" s="72">
        <v>45454</v>
      </c>
      <c r="F45" s="12">
        <v>32403.99</v>
      </c>
      <c r="G45" s="13" t="s">
        <v>87</v>
      </c>
      <c r="H45" s="14" t="s">
        <v>20</v>
      </c>
      <c r="I45" s="15" t="s">
        <v>21</v>
      </c>
      <c r="J45" s="16"/>
      <c r="K45" s="16"/>
    </row>
    <row r="46" spans="1:11" x14ac:dyDescent="0.2">
      <c r="A46" s="10" t="s">
        <v>8</v>
      </c>
      <c r="B46" s="11" t="s">
        <v>9</v>
      </c>
      <c r="C46" s="75" t="s">
        <v>488</v>
      </c>
      <c r="D46" s="73">
        <v>3068057</v>
      </c>
      <c r="E46" s="72">
        <v>45471</v>
      </c>
      <c r="F46" s="12">
        <v>27828.37</v>
      </c>
      <c r="G46" s="13" t="s">
        <v>579</v>
      </c>
      <c r="H46" s="14" t="s">
        <v>20</v>
      </c>
      <c r="I46" s="15" t="s">
        <v>21</v>
      </c>
      <c r="J46" s="16"/>
      <c r="K46" s="16"/>
    </row>
    <row r="47" spans="1:11" x14ac:dyDescent="0.2">
      <c r="A47" s="10" t="s">
        <v>8</v>
      </c>
      <c r="B47" s="11" t="s">
        <v>9</v>
      </c>
      <c r="C47" s="75" t="s">
        <v>72</v>
      </c>
      <c r="D47" s="73">
        <v>7173610</v>
      </c>
      <c r="E47" s="72">
        <v>45460</v>
      </c>
      <c r="F47" s="12">
        <v>26981.13</v>
      </c>
      <c r="G47" s="13" t="s">
        <v>27</v>
      </c>
      <c r="H47" s="14" t="s">
        <v>20</v>
      </c>
      <c r="I47" s="15" t="s">
        <v>21</v>
      </c>
      <c r="J47" s="16"/>
      <c r="K47" s="16"/>
    </row>
    <row r="48" spans="1:11" x14ac:dyDescent="0.2">
      <c r="A48" s="10" t="s">
        <v>8</v>
      </c>
      <c r="B48" s="11" t="s">
        <v>9</v>
      </c>
      <c r="C48" s="75" t="s">
        <v>461</v>
      </c>
      <c r="D48" s="73">
        <v>7174281</v>
      </c>
      <c r="E48" s="72">
        <v>45468</v>
      </c>
      <c r="F48" s="12">
        <v>26521.599999999999</v>
      </c>
      <c r="G48" s="13" t="s">
        <v>251</v>
      </c>
      <c r="H48" s="14" t="s">
        <v>20</v>
      </c>
      <c r="I48" s="15" t="s">
        <v>21</v>
      </c>
      <c r="J48" s="16"/>
      <c r="K48" s="16"/>
    </row>
    <row r="49" spans="1:11" x14ac:dyDescent="0.2">
      <c r="A49" s="10" t="s">
        <v>8</v>
      </c>
      <c r="B49" s="11" t="s">
        <v>9</v>
      </c>
      <c r="C49" s="75" t="s">
        <v>796</v>
      </c>
      <c r="D49" s="73">
        <v>7173320</v>
      </c>
      <c r="E49" s="72">
        <v>45446</v>
      </c>
      <c r="F49" s="18">
        <v>26500</v>
      </c>
      <c r="G49" s="19" t="s">
        <v>27</v>
      </c>
      <c r="H49" s="14" t="s">
        <v>20</v>
      </c>
      <c r="I49" s="15" t="s">
        <v>21</v>
      </c>
      <c r="J49" s="16"/>
      <c r="K49" s="16"/>
    </row>
    <row r="50" spans="1:11" x14ac:dyDescent="0.2">
      <c r="A50" s="10" t="s">
        <v>8</v>
      </c>
      <c r="B50" s="11" t="s">
        <v>9</v>
      </c>
      <c r="C50" s="75" t="s">
        <v>26</v>
      </c>
      <c r="D50" s="73">
        <v>7173853</v>
      </c>
      <c r="E50" s="72">
        <v>45456</v>
      </c>
      <c r="F50" s="12">
        <v>25824.69</v>
      </c>
      <c r="G50" s="13" t="s">
        <v>88</v>
      </c>
      <c r="H50" s="14" t="s">
        <v>20</v>
      </c>
      <c r="I50" s="15" t="s">
        <v>21</v>
      </c>
      <c r="J50" s="16"/>
      <c r="K50" s="16"/>
    </row>
    <row r="51" spans="1:11" x14ac:dyDescent="0.2">
      <c r="A51" s="10" t="s">
        <v>8</v>
      </c>
      <c r="B51" s="11" t="s">
        <v>9</v>
      </c>
      <c r="C51" s="75" t="s">
        <v>109</v>
      </c>
      <c r="D51" s="73">
        <v>7173928</v>
      </c>
      <c r="E51" s="72">
        <v>45460</v>
      </c>
      <c r="F51" s="18">
        <v>25386.75</v>
      </c>
      <c r="G51" s="19" t="s">
        <v>27</v>
      </c>
      <c r="H51" s="14" t="s">
        <v>20</v>
      </c>
      <c r="I51" s="15" t="s">
        <v>21</v>
      </c>
      <c r="J51" s="16"/>
      <c r="K51" s="16"/>
    </row>
    <row r="52" spans="1:11" x14ac:dyDescent="0.2">
      <c r="A52" s="10" t="s">
        <v>8</v>
      </c>
      <c r="B52" s="11" t="s">
        <v>9</v>
      </c>
      <c r="C52" s="75" t="s">
        <v>461</v>
      </c>
      <c r="D52" s="73">
        <v>7174296</v>
      </c>
      <c r="E52" s="72">
        <v>45468</v>
      </c>
      <c r="F52" s="12">
        <v>25200</v>
      </c>
      <c r="G52" s="13" t="s">
        <v>251</v>
      </c>
      <c r="H52" s="14" t="s">
        <v>20</v>
      </c>
      <c r="I52" s="15" t="s">
        <v>21</v>
      </c>
      <c r="J52" s="16"/>
      <c r="K52" s="16"/>
    </row>
    <row r="53" spans="1:11" x14ac:dyDescent="0.2">
      <c r="A53" s="10" t="s">
        <v>8</v>
      </c>
      <c r="B53" s="11" t="s">
        <v>9</v>
      </c>
      <c r="C53" s="75" t="s">
        <v>85</v>
      </c>
      <c r="D53" s="73">
        <v>7173930</v>
      </c>
      <c r="E53" s="72">
        <v>45460</v>
      </c>
      <c r="F53" s="18">
        <v>24879.75</v>
      </c>
      <c r="G53" s="19" t="s">
        <v>27</v>
      </c>
      <c r="H53" s="14" t="s">
        <v>16</v>
      </c>
      <c r="I53" s="15" t="s">
        <v>17</v>
      </c>
      <c r="J53" s="16"/>
      <c r="K53" s="16"/>
    </row>
    <row r="54" spans="1:11" x14ac:dyDescent="0.2">
      <c r="A54" s="10" t="s">
        <v>8</v>
      </c>
      <c r="B54" s="11" t="s">
        <v>9</v>
      </c>
      <c r="C54" s="75" t="s">
        <v>74</v>
      </c>
      <c r="D54" s="73">
        <v>7173706</v>
      </c>
      <c r="E54" s="72">
        <v>45467</v>
      </c>
      <c r="F54" s="12">
        <v>24368.43</v>
      </c>
      <c r="G54" s="13" t="s">
        <v>15</v>
      </c>
      <c r="H54" s="14" t="s">
        <v>16</v>
      </c>
      <c r="I54" s="15" t="s">
        <v>17</v>
      </c>
      <c r="J54" s="16"/>
      <c r="K54" s="16"/>
    </row>
    <row r="55" spans="1:11" x14ac:dyDescent="0.2">
      <c r="A55" s="10" t="s">
        <v>8</v>
      </c>
      <c r="B55" s="11" t="s">
        <v>9</v>
      </c>
      <c r="C55" s="75" t="s">
        <v>50</v>
      </c>
      <c r="D55" s="73">
        <v>7174108</v>
      </c>
      <c r="E55" s="72">
        <v>45469</v>
      </c>
      <c r="F55" s="18">
        <v>24235.86</v>
      </c>
      <c r="G55" s="19" t="s">
        <v>36</v>
      </c>
      <c r="H55" s="14" t="s">
        <v>16</v>
      </c>
      <c r="I55" s="15" t="s">
        <v>17</v>
      </c>
      <c r="J55" s="16"/>
      <c r="K55" s="16"/>
    </row>
    <row r="56" spans="1:11" x14ac:dyDescent="0.2">
      <c r="A56" s="10" t="s">
        <v>8</v>
      </c>
      <c r="B56" s="11" t="s">
        <v>9</v>
      </c>
      <c r="C56" s="75" t="s">
        <v>420</v>
      </c>
      <c r="D56" s="73">
        <v>7173843</v>
      </c>
      <c r="E56" s="72">
        <v>45456</v>
      </c>
      <c r="F56" s="12">
        <v>24000</v>
      </c>
      <c r="G56" s="13" t="s">
        <v>106</v>
      </c>
      <c r="H56" s="14" t="s">
        <v>16</v>
      </c>
      <c r="I56" s="15" t="s">
        <v>17</v>
      </c>
      <c r="J56" s="16"/>
      <c r="K56" s="16"/>
    </row>
    <row r="57" spans="1:11" x14ac:dyDescent="0.2">
      <c r="A57" s="10" t="s">
        <v>8</v>
      </c>
      <c r="B57" s="11" t="s">
        <v>9</v>
      </c>
      <c r="C57" s="75" t="s">
        <v>795</v>
      </c>
      <c r="D57" s="73">
        <v>7172887</v>
      </c>
      <c r="E57" s="72">
        <v>45447</v>
      </c>
      <c r="F57" s="18">
        <v>23511</v>
      </c>
      <c r="G57" s="19" t="s">
        <v>229</v>
      </c>
      <c r="H57" s="14" t="s">
        <v>16</v>
      </c>
      <c r="I57" s="15" t="s">
        <v>17</v>
      </c>
      <c r="J57" s="16"/>
      <c r="K57" s="16"/>
    </row>
    <row r="58" spans="1:11" x14ac:dyDescent="0.2">
      <c r="A58" s="10" t="s">
        <v>8</v>
      </c>
      <c r="B58" s="11" t="s">
        <v>9</v>
      </c>
      <c r="C58" s="75" t="s">
        <v>139</v>
      </c>
      <c r="D58" s="73">
        <v>7173638</v>
      </c>
      <c r="E58" s="72">
        <v>45457</v>
      </c>
      <c r="F58" s="12">
        <v>23257</v>
      </c>
      <c r="G58" s="13" t="s">
        <v>39</v>
      </c>
      <c r="H58" s="14" t="s">
        <v>16</v>
      </c>
      <c r="I58" s="15" t="s">
        <v>17</v>
      </c>
      <c r="J58" s="16"/>
      <c r="K58" s="16"/>
    </row>
    <row r="59" spans="1:11" x14ac:dyDescent="0.2">
      <c r="A59" s="10" t="s">
        <v>8</v>
      </c>
      <c r="B59" s="11" t="s">
        <v>9</v>
      </c>
      <c r="C59" s="77" t="s">
        <v>482</v>
      </c>
      <c r="D59" s="73">
        <v>7174314</v>
      </c>
      <c r="E59" s="72">
        <v>45468</v>
      </c>
      <c r="F59" s="18">
        <v>22000</v>
      </c>
      <c r="G59" s="19" t="s">
        <v>133</v>
      </c>
      <c r="H59" s="14" t="s">
        <v>16</v>
      </c>
      <c r="I59" s="15" t="s">
        <v>17</v>
      </c>
      <c r="J59" s="16"/>
      <c r="K59" s="16"/>
    </row>
    <row r="60" spans="1:11" x14ac:dyDescent="0.2">
      <c r="A60" s="10" t="s">
        <v>8</v>
      </c>
      <c r="B60" s="11" t="s">
        <v>9</v>
      </c>
      <c r="C60" s="75" t="s">
        <v>793</v>
      </c>
      <c r="D60" s="73">
        <v>7173929</v>
      </c>
      <c r="E60" s="72">
        <v>45460</v>
      </c>
      <c r="F60" s="12">
        <v>21999.75</v>
      </c>
      <c r="G60" s="13" t="s">
        <v>27</v>
      </c>
      <c r="H60" s="14" t="s">
        <v>16</v>
      </c>
      <c r="I60" s="15" t="s">
        <v>17</v>
      </c>
      <c r="J60" s="16"/>
      <c r="K60" s="16"/>
    </row>
    <row r="61" spans="1:11" x14ac:dyDescent="0.2">
      <c r="A61" s="10" t="s">
        <v>8</v>
      </c>
      <c r="B61" s="11" t="s">
        <v>9</v>
      </c>
      <c r="C61" s="75" t="s">
        <v>794</v>
      </c>
      <c r="D61" s="73">
        <v>7173166</v>
      </c>
      <c r="E61" s="72">
        <v>45446</v>
      </c>
      <c r="F61" s="18">
        <v>21284.5</v>
      </c>
      <c r="G61" s="19" t="s">
        <v>27</v>
      </c>
      <c r="H61" s="14" t="s">
        <v>16</v>
      </c>
      <c r="I61" s="15" t="s">
        <v>17</v>
      </c>
      <c r="J61" s="16"/>
      <c r="K61" s="16"/>
    </row>
    <row r="62" spans="1:11" x14ac:dyDescent="0.2">
      <c r="A62" s="10" t="s">
        <v>8</v>
      </c>
      <c r="B62" s="11" t="s">
        <v>9</v>
      </c>
      <c r="C62" s="75" t="s">
        <v>197</v>
      </c>
      <c r="D62" s="73">
        <v>7174373</v>
      </c>
      <c r="E62" s="72">
        <v>45470</v>
      </c>
      <c r="F62" s="12">
        <v>21100.78</v>
      </c>
      <c r="G62" s="13" t="s">
        <v>319</v>
      </c>
      <c r="H62" s="14" t="s">
        <v>16</v>
      </c>
      <c r="I62" s="15" t="s">
        <v>17</v>
      </c>
      <c r="J62" s="16"/>
      <c r="K62" s="16"/>
    </row>
    <row r="63" spans="1:11" x14ac:dyDescent="0.2">
      <c r="A63" s="10" t="s">
        <v>8</v>
      </c>
      <c r="B63" s="11" t="s">
        <v>9</v>
      </c>
      <c r="C63" s="75" t="s">
        <v>448</v>
      </c>
      <c r="D63" s="73">
        <v>7173172</v>
      </c>
      <c r="E63" s="72">
        <v>45446</v>
      </c>
      <c r="F63" s="12">
        <v>21000</v>
      </c>
      <c r="G63" s="13" t="s">
        <v>27</v>
      </c>
      <c r="H63" s="14" t="s">
        <v>16</v>
      </c>
      <c r="I63" s="15" t="s">
        <v>17</v>
      </c>
      <c r="J63" s="16"/>
      <c r="K63" s="16"/>
    </row>
    <row r="64" spans="1:11" x14ac:dyDescent="0.2">
      <c r="A64" s="10" t="s">
        <v>8</v>
      </c>
      <c r="B64" s="11" t="s">
        <v>9</v>
      </c>
      <c r="C64" s="75" t="s">
        <v>591</v>
      </c>
      <c r="D64" s="73">
        <v>7173167</v>
      </c>
      <c r="E64" s="72">
        <v>45446</v>
      </c>
      <c r="F64" s="12">
        <v>19989.5</v>
      </c>
      <c r="G64" s="13" t="s">
        <v>27</v>
      </c>
      <c r="H64" s="14" t="s">
        <v>16</v>
      </c>
      <c r="I64" s="15" t="s">
        <v>17</v>
      </c>
      <c r="J64" s="16"/>
      <c r="K64" s="16"/>
    </row>
    <row r="65" spans="1:11" x14ac:dyDescent="0.2">
      <c r="A65" s="10" t="s">
        <v>8</v>
      </c>
      <c r="B65" s="11" t="s">
        <v>9</v>
      </c>
      <c r="C65" s="77" t="s">
        <v>467</v>
      </c>
      <c r="D65" s="73">
        <v>7173925</v>
      </c>
      <c r="E65" s="72">
        <v>45460</v>
      </c>
      <c r="F65" s="12">
        <v>19787.259999999998</v>
      </c>
      <c r="G65" s="13" t="s">
        <v>27</v>
      </c>
      <c r="H65" s="14" t="s">
        <v>16</v>
      </c>
      <c r="I65" s="15" t="s">
        <v>17</v>
      </c>
      <c r="J65" s="16"/>
      <c r="K65" s="16"/>
    </row>
    <row r="66" spans="1:11" x14ac:dyDescent="0.2">
      <c r="A66" s="10" t="s">
        <v>8</v>
      </c>
      <c r="B66" s="11" t="s">
        <v>9</v>
      </c>
      <c r="C66" s="77" t="s">
        <v>467</v>
      </c>
      <c r="D66" s="73">
        <v>7173174</v>
      </c>
      <c r="E66" s="72">
        <v>45446</v>
      </c>
      <c r="F66" s="12">
        <v>19630</v>
      </c>
      <c r="G66" s="13" t="s">
        <v>27</v>
      </c>
      <c r="H66" s="14" t="s">
        <v>16</v>
      </c>
      <c r="I66" s="15" t="s">
        <v>17</v>
      </c>
      <c r="J66" s="16"/>
      <c r="K66" s="16"/>
    </row>
    <row r="67" spans="1:11" x14ac:dyDescent="0.2">
      <c r="A67" s="10" t="s">
        <v>8</v>
      </c>
      <c r="B67" s="11" t="s">
        <v>9</v>
      </c>
      <c r="C67" s="75" t="s">
        <v>109</v>
      </c>
      <c r="D67" s="73">
        <v>7173922</v>
      </c>
      <c r="E67" s="72">
        <v>45460</v>
      </c>
      <c r="F67" s="12">
        <v>19552.5</v>
      </c>
      <c r="G67" s="13" t="s">
        <v>27</v>
      </c>
      <c r="H67" s="14" t="s">
        <v>16</v>
      </c>
      <c r="I67" s="15" t="s">
        <v>17</v>
      </c>
      <c r="J67" s="16"/>
      <c r="K67" s="16"/>
    </row>
    <row r="68" spans="1:11" x14ac:dyDescent="0.2">
      <c r="A68" s="10" t="s">
        <v>8</v>
      </c>
      <c r="B68" s="11" t="s">
        <v>9</v>
      </c>
      <c r="C68" s="77" t="s">
        <v>117</v>
      </c>
      <c r="D68" s="73">
        <v>7173264</v>
      </c>
      <c r="E68" s="72">
        <v>45456</v>
      </c>
      <c r="F68" s="12">
        <v>19287.349999999999</v>
      </c>
      <c r="G68" s="13" t="s">
        <v>84</v>
      </c>
      <c r="H68" s="14" t="s">
        <v>16</v>
      </c>
      <c r="I68" s="15" t="s">
        <v>17</v>
      </c>
      <c r="J68" s="16"/>
      <c r="K68" s="16"/>
    </row>
    <row r="69" spans="1:11" x14ac:dyDescent="0.2">
      <c r="A69" s="10" t="s">
        <v>8</v>
      </c>
      <c r="B69" s="11" t="s">
        <v>9</v>
      </c>
      <c r="C69" s="77" t="s">
        <v>793</v>
      </c>
      <c r="D69" s="73">
        <v>7173169</v>
      </c>
      <c r="E69" s="72">
        <v>45446</v>
      </c>
      <c r="F69" s="12">
        <v>19214.5</v>
      </c>
      <c r="G69" s="13" t="s">
        <v>27</v>
      </c>
      <c r="H69" s="14" t="s">
        <v>16</v>
      </c>
      <c r="I69" s="15" t="s">
        <v>17</v>
      </c>
      <c r="J69" s="16"/>
      <c r="K69" s="16"/>
    </row>
    <row r="70" spans="1:11" x14ac:dyDescent="0.2">
      <c r="A70" s="10" t="s">
        <v>8</v>
      </c>
      <c r="B70" s="11" t="s">
        <v>9</v>
      </c>
      <c r="C70" s="75" t="s">
        <v>85</v>
      </c>
      <c r="D70" s="73">
        <v>7173780</v>
      </c>
      <c r="E70" s="72">
        <v>45457</v>
      </c>
      <c r="F70" s="12">
        <v>18776.919999999998</v>
      </c>
      <c r="G70" s="13" t="s">
        <v>27</v>
      </c>
      <c r="H70" s="14" t="s">
        <v>16</v>
      </c>
      <c r="I70" s="15" t="s">
        <v>17</v>
      </c>
      <c r="J70" s="16"/>
      <c r="K70" s="16"/>
    </row>
    <row r="71" spans="1:11" x14ac:dyDescent="0.2">
      <c r="A71" s="10" t="s">
        <v>8</v>
      </c>
      <c r="B71" s="11" t="s">
        <v>9</v>
      </c>
      <c r="C71" s="77" t="s">
        <v>74</v>
      </c>
      <c r="D71" s="73">
        <v>7171187</v>
      </c>
      <c r="E71" s="72">
        <v>45453</v>
      </c>
      <c r="F71" s="12">
        <v>18604.82</v>
      </c>
      <c r="G71" s="13" t="s">
        <v>75</v>
      </c>
      <c r="H71" s="14" t="s">
        <v>16</v>
      </c>
      <c r="I71" s="15" t="s">
        <v>17</v>
      </c>
      <c r="J71" s="16"/>
      <c r="K71" s="16"/>
    </row>
    <row r="72" spans="1:11" x14ac:dyDescent="0.2">
      <c r="A72" s="10" t="s">
        <v>8</v>
      </c>
      <c r="B72" s="11" t="s">
        <v>9</v>
      </c>
      <c r="C72" s="77" t="s">
        <v>74</v>
      </c>
      <c r="D72" s="73">
        <v>3068011</v>
      </c>
      <c r="E72" s="72">
        <v>45463</v>
      </c>
      <c r="F72" s="12">
        <v>18349.48</v>
      </c>
      <c r="G72" s="13" t="s">
        <v>22</v>
      </c>
      <c r="H72" s="14" t="s">
        <v>16</v>
      </c>
      <c r="I72" s="15" t="s">
        <v>17</v>
      </c>
      <c r="J72" s="16"/>
      <c r="K72" s="16"/>
    </row>
    <row r="73" spans="1:11" x14ac:dyDescent="0.2">
      <c r="A73" s="10" t="s">
        <v>8</v>
      </c>
      <c r="B73" s="11" t="s">
        <v>9</v>
      </c>
      <c r="C73" s="75" t="s">
        <v>308</v>
      </c>
      <c r="D73" s="73">
        <v>7173917</v>
      </c>
      <c r="E73" s="72">
        <v>45460</v>
      </c>
      <c r="F73" s="12">
        <v>17931.16</v>
      </c>
      <c r="G73" s="13" t="s">
        <v>160</v>
      </c>
      <c r="H73" s="14" t="s">
        <v>16</v>
      </c>
      <c r="I73" s="15" t="s">
        <v>17</v>
      </c>
      <c r="J73" s="16"/>
      <c r="K73" s="16"/>
    </row>
    <row r="74" spans="1:11" x14ac:dyDescent="0.2">
      <c r="A74" s="10" t="s">
        <v>8</v>
      </c>
      <c r="B74" s="11" t="s">
        <v>9</v>
      </c>
      <c r="C74" s="77" t="s">
        <v>109</v>
      </c>
      <c r="D74" s="73">
        <v>7173936</v>
      </c>
      <c r="E74" s="72">
        <v>45460</v>
      </c>
      <c r="F74" s="12">
        <v>17877</v>
      </c>
      <c r="G74" s="13" t="s">
        <v>27</v>
      </c>
      <c r="H74" s="14" t="s">
        <v>16</v>
      </c>
      <c r="I74" s="15" t="s">
        <v>17</v>
      </c>
      <c r="J74" s="16"/>
      <c r="K74" s="16"/>
    </row>
    <row r="75" spans="1:11" x14ac:dyDescent="0.2">
      <c r="A75" s="10" t="s">
        <v>8</v>
      </c>
      <c r="B75" s="11" t="s">
        <v>9</v>
      </c>
      <c r="C75" s="77" t="s">
        <v>127</v>
      </c>
      <c r="D75" s="73">
        <v>7173410</v>
      </c>
      <c r="E75" s="72">
        <v>45446</v>
      </c>
      <c r="F75" s="12">
        <v>17353.239999999998</v>
      </c>
      <c r="G75" s="13" t="s">
        <v>49</v>
      </c>
      <c r="H75" s="14" t="s">
        <v>16</v>
      </c>
      <c r="I75" s="15" t="s">
        <v>17</v>
      </c>
      <c r="J75" s="16"/>
      <c r="K75" s="16"/>
    </row>
    <row r="76" spans="1:11" x14ac:dyDescent="0.2">
      <c r="A76" s="10" t="s">
        <v>8</v>
      </c>
      <c r="B76" s="11" t="s">
        <v>9</v>
      </c>
      <c r="C76" s="75" t="s">
        <v>179</v>
      </c>
      <c r="D76" s="73">
        <v>7172326</v>
      </c>
      <c r="E76" s="72">
        <v>45449</v>
      </c>
      <c r="F76" s="12">
        <v>17325</v>
      </c>
      <c r="G76" s="13" t="s">
        <v>49</v>
      </c>
      <c r="H76" s="14" t="s">
        <v>16</v>
      </c>
      <c r="I76" s="15" t="s">
        <v>17</v>
      </c>
      <c r="J76" s="16"/>
      <c r="K76" s="16"/>
    </row>
    <row r="77" spans="1:11" x14ac:dyDescent="0.2">
      <c r="A77" s="10" t="s">
        <v>8</v>
      </c>
      <c r="B77" s="11" t="s">
        <v>9</v>
      </c>
      <c r="C77" s="77" t="s">
        <v>52</v>
      </c>
      <c r="D77" s="73">
        <v>7173521</v>
      </c>
      <c r="E77" s="72">
        <v>45448</v>
      </c>
      <c r="F77" s="12">
        <v>950</v>
      </c>
      <c r="G77" s="13" t="s">
        <v>45</v>
      </c>
      <c r="H77" s="14" t="s">
        <v>12</v>
      </c>
      <c r="I77" s="15" t="s">
        <v>13</v>
      </c>
      <c r="J77" s="16"/>
      <c r="K77" s="16"/>
    </row>
    <row r="78" spans="1:11" x14ac:dyDescent="0.2">
      <c r="A78" s="10" t="s">
        <v>8</v>
      </c>
      <c r="B78" s="11" t="s">
        <v>9</v>
      </c>
      <c r="C78" s="77" t="s">
        <v>52</v>
      </c>
      <c r="D78" s="73">
        <v>7173521</v>
      </c>
      <c r="E78" s="72">
        <v>45448</v>
      </c>
      <c r="F78" s="12">
        <v>11996</v>
      </c>
      <c r="G78" s="13" t="s">
        <v>81</v>
      </c>
      <c r="H78" s="14" t="s">
        <v>16</v>
      </c>
      <c r="I78" s="15" t="s">
        <v>17</v>
      </c>
      <c r="J78" s="16"/>
      <c r="K78" s="16"/>
    </row>
    <row r="79" spans="1:11" x14ac:dyDescent="0.2">
      <c r="A79" s="10" t="s">
        <v>8</v>
      </c>
      <c r="B79" s="11" t="s">
        <v>9</v>
      </c>
      <c r="C79" s="75" t="s">
        <v>52</v>
      </c>
      <c r="D79" s="73">
        <v>7173521</v>
      </c>
      <c r="E79" s="72">
        <v>45448</v>
      </c>
      <c r="F79" s="18">
        <v>4312</v>
      </c>
      <c r="G79" s="19" t="s">
        <v>82</v>
      </c>
      <c r="H79" s="14" t="s">
        <v>16</v>
      </c>
      <c r="I79" s="15" t="s">
        <v>17</v>
      </c>
      <c r="J79" s="16"/>
      <c r="K79" s="16"/>
    </row>
    <row r="80" spans="1:11" x14ac:dyDescent="0.2">
      <c r="A80" s="10" t="s">
        <v>8</v>
      </c>
      <c r="B80" s="11" t="s">
        <v>9</v>
      </c>
      <c r="C80" s="77" t="s">
        <v>44</v>
      </c>
      <c r="D80" s="73">
        <v>7173444</v>
      </c>
      <c r="E80" s="72">
        <v>45447</v>
      </c>
      <c r="F80" s="12">
        <v>1427</v>
      </c>
      <c r="G80" s="13" t="s">
        <v>45</v>
      </c>
      <c r="H80" s="14" t="s">
        <v>16</v>
      </c>
      <c r="I80" s="15" t="s">
        <v>17</v>
      </c>
      <c r="J80" s="16"/>
      <c r="K80" s="16"/>
    </row>
    <row r="81" spans="1:11" x14ac:dyDescent="0.2">
      <c r="A81" s="10" t="s">
        <v>8</v>
      </c>
      <c r="B81" s="11" t="s">
        <v>9</v>
      </c>
      <c r="C81" s="77" t="s">
        <v>44</v>
      </c>
      <c r="D81" s="73">
        <v>7173444</v>
      </c>
      <c r="E81" s="72">
        <v>45447</v>
      </c>
      <c r="F81" s="12">
        <v>11916</v>
      </c>
      <c r="G81" s="13" t="s">
        <v>81</v>
      </c>
      <c r="H81" s="14" t="s">
        <v>16</v>
      </c>
      <c r="I81" s="15" t="s">
        <v>17</v>
      </c>
      <c r="J81" s="16"/>
      <c r="K81" s="16"/>
    </row>
    <row r="82" spans="1:11" x14ac:dyDescent="0.2">
      <c r="A82" s="10" t="s">
        <v>8</v>
      </c>
      <c r="B82" s="11" t="s">
        <v>9</v>
      </c>
      <c r="C82" s="77" t="s">
        <v>44</v>
      </c>
      <c r="D82" s="73">
        <v>7173444</v>
      </c>
      <c r="E82" s="72">
        <v>45447</v>
      </c>
      <c r="F82" s="12">
        <v>3882</v>
      </c>
      <c r="G82" s="13" t="s">
        <v>82</v>
      </c>
      <c r="H82" s="14" t="s">
        <v>16</v>
      </c>
      <c r="I82" s="15" t="s">
        <v>17</v>
      </c>
      <c r="J82" s="16"/>
      <c r="K82" s="16"/>
    </row>
    <row r="83" spans="1:11" x14ac:dyDescent="0.2">
      <c r="A83" s="10" t="s">
        <v>8</v>
      </c>
      <c r="B83" s="11" t="s">
        <v>9</v>
      </c>
      <c r="C83" s="77" t="s">
        <v>74</v>
      </c>
      <c r="D83" s="73">
        <v>7173432</v>
      </c>
      <c r="E83" s="72">
        <v>45447</v>
      </c>
      <c r="F83" s="12">
        <v>17181</v>
      </c>
      <c r="G83" s="13" t="s">
        <v>75</v>
      </c>
      <c r="H83" s="14" t="s">
        <v>16</v>
      </c>
      <c r="I83" s="15" t="s">
        <v>17</v>
      </c>
      <c r="J83" s="16"/>
      <c r="K83" s="16"/>
    </row>
    <row r="84" spans="1:11" x14ac:dyDescent="0.2">
      <c r="A84" s="10" t="s">
        <v>8</v>
      </c>
      <c r="B84" s="11" t="s">
        <v>9</v>
      </c>
      <c r="C84" s="75" t="s">
        <v>461</v>
      </c>
      <c r="D84" s="73">
        <v>7174288</v>
      </c>
      <c r="E84" s="72">
        <v>45468</v>
      </c>
      <c r="F84" s="12">
        <v>16894.98</v>
      </c>
      <c r="G84" s="13" t="s">
        <v>792</v>
      </c>
      <c r="H84" s="14" t="s">
        <v>16</v>
      </c>
      <c r="I84" s="15" t="s">
        <v>17</v>
      </c>
      <c r="J84" s="16"/>
      <c r="K84" s="16"/>
    </row>
    <row r="85" spans="1:11" x14ac:dyDescent="0.2">
      <c r="A85" s="10" t="s">
        <v>8</v>
      </c>
      <c r="B85" s="11" t="s">
        <v>9</v>
      </c>
      <c r="C85" s="77" t="s">
        <v>791</v>
      </c>
      <c r="D85" s="73">
        <v>7173171</v>
      </c>
      <c r="E85" s="72">
        <v>45446</v>
      </c>
      <c r="F85" s="12">
        <v>16675</v>
      </c>
      <c r="G85" s="13" t="s">
        <v>27</v>
      </c>
      <c r="H85" s="14" t="s">
        <v>16</v>
      </c>
      <c r="I85" s="15" t="s">
        <v>17</v>
      </c>
      <c r="J85" s="16"/>
      <c r="K85" s="16"/>
    </row>
    <row r="86" spans="1:11" x14ac:dyDescent="0.2">
      <c r="A86" s="10" t="s">
        <v>8</v>
      </c>
      <c r="B86" s="11" t="s">
        <v>9</v>
      </c>
      <c r="C86" s="77" t="s">
        <v>657</v>
      </c>
      <c r="D86" s="73">
        <v>9035042</v>
      </c>
      <c r="E86" s="72">
        <v>45453</v>
      </c>
      <c r="F86" s="12">
        <v>16585.5</v>
      </c>
      <c r="G86" s="13" t="s">
        <v>80</v>
      </c>
      <c r="H86" s="14" t="s">
        <v>16</v>
      </c>
      <c r="I86" s="15" t="s">
        <v>17</v>
      </c>
      <c r="J86" s="16"/>
      <c r="K86" s="16"/>
    </row>
    <row r="87" spans="1:11" x14ac:dyDescent="0.2">
      <c r="A87" s="10" t="s">
        <v>8</v>
      </c>
      <c r="B87" s="11" t="s">
        <v>9</v>
      </c>
      <c r="C87" s="75" t="s">
        <v>448</v>
      </c>
      <c r="D87" s="73">
        <v>7174190</v>
      </c>
      <c r="E87" s="72">
        <v>45464</v>
      </c>
      <c r="F87" s="12">
        <v>16537</v>
      </c>
      <c r="G87" s="13" t="s">
        <v>27</v>
      </c>
      <c r="H87" s="14" t="s">
        <v>16</v>
      </c>
      <c r="I87" s="15" t="s">
        <v>17</v>
      </c>
      <c r="J87" s="16"/>
      <c r="K87" s="16"/>
    </row>
    <row r="88" spans="1:11" x14ac:dyDescent="0.2">
      <c r="A88" s="10" t="s">
        <v>8</v>
      </c>
      <c r="B88" s="11" t="s">
        <v>9</v>
      </c>
      <c r="C88" s="77" t="s">
        <v>117</v>
      </c>
      <c r="D88" s="73">
        <v>7173663</v>
      </c>
      <c r="E88" s="72">
        <v>45467</v>
      </c>
      <c r="F88" s="12">
        <v>16457.03</v>
      </c>
      <c r="G88" s="13" t="s">
        <v>118</v>
      </c>
      <c r="H88" s="14" t="s">
        <v>16</v>
      </c>
      <c r="I88" s="15" t="s">
        <v>17</v>
      </c>
      <c r="J88" s="16"/>
      <c r="K88" s="16"/>
    </row>
    <row r="89" spans="1:11" x14ac:dyDescent="0.2">
      <c r="A89" s="10" t="s">
        <v>8</v>
      </c>
      <c r="B89" s="11" t="s">
        <v>9</v>
      </c>
      <c r="C89" s="75" t="s">
        <v>50</v>
      </c>
      <c r="D89" s="73">
        <v>7173108</v>
      </c>
      <c r="E89" s="72">
        <v>45446</v>
      </c>
      <c r="F89" s="12">
        <v>16209.56</v>
      </c>
      <c r="G89" s="13" t="s">
        <v>36</v>
      </c>
      <c r="H89" s="14" t="s">
        <v>16</v>
      </c>
      <c r="I89" s="15" t="s">
        <v>17</v>
      </c>
      <c r="J89" s="16"/>
      <c r="K89" s="16"/>
    </row>
    <row r="90" spans="1:11" x14ac:dyDescent="0.2">
      <c r="A90" s="10" t="s">
        <v>8</v>
      </c>
      <c r="B90" s="11" t="s">
        <v>9</v>
      </c>
      <c r="C90" s="77" t="s">
        <v>170</v>
      </c>
      <c r="D90" s="73">
        <v>7174149</v>
      </c>
      <c r="E90" s="72">
        <v>45469</v>
      </c>
      <c r="F90" s="12">
        <v>15681.73</v>
      </c>
      <c r="G90" s="13" t="s">
        <v>27</v>
      </c>
      <c r="H90" s="14" t="s">
        <v>16</v>
      </c>
      <c r="I90" s="15" t="s">
        <v>17</v>
      </c>
      <c r="J90" s="16"/>
      <c r="K90" s="16"/>
    </row>
    <row r="91" spans="1:11" x14ac:dyDescent="0.2">
      <c r="A91" s="10" t="s">
        <v>8</v>
      </c>
      <c r="B91" s="11" t="s">
        <v>9</v>
      </c>
      <c r="C91" s="77" t="s">
        <v>790</v>
      </c>
      <c r="D91" s="73">
        <v>7173165</v>
      </c>
      <c r="E91" s="72">
        <v>45446</v>
      </c>
      <c r="F91" s="12">
        <v>15500</v>
      </c>
      <c r="G91" s="13" t="s">
        <v>27</v>
      </c>
      <c r="H91" s="14" t="s">
        <v>16</v>
      </c>
      <c r="I91" s="15" t="s">
        <v>17</v>
      </c>
      <c r="J91" s="16"/>
      <c r="K91" s="16"/>
    </row>
    <row r="92" spans="1:11" x14ac:dyDescent="0.2">
      <c r="A92" s="10" t="s">
        <v>8</v>
      </c>
      <c r="B92" s="11" t="s">
        <v>9</v>
      </c>
      <c r="C92" s="75" t="s">
        <v>97</v>
      </c>
      <c r="D92" s="73">
        <v>7174266</v>
      </c>
      <c r="E92" s="72">
        <v>45468</v>
      </c>
      <c r="F92" s="12">
        <v>15460</v>
      </c>
      <c r="G92" s="13" t="s">
        <v>106</v>
      </c>
      <c r="H92" s="14" t="s">
        <v>16</v>
      </c>
      <c r="I92" s="15" t="s">
        <v>17</v>
      </c>
      <c r="J92" s="16"/>
      <c r="K92" s="16"/>
    </row>
    <row r="93" spans="1:11" x14ac:dyDescent="0.2">
      <c r="A93" s="10" t="s">
        <v>8</v>
      </c>
      <c r="B93" s="11" t="s">
        <v>9</v>
      </c>
      <c r="C93" s="77" t="s">
        <v>153</v>
      </c>
      <c r="D93" s="73">
        <v>7172492</v>
      </c>
      <c r="E93" s="72">
        <v>45446</v>
      </c>
      <c r="F93" s="12">
        <v>15202.5</v>
      </c>
      <c r="G93" s="13" t="s">
        <v>39</v>
      </c>
      <c r="H93" s="14" t="s">
        <v>16</v>
      </c>
      <c r="I93" s="15" t="s">
        <v>17</v>
      </c>
      <c r="J93" s="16"/>
      <c r="K93" s="16"/>
    </row>
    <row r="94" spans="1:11" x14ac:dyDescent="0.2">
      <c r="A94" s="10" t="s">
        <v>8</v>
      </c>
      <c r="B94" s="11" t="s">
        <v>9</v>
      </c>
      <c r="C94" s="77" t="s">
        <v>117</v>
      </c>
      <c r="D94" s="73">
        <v>7172074</v>
      </c>
      <c r="E94" s="72">
        <v>45454</v>
      </c>
      <c r="F94" s="12">
        <v>15019.34</v>
      </c>
      <c r="G94" s="13" t="s">
        <v>84</v>
      </c>
      <c r="H94" s="14" t="s">
        <v>16</v>
      </c>
      <c r="I94" s="15" t="s">
        <v>17</v>
      </c>
      <c r="J94" s="16"/>
      <c r="K94" s="16"/>
    </row>
    <row r="95" spans="1:11" x14ac:dyDescent="0.2">
      <c r="A95" s="10" t="s">
        <v>8</v>
      </c>
      <c r="B95" s="11" t="s">
        <v>9</v>
      </c>
      <c r="C95" s="75" t="s">
        <v>787</v>
      </c>
      <c r="D95" s="73">
        <v>7173469</v>
      </c>
      <c r="E95" s="72">
        <v>45450</v>
      </c>
      <c r="F95" s="12">
        <v>15000</v>
      </c>
      <c r="G95" s="13" t="s">
        <v>27</v>
      </c>
      <c r="H95" s="14" t="s">
        <v>16</v>
      </c>
      <c r="I95" s="15" t="s">
        <v>17</v>
      </c>
      <c r="J95" s="16"/>
      <c r="K95" s="16"/>
    </row>
    <row r="96" spans="1:11" x14ac:dyDescent="0.2">
      <c r="A96" s="10" t="s">
        <v>8</v>
      </c>
      <c r="B96" s="11" t="s">
        <v>9</v>
      </c>
      <c r="C96" s="77" t="s">
        <v>461</v>
      </c>
      <c r="D96" s="73">
        <v>7174298</v>
      </c>
      <c r="E96" s="72">
        <v>45468</v>
      </c>
      <c r="F96" s="12">
        <v>14700</v>
      </c>
      <c r="G96" s="13" t="s">
        <v>251</v>
      </c>
      <c r="H96" s="14" t="s">
        <v>16</v>
      </c>
      <c r="I96" s="15" t="s">
        <v>17</v>
      </c>
      <c r="J96" s="16"/>
      <c r="K96" s="16"/>
    </row>
    <row r="97" spans="1:11" x14ac:dyDescent="0.2">
      <c r="A97" s="10" t="s">
        <v>8</v>
      </c>
      <c r="B97" s="11" t="s">
        <v>9</v>
      </c>
      <c r="C97" s="77" t="s">
        <v>126</v>
      </c>
      <c r="D97" s="73">
        <v>7173063</v>
      </c>
      <c r="E97" s="72">
        <v>45461</v>
      </c>
      <c r="F97" s="12">
        <v>14679.35</v>
      </c>
      <c r="G97" s="13" t="s">
        <v>41</v>
      </c>
      <c r="H97" s="14" t="s">
        <v>16</v>
      </c>
      <c r="I97" s="15" t="s">
        <v>17</v>
      </c>
      <c r="J97" s="16"/>
      <c r="K97" s="16"/>
    </row>
    <row r="98" spans="1:11" x14ac:dyDescent="0.2">
      <c r="A98" s="10" t="s">
        <v>8</v>
      </c>
      <c r="B98" s="11" t="s">
        <v>9</v>
      </c>
      <c r="C98" s="75" t="s">
        <v>137</v>
      </c>
      <c r="D98" s="73">
        <v>7173605</v>
      </c>
      <c r="E98" s="72">
        <v>45455</v>
      </c>
      <c r="F98" s="12">
        <v>14361.71</v>
      </c>
      <c r="G98" s="13" t="s">
        <v>138</v>
      </c>
      <c r="H98" s="14" t="s">
        <v>16</v>
      </c>
      <c r="I98" s="15" t="s">
        <v>17</v>
      </c>
      <c r="J98" s="16"/>
      <c r="K98" s="16"/>
    </row>
    <row r="99" spans="1:11" x14ac:dyDescent="0.2">
      <c r="A99" s="10" t="s">
        <v>8</v>
      </c>
      <c r="B99" s="11" t="s">
        <v>9</v>
      </c>
      <c r="C99" s="77" t="s">
        <v>107</v>
      </c>
      <c r="D99" s="73">
        <v>7173651</v>
      </c>
      <c r="E99" s="72">
        <v>45455</v>
      </c>
      <c r="F99" s="12">
        <v>14031.1</v>
      </c>
      <c r="G99" s="13" t="s">
        <v>108</v>
      </c>
      <c r="H99" s="14" t="s">
        <v>16</v>
      </c>
      <c r="I99" s="15" t="s">
        <v>17</v>
      </c>
      <c r="J99" s="16"/>
      <c r="K99" s="16"/>
    </row>
    <row r="100" spans="1:11" x14ac:dyDescent="0.2">
      <c r="A100" s="10" t="s">
        <v>8</v>
      </c>
      <c r="B100" s="11" t="s">
        <v>9</v>
      </c>
      <c r="C100" s="77" t="s">
        <v>107</v>
      </c>
      <c r="D100" s="73">
        <v>7173649</v>
      </c>
      <c r="E100" s="72">
        <v>45455</v>
      </c>
      <c r="F100" s="12">
        <v>13950.36</v>
      </c>
      <c r="G100" s="13" t="s">
        <v>108</v>
      </c>
      <c r="H100" s="14" t="s">
        <v>16</v>
      </c>
      <c r="I100" s="15" t="s">
        <v>17</v>
      </c>
      <c r="J100" s="16"/>
      <c r="K100" s="16"/>
    </row>
    <row r="101" spans="1:11" x14ac:dyDescent="0.2">
      <c r="A101" s="10" t="s">
        <v>8</v>
      </c>
      <c r="B101" s="11" t="s">
        <v>9</v>
      </c>
      <c r="C101" s="75" t="s">
        <v>350</v>
      </c>
      <c r="D101" s="73">
        <v>7173382</v>
      </c>
      <c r="E101" s="72">
        <v>45461</v>
      </c>
      <c r="F101" s="12">
        <v>13908.52</v>
      </c>
      <c r="G101" s="13" t="s">
        <v>24</v>
      </c>
      <c r="H101" s="14" t="s">
        <v>16</v>
      </c>
      <c r="I101" s="15" t="s">
        <v>17</v>
      </c>
      <c r="J101" s="16"/>
      <c r="K101" s="16"/>
    </row>
    <row r="102" spans="1:11" x14ac:dyDescent="0.2">
      <c r="A102" s="10" t="s">
        <v>8</v>
      </c>
      <c r="B102" s="11" t="s">
        <v>9</v>
      </c>
      <c r="C102" s="75" t="s">
        <v>461</v>
      </c>
      <c r="D102" s="73">
        <v>7174294</v>
      </c>
      <c r="E102" s="72">
        <v>45468</v>
      </c>
      <c r="F102" s="12">
        <v>13674.8</v>
      </c>
      <c r="G102" s="13" t="s">
        <v>251</v>
      </c>
      <c r="H102" s="14" t="s">
        <v>16</v>
      </c>
      <c r="I102" s="15" t="s">
        <v>17</v>
      </c>
      <c r="J102" s="16"/>
      <c r="K102" s="16"/>
    </row>
    <row r="103" spans="1:11" x14ac:dyDescent="0.2">
      <c r="A103" s="10" t="s">
        <v>8</v>
      </c>
      <c r="B103" s="11" t="s">
        <v>9</v>
      </c>
      <c r="C103" s="75" t="s">
        <v>101</v>
      </c>
      <c r="D103" s="73">
        <v>7173890</v>
      </c>
      <c r="E103" s="72">
        <v>45456</v>
      </c>
      <c r="F103" s="12">
        <v>13500</v>
      </c>
      <c r="G103" s="13" t="s">
        <v>102</v>
      </c>
      <c r="H103" s="14" t="s">
        <v>16</v>
      </c>
      <c r="I103" s="15" t="s">
        <v>17</v>
      </c>
      <c r="J103" s="16"/>
      <c r="K103" s="16"/>
    </row>
    <row r="104" spans="1:11" x14ac:dyDescent="0.2">
      <c r="A104" s="10" t="s">
        <v>8</v>
      </c>
      <c r="B104" s="11" t="s">
        <v>9</v>
      </c>
      <c r="C104" s="75" t="s">
        <v>26</v>
      </c>
      <c r="D104" s="73">
        <v>7173854</v>
      </c>
      <c r="E104" s="72">
        <v>45456</v>
      </c>
      <c r="F104" s="12">
        <v>13185.93</v>
      </c>
      <c r="G104" s="13" t="s">
        <v>88</v>
      </c>
      <c r="H104" s="14" t="s">
        <v>16</v>
      </c>
      <c r="I104" s="15" t="s">
        <v>17</v>
      </c>
      <c r="J104" s="16"/>
      <c r="K104" s="16"/>
    </row>
    <row r="105" spans="1:11" x14ac:dyDescent="0.2">
      <c r="A105" s="10" t="s">
        <v>8</v>
      </c>
      <c r="B105" s="11" t="s">
        <v>9</v>
      </c>
      <c r="C105" s="75" t="s">
        <v>127</v>
      </c>
      <c r="D105" s="73">
        <v>7173979</v>
      </c>
      <c r="E105" s="72">
        <v>45460</v>
      </c>
      <c r="F105" s="18">
        <v>13001.53</v>
      </c>
      <c r="G105" s="19" t="s">
        <v>49</v>
      </c>
      <c r="H105" s="14" t="s">
        <v>16</v>
      </c>
      <c r="I105" s="15" t="s">
        <v>17</v>
      </c>
      <c r="J105" s="16"/>
      <c r="K105" s="16"/>
    </row>
    <row r="106" spans="1:11" x14ac:dyDescent="0.2">
      <c r="A106" s="10" t="s">
        <v>8</v>
      </c>
      <c r="B106" s="11" t="s">
        <v>9</v>
      </c>
      <c r="C106" s="77" t="s">
        <v>110</v>
      </c>
      <c r="D106" s="73">
        <v>7173633</v>
      </c>
      <c r="E106" s="72">
        <v>45450</v>
      </c>
      <c r="F106" s="18">
        <v>12922.83</v>
      </c>
      <c r="G106" s="19" t="s">
        <v>49</v>
      </c>
      <c r="H106" s="14" t="s">
        <v>16</v>
      </c>
      <c r="I106" s="15" t="s">
        <v>17</v>
      </c>
      <c r="J106" s="16"/>
      <c r="K106" s="16"/>
    </row>
    <row r="107" spans="1:11" x14ac:dyDescent="0.2">
      <c r="A107" s="10" t="s">
        <v>8</v>
      </c>
      <c r="B107" s="11" t="s">
        <v>9</v>
      </c>
      <c r="C107" s="75" t="s">
        <v>110</v>
      </c>
      <c r="D107" s="73">
        <v>7172698</v>
      </c>
      <c r="E107" s="72">
        <v>45446</v>
      </c>
      <c r="F107" s="12">
        <v>12922.83</v>
      </c>
      <c r="G107" s="13" t="s">
        <v>49</v>
      </c>
      <c r="H107" s="14" t="s">
        <v>16</v>
      </c>
      <c r="I107" s="15" t="s">
        <v>17</v>
      </c>
      <c r="J107" s="16"/>
      <c r="K107" s="16"/>
    </row>
    <row r="108" spans="1:11" x14ac:dyDescent="0.2">
      <c r="A108" s="10" t="s">
        <v>8</v>
      </c>
      <c r="B108" s="11" t="s">
        <v>9</v>
      </c>
      <c r="C108" s="75" t="s">
        <v>110</v>
      </c>
      <c r="D108" s="73">
        <v>7172697</v>
      </c>
      <c r="E108" s="72">
        <v>45446</v>
      </c>
      <c r="F108" s="12">
        <v>12922.83</v>
      </c>
      <c r="G108" s="13" t="s">
        <v>49</v>
      </c>
      <c r="H108" s="14" t="s">
        <v>16</v>
      </c>
      <c r="I108" s="15" t="s">
        <v>17</v>
      </c>
      <c r="J108" s="16"/>
      <c r="K108" s="16"/>
    </row>
    <row r="109" spans="1:11" x14ac:dyDescent="0.2">
      <c r="A109" s="10" t="s">
        <v>8</v>
      </c>
      <c r="B109" s="11" t="s">
        <v>9</v>
      </c>
      <c r="C109" s="75" t="s">
        <v>109</v>
      </c>
      <c r="D109" s="73">
        <v>7173543</v>
      </c>
      <c r="E109" s="72">
        <v>45460</v>
      </c>
      <c r="F109" s="12">
        <v>12500</v>
      </c>
      <c r="G109" s="13" t="s">
        <v>27</v>
      </c>
      <c r="H109" s="14" t="s">
        <v>16</v>
      </c>
      <c r="I109" s="15" t="s">
        <v>17</v>
      </c>
      <c r="J109" s="16"/>
      <c r="K109" s="16"/>
    </row>
    <row r="110" spans="1:11" x14ac:dyDescent="0.2">
      <c r="A110" s="10" t="s">
        <v>8</v>
      </c>
      <c r="B110" s="11" t="s">
        <v>9</v>
      </c>
      <c r="C110" s="75" t="s">
        <v>789</v>
      </c>
      <c r="D110" s="73">
        <v>7173921</v>
      </c>
      <c r="E110" s="72">
        <v>45460</v>
      </c>
      <c r="F110" s="12">
        <v>12460</v>
      </c>
      <c r="G110" s="13" t="s">
        <v>27</v>
      </c>
      <c r="H110" s="14" t="s">
        <v>16</v>
      </c>
      <c r="I110" s="15" t="s">
        <v>17</v>
      </c>
      <c r="J110" s="16"/>
      <c r="K110" s="16"/>
    </row>
    <row r="111" spans="1:11" x14ac:dyDescent="0.2">
      <c r="A111" s="10" t="s">
        <v>8</v>
      </c>
      <c r="B111" s="11" t="s">
        <v>9</v>
      </c>
      <c r="C111" s="75" t="s">
        <v>74</v>
      </c>
      <c r="D111" s="73">
        <v>7172958</v>
      </c>
      <c r="E111" s="72">
        <v>45447</v>
      </c>
      <c r="F111" s="12">
        <v>12000</v>
      </c>
      <c r="G111" s="13" t="s">
        <v>15</v>
      </c>
      <c r="H111" s="14" t="s">
        <v>16</v>
      </c>
      <c r="I111" s="15" t="s">
        <v>17</v>
      </c>
      <c r="J111" s="16"/>
      <c r="K111" s="16"/>
    </row>
    <row r="112" spans="1:11" x14ac:dyDescent="0.2">
      <c r="A112" s="10" t="s">
        <v>8</v>
      </c>
      <c r="B112" s="11" t="s">
        <v>9</v>
      </c>
      <c r="C112" s="75" t="s">
        <v>448</v>
      </c>
      <c r="D112" s="73">
        <v>7173781</v>
      </c>
      <c r="E112" s="72">
        <v>45457</v>
      </c>
      <c r="F112" s="12">
        <v>11944</v>
      </c>
      <c r="G112" s="13" t="s">
        <v>27</v>
      </c>
      <c r="H112" s="14" t="s">
        <v>16</v>
      </c>
      <c r="I112" s="15" t="s">
        <v>17</v>
      </c>
      <c r="J112" s="16"/>
      <c r="K112" s="16"/>
    </row>
    <row r="113" spans="1:9" x14ac:dyDescent="0.2">
      <c r="A113" s="10" t="s">
        <v>8</v>
      </c>
      <c r="B113" s="11" t="s">
        <v>9</v>
      </c>
      <c r="C113" s="75" t="s">
        <v>789</v>
      </c>
      <c r="D113" s="73">
        <v>7173177</v>
      </c>
      <c r="E113" s="72">
        <v>45446</v>
      </c>
      <c r="F113" s="12">
        <v>11640.5</v>
      </c>
      <c r="G113" s="13" t="s">
        <v>27</v>
      </c>
      <c r="H113" s="14" t="s">
        <v>16</v>
      </c>
      <c r="I113" s="15" t="s">
        <v>17</v>
      </c>
    </row>
    <row r="114" spans="1:9" x14ac:dyDescent="0.2">
      <c r="A114" s="10" t="s">
        <v>8</v>
      </c>
      <c r="B114" s="11" t="s">
        <v>9</v>
      </c>
      <c r="C114" s="75" t="s">
        <v>461</v>
      </c>
      <c r="D114" s="73">
        <v>7174301</v>
      </c>
      <c r="E114" s="72">
        <v>45468</v>
      </c>
      <c r="F114" s="12">
        <v>11365.76</v>
      </c>
      <c r="G114" s="13" t="s">
        <v>251</v>
      </c>
      <c r="H114" s="14" t="s">
        <v>16</v>
      </c>
      <c r="I114" s="15" t="s">
        <v>17</v>
      </c>
    </row>
    <row r="115" spans="1:9" x14ac:dyDescent="0.2">
      <c r="A115" s="10" t="s">
        <v>8</v>
      </c>
      <c r="B115" s="11" t="s">
        <v>9</v>
      </c>
      <c r="C115" s="77" t="s">
        <v>126</v>
      </c>
      <c r="D115" s="73">
        <v>7173744</v>
      </c>
      <c r="E115" s="72">
        <v>45461</v>
      </c>
      <c r="F115" s="12">
        <v>11343.06</v>
      </c>
      <c r="G115" s="13" t="s">
        <v>41</v>
      </c>
      <c r="H115" s="14" t="s">
        <v>16</v>
      </c>
      <c r="I115" s="15" t="s">
        <v>17</v>
      </c>
    </row>
    <row r="116" spans="1:9" x14ac:dyDescent="0.2">
      <c r="A116" s="10" t="s">
        <v>8</v>
      </c>
      <c r="B116" s="11" t="s">
        <v>9</v>
      </c>
      <c r="C116" s="75" t="s">
        <v>113</v>
      </c>
      <c r="D116" s="73">
        <v>7173978</v>
      </c>
      <c r="E116" s="72">
        <v>45462</v>
      </c>
      <c r="F116" s="12">
        <v>11298.71</v>
      </c>
      <c r="G116" s="13" t="s">
        <v>114</v>
      </c>
      <c r="H116" s="14" t="s">
        <v>16</v>
      </c>
      <c r="I116" s="15" t="s">
        <v>17</v>
      </c>
    </row>
    <row r="117" spans="1:9" x14ac:dyDescent="0.2">
      <c r="A117" s="10" t="s">
        <v>8</v>
      </c>
      <c r="B117" s="11" t="s">
        <v>9</v>
      </c>
      <c r="C117" s="75" t="s">
        <v>163</v>
      </c>
      <c r="D117" s="73">
        <v>7173668</v>
      </c>
      <c r="E117" s="72">
        <v>45455</v>
      </c>
      <c r="F117" s="12">
        <v>11136</v>
      </c>
      <c r="G117" s="13" t="s">
        <v>45</v>
      </c>
      <c r="H117" s="14" t="s">
        <v>16</v>
      </c>
      <c r="I117" s="15" t="s">
        <v>17</v>
      </c>
    </row>
    <row r="118" spans="1:9" x14ac:dyDescent="0.2">
      <c r="A118" s="10" t="s">
        <v>8</v>
      </c>
      <c r="B118" s="11" t="s">
        <v>9</v>
      </c>
      <c r="C118" s="75" t="s">
        <v>100</v>
      </c>
      <c r="D118" s="73">
        <v>7173673</v>
      </c>
      <c r="E118" s="72">
        <v>45454</v>
      </c>
      <c r="F118" s="18">
        <v>11001.14</v>
      </c>
      <c r="G118" s="19" t="s">
        <v>38</v>
      </c>
      <c r="H118" s="14" t="s">
        <v>16</v>
      </c>
      <c r="I118" s="15" t="s">
        <v>17</v>
      </c>
    </row>
    <row r="119" spans="1:9" x14ac:dyDescent="0.2">
      <c r="A119" s="10" t="s">
        <v>8</v>
      </c>
      <c r="B119" s="11" t="s">
        <v>9</v>
      </c>
      <c r="C119" s="75" t="s">
        <v>146</v>
      </c>
      <c r="D119" s="73">
        <v>7173330</v>
      </c>
      <c r="E119" s="72">
        <v>45456</v>
      </c>
      <c r="F119" s="12">
        <v>10265.89</v>
      </c>
      <c r="G119" s="13" t="s">
        <v>24</v>
      </c>
      <c r="H119" s="14" t="s">
        <v>16</v>
      </c>
      <c r="I119" s="15" t="s">
        <v>17</v>
      </c>
    </row>
    <row r="120" spans="1:9" x14ac:dyDescent="0.2">
      <c r="A120" s="10" t="s">
        <v>8</v>
      </c>
      <c r="B120" s="11" t="s">
        <v>9</v>
      </c>
      <c r="C120" s="75" t="s">
        <v>788</v>
      </c>
      <c r="D120" s="73">
        <v>7173723</v>
      </c>
      <c r="E120" s="72">
        <v>45467</v>
      </c>
      <c r="F120" s="12">
        <v>10156.25</v>
      </c>
      <c r="G120" s="13" t="s">
        <v>345</v>
      </c>
      <c r="H120" s="14" t="s">
        <v>16</v>
      </c>
      <c r="I120" s="15" t="s">
        <v>17</v>
      </c>
    </row>
    <row r="121" spans="1:9" x14ac:dyDescent="0.2">
      <c r="A121" s="10" t="s">
        <v>8</v>
      </c>
      <c r="B121" s="11" t="s">
        <v>9</v>
      </c>
      <c r="C121" s="75" t="s">
        <v>787</v>
      </c>
      <c r="D121" s="73">
        <v>7173427</v>
      </c>
      <c r="E121" s="72">
        <v>45446</v>
      </c>
      <c r="F121" s="12">
        <v>9916</v>
      </c>
      <c r="G121" s="13" t="s">
        <v>27</v>
      </c>
      <c r="H121" s="14" t="s">
        <v>16</v>
      </c>
      <c r="I121" s="15" t="s">
        <v>17</v>
      </c>
    </row>
    <row r="122" spans="1:9" x14ac:dyDescent="0.2">
      <c r="A122" s="10" t="s">
        <v>8</v>
      </c>
      <c r="B122" s="11" t="s">
        <v>9</v>
      </c>
      <c r="C122" s="75" t="s">
        <v>74</v>
      </c>
      <c r="D122" s="73">
        <v>7173555</v>
      </c>
      <c r="E122" s="72">
        <v>45450</v>
      </c>
      <c r="F122" s="12">
        <v>9624</v>
      </c>
      <c r="G122" s="13" t="s">
        <v>75</v>
      </c>
      <c r="H122" s="14" t="s">
        <v>16</v>
      </c>
      <c r="I122" s="15" t="s">
        <v>17</v>
      </c>
    </row>
    <row r="123" spans="1:9" x14ac:dyDescent="0.2">
      <c r="A123" s="10" t="s">
        <v>8</v>
      </c>
      <c r="B123" s="11" t="s">
        <v>9</v>
      </c>
      <c r="C123" s="75" t="s">
        <v>28</v>
      </c>
      <c r="D123" s="73">
        <v>7174148</v>
      </c>
      <c r="E123" s="72">
        <v>45469</v>
      </c>
      <c r="F123" s="12">
        <v>9477.41</v>
      </c>
      <c r="G123" s="13" t="s">
        <v>27</v>
      </c>
      <c r="H123" s="14" t="s">
        <v>16</v>
      </c>
      <c r="I123" s="15" t="s">
        <v>17</v>
      </c>
    </row>
    <row r="124" spans="1:9" x14ac:dyDescent="0.2">
      <c r="A124" s="10" t="s">
        <v>8</v>
      </c>
      <c r="B124" s="11" t="s">
        <v>9</v>
      </c>
      <c r="C124" s="75" t="s">
        <v>140</v>
      </c>
      <c r="D124" s="73">
        <v>7173529</v>
      </c>
      <c r="E124" s="72">
        <v>45448</v>
      </c>
      <c r="F124" s="12">
        <v>9047.7000000000007</v>
      </c>
      <c r="G124" s="13" t="s">
        <v>40</v>
      </c>
      <c r="H124" s="14" t="s">
        <v>16</v>
      </c>
      <c r="I124" s="15" t="s">
        <v>17</v>
      </c>
    </row>
    <row r="125" spans="1:9" x14ac:dyDescent="0.2">
      <c r="A125" s="10" t="s">
        <v>8</v>
      </c>
      <c r="B125" s="11" t="s">
        <v>9</v>
      </c>
      <c r="C125" s="75" t="s">
        <v>110</v>
      </c>
      <c r="D125" s="73">
        <v>7173713</v>
      </c>
      <c r="E125" s="72">
        <v>45454</v>
      </c>
      <c r="F125" s="12">
        <v>8914.4699999999993</v>
      </c>
      <c r="G125" s="13" t="s">
        <v>49</v>
      </c>
      <c r="H125" s="14" t="s">
        <v>16</v>
      </c>
      <c r="I125" s="15" t="s">
        <v>17</v>
      </c>
    </row>
    <row r="126" spans="1:9" x14ac:dyDescent="0.2">
      <c r="A126" s="10" t="s">
        <v>8</v>
      </c>
      <c r="B126" s="11" t="s">
        <v>9</v>
      </c>
      <c r="C126" s="75" t="s">
        <v>26</v>
      </c>
      <c r="D126" s="73">
        <v>7174124</v>
      </c>
      <c r="E126" s="72">
        <v>45463</v>
      </c>
      <c r="F126" s="12">
        <v>8897.9</v>
      </c>
      <c r="G126" s="13" t="s">
        <v>88</v>
      </c>
      <c r="H126" s="14" t="s">
        <v>16</v>
      </c>
      <c r="I126" s="15" t="s">
        <v>17</v>
      </c>
    </row>
    <row r="127" spans="1:9" x14ac:dyDescent="0.2">
      <c r="A127" s="10" t="s">
        <v>8</v>
      </c>
      <c r="B127" s="11" t="s">
        <v>9</v>
      </c>
      <c r="C127" s="75" t="s">
        <v>786</v>
      </c>
      <c r="D127" s="73">
        <v>7172003</v>
      </c>
      <c r="E127" s="72">
        <v>45449</v>
      </c>
      <c r="F127" s="12">
        <v>8465</v>
      </c>
      <c r="G127" s="13" t="s">
        <v>148</v>
      </c>
      <c r="H127" s="14" t="s">
        <v>16</v>
      </c>
      <c r="I127" s="15" t="s">
        <v>17</v>
      </c>
    </row>
    <row r="128" spans="1:9" x14ac:dyDescent="0.2">
      <c r="A128" s="10" t="s">
        <v>8</v>
      </c>
      <c r="B128" s="11" t="s">
        <v>9</v>
      </c>
      <c r="C128" s="77" t="s">
        <v>109</v>
      </c>
      <c r="D128" s="73">
        <v>7173544</v>
      </c>
      <c r="E128" s="72">
        <v>45460</v>
      </c>
      <c r="F128" s="12">
        <v>8325.58</v>
      </c>
      <c r="G128" s="13" t="s">
        <v>27</v>
      </c>
      <c r="H128" s="14" t="s">
        <v>16</v>
      </c>
      <c r="I128" s="15" t="s">
        <v>17</v>
      </c>
    </row>
    <row r="129" spans="1:13" x14ac:dyDescent="0.2">
      <c r="A129" s="10" t="s">
        <v>8</v>
      </c>
      <c r="B129" s="11" t="s">
        <v>9</v>
      </c>
      <c r="C129" s="77" t="s">
        <v>723</v>
      </c>
      <c r="D129" s="73">
        <v>7173507</v>
      </c>
      <c r="E129" s="72">
        <v>45447</v>
      </c>
      <c r="F129" s="12">
        <v>8250</v>
      </c>
      <c r="G129" s="13" t="s">
        <v>22</v>
      </c>
      <c r="H129" s="14" t="s">
        <v>16</v>
      </c>
      <c r="I129" s="15" t="s">
        <v>17</v>
      </c>
    </row>
    <row r="130" spans="1:13" x14ac:dyDescent="0.2">
      <c r="A130" s="10" t="s">
        <v>8</v>
      </c>
      <c r="B130" s="11" t="s">
        <v>9</v>
      </c>
      <c r="C130" s="75" t="s">
        <v>737</v>
      </c>
      <c r="D130" s="73">
        <v>7173911</v>
      </c>
      <c r="E130" s="72">
        <v>45464</v>
      </c>
      <c r="F130" s="12">
        <v>8239.85</v>
      </c>
      <c r="G130" s="13" t="s">
        <v>27</v>
      </c>
      <c r="H130" s="14" t="s">
        <v>16</v>
      </c>
      <c r="I130" s="15" t="s">
        <v>17</v>
      </c>
    </row>
    <row r="131" spans="1:13" s="20" customFormat="1" x14ac:dyDescent="0.2">
      <c r="A131" s="10" t="s">
        <v>8</v>
      </c>
      <c r="B131" s="11" t="s">
        <v>9</v>
      </c>
      <c r="C131" s="75" t="s">
        <v>785</v>
      </c>
      <c r="D131" s="73">
        <v>7173313</v>
      </c>
      <c r="E131" s="72">
        <v>45446</v>
      </c>
      <c r="F131" s="12">
        <v>8000</v>
      </c>
      <c r="G131" s="13" t="s">
        <v>27</v>
      </c>
      <c r="H131" s="14" t="s">
        <v>16</v>
      </c>
      <c r="I131" s="15" t="s">
        <v>17</v>
      </c>
      <c r="L131" s="17"/>
      <c r="M131" s="17"/>
    </row>
    <row r="132" spans="1:13" s="20" customFormat="1" x14ac:dyDescent="0.2">
      <c r="A132" s="10" t="s">
        <v>8</v>
      </c>
      <c r="B132" s="11" t="s">
        <v>9</v>
      </c>
      <c r="C132" s="75" t="s">
        <v>26</v>
      </c>
      <c r="D132" s="73">
        <v>7173725</v>
      </c>
      <c r="E132" s="72">
        <v>45454</v>
      </c>
      <c r="F132" s="12">
        <v>7818.13</v>
      </c>
      <c r="G132" s="13" t="s">
        <v>49</v>
      </c>
      <c r="H132" s="14" t="s">
        <v>16</v>
      </c>
      <c r="I132" s="15" t="s">
        <v>17</v>
      </c>
      <c r="L132" s="17"/>
      <c r="M132" s="17"/>
    </row>
    <row r="133" spans="1:13" s="20" customFormat="1" x14ac:dyDescent="0.2">
      <c r="A133" s="10" t="s">
        <v>8</v>
      </c>
      <c r="B133" s="11" t="s">
        <v>9</v>
      </c>
      <c r="C133" s="75" t="s">
        <v>328</v>
      </c>
      <c r="D133" s="73">
        <v>7173463</v>
      </c>
      <c r="E133" s="72">
        <v>45447</v>
      </c>
      <c r="F133" s="12">
        <v>7740</v>
      </c>
      <c r="G133" s="13" t="s">
        <v>131</v>
      </c>
      <c r="H133" s="14" t="s">
        <v>16</v>
      </c>
      <c r="I133" s="15" t="s">
        <v>17</v>
      </c>
      <c r="L133" s="17"/>
      <c r="M133" s="17"/>
    </row>
    <row r="134" spans="1:13" s="20" customFormat="1" x14ac:dyDescent="0.2">
      <c r="A134" s="10" t="s">
        <v>8</v>
      </c>
      <c r="B134" s="11" t="s">
        <v>9</v>
      </c>
      <c r="C134" s="77" t="s">
        <v>784</v>
      </c>
      <c r="D134" s="73">
        <v>7174377</v>
      </c>
      <c r="E134" s="72">
        <v>45470</v>
      </c>
      <c r="F134" s="12">
        <v>7650</v>
      </c>
      <c r="G134" s="13" t="s">
        <v>98</v>
      </c>
      <c r="H134" s="14" t="s">
        <v>16</v>
      </c>
      <c r="I134" s="15" t="s">
        <v>17</v>
      </c>
      <c r="L134" s="17"/>
      <c r="M134" s="17"/>
    </row>
    <row r="135" spans="1:13" s="20" customFormat="1" x14ac:dyDescent="0.2">
      <c r="A135" s="10" t="s">
        <v>8</v>
      </c>
      <c r="B135" s="11" t="s">
        <v>9</v>
      </c>
      <c r="C135" s="75" t="s">
        <v>117</v>
      </c>
      <c r="D135" s="73">
        <v>7172693</v>
      </c>
      <c r="E135" s="72">
        <v>45454</v>
      </c>
      <c r="F135" s="12">
        <v>7544.98</v>
      </c>
      <c r="G135" s="13" t="s">
        <v>118</v>
      </c>
      <c r="H135" s="14" t="s">
        <v>16</v>
      </c>
      <c r="I135" s="15" t="s">
        <v>17</v>
      </c>
      <c r="L135" s="17"/>
      <c r="M135" s="17"/>
    </row>
    <row r="136" spans="1:13" s="20" customFormat="1" x14ac:dyDescent="0.2">
      <c r="A136" s="10" t="s">
        <v>8</v>
      </c>
      <c r="B136" s="11" t="s">
        <v>9</v>
      </c>
      <c r="C136" s="75" t="s">
        <v>119</v>
      </c>
      <c r="D136" s="73">
        <v>7174194</v>
      </c>
      <c r="E136" s="72">
        <v>45468</v>
      </c>
      <c r="F136" s="12">
        <v>7510.41</v>
      </c>
      <c r="G136" s="13" t="s">
        <v>120</v>
      </c>
      <c r="H136" s="14" t="s">
        <v>16</v>
      </c>
      <c r="I136" s="15" t="s">
        <v>17</v>
      </c>
      <c r="L136" s="17"/>
      <c r="M136" s="17"/>
    </row>
    <row r="137" spans="1:13" s="20" customFormat="1" x14ac:dyDescent="0.2">
      <c r="A137" s="10" t="s">
        <v>8</v>
      </c>
      <c r="B137" s="11" t="s">
        <v>9</v>
      </c>
      <c r="C137" s="75" t="s">
        <v>783</v>
      </c>
      <c r="D137" s="73">
        <v>7173344</v>
      </c>
      <c r="E137" s="72">
        <v>45446</v>
      </c>
      <c r="F137" s="12">
        <v>7321.2</v>
      </c>
      <c r="G137" s="13" t="s">
        <v>15</v>
      </c>
      <c r="H137" s="14" t="s">
        <v>16</v>
      </c>
      <c r="I137" s="15" t="s">
        <v>17</v>
      </c>
      <c r="L137" s="17"/>
      <c r="M137" s="17"/>
    </row>
    <row r="138" spans="1:13" s="20" customFormat="1" x14ac:dyDescent="0.2">
      <c r="A138" s="10" t="s">
        <v>8</v>
      </c>
      <c r="B138" s="11" t="s">
        <v>9</v>
      </c>
      <c r="C138" s="75" t="s">
        <v>750</v>
      </c>
      <c r="D138" s="73">
        <v>7173385</v>
      </c>
      <c r="E138" s="72">
        <v>45456</v>
      </c>
      <c r="F138" s="12">
        <v>5662.17</v>
      </c>
      <c r="G138" s="13" t="s">
        <v>574</v>
      </c>
      <c r="H138" s="14" t="s">
        <v>16</v>
      </c>
      <c r="I138" s="15" t="s">
        <v>17</v>
      </c>
      <c r="L138" s="17"/>
      <c r="M138" s="17"/>
    </row>
    <row r="139" spans="1:13" s="20" customFormat="1" x14ac:dyDescent="0.2">
      <c r="A139" s="10" t="s">
        <v>8</v>
      </c>
      <c r="B139" s="11" t="s">
        <v>9</v>
      </c>
      <c r="C139" s="75" t="s">
        <v>750</v>
      </c>
      <c r="D139" s="73">
        <v>7173385</v>
      </c>
      <c r="E139" s="72">
        <v>45456</v>
      </c>
      <c r="F139" s="12">
        <v>1561.45</v>
      </c>
      <c r="G139" s="13" t="s">
        <v>148</v>
      </c>
      <c r="H139" s="14" t="s">
        <v>16</v>
      </c>
      <c r="I139" s="15" t="s">
        <v>17</v>
      </c>
      <c r="L139" s="17"/>
      <c r="M139" s="17"/>
    </row>
    <row r="140" spans="1:13" s="20" customFormat="1" x14ac:dyDescent="0.2">
      <c r="A140" s="10" t="s">
        <v>8</v>
      </c>
      <c r="B140" s="11" t="s">
        <v>9</v>
      </c>
      <c r="C140" s="75" t="s">
        <v>139</v>
      </c>
      <c r="D140" s="73">
        <v>7174159</v>
      </c>
      <c r="E140" s="72">
        <v>45464</v>
      </c>
      <c r="F140" s="12">
        <v>7087.05</v>
      </c>
      <c r="G140" s="13" t="s">
        <v>39</v>
      </c>
      <c r="H140" s="14" t="s">
        <v>16</v>
      </c>
      <c r="I140" s="15" t="s">
        <v>17</v>
      </c>
      <c r="L140" s="17"/>
      <c r="M140" s="17"/>
    </row>
    <row r="141" spans="1:13" s="20" customFormat="1" x14ac:dyDescent="0.2">
      <c r="A141" s="10" t="s">
        <v>8</v>
      </c>
      <c r="B141" s="11" t="s">
        <v>9</v>
      </c>
      <c r="C141" s="75" t="s">
        <v>782</v>
      </c>
      <c r="D141" s="73">
        <v>7174156</v>
      </c>
      <c r="E141" s="72">
        <v>45464</v>
      </c>
      <c r="F141" s="12">
        <v>7000</v>
      </c>
      <c r="G141" s="13" t="s">
        <v>27</v>
      </c>
      <c r="H141" s="14" t="s">
        <v>16</v>
      </c>
      <c r="I141" s="15" t="s">
        <v>17</v>
      </c>
      <c r="L141" s="17"/>
      <c r="M141" s="17"/>
    </row>
    <row r="142" spans="1:13" s="20" customFormat="1" x14ac:dyDescent="0.2">
      <c r="A142" s="10" t="s">
        <v>8</v>
      </c>
      <c r="B142" s="11" t="s">
        <v>9</v>
      </c>
      <c r="C142" s="77" t="s">
        <v>781</v>
      </c>
      <c r="D142" s="73">
        <v>7173997</v>
      </c>
      <c r="E142" s="72">
        <v>45461</v>
      </c>
      <c r="F142" s="12">
        <v>6916.6</v>
      </c>
      <c r="G142" s="13" t="s">
        <v>131</v>
      </c>
      <c r="H142" s="14" t="s">
        <v>16</v>
      </c>
      <c r="I142" s="15" t="s">
        <v>17</v>
      </c>
      <c r="L142" s="17"/>
      <c r="M142" s="17"/>
    </row>
    <row r="143" spans="1:13" s="20" customFormat="1" x14ac:dyDescent="0.2">
      <c r="A143" s="10" t="s">
        <v>8</v>
      </c>
      <c r="B143" s="11" t="s">
        <v>9</v>
      </c>
      <c r="C143" s="75" t="s">
        <v>139</v>
      </c>
      <c r="D143" s="73">
        <v>7173075</v>
      </c>
      <c r="E143" s="72">
        <v>45448</v>
      </c>
      <c r="F143" s="12">
        <v>6785.44</v>
      </c>
      <c r="G143" s="13" t="s">
        <v>39</v>
      </c>
      <c r="H143" s="14" t="s">
        <v>16</v>
      </c>
      <c r="I143" s="15" t="s">
        <v>17</v>
      </c>
      <c r="L143" s="17"/>
      <c r="M143" s="17"/>
    </row>
    <row r="144" spans="1:13" s="20" customFormat="1" x14ac:dyDescent="0.2">
      <c r="A144" s="10" t="s">
        <v>8</v>
      </c>
      <c r="B144" s="11" t="s">
        <v>9</v>
      </c>
      <c r="C144" s="75" t="s">
        <v>146</v>
      </c>
      <c r="D144" s="73">
        <v>7174342</v>
      </c>
      <c r="E144" s="72">
        <v>45468</v>
      </c>
      <c r="F144" s="12">
        <v>6633.81</v>
      </c>
      <c r="G144" s="13" t="s">
        <v>24</v>
      </c>
      <c r="H144" s="14" t="s">
        <v>16</v>
      </c>
      <c r="I144" s="15" t="s">
        <v>17</v>
      </c>
      <c r="L144" s="17"/>
      <c r="M144" s="17"/>
    </row>
    <row r="145" spans="1:13" s="20" customFormat="1" x14ac:dyDescent="0.2">
      <c r="A145" s="10" t="s">
        <v>8</v>
      </c>
      <c r="B145" s="11" t="s">
        <v>9</v>
      </c>
      <c r="C145" s="77" t="s">
        <v>461</v>
      </c>
      <c r="D145" s="73">
        <v>7174290</v>
      </c>
      <c r="E145" s="72">
        <v>45468</v>
      </c>
      <c r="F145" s="12">
        <v>6591.2</v>
      </c>
      <c r="G145" s="13" t="s">
        <v>251</v>
      </c>
      <c r="H145" s="14" t="s">
        <v>16</v>
      </c>
      <c r="I145" s="15" t="s">
        <v>17</v>
      </c>
      <c r="L145" s="17"/>
      <c r="M145" s="17"/>
    </row>
    <row r="146" spans="1:13" s="20" customFormat="1" x14ac:dyDescent="0.2">
      <c r="A146" s="10" t="s">
        <v>8</v>
      </c>
      <c r="B146" s="11" t="s">
        <v>9</v>
      </c>
      <c r="C146" s="77" t="s">
        <v>150</v>
      </c>
      <c r="D146" s="73">
        <v>7173490</v>
      </c>
      <c r="E146" s="72">
        <v>45453</v>
      </c>
      <c r="F146" s="12">
        <v>6525.95</v>
      </c>
      <c r="G146" s="13" t="s">
        <v>151</v>
      </c>
      <c r="H146" s="14" t="s">
        <v>16</v>
      </c>
      <c r="I146" s="15" t="s">
        <v>17</v>
      </c>
      <c r="L146" s="17"/>
      <c r="M146" s="17"/>
    </row>
    <row r="147" spans="1:13" s="20" customFormat="1" x14ac:dyDescent="0.2">
      <c r="A147" s="10" t="s">
        <v>8</v>
      </c>
      <c r="B147" s="11" t="s">
        <v>9</v>
      </c>
      <c r="C147" s="75" t="s">
        <v>221</v>
      </c>
      <c r="D147" s="73">
        <v>7173263</v>
      </c>
      <c r="E147" s="72">
        <v>45453</v>
      </c>
      <c r="F147" s="12">
        <v>6423</v>
      </c>
      <c r="G147" s="13" t="s">
        <v>182</v>
      </c>
      <c r="H147" s="14" t="s">
        <v>16</v>
      </c>
      <c r="I147" s="15" t="s">
        <v>17</v>
      </c>
      <c r="L147" s="17"/>
      <c r="M147" s="17"/>
    </row>
    <row r="148" spans="1:13" s="20" customFormat="1" x14ac:dyDescent="0.2">
      <c r="A148" s="10" t="s">
        <v>8</v>
      </c>
      <c r="B148" s="11" t="s">
        <v>9</v>
      </c>
      <c r="C148" s="75" t="s">
        <v>780</v>
      </c>
      <c r="D148" s="73">
        <v>7173164</v>
      </c>
      <c r="E148" s="72">
        <v>45446</v>
      </c>
      <c r="F148" s="12">
        <v>6300</v>
      </c>
      <c r="G148" s="13" t="s">
        <v>27</v>
      </c>
      <c r="H148" s="14" t="s">
        <v>16</v>
      </c>
      <c r="I148" s="15" t="s">
        <v>17</v>
      </c>
      <c r="L148" s="17"/>
      <c r="M148" s="17"/>
    </row>
    <row r="149" spans="1:13" s="20" customFormat="1" x14ac:dyDescent="0.2">
      <c r="A149" s="10" t="s">
        <v>8</v>
      </c>
      <c r="B149" s="11" t="s">
        <v>9</v>
      </c>
      <c r="C149" s="75" t="s">
        <v>415</v>
      </c>
      <c r="D149" s="73">
        <v>7174302</v>
      </c>
      <c r="E149" s="72">
        <v>45468</v>
      </c>
      <c r="F149" s="12">
        <v>6124</v>
      </c>
      <c r="G149" s="13" t="s">
        <v>164</v>
      </c>
      <c r="H149" s="14" t="s">
        <v>16</v>
      </c>
      <c r="I149" s="15" t="s">
        <v>17</v>
      </c>
      <c r="L149" s="17"/>
      <c r="M149" s="17"/>
    </row>
    <row r="150" spans="1:13" s="20" customFormat="1" x14ac:dyDescent="0.2">
      <c r="A150" s="10" t="s">
        <v>8</v>
      </c>
      <c r="B150" s="11" t="s">
        <v>9</v>
      </c>
      <c r="C150" s="75" t="s">
        <v>33</v>
      </c>
      <c r="D150" s="73">
        <v>7174307</v>
      </c>
      <c r="E150" s="72">
        <v>45468</v>
      </c>
      <c r="F150" s="12">
        <v>6114.18</v>
      </c>
      <c r="G150" s="13" t="s">
        <v>325</v>
      </c>
      <c r="H150" s="14" t="s">
        <v>16</v>
      </c>
      <c r="I150" s="15" t="s">
        <v>17</v>
      </c>
      <c r="L150" s="17"/>
      <c r="M150" s="17"/>
    </row>
    <row r="151" spans="1:13" s="20" customFormat="1" x14ac:dyDescent="0.2">
      <c r="A151" s="10" t="s">
        <v>8</v>
      </c>
      <c r="B151" s="11" t="s">
        <v>9</v>
      </c>
      <c r="C151" s="75" t="s">
        <v>779</v>
      </c>
      <c r="D151" s="73">
        <v>7173318</v>
      </c>
      <c r="E151" s="72">
        <v>45446</v>
      </c>
      <c r="F151" s="12">
        <v>6000</v>
      </c>
      <c r="G151" s="13" t="s">
        <v>27</v>
      </c>
      <c r="H151" s="14" t="s">
        <v>16</v>
      </c>
      <c r="I151" s="15" t="s">
        <v>17</v>
      </c>
      <c r="L151" s="17"/>
      <c r="M151" s="17"/>
    </row>
    <row r="152" spans="1:13" s="20" customFormat="1" x14ac:dyDescent="0.2">
      <c r="A152" s="10" t="s">
        <v>8</v>
      </c>
      <c r="B152" s="11" t="s">
        <v>9</v>
      </c>
      <c r="C152" s="75" t="s">
        <v>633</v>
      </c>
      <c r="D152" s="73">
        <v>7172297</v>
      </c>
      <c r="E152" s="72">
        <v>45446</v>
      </c>
      <c r="F152" s="12">
        <v>5911.27</v>
      </c>
      <c r="G152" s="13" t="s">
        <v>91</v>
      </c>
      <c r="H152" s="14" t="s">
        <v>16</v>
      </c>
      <c r="I152" s="15" t="s">
        <v>17</v>
      </c>
      <c r="L152" s="17"/>
      <c r="M152" s="17"/>
    </row>
    <row r="153" spans="1:13" s="20" customFormat="1" x14ac:dyDescent="0.2">
      <c r="A153" s="10" t="s">
        <v>8</v>
      </c>
      <c r="B153" s="11" t="s">
        <v>9</v>
      </c>
      <c r="C153" s="75" t="s">
        <v>161</v>
      </c>
      <c r="D153" s="73">
        <v>7174033</v>
      </c>
      <c r="E153" s="72">
        <v>45462</v>
      </c>
      <c r="F153" s="12">
        <v>5728.37</v>
      </c>
      <c r="G153" s="13" t="s">
        <v>15</v>
      </c>
      <c r="H153" s="14" t="s">
        <v>16</v>
      </c>
      <c r="I153" s="15" t="s">
        <v>17</v>
      </c>
      <c r="L153" s="17"/>
      <c r="M153" s="17"/>
    </row>
    <row r="154" spans="1:13" s="20" customFormat="1" x14ac:dyDescent="0.2">
      <c r="A154" s="10" t="s">
        <v>8</v>
      </c>
      <c r="B154" s="11" t="s">
        <v>9</v>
      </c>
      <c r="C154" s="75" t="s">
        <v>461</v>
      </c>
      <c r="D154" s="73">
        <v>7174282</v>
      </c>
      <c r="E154" s="72">
        <v>45468</v>
      </c>
      <c r="F154" s="12">
        <v>5577.6</v>
      </c>
      <c r="G154" s="13" t="s">
        <v>251</v>
      </c>
      <c r="H154" s="14" t="s">
        <v>16</v>
      </c>
      <c r="I154" s="15" t="s">
        <v>17</v>
      </c>
      <c r="L154" s="17"/>
      <c r="M154" s="17"/>
    </row>
    <row r="155" spans="1:13" s="20" customFormat="1" x14ac:dyDescent="0.2">
      <c r="A155" s="10" t="s">
        <v>8</v>
      </c>
      <c r="B155" s="11" t="s">
        <v>9</v>
      </c>
      <c r="C155" s="75" t="s">
        <v>153</v>
      </c>
      <c r="D155" s="73">
        <v>7173489</v>
      </c>
      <c r="E155" s="72">
        <v>45448</v>
      </c>
      <c r="F155" s="12">
        <v>5377.99</v>
      </c>
      <c r="G155" s="13" t="s">
        <v>39</v>
      </c>
      <c r="H155" s="14" t="s">
        <v>16</v>
      </c>
      <c r="I155" s="15" t="s">
        <v>17</v>
      </c>
      <c r="L155" s="17"/>
      <c r="M155" s="17"/>
    </row>
    <row r="156" spans="1:13" s="20" customFormat="1" x14ac:dyDescent="0.2">
      <c r="A156" s="10" t="s">
        <v>8</v>
      </c>
      <c r="B156" s="11" t="s">
        <v>9</v>
      </c>
      <c r="C156" s="77" t="s">
        <v>90</v>
      </c>
      <c r="D156" s="73">
        <v>7173822</v>
      </c>
      <c r="E156" s="72">
        <v>45457</v>
      </c>
      <c r="F156" s="12">
        <v>5364.82</v>
      </c>
      <c r="G156" s="13" t="s">
        <v>91</v>
      </c>
      <c r="H156" s="14" t="s">
        <v>16</v>
      </c>
      <c r="I156" s="15" t="s">
        <v>17</v>
      </c>
      <c r="L156" s="17"/>
      <c r="M156" s="17"/>
    </row>
    <row r="157" spans="1:13" s="20" customFormat="1" x14ac:dyDescent="0.2">
      <c r="A157" s="10" t="s">
        <v>8</v>
      </c>
      <c r="B157" s="11" t="s">
        <v>9</v>
      </c>
      <c r="C157" s="75" t="s">
        <v>778</v>
      </c>
      <c r="D157" s="73">
        <v>7174036</v>
      </c>
      <c r="E157" s="72">
        <v>45467</v>
      </c>
      <c r="F157" s="12">
        <v>5327.6</v>
      </c>
      <c r="G157" s="13" t="s">
        <v>155</v>
      </c>
      <c r="H157" s="14" t="s">
        <v>16</v>
      </c>
      <c r="I157" s="15" t="s">
        <v>17</v>
      </c>
      <c r="L157" s="17"/>
      <c r="M157" s="17"/>
    </row>
    <row r="158" spans="1:13" s="20" customFormat="1" x14ac:dyDescent="0.2">
      <c r="A158" s="10" t="s">
        <v>8</v>
      </c>
      <c r="B158" s="11" t="s">
        <v>9</v>
      </c>
      <c r="C158" s="75" t="s">
        <v>103</v>
      </c>
      <c r="D158" s="73">
        <v>7173906</v>
      </c>
      <c r="E158" s="72">
        <v>45461</v>
      </c>
      <c r="F158" s="12">
        <v>5282</v>
      </c>
      <c r="G158" s="13" t="s">
        <v>91</v>
      </c>
      <c r="H158" s="14" t="s">
        <v>16</v>
      </c>
      <c r="I158" s="15" t="s">
        <v>17</v>
      </c>
      <c r="L158" s="17"/>
      <c r="M158" s="17"/>
    </row>
    <row r="159" spans="1:13" s="20" customFormat="1" x14ac:dyDescent="0.2">
      <c r="A159" s="10" t="s">
        <v>8</v>
      </c>
      <c r="B159" s="11" t="s">
        <v>9</v>
      </c>
      <c r="C159" s="75" t="s">
        <v>777</v>
      </c>
      <c r="D159" s="73">
        <v>7173447</v>
      </c>
      <c r="E159" s="72">
        <v>45454</v>
      </c>
      <c r="F159" s="12">
        <v>5080</v>
      </c>
      <c r="G159" s="13" t="s">
        <v>123</v>
      </c>
      <c r="H159" s="14" t="s">
        <v>16</v>
      </c>
      <c r="I159" s="15" t="s">
        <v>17</v>
      </c>
      <c r="L159" s="17"/>
      <c r="M159" s="17"/>
    </row>
    <row r="160" spans="1:13" s="20" customFormat="1" x14ac:dyDescent="0.2">
      <c r="A160" s="10" t="s">
        <v>8</v>
      </c>
      <c r="B160" s="11" t="s">
        <v>9</v>
      </c>
      <c r="C160" s="75" t="s">
        <v>776</v>
      </c>
      <c r="D160" s="73">
        <v>7173802</v>
      </c>
      <c r="E160" s="72">
        <v>45454</v>
      </c>
      <c r="F160" s="12">
        <v>5037.76</v>
      </c>
      <c r="G160" s="13" t="s">
        <v>775</v>
      </c>
      <c r="H160" s="14" t="s">
        <v>16</v>
      </c>
      <c r="I160" s="15" t="s">
        <v>17</v>
      </c>
      <c r="L160" s="17"/>
      <c r="M160" s="17"/>
    </row>
    <row r="161" spans="1:13" s="20" customFormat="1" x14ac:dyDescent="0.2">
      <c r="A161" s="10" t="s">
        <v>8</v>
      </c>
      <c r="B161" s="11" t="s">
        <v>9</v>
      </c>
      <c r="C161" s="75" t="s">
        <v>168</v>
      </c>
      <c r="D161" s="73">
        <v>3067989</v>
      </c>
      <c r="E161" s="72">
        <v>45460</v>
      </c>
      <c r="F161" s="12">
        <v>5000</v>
      </c>
      <c r="G161" s="13" t="s">
        <v>169</v>
      </c>
      <c r="H161" s="14" t="s">
        <v>16</v>
      </c>
      <c r="I161" s="15" t="s">
        <v>17</v>
      </c>
      <c r="L161" s="17"/>
      <c r="M161" s="17"/>
    </row>
    <row r="162" spans="1:13" s="20" customFormat="1" x14ac:dyDescent="0.2">
      <c r="A162" s="10" t="s">
        <v>8</v>
      </c>
      <c r="B162" s="11" t="s">
        <v>9</v>
      </c>
      <c r="C162" s="75" t="s">
        <v>168</v>
      </c>
      <c r="D162" s="73">
        <v>3067898</v>
      </c>
      <c r="E162" s="72">
        <v>45446</v>
      </c>
      <c r="F162" s="12">
        <v>5000</v>
      </c>
      <c r="G162" s="13" t="s">
        <v>169</v>
      </c>
      <c r="H162" s="14" t="s">
        <v>16</v>
      </c>
      <c r="I162" s="15" t="s">
        <v>17</v>
      </c>
      <c r="L162" s="17"/>
      <c r="M162" s="17"/>
    </row>
    <row r="163" spans="1:13" s="20" customFormat="1" x14ac:dyDescent="0.2">
      <c r="A163" s="10" t="s">
        <v>8</v>
      </c>
      <c r="B163" s="11" t="s">
        <v>9</v>
      </c>
      <c r="C163" s="75" t="s">
        <v>774</v>
      </c>
      <c r="D163" s="73">
        <v>7173538</v>
      </c>
      <c r="E163" s="72">
        <v>45448</v>
      </c>
      <c r="F163" s="12">
        <v>4890</v>
      </c>
      <c r="G163" s="13" t="s">
        <v>131</v>
      </c>
      <c r="H163" s="14" t="s">
        <v>16</v>
      </c>
      <c r="I163" s="15" t="s">
        <v>17</v>
      </c>
      <c r="L163" s="17"/>
      <c r="M163" s="17"/>
    </row>
    <row r="164" spans="1:13" s="20" customFormat="1" x14ac:dyDescent="0.2">
      <c r="A164" s="10" t="s">
        <v>8</v>
      </c>
      <c r="B164" s="11" t="s">
        <v>9</v>
      </c>
      <c r="C164" s="75" t="s">
        <v>750</v>
      </c>
      <c r="D164" s="73">
        <v>7173389</v>
      </c>
      <c r="E164" s="72">
        <v>45446</v>
      </c>
      <c r="F164" s="12">
        <v>4864.07</v>
      </c>
      <c r="G164" s="13" t="s">
        <v>574</v>
      </c>
      <c r="H164" s="14" t="s">
        <v>16</v>
      </c>
      <c r="I164" s="15" t="s">
        <v>17</v>
      </c>
      <c r="L164" s="17"/>
      <c r="M164" s="17"/>
    </row>
    <row r="165" spans="1:13" s="20" customFormat="1" x14ac:dyDescent="0.2">
      <c r="A165" s="10" t="s">
        <v>8</v>
      </c>
      <c r="B165" s="11" t="s">
        <v>9</v>
      </c>
      <c r="C165" s="75" t="s">
        <v>74</v>
      </c>
      <c r="D165" s="73">
        <v>7173812</v>
      </c>
      <c r="E165" s="72">
        <v>45467</v>
      </c>
      <c r="F165" s="12">
        <v>4766.34</v>
      </c>
      <c r="G165" s="13" t="s">
        <v>218</v>
      </c>
      <c r="H165" s="14" t="s">
        <v>16</v>
      </c>
      <c r="I165" s="15" t="s">
        <v>17</v>
      </c>
      <c r="L165" s="17"/>
      <c r="M165" s="17"/>
    </row>
    <row r="166" spans="1:13" s="20" customFormat="1" x14ac:dyDescent="0.2">
      <c r="A166" s="10" t="s">
        <v>8</v>
      </c>
      <c r="B166" s="11" t="s">
        <v>9</v>
      </c>
      <c r="C166" s="75" t="s">
        <v>124</v>
      </c>
      <c r="D166" s="73">
        <v>7173885</v>
      </c>
      <c r="E166" s="72">
        <v>45456</v>
      </c>
      <c r="F166" s="12">
        <v>4759.3</v>
      </c>
      <c r="G166" s="13" t="s">
        <v>376</v>
      </c>
      <c r="H166" s="14" t="s">
        <v>16</v>
      </c>
      <c r="I166" s="15" t="s">
        <v>17</v>
      </c>
      <c r="L166" s="17"/>
      <c r="M166" s="17"/>
    </row>
    <row r="167" spans="1:13" s="20" customFormat="1" x14ac:dyDescent="0.2">
      <c r="A167" s="10" t="s">
        <v>8</v>
      </c>
      <c r="B167" s="11" t="s">
        <v>9</v>
      </c>
      <c r="C167" s="75" t="s">
        <v>74</v>
      </c>
      <c r="D167" s="73">
        <v>7173254</v>
      </c>
      <c r="E167" s="72">
        <v>45448</v>
      </c>
      <c r="F167" s="12">
        <v>4648.8</v>
      </c>
      <c r="G167" s="13" t="s">
        <v>75</v>
      </c>
      <c r="H167" s="14" t="s">
        <v>16</v>
      </c>
      <c r="I167" s="15" t="s">
        <v>17</v>
      </c>
      <c r="L167" s="17"/>
      <c r="M167" s="17"/>
    </row>
    <row r="168" spans="1:13" s="20" customFormat="1" x14ac:dyDescent="0.2">
      <c r="A168" s="10" t="s">
        <v>8</v>
      </c>
      <c r="B168" s="11" t="s">
        <v>9</v>
      </c>
      <c r="C168" s="75" t="s">
        <v>99</v>
      </c>
      <c r="D168" s="73">
        <v>7174240</v>
      </c>
      <c r="E168" s="72">
        <v>45468</v>
      </c>
      <c r="F168" s="12">
        <v>4635.6000000000004</v>
      </c>
      <c r="G168" s="13" t="s">
        <v>94</v>
      </c>
      <c r="H168" s="14" t="s">
        <v>16</v>
      </c>
      <c r="I168" s="15" t="s">
        <v>17</v>
      </c>
      <c r="L168" s="17"/>
      <c r="M168" s="17"/>
    </row>
    <row r="169" spans="1:13" s="20" customFormat="1" x14ac:dyDescent="0.2">
      <c r="A169" s="10" t="s">
        <v>8</v>
      </c>
      <c r="B169" s="11" t="s">
        <v>9</v>
      </c>
      <c r="C169" s="75" t="s">
        <v>23</v>
      </c>
      <c r="D169" s="73">
        <v>7173540</v>
      </c>
      <c r="E169" s="72">
        <v>45461</v>
      </c>
      <c r="F169" s="12">
        <v>4457.1000000000004</v>
      </c>
      <c r="G169" s="13" t="s">
        <v>24</v>
      </c>
      <c r="H169" s="14" t="s">
        <v>16</v>
      </c>
      <c r="I169" s="15" t="s">
        <v>17</v>
      </c>
      <c r="L169" s="17"/>
      <c r="M169" s="17"/>
    </row>
    <row r="170" spans="1:13" s="20" customFormat="1" x14ac:dyDescent="0.2">
      <c r="A170" s="10" t="s">
        <v>8</v>
      </c>
      <c r="B170" s="11" t="s">
        <v>9</v>
      </c>
      <c r="C170" s="75" t="s">
        <v>99</v>
      </c>
      <c r="D170" s="73">
        <v>7173814</v>
      </c>
      <c r="E170" s="72">
        <v>45467</v>
      </c>
      <c r="F170" s="12">
        <v>2822.97</v>
      </c>
      <c r="G170" s="13" t="s">
        <v>94</v>
      </c>
      <c r="H170" s="14" t="s">
        <v>16</v>
      </c>
      <c r="I170" s="15" t="s">
        <v>17</v>
      </c>
      <c r="L170" s="17"/>
      <c r="M170" s="17"/>
    </row>
    <row r="171" spans="1:13" s="20" customFormat="1" x14ac:dyDescent="0.2">
      <c r="A171" s="10" t="s">
        <v>8</v>
      </c>
      <c r="B171" s="11" t="s">
        <v>9</v>
      </c>
      <c r="C171" s="75" t="s">
        <v>99</v>
      </c>
      <c r="D171" s="73">
        <v>7173814</v>
      </c>
      <c r="E171" s="72">
        <v>45467</v>
      </c>
      <c r="F171" s="12">
        <v>1600.26</v>
      </c>
      <c r="G171" s="13" t="s">
        <v>673</v>
      </c>
      <c r="H171" s="14" t="s">
        <v>16</v>
      </c>
      <c r="I171" s="15" t="s">
        <v>17</v>
      </c>
      <c r="L171" s="17"/>
      <c r="M171" s="17"/>
    </row>
    <row r="172" spans="1:13" s="20" customFormat="1" x14ac:dyDescent="0.2">
      <c r="A172" s="10" t="s">
        <v>8</v>
      </c>
      <c r="B172" s="11" t="s">
        <v>9</v>
      </c>
      <c r="C172" s="75" t="s">
        <v>173</v>
      </c>
      <c r="D172" s="73">
        <v>7173888</v>
      </c>
      <c r="E172" s="72">
        <v>45456</v>
      </c>
      <c r="F172" s="12">
        <v>4406.66</v>
      </c>
      <c r="G172" s="13" t="s">
        <v>80</v>
      </c>
      <c r="H172" s="14" t="s">
        <v>16</v>
      </c>
      <c r="I172" s="15" t="s">
        <v>17</v>
      </c>
      <c r="L172" s="17"/>
      <c r="M172" s="17"/>
    </row>
    <row r="173" spans="1:13" s="20" customFormat="1" x14ac:dyDescent="0.2">
      <c r="A173" s="10" t="s">
        <v>8</v>
      </c>
      <c r="B173" s="11" t="s">
        <v>9</v>
      </c>
      <c r="C173" s="75" t="s">
        <v>773</v>
      </c>
      <c r="D173" s="73">
        <v>7173488</v>
      </c>
      <c r="E173" s="72">
        <v>45448</v>
      </c>
      <c r="F173" s="12">
        <v>4375</v>
      </c>
      <c r="G173" s="13" t="s">
        <v>89</v>
      </c>
      <c r="H173" s="14" t="s">
        <v>16</v>
      </c>
      <c r="I173" s="15" t="s">
        <v>17</v>
      </c>
      <c r="L173" s="17"/>
      <c r="M173" s="17"/>
    </row>
    <row r="174" spans="1:13" s="20" customFormat="1" x14ac:dyDescent="0.2">
      <c r="A174" s="10" t="s">
        <v>8</v>
      </c>
      <c r="B174" s="11" t="s">
        <v>9</v>
      </c>
      <c r="C174" s="75" t="s">
        <v>147</v>
      </c>
      <c r="D174" s="73">
        <v>7170964</v>
      </c>
      <c r="E174" s="72">
        <v>45446</v>
      </c>
      <c r="F174" s="12">
        <v>4356</v>
      </c>
      <c r="G174" s="13" t="s">
        <v>112</v>
      </c>
      <c r="H174" s="14" t="s">
        <v>16</v>
      </c>
      <c r="I174" s="15" t="s">
        <v>17</v>
      </c>
      <c r="L174" s="17"/>
      <c r="M174" s="17"/>
    </row>
    <row r="175" spans="1:13" s="20" customFormat="1" x14ac:dyDescent="0.2">
      <c r="A175" s="10" t="s">
        <v>8</v>
      </c>
      <c r="B175" s="11" t="s">
        <v>9</v>
      </c>
      <c r="C175" s="75" t="s">
        <v>772</v>
      </c>
      <c r="D175" s="73">
        <v>7173881</v>
      </c>
      <c r="E175" s="72">
        <v>45467</v>
      </c>
      <c r="F175" s="12">
        <v>4300</v>
      </c>
      <c r="G175" s="13" t="s">
        <v>106</v>
      </c>
      <c r="H175" s="14" t="s">
        <v>16</v>
      </c>
      <c r="I175" s="15" t="s">
        <v>17</v>
      </c>
      <c r="L175" s="17"/>
      <c r="M175" s="17"/>
    </row>
    <row r="176" spans="1:13" s="20" customFormat="1" x14ac:dyDescent="0.2">
      <c r="A176" s="10" t="s">
        <v>8</v>
      </c>
      <c r="B176" s="11" t="s">
        <v>9</v>
      </c>
      <c r="C176" s="75" t="s">
        <v>74</v>
      </c>
      <c r="D176" s="73">
        <v>7173140</v>
      </c>
      <c r="E176" s="72">
        <v>45449</v>
      </c>
      <c r="F176" s="12">
        <v>4289.82</v>
      </c>
      <c r="G176" s="13" t="s">
        <v>15</v>
      </c>
      <c r="H176" s="14" t="s">
        <v>16</v>
      </c>
      <c r="I176" s="15" t="s">
        <v>17</v>
      </c>
      <c r="L176" s="17"/>
      <c r="M176" s="17"/>
    </row>
    <row r="177" spans="1:13" s="20" customFormat="1" x14ac:dyDescent="0.2">
      <c r="A177" s="10" t="s">
        <v>8</v>
      </c>
      <c r="B177" s="11" t="s">
        <v>9</v>
      </c>
      <c r="C177" s="75" t="s">
        <v>90</v>
      </c>
      <c r="D177" s="73">
        <v>7174066</v>
      </c>
      <c r="E177" s="72">
        <v>45463</v>
      </c>
      <c r="F177" s="12">
        <v>4264.7700000000004</v>
      </c>
      <c r="G177" s="13" t="s">
        <v>91</v>
      </c>
      <c r="H177" s="14" t="s">
        <v>16</v>
      </c>
      <c r="I177" s="15" t="s">
        <v>17</v>
      </c>
      <c r="L177" s="17"/>
      <c r="M177" s="17"/>
    </row>
    <row r="178" spans="1:13" s="20" customFormat="1" x14ac:dyDescent="0.2">
      <c r="A178" s="10" t="s">
        <v>8</v>
      </c>
      <c r="B178" s="11" t="s">
        <v>9</v>
      </c>
      <c r="C178" s="75" t="s">
        <v>374</v>
      </c>
      <c r="D178" s="73">
        <v>7171651</v>
      </c>
      <c r="E178" s="72">
        <v>45449</v>
      </c>
      <c r="F178" s="12">
        <v>4200</v>
      </c>
      <c r="G178" s="13" t="s">
        <v>373</v>
      </c>
      <c r="H178" s="14" t="s">
        <v>16</v>
      </c>
      <c r="I178" s="15" t="s">
        <v>17</v>
      </c>
      <c r="L178" s="17"/>
      <c r="M178" s="17"/>
    </row>
    <row r="179" spans="1:13" s="20" customFormat="1" x14ac:dyDescent="0.2">
      <c r="A179" s="10" t="s">
        <v>8</v>
      </c>
      <c r="B179" s="11" t="s">
        <v>9</v>
      </c>
      <c r="C179" s="75" t="s">
        <v>119</v>
      </c>
      <c r="D179" s="73">
        <v>7174196</v>
      </c>
      <c r="E179" s="72">
        <v>45468</v>
      </c>
      <c r="F179" s="12">
        <v>4168.71</v>
      </c>
      <c r="G179" s="13" t="s">
        <v>120</v>
      </c>
      <c r="H179" s="14" t="s">
        <v>16</v>
      </c>
      <c r="I179" s="15" t="s">
        <v>17</v>
      </c>
      <c r="L179" s="17"/>
      <c r="M179" s="17"/>
    </row>
    <row r="180" spans="1:13" s="20" customFormat="1" x14ac:dyDescent="0.2">
      <c r="A180" s="10" t="s">
        <v>8</v>
      </c>
      <c r="B180" s="11" t="s">
        <v>9</v>
      </c>
      <c r="C180" s="75" t="s">
        <v>771</v>
      </c>
      <c r="D180" s="73">
        <v>7174369</v>
      </c>
      <c r="E180" s="72">
        <v>45470</v>
      </c>
      <c r="F180" s="12">
        <v>4150</v>
      </c>
      <c r="G180" s="13" t="s">
        <v>729</v>
      </c>
      <c r="H180" s="14" t="s">
        <v>16</v>
      </c>
      <c r="I180" s="15" t="s">
        <v>17</v>
      </c>
      <c r="L180" s="17"/>
      <c r="M180" s="17"/>
    </row>
    <row r="181" spans="1:13" s="20" customFormat="1" x14ac:dyDescent="0.2">
      <c r="A181" s="10" t="s">
        <v>8</v>
      </c>
      <c r="B181" s="11" t="s">
        <v>9</v>
      </c>
      <c r="C181" s="75" t="s">
        <v>750</v>
      </c>
      <c r="D181" s="73">
        <v>7173391</v>
      </c>
      <c r="E181" s="72">
        <v>45456</v>
      </c>
      <c r="F181" s="12">
        <v>2073.3000000000002</v>
      </c>
      <c r="G181" s="13" t="s">
        <v>574</v>
      </c>
      <c r="H181" s="14" t="s">
        <v>16</v>
      </c>
      <c r="I181" s="15" t="s">
        <v>17</v>
      </c>
      <c r="L181" s="17"/>
      <c r="M181" s="17"/>
    </row>
    <row r="182" spans="1:13" s="20" customFormat="1" x14ac:dyDescent="0.2">
      <c r="A182" s="10" t="s">
        <v>8</v>
      </c>
      <c r="B182" s="11" t="s">
        <v>9</v>
      </c>
      <c r="C182" s="75" t="s">
        <v>750</v>
      </c>
      <c r="D182" s="73">
        <v>7173391</v>
      </c>
      <c r="E182" s="72">
        <v>45456</v>
      </c>
      <c r="F182" s="12">
        <v>2038.75</v>
      </c>
      <c r="G182" s="13" t="s">
        <v>148</v>
      </c>
      <c r="H182" s="14" t="s">
        <v>16</v>
      </c>
      <c r="I182" s="15" t="s">
        <v>17</v>
      </c>
      <c r="L182" s="17"/>
      <c r="M182" s="17"/>
    </row>
    <row r="183" spans="1:13" s="20" customFormat="1" x14ac:dyDescent="0.2">
      <c r="A183" s="10" t="s">
        <v>8</v>
      </c>
      <c r="B183" s="11" t="s">
        <v>9</v>
      </c>
      <c r="C183" s="75" t="s">
        <v>487</v>
      </c>
      <c r="D183" s="73">
        <v>7173404</v>
      </c>
      <c r="E183" s="72">
        <v>45446</v>
      </c>
      <c r="F183" s="12">
        <v>4059.76</v>
      </c>
      <c r="G183" s="13" t="s">
        <v>131</v>
      </c>
      <c r="H183" s="14" t="s">
        <v>16</v>
      </c>
      <c r="I183" s="15" t="s">
        <v>17</v>
      </c>
      <c r="L183" s="17"/>
      <c r="M183" s="17"/>
    </row>
    <row r="184" spans="1:13" s="20" customFormat="1" x14ac:dyDescent="0.2">
      <c r="A184" s="10" t="s">
        <v>8</v>
      </c>
      <c r="B184" s="11" t="s">
        <v>9</v>
      </c>
      <c r="C184" s="75" t="s">
        <v>326</v>
      </c>
      <c r="D184" s="73">
        <v>7173400</v>
      </c>
      <c r="E184" s="72">
        <v>45447</v>
      </c>
      <c r="F184" s="12">
        <v>3975</v>
      </c>
      <c r="G184" s="13" t="s">
        <v>38</v>
      </c>
      <c r="H184" s="14" t="s">
        <v>16</v>
      </c>
      <c r="I184" s="15" t="s">
        <v>17</v>
      </c>
      <c r="L184" s="17"/>
      <c r="M184" s="17"/>
    </row>
    <row r="185" spans="1:13" s="20" customFormat="1" x14ac:dyDescent="0.2">
      <c r="A185" s="10" t="s">
        <v>8</v>
      </c>
      <c r="B185" s="11" t="s">
        <v>9</v>
      </c>
      <c r="C185" s="75" t="s">
        <v>207</v>
      </c>
      <c r="D185" s="73">
        <v>7173494</v>
      </c>
      <c r="E185" s="72">
        <v>45448</v>
      </c>
      <c r="F185" s="12">
        <v>3839.55</v>
      </c>
      <c r="G185" s="13" t="s">
        <v>114</v>
      </c>
      <c r="H185" s="14" t="s">
        <v>16</v>
      </c>
      <c r="I185" s="15" t="s">
        <v>17</v>
      </c>
      <c r="L185" s="17"/>
      <c r="M185" s="17"/>
    </row>
    <row r="186" spans="1:13" s="20" customFormat="1" x14ac:dyDescent="0.2">
      <c r="A186" s="10" t="s">
        <v>8</v>
      </c>
      <c r="B186" s="11" t="s">
        <v>9</v>
      </c>
      <c r="C186" s="75" t="s">
        <v>633</v>
      </c>
      <c r="D186" s="73">
        <v>7173496</v>
      </c>
      <c r="E186" s="72">
        <v>45448</v>
      </c>
      <c r="F186" s="12">
        <v>3766.74</v>
      </c>
      <c r="G186" s="13" t="s">
        <v>91</v>
      </c>
      <c r="H186" s="14" t="s">
        <v>16</v>
      </c>
      <c r="I186" s="15" t="s">
        <v>17</v>
      </c>
      <c r="L186" s="17"/>
      <c r="M186" s="17"/>
    </row>
    <row r="187" spans="1:13" s="20" customFormat="1" x14ac:dyDescent="0.2">
      <c r="A187" s="10" t="s">
        <v>8</v>
      </c>
      <c r="B187" s="11" t="s">
        <v>9</v>
      </c>
      <c r="C187" s="75" t="s">
        <v>374</v>
      </c>
      <c r="D187" s="73">
        <v>7172831</v>
      </c>
      <c r="E187" s="72">
        <v>45449</v>
      </c>
      <c r="F187" s="12">
        <v>3750</v>
      </c>
      <c r="G187" s="13" t="s">
        <v>373</v>
      </c>
      <c r="H187" s="14" t="s">
        <v>16</v>
      </c>
      <c r="I187" s="15" t="s">
        <v>17</v>
      </c>
      <c r="L187" s="17"/>
      <c r="M187" s="17"/>
    </row>
    <row r="188" spans="1:13" s="20" customFormat="1" x14ac:dyDescent="0.2">
      <c r="A188" s="10" t="s">
        <v>8</v>
      </c>
      <c r="B188" s="11" t="s">
        <v>9</v>
      </c>
      <c r="C188" s="75" t="s">
        <v>90</v>
      </c>
      <c r="D188" s="73">
        <v>7173534</v>
      </c>
      <c r="E188" s="72">
        <v>45448</v>
      </c>
      <c r="F188" s="12">
        <v>3742.52</v>
      </c>
      <c r="G188" s="13" t="s">
        <v>91</v>
      </c>
      <c r="H188" s="14" t="s">
        <v>16</v>
      </c>
      <c r="I188" s="15" t="s">
        <v>17</v>
      </c>
      <c r="L188" s="17"/>
      <c r="M188" s="17"/>
    </row>
    <row r="189" spans="1:13" s="20" customFormat="1" x14ac:dyDescent="0.2">
      <c r="A189" s="10" t="s">
        <v>8</v>
      </c>
      <c r="B189" s="11" t="s">
        <v>9</v>
      </c>
      <c r="C189" s="75" t="s">
        <v>545</v>
      </c>
      <c r="D189" s="73">
        <v>7173466</v>
      </c>
      <c r="E189" s="72">
        <v>45447</v>
      </c>
      <c r="F189" s="12">
        <v>3700</v>
      </c>
      <c r="G189" s="13" t="s">
        <v>22</v>
      </c>
      <c r="H189" s="14" t="s">
        <v>16</v>
      </c>
      <c r="I189" s="15" t="s">
        <v>17</v>
      </c>
      <c r="L189" s="17"/>
      <c r="M189" s="17"/>
    </row>
    <row r="190" spans="1:13" s="20" customFormat="1" x14ac:dyDescent="0.2">
      <c r="A190" s="10" t="s">
        <v>8</v>
      </c>
      <c r="B190" s="11" t="s">
        <v>9</v>
      </c>
      <c r="C190" s="75" t="s">
        <v>202</v>
      </c>
      <c r="D190" s="73">
        <v>7172983</v>
      </c>
      <c r="E190" s="72">
        <v>45446</v>
      </c>
      <c r="F190" s="12">
        <v>3655.5</v>
      </c>
      <c r="G190" s="13" t="s">
        <v>203</v>
      </c>
      <c r="H190" s="14" t="s">
        <v>16</v>
      </c>
      <c r="I190" s="15" t="s">
        <v>17</v>
      </c>
      <c r="L190" s="17"/>
      <c r="M190" s="17"/>
    </row>
    <row r="191" spans="1:13" s="20" customFormat="1" x14ac:dyDescent="0.2">
      <c r="A191" s="10" t="s">
        <v>8</v>
      </c>
      <c r="B191" s="11" t="s">
        <v>9</v>
      </c>
      <c r="C191" s="75" t="s">
        <v>73</v>
      </c>
      <c r="D191" s="73">
        <v>7173048</v>
      </c>
      <c r="E191" s="72">
        <v>45450</v>
      </c>
      <c r="F191" s="12">
        <v>3625</v>
      </c>
      <c r="G191" s="13" t="s">
        <v>15</v>
      </c>
      <c r="H191" s="14" t="s">
        <v>16</v>
      </c>
      <c r="I191" s="15" t="s">
        <v>17</v>
      </c>
      <c r="L191" s="17"/>
      <c r="M191" s="17"/>
    </row>
    <row r="192" spans="1:13" s="20" customFormat="1" x14ac:dyDescent="0.2">
      <c r="A192" s="10" t="s">
        <v>8</v>
      </c>
      <c r="B192" s="11" t="s">
        <v>9</v>
      </c>
      <c r="C192" s="75" t="s">
        <v>159</v>
      </c>
      <c r="D192" s="73">
        <v>7173478</v>
      </c>
      <c r="E192" s="72">
        <v>45447</v>
      </c>
      <c r="F192" s="12">
        <v>3562.83</v>
      </c>
      <c r="G192" s="13" t="s">
        <v>22</v>
      </c>
      <c r="H192" s="14" t="s">
        <v>16</v>
      </c>
      <c r="I192" s="15" t="s">
        <v>17</v>
      </c>
      <c r="L192" s="17"/>
      <c r="M192" s="17"/>
    </row>
    <row r="193" spans="1:13" s="20" customFormat="1" x14ac:dyDescent="0.2">
      <c r="A193" s="10" t="s">
        <v>8</v>
      </c>
      <c r="B193" s="11" t="s">
        <v>9</v>
      </c>
      <c r="C193" s="75" t="s">
        <v>162</v>
      </c>
      <c r="D193" s="73">
        <v>7174035</v>
      </c>
      <c r="E193" s="72">
        <v>45462</v>
      </c>
      <c r="F193" s="12">
        <v>3490</v>
      </c>
      <c r="G193" s="13" t="s">
        <v>39</v>
      </c>
      <c r="H193" s="14" t="s">
        <v>16</v>
      </c>
      <c r="I193" s="15" t="s">
        <v>17</v>
      </c>
      <c r="L193" s="17"/>
      <c r="M193" s="17"/>
    </row>
    <row r="194" spans="1:13" s="20" customFormat="1" x14ac:dyDescent="0.2">
      <c r="A194" s="10" t="s">
        <v>8</v>
      </c>
      <c r="B194" s="11" t="s">
        <v>9</v>
      </c>
      <c r="C194" s="75" t="s">
        <v>74</v>
      </c>
      <c r="D194" s="73">
        <v>7174114</v>
      </c>
      <c r="E194" s="72">
        <v>45467</v>
      </c>
      <c r="F194" s="12">
        <v>3487.95</v>
      </c>
      <c r="G194" s="13" t="s">
        <v>229</v>
      </c>
      <c r="H194" s="14" t="s">
        <v>16</v>
      </c>
      <c r="I194" s="15" t="s">
        <v>17</v>
      </c>
      <c r="L194" s="17"/>
      <c r="M194" s="17"/>
    </row>
    <row r="195" spans="1:13" s="20" customFormat="1" x14ac:dyDescent="0.2">
      <c r="A195" s="10" t="s">
        <v>8</v>
      </c>
      <c r="B195" s="11" t="s">
        <v>9</v>
      </c>
      <c r="C195" s="75" t="s">
        <v>369</v>
      </c>
      <c r="D195" s="73">
        <v>7174429</v>
      </c>
      <c r="E195" s="72">
        <v>45471</v>
      </c>
      <c r="F195" s="12">
        <v>3450</v>
      </c>
      <c r="G195" s="13" t="s">
        <v>39</v>
      </c>
      <c r="H195" s="14" t="s">
        <v>16</v>
      </c>
      <c r="I195" s="15" t="s">
        <v>17</v>
      </c>
      <c r="L195" s="17"/>
      <c r="M195" s="17"/>
    </row>
    <row r="196" spans="1:13" s="20" customFormat="1" x14ac:dyDescent="0.2">
      <c r="A196" s="10" t="s">
        <v>8</v>
      </c>
      <c r="B196" s="11" t="s">
        <v>9</v>
      </c>
      <c r="C196" s="75" t="s">
        <v>23</v>
      </c>
      <c r="D196" s="73">
        <v>7173708</v>
      </c>
      <c r="E196" s="72">
        <v>45461</v>
      </c>
      <c r="F196" s="12">
        <v>3395.29</v>
      </c>
      <c r="G196" s="13" t="s">
        <v>24</v>
      </c>
      <c r="H196" s="14" t="s">
        <v>16</v>
      </c>
      <c r="I196" s="15" t="s">
        <v>17</v>
      </c>
      <c r="L196" s="17"/>
      <c r="M196" s="17"/>
    </row>
    <row r="197" spans="1:13" s="20" customFormat="1" x14ac:dyDescent="0.2">
      <c r="A197" s="10" t="s">
        <v>8</v>
      </c>
      <c r="B197" s="11" t="s">
        <v>9</v>
      </c>
      <c r="C197" s="75" t="s">
        <v>770</v>
      </c>
      <c r="D197" s="73">
        <v>7174080</v>
      </c>
      <c r="E197" s="72">
        <v>45464</v>
      </c>
      <c r="F197" s="12">
        <v>3347</v>
      </c>
      <c r="G197" s="13" t="s">
        <v>27</v>
      </c>
      <c r="H197" s="14" t="s">
        <v>16</v>
      </c>
      <c r="I197" s="15" t="s">
        <v>17</v>
      </c>
      <c r="L197" s="17"/>
      <c r="M197" s="17"/>
    </row>
    <row r="198" spans="1:13" s="20" customFormat="1" x14ac:dyDescent="0.2">
      <c r="A198" s="10" t="s">
        <v>8</v>
      </c>
      <c r="B198" s="11" t="s">
        <v>9</v>
      </c>
      <c r="C198" s="75" t="s">
        <v>93</v>
      </c>
      <c r="D198" s="73">
        <v>7172204</v>
      </c>
      <c r="E198" s="72">
        <v>45446</v>
      </c>
      <c r="F198" s="12">
        <v>3345</v>
      </c>
      <c r="G198" s="13" t="s">
        <v>94</v>
      </c>
      <c r="H198" s="14" t="s">
        <v>16</v>
      </c>
      <c r="I198" s="15" t="s">
        <v>17</v>
      </c>
      <c r="L198" s="17"/>
      <c r="M198" s="17"/>
    </row>
    <row r="199" spans="1:13" s="20" customFormat="1" x14ac:dyDescent="0.2">
      <c r="A199" s="10" t="s">
        <v>8</v>
      </c>
      <c r="B199" s="11" t="s">
        <v>9</v>
      </c>
      <c r="C199" s="75" t="s">
        <v>193</v>
      </c>
      <c r="D199" s="73">
        <v>7173608</v>
      </c>
      <c r="E199" s="72">
        <v>45450</v>
      </c>
      <c r="F199" s="12">
        <v>3321</v>
      </c>
      <c r="G199" s="13" t="s">
        <v>194</v>
      </c>
      <c r="H199" s="14" t="s">
        <v>16</v>
      </c>
      <c r="I199" s="15" t="s">
        <v>17</v>
      </c>
      <c r="L199" s="17"/>
      <c r="M199" s="17"/>
    </row>
    <row r="200" spans="1:13" s="20" customFormat="1" x14ac:dyDescent="0.2">
      <c r="A200" s="10" t="s">
        <v>8</v>
      </c>
      <c r="B200" s="11" t="s">
        <v>9</v>
      </c>
      <c r="C200" s="75" t="s">
        <v>193</v>
      </c>
      <c r="D200" s="73">
        <v>7173589</v>
      </c>
      <c r="E200" s="72">
        <v>45450</v>
      </c>
      <c r="F200" s="12">
        <v>3321</v>
      </c>
      <c r="G200" s="13" t="s">
        <v>194</v>
      </c>
      <c r="H200" s="14" t="s">
        <v>16</v>
      </c>
      <c r="I200" s="15" t="s">
        <v>17</v>
      </c>
      <c r="L200" s="17"/>
      <c r="M200" s="17"/>
    </row>
    <row r="201" spans="1:13" s="20" customFormat="1" x14ac:dyDescent="0.2">
      <c r="A201" s="10" t="s">
        <v>8</v>
      </c>
      <c r="B201" s="11" t="s">
        <v>9</v>
      </c>
      <c r="C201" s="75" t="s">
        <v>193</v>
      </c>
      <c r="D201" s="73">
        <v>7173594</v>
      </c>
      <c r="E201" s="72">
        <v>45450</v>
      </c>
      <c r="F201" s="12">
        <v>3321</v>
      </c>
      <c r="G201" s="13" t="s">
        <v>194</v>
      </c>
      <c r="H201" s="14" t="s">
        <v>16</v>
      </c>
      <c r="I201" s="15" t="s">
        <v>17</v>
      </c>
      <c r="L201" s="17"/>
      <c r="M201" s="17"/>
    </row>
    <row r="202" spans="1:13" s="20" customFormat="1" x14ac:dyDescent="0.2">
      <c r="A202" s="10" t="s">
        <v>8</v>
      </c>
      <c r="B202" s="11" t="s">
        <v>9</v>
      </c>
      <c r="C202" s="75" t="s">
        <v>193</v>
      </c>
      <c r="D202" s="73">
        <v>7173588</v>
      </c>
      <c r="E202" s="72">
        <v>45450</v>
      </c>
      <c r="F202" s="12">
        <v>3321</v>
      </c>
      <c r="G202" s="13" t="s">
        <v>194</v>
      </c>
      <c r="H202" s="14" t="s">
        <v>16</v>
      </c>
      <c r="I202" s="15" t="s">
        <v>17</v>
      </c>
      <c r="L202" s="17"/>
      <c r="M202" s="17"/>
    </row>
    <row r="203" spans="1:13" s="20" customFormat="1" x14ac:dyDescent="0.2">
      <c r="A203" s="10" t="s">
        <v>8</v>
      </c>
      <c r="B203" s="11" t="s">
        <v>9</v>
      </c>
      <c r="C203" s="75" t="s">
        <v>193</v>
      </c>
      <c r="D203" s="73">
        <v>7173590</v>
      </c>
      <c r="E203" s="72">
        <v>45450</v>
      </c>
      <c r="F203" s="12">
        <v>3321</v>
      </c>
      <c r="G203" s="13" t="s">
        <v>194</v>
      </c>
      <c r="H203" s="14" t="s">
        <v>16</v>
      </c>
      <c r="I203" s="15" t="s">
        <v>17</v>
      </c>
      <c r="L203" s="17"/>
      <c r="M203" s="17"/>
    </row>
    <row r="204" spans="1:13" s="20" customFormat="1" x14ac:dyDescent="0.2">
      <c r="A204" s="10" t="s">
        <v>8</v>
      </c>
      <c r="B204" s="11" t="s">
        <v>9</v>
      </c>
      <c r="C204" s="75" t="s">
        <v>193</v>
      </c>
      <c r="D204" s="73">
        <v>7173575</v>
      </c>
      <c r="E204" s="72">
        <v>45450</v>
      </c>
      <c r="F204" s="12">
        <v>3321</v>
      </c>
      <c r="G204" s="13" t="s">
        <v>194</v>
      </c>
      <c r="H204" s="14" t="s">
        <v>16</v>
      </c>
      <c r="I204" s="15" t="s">
        <v>17</v>
      </c>
      <c r="L204" s="17"/>
      <c r="M204" s="17"/>
    </row>
    <row r="205" spans="1:13" s="20" customFormat="1" x14ac:dyDescent="0.2">
      <c r="A205" s="10" t="s">
        <v>8</v>
      </c>
      <c r="B205" s="11" t="s">
        <v>9</v>
      </c>
      <c r="C205" s="75" t="s">
        <v>193</v>
      </c>
      <c r="D205" s="73">
        <v>7173593</v>
      </c>
      <c r="E205" s="72">
        <v>45450</v>
      </c>
      <c r="F205" s="12">
        <v>3321</v>
      </c>
      <c r="G205" s="13" t="s">
        <v>194</v>
      </c>
      <c r="H205" s="14" t="s">
        <v>16</v>
      </c>
      <c r="I205" s="15" t="s">
        <v>17</v>
      </c>
      <c r="L205" s="17"/>
      <c r="M205" s="17"/>
    </row>
    <row r="206" spans="1:13" s="20" customFormat="1" x14ac:dyDescent="0.2">
      <c r="A206" s="10" t="s">
        <v>8</v>
      </c>
      <c r="B206" s="11" t="s">
        <v>9</v>
      </c>
      <c r="C206" s="75" t="s">
        <v>193</v>
      </c>
      <c r="D206" s="73">
        <v>7173592</v>
      </c>
      <c r="E206" s="72">
        <v>45450</v>
      </c>
      <c r="F206" s="12">
        <v>3321</v>
      </c>
      <c r="G206" s="13" t="s">
        <v>194</v>
      </c>
      <c r="H206" s="14" t="s">
        <v>16</v>
      </c>
      <c r="I206" s="15" t="s">
        <v>17</v>
      </c>
      <c r="L206" s="17"/>
      <c r="M206" s="17"/>
    </row>
    <row r="207" spans="1:13" s="20" customFormat="1" x14ac:dyDescent="0.2">
      <c r="A207" s="10" t="s">
        <v>8</v>
      </c>
      <c r="B207" s="11" t="s">
        <v>9</v>
      </c>
      <c r="C207" s="75" t="s">
        <v>193</v>
      </c>
      <c r="D207" s="73">
        <v>7173591</v>
      </c>
      <c r="E207" s="72">
        <v>45450</v>
      </c>
      <c r="F207" s="12">
        <v>3321</v>
      </c>
      <c r="G207" s="13" t="s">
        <v>194</v>
      </c>
      <c r="H207" s="14" t="s">
        <v>16</v>
      </c>
      <c r="I207" s="15" t="s">
        <v>17</v>
      </c>
      <c r="L207" s="17"/>
      <c r="M207" s="17"/>
    </row>
    <row r="208" spans="1:13" s="20" customFormat="1" x14ac:dyDescent="0.2">
      <c r="A208" s="10" t="s">
        <v>8</v>
      </c>
      <c r="B208" s="11" t="s">
        <v>9</v>
      </c>
      <c r="C208" s="75" t="s">
        <v>535</v>
      </c>
      <c r="D208" s="73">
        <v>7173514</v>
      </c>
      <c r="E208" s="72">
        <v>45448</v>
      </c>
      <c r="F208" s="12">
        <v>3317</v>
      </c>
      <c r="G208" s="13" t="s">
        <v>112</v>
      </c>
      <c r="H208" s="14" t="s">
        <v>16</v>
      </c>
      <c r="I208" s="15" t="s">
        <v>17</v>
      </c>
      <c r="L208" s="17"/>
      <c r="M208" s="17"/>
    </row>
    <row r="209" spans="1:13" s="20" customFormat="1" x14ac:dyDescent="0.2">
      <c r="A209" s="10" t="s">
        <v>8</v>
      </c>
      <c r="B209" s="11" t="s">
        <v>9</v>
      </c>
      <c r="C209" s="75" t="s">
        <v>200</v>
      </c>
      <c r="D209" s="73">
        <v>7172580</v>
      </c>
      <c r="E209" s="72">
        <v>45446</v>
      </c>
      <c r="F209" s="12">
        <v>3297</v>
      </c>
      <c r="G209" s="13" t="s">
        <v>38</v>
      </c>
      <c r="H209" s="14" t="s">
        <v>16</v>
      </c>
      <c r="I209" s="15" t="s">
        <v>17</v>
      </c>
      <c r="L209" s="17"/>
      <c r="M209" s="17"/>
    </row>
    <row r="210" spans="1:13" s="20" customFormat="1" x14ac:dyDescent="0.2">
      <c r="A210" s="10" t="s">
        <v>8</v>
      </c>
      <c r="B210" s="11" t="s">
        <v>9</v>
      </c>
      <c r="C210" s="75" t="s">
        <v>301</v>
      </c>
      <c r="D210" s="73">
        <v>7173402</v>
      </c>
      <c r="E210" s="72">
        <v>45446</v>
      </c>
      <c r="F210" s="12">
        <v>3278.25</v>
      </c>
      <c r="G210" s="13" t="s">
        <v>131</v>
      </c>
      <c r="H210" s="14" t="s">
        <v>16</v>
      </c>
      <c r="I210" s="15" t="s">
        <v>17</v>
      </c>
      <c r="L210" s="17"/>
      <c r="M210" s="17"/>
    </row>
    <row r="211" spans="1:13" s="20" customFormat="1" x14ac:dyDescent="0.2">
      <c r="A211" s="10" t="s">
        <v>8</v>
      </c>
      <c r="B211" s="11" t="s">
        <v>9</v>
      </c>
      <c r="C211" s="75" t="s">
        <v>609</v>
      </c>
      <c r="D211" s="73">
        <v>7173498</v>
      </c>
      <c r="E211" s="72">
        <v>45456</v>
      </c>
      <c r="F211" s="12">
        <v>3200</v>
      </c>
      <c r="G211" s="13" t="s">
        <v>106</v>
      </c>
      <c r="H211" s="14" t="s">
        <v>16</v>
      </c>
      <c r="I211" s="15" t="s">
        <v>17</v>
      </c>
      <c r="L211" s="17"/>
      <c r="M211" s="17"/>
    </row>
    <row r="212" spans="1:13" s="20" customFormat="1" x14ac:dyDescent="0.2">
      <c r="A212" s="10" t="s">
        <v>8</v>
      </c>
      <c r="B212" s="11" t="s">
        <v>9</v>
      </c>
      <c r="C212" s="75" t="s">
        <v>90</v>
      </c>
      <c r="D212" s="73">
        <v>7173532</v>
      </c>
      <c r="E212" s="72">
        <v>45448</v>
      </c>
      <c r="F212" s="12">
        <v>3156.73</v>
      </c>
      <c r="G212" s="13" t="s">
        <v>91</v>
      </c>
      <c r="H212" s="14" t="s">
        <v>16</v>
      </c>
      <c r="I212" s="15" t="s">
        <v>17</v>
      </c>
      <c r="L212" s="17"/>
      <c r="M212" s="17"/>
    </row>
    <row r="213" spans="1:13" s="20" customFormat="1" x14ac:dyDescent="0.2">
      <c r="A213" s="10" t="s">
        <v>8</v>
      </c>
      <c r="B213" s="11" t="s">
        <v>9</v>
      </c>
      <c r="C213" s="75" t="s">
        <v>107</v>
      </c>
      <c r="D213" s="73">
        <v>7173650</v>
      </c>
      <c r="E213" s="72">
        <v>45455</v>
      </c>
      <c r="F213" s="12">
        <v>3127.87</v>
      </c>
      <c r="G213" s="13" t="s">
        <v>108</v>
      </c>
      <c r="H213" s="14" t="s">
        <v>16</v>
      </c>
      <c r="I213" s="15" t="s">
        <v>17</v>
      </c>
      <c r="L213" s="17"/>
      <c r="M213" s="17"/>
    </row>
    <row r="214" spans="1:13" s="20" customFormat="1" x14ac:dyDescent="0.2">
      <c r="A214" s="10" t="s">
        <v>8</v>
      </c>
      <c r="B214" s="11" t="s">
        <v>9</v>
      </c>
      <c r="C214" s="75" t="s">
        <v>769</v>
      </c>
      <c r="D214" s="73">
        <v>7174333</v>
      </c>
      <c r="E214" s="72">
        <v>45470</v>
      </c>
      <c r="F214" s="12">
        <v>3080</v>
      </c>
      <c r="G214" s="13" t="s">
        <v>131</v>
      </c>
      <c r="H214" s="14" t="s">
        <v>16</v>
      </c>
      <c r="I214" s="15" t="s">
        <v>17</v>
      </c>
      <c r="L214" s="17"/>
      <c r="M214" s="17"/>
    </row>
    <row r="215" spans="1:13" s="20" customFormat="1" x14ac:dyDescent="0.2">
      <c r="A215" s="10" t="s">
        <v>8</v>
      </c>
      <c r="B215" s="11" t="s">
        <v>9</v>
      </c>
      <c r="C215" s="75" t="s">
        <v>146</v>
      </c>
      <c r="D215" s="73">
        <v>7173989</v>
      </c>
      <c r="E215" s="72">
        <v>45461</v>
      </c>
      <c r="F215" s="12">
        <v>3026.73</v>
      </c>
      <c r="G215" s="13" t="s">
        <v>24</v>
      </c>
      <c r="H215" s="14" t="s">
        <v>16</v>
      </c>
      <c r="I215" s="15" t="s">
        <v>17</v>
      </c>
      <c r="L215" s="17"/>
      <c r="M215" s="17"/>
    </row>
    <row r="216" spans="1:13" s="20" customFormat="1" x14ac:dyDescent="0.2">
      <c r="A216" s="10" t="s">
        <v>8</v>
      </c>
      <c r="B216" s="11" t="s">
        <v>9</v>
      </c>
      <c r="C216" s="75" t="s">
        <v>768</v>
      </c>
      <c r="D216" s="73">
        <v>7174082</v>
      </c>
      <c r="E216" s="72">
        <v>45464</v>
      </c>
      <c r="F216" s="12">
        <v>3000</v>
      </c>
      <c r="G216" s="13" t="s">
        <v>27</v>
      </c>
      <c r="H216" s="14" t="s">
        <v>16</v>
      </c>
      <c r="I216" s="15" t="s">
        <v>17</v>
      </c>
      <c r="L216" s="17"/>
      <c r="M216" s="17"/>
    </row>
    <row r="217" spans="1:13" s="20" customFormat="1" x14ac:dyDescent="0.2">
      <c r="A217" s="10" t="s">
        <v>8</v>
      </c>
      <c r="B217" s="11" t="s">
        <v>9</v>
      </c>
      <c r="C217" s="75" t="s">
        <v>124</v>
      </c>
      <c r="D217" s="73">
        <v>7173486</v>
      </c>
      <c r="E217" s="72">
        <v>45448</v>
      </c>
      <c r="F217" s="12">
        <v>2976.75</v>
      </c>
      <c r="G217" s="13" t="s">
        <v>91</v>
      </c>
      <c r="H217" s="14" t="s">
        <v>16</v>
      </c>
      <c r="I217" s="15" t="s">
        <v>17</v>
      </c>
      <c r="L217" s="17"/>
      <c r="M217" s="17"/>
    </row>
    <row r="218" spans="1:13" s="20" customFormat="1" x14ac:dyDescent="0.2">
      <c r="A218" s="10" t="s">
        <v>8</v>
      </c>
      <c r="B218" s="11" t="s">
        <v>9</v>
      </c>
      <c r="C218" s="75" t="s">
        <v>455</v>
      </c>
      <c r="D218" s="73">
        <v>7174122</v>
      </c>
      <c r="E218" s="72">
        <v>45467</v>
      </c>
      <c r="F218" s="12">
        <v>2967.03</v>
      </c>
      <c r="G218" s="13" t="s">
        <v>58</v>
      </c>
      <c r="H218" s="14" t="s">
        <v>16</v>
      </c>
      <c r="I218" s="15" t="s">
        <v>17</v>
      </c>
      <c r="L218" s="17"/>
      <c r="M218" s="17"/>
    </row>
    <row r="219" spans="1:13" s="20" customFormat="1" x14ac:dyDescent="0.2">
      <c r="A219" s="10" t="s">
        <v>8</v>
      </c>
      <c r="B219" s="11" t="s">
        <v>9</v>
      </c>
      <c r="C219" s="75" t="s">
        <v>419</v>
      </c>
      <c r="D219" s="73">
        <v>7173639</v>
      </c>
      <c r="E219" s="72">
        <v>45450</v>
      </c>
      <c r="F219" s="12">
        <v>2942.5</v>
      </c>
      <c r="G219" s="13" t="s">
        <v>22</v>
      </c>
      <c r="H219" s="14" t="s">
        <v>16</v>
      </c>
      <c r="I219" s="15" t="s">
        <v>17</v>
      </c>
      <c r="L219" s="17"/>
      <c r="M219" s="17"/>
    </row>
    <row r="220" spans="1:13" s="20" customFormat="1" x14ac:dyDescent="0.2">
      <c r="A220" s="10" t="s">
        <v>8</v>
      </c>
      <c r="B220" s="11" t="s">
        <v>9</v>
      </c>
      <c r="C220" s="75" t="s">
        <v>93</v>
      </c>
      <c r="D220" s="73">
        <v>7172203</v>
      </c>
      <c r="E220" s="72">
        <v>45446</v>
      </c>
      <c r="F220" s="12">
        <v>2899</v>
      </c>
      <c r="G220" s="13" t="s">
        <v>94</v>
      </c>
      <c r="H220" s="14" t="s">
        <v>16</v>
      </c>
      <c r="I220" s="15" t="s">
        <v>17</v>
      </c>
      <c r="L220" s="17"/>
      <c r="M220" s="17"/>
    </row>
    <row r="221" spans="1:13" s="20" customFormat="1" x14ac:dyDescent="0.2">
      <c r="A221" s="10" t="s">
        <v>8</v>
      </c>
      <c r="B221" s="11" t="s">
        <v>9</v>
      </c>
      <c r="C221" s="75" t="s">
        <v>396</v>
      </c>
      <c r="D221" s="73">
        <v>7172392</v>
      </c>
      <c r="E221" s="72">
        <v>45464</v>
      </c>
      <c r="F221" s="12">
        <v>2850</v>
      </c>
      <c r="G221" s="13" t="s">
        <v>22</v>
      </c>
      <c r="H221" s="14" t="s">
        <v>16</v>
      </c>
      <c r="I221" s="15" t="s">
        <v>17</v>
      </c>
      <c r="L221" s="17"/>
      <c r="M221" s="17"/>
    </row>
    <row r="222" spans="1:13" s="20" customFormat="1" x14ac:dyDescent="0.2">
      <c r="A222" s="10" t="s">
        <v>8</v>
      </c>
      <c r="B222" s="11" t="s">
        <v>9</v>
      </c>
      <c r="C222" s="75" t="s">
        <v>10</v>
      </c>
      <c r="D222" s="73">
        <v>7172279</v>
      </c>
      <c r="E222" s="72">
        <v>45450</v>
      </c>
      <c r="F222" s="12">
        <v>2840.2</v>
      </c>
      <c r="G222" s="13" t="s">
        <v>22</v>
      </c>
      <c r="H222" s="14" t="s">
        <v>16</v>
      </c>
      <c r="I222" s="15" t="s">
        <v>17</v>
      </c>
      <c r="L222" s="17"/>
      <c r="M222" s="17"/>
    </row>
    <row r="223" spans="1:13" s="20" customFormat="1" x14ac:dyDescent="0.2">
      <c r="A223" s="10" t="s">
        <v>8</v>
      </c>
      <c r="B223" s="11" t="s">
        <v>9</v>
      </c>
      <c r="C223" s="77" t="s">
        <v>128</v>
      </c>
      <c r="D223" s="73">
        <v>7173446</v>
      </c>
      <c r="E223" s="72">
        <v>45455</v>
      </c>
      <c r="F223" s="12">
        <v>2835</v>
      </c>
      <c r="G223" s="13" t="s">
        <v>131</v>
      </c>
      <c r="H223" s="14" t="s">
        <v>16</v>
      </c>
      <c r="I223" s="15" t="s">
        <v>17</v>
      </c>
      <c r="L223" s="17"/>
      <c r="M223" s="17"/>
    </row>
    <row r="224" spans="1:13" s="20" customFormat="1" x14ac:dyDescent="0.2">
      <c r="A224" s="10" t="s">
        <v>8</v>
      </c>
      <c r="B224" s="11" t="s">
        <v>9</v>
      </c>
      <c r="C224" s="75" t="s">
        <v>128</v>
      </c>
      <c r="D224" s="73">
        <v>7173831</v>
      </c>
      <c r="E224" s="72">
        <v>45462</v>
      </c>
      <c r="F224" s="12">
        <v>2835</v>
      </c>
      <c r="G224" s="13" t="s">
        <v>131</v>
      </c>
      <c r="H224" s="14" t="s">
        <v>16</v>
      </c>
      <c r="I224" s="15" t="s">
        <v>17</v>
      </c>
      <c r="L224" s="17"/>
      <c r="M224" s="17"/>
    </row>
    <row r="225" spans="1:13" s="20" customFormat="1" x14ac:dyDescent="0.2">
      <c r="A225" s="10" t="s">
        <v>8</v>
      </c>
      <c r="B225" s="11" t="s">
        <v>9</v>
      </c>
      <c r="C225" s="75" t="s">
        <v>128</v>
      </c>
      <c r="D225" s="73">
        <v>7173347</v>
      </c>
      <c r="E225" s="72">
        <v>45467</v>
      </c>
      <c r="F225" s="12">
        <v>2784.4</v>
      </c>
      <c r="G225" s="13" t="s">
        <v>129</v>
      </c>
      <c r="H225" s="14" t="s">
        <v>16</v>
      </c>
      <c r="I225" s="15" t="s">
        <v>17</v>
      </c>
      <c r="L225" s="17"/>
      <c r="M225" s="17"/>
    </row>
    <row r="226" spans="1:13" s="20" customFormat="1" x14ac:dyDescent="0.2">
      <c r="A226" s="10" t="s">
        <v>8</v>
      </c>
      <c r="B226" s="11" t="s">
        <v>9</v>
      </c>
      <c r="C226" s="75" t="s">
        <v>119</v>
      </c>
      <c r="D226" s="73">
        <v>7174197</v>
      </c>
      <c r="E226" s="72">
        <v>45468</v>
      </c>
      <c r="F226" s="12">
        <v>2635.74</v>
      </c>
      <c r="G226" s="13" t="s">
        <v>120</v>
      </c>
      <c r="H226" s="14" t="s">
        <v>16</v>
      </c>
      <c r="I226" s="15" t="s">
        <v>17</v>
      </c>
      <c r="L226" s="17"/>
      <c r="M226" s="17"/>
    </row>
    <row r="227" spans="1:13" s="20" customFormat="1" x14ac:dyDescent="0.2">
      <c r="A227" s="10" t="s">
        <v>8</v>
      </c>
      <c r="B227" s="11" t="s">
        <v>9</v>
      </c>
      <c r="C227" s="75" t="s">
        <v>147</v>
      </c>
      <c r="D227" s="73">
        <v>7170966</v>
      </c>
      <c r="E227" s="72">
        <v>45448</v>
      </c>
      <c r="F227" s="12">
        <v>2613.6</v>
      </c>
      <c r="G227" s="13" t="s">
        <v>112</v>
      </c>
      <c r="H227" s="14" t="s">
        <v>16</v>
      </c>
      <c r="I227" s="15" t="s">
        <v>17</v>
      </c>
      <c r="L227" s="17"/>
      <c r="M227" s="17"/>
    </row>
    <row r="228" spans="1:13" s="20" customFormat="1" x14ac:dyDescent="0.2">
      <c r="A228" s="10" t="s">
        <v>8</v>
      </c>
      <c r="B228" s="11" t="s">
        <v>9</v>
      </c>
      <c r="C228" s="75" t="s">
        <v>767</v>
      </c>
      <c r="D228" s="73">
        <v>7174272</v>
      </c>
      <c r="E228" s="72">
        <v>45467</v>
      </c>
      <c r="F228" s="12">
        <v>2609.4</v>
      </c>
      <c r="G228" s="13" t="s">
        <v>27</v>
      </c>
      <c r="H228" s="14" t="s">
        <v>16</v>
      </c>
      <c r="I228" s="15" t="s">
        <v>17</v>
      </c>
      <c r="L228" s="17"/>
      <c r="M228" s="17"/>
    </row>
    <row r="229" spans="1:13" s="20" customFormat="1" x14ac:dyDescent="0.2">
      <c r="A229" s="10" t="s">
        <v>8</v>
      </c>
      <c r="B229" s="11" t="s">
        <v>9</v>
      </c>
      <c r="C229" s="75" t="s">
        <v>196</v>
      </c>
      <c r="D229" s="73">
        <v>7174316</v>
      </c>
      <c r="E229" s="72">
        <v>45468</v>
      </c>
      <c r="F229" s="12">
        <v>2567.9299999999998</v>
      </c>
      <c r="G229" s="13" t="s">
        <v>169</v>
      </c>
      <c r="H229" s="14" t="s">
        <v>16</v>
      </c>
      <c r="I229" s="15" t="s">
        <v>17</v>
      </c>
      <c r="L229" s="17"/>
      <c r="M229" s="17"/>
    </row>
    <row r="230" spans="1:13" s="20" customFormat="1" x14ac:dyDescent="0.2">
      <c r="A230" s="10" t="s">
        <v>8</v>
      </c>
      <c r="B230" s="11" t="s">
        <v>9</v>
      </c>
      <c r="C230" s="75" t="s">
        <v>121</v>
      </c>
      <c r="D230" s="73">
        <v>7174028</v>
      </c>
      <c r="E230" s="72">
        <v>45462</v>
      </c>
      <c r="F230" s="12">
        <v>2520.0500000000002</v>
      </c>
      <c r="G230" s="13" t="s">
        <v>122</v>
      </c>
      <c r="H230" s="14" t="s">
        <v>16</v>
      </c>
      <c r="I230" s="15" t="s">
        <v>17</v>
      </c>
      <c r="L230" s="17"/>
      <c r="M230" s="17"/>
    </row>
    <row r="231" spans="1:13" s="20" customFormat="1" x14ac:dyDescent="0.2">
      <c r="A231" s="10" t="s">
        <v>8</v>
      </c>
      <c r="B231" s="11" t="s">
        <v>9</v>
      </c>
      <c r="C231" s="75" t="s">
        <v>766</v>
      </c>
      <c r="D231" s="73">
        <v>7173981</v>
      </c>
      <c r="E231" s="72">
        <v>45464</v>
      </c>
      <c r="F231" s="12">
        <v>2500</v>
      </c>
      <c r="G231" s="13" t="s">
        <v>27</v>
      </c>
      <c r="H231" s="14" t="s">
        <v>16</v>
      </c>
      <c r="I231" s="15" t="s">
        <v>17</v>
      </c>
      <c r="L231" s="17"/>
      <c r="M231" s="17"/>
    </row>
    <row r="232" spans="1:13" s="20" customFormat="1" x14ac:dyDescent="0.2">
      <c r="A232" s="10" t="s">
        <v>8</v>
      </c>
      <c r="B232" s="11" t="s">
        <v>9</v>
      </c>
      <c r="C232" s="75" t="s">
        <v>765</v>
      </c>
      <c r="D232" s="73">
        <v>7174078</v>
      </c>
      <c r="E232" s="72">
        <v>45464</v>
      </c>
      <c r="F232" s="12">
        <v>2500</v>
      </c>
      <c r="G232" s="13" t="s">
        <v>27</v>
      </c>
      <c r="H232" s="14" t="s">
        <v>16</v>
      </c>
      <c r="I232" s="15" t="s">
        <v>17</v>
      </c>
      <c r="L232" s="17"/>
      <c r="M232" s="17"/>
    </row>
    <row r="233" spans="1:13" s="20" customFormat="1" x14ac:dyDescent="0.2">
      <c r="A233" s="10" t="s">
        <v>8</v>
      </c>
      <c r="B233" s="11" t="s">
        <v>9</v>
      </c>
      <c r="C233" s="75" t="s">
        <v>764</v>
      </c>
      <c r="D233" s="73">
        <v>7173319</v>
      </c>
      <c r="E233" s="72">
        <v>45446</v>
      </c>
      <c r="F233" s="12">
        <v>2500</v>
      </c>
      <c r="G233" s="13" t="s">
        <v>27</v>
      </c>
      <c r="H233" s="14" t="s">
        <v>16</v>
      </c>
      <c r="I233" s="15" t="s">
        <v>17</v>
      </c>
      <c r="L233" s="17"/>
      <c r="M233" s="17"/>
    </row>
    <row r="234" spans="1:13" s="20" customFormat="1" x14ac:dyDescent="0.2">
      <c r="A234" s="10" t="s">
        <v>8</v>
      </c>
      <c r="B234" s="11" t="s">
        <v>9</v>
      </c>
      <c r="C234" s="75" t="s">
        <v>763</v>
      </c>
      <c r="D234" s="73">
        <v>7174084</v>
      </c>
      <c r="E234" s="72">
        <v>45464</v>
      </c>
      <c r="F234" s="12">
        <v>2500</v>
      </c>
      <c r="G234" s="13" t="s">
        <v>27</v>
      </c>
      <c r="H234" s="14" t="s">
        <v>16</v>
      </c>
      <c r="I234" s="15" t="s">
        <v>17</v>
      </c>
      <c r="L234" s="17"/>
      <c r="M234" s="17"/>
    </row>
    <row r="235" spans="1:13" s="20" customFormat="1" x14ac:dyDescent="0.2">
      <c r="A235" s="10" t="s">
        <v>8</v>
      </c>
      <c r="B235" s="11" t="s">
        <v>9</v>
      </c>
      <c r="C235" s="75" t="s">
        <v>542</v>
      </c>
      <c r="D235" s="73">
        <v>7173317</v>
      </c>
      <c r="E235" s="72">
        <v>45446</v>
      </c>
      <c r="F235" s="12">
        <v>2500</v>
      </c>
      <c r="G235" s="13" t="s">
        <v>27</v>
      </c>
      <c r="H235" s="14" t="s">
        <v>16</v>
      </c>
      <c r="I235" s="15" t="s">
        <v>17</v>
      </c>
      <c r="L235" s="17"/>
      <c r="M235" s="17"/>
    </row>
    <row r="236" spans="1:13" s="20" customFormat="1" x14ac:dyDescent="0.2">
      <c r="A236" s="10" t="s">
        <v>8</v>
      </c>
      <c r="B236" s="11" t="s">
        <v>9</v>
      </c>
      <c r="C236" s="75" t="s">
        <v>196</v>
      </c>
      <c r="D236" s="73">
        <v>7173726</v>
      </c>
      <c r="E236" s="72">
        <v>45454</v>
      </c>
      <c r="F236" s="12">
        <v>2499.27</v>
      </c>
      <c r="G236" s="13" t="s">
        <v>169</v>
      </c>
      <c r="H236" s="14" t="s">
        <v>16</v>
      </c>
      <c r="I236" s="15" t="s">
        <v>17</v>
      </c>
      <c r="L236" s="17"/>
      <c r="M236" s="17"/>
    </row>
    <row r="237" spans="1:13" s="20" customFormat="1" x14ac:dyDescent="0.2">
      <c r="A237" s="10" t="s">
        <v>8</v>
      </c>
      <c r="B237" s="11" t="s">
        <v>9</v>
      </c>
      <c r="C237" s="75" t="s">
        <v>762</v>
      </c>
      <c r="D237" s="73">
        <v>7173315</v>
      </c>
      <c r="E237" s="72">
        <v>45446</v>
      </c>
      <c r="F237" s="12">
        <v>2491</v>
      </c>
      <c r="G237" s="13" t="s">
        <v>27</v>
      </c>
      <c r="H237" s="14" t="s">
        <v>16</v>
      </c>
      <c r="I237" s="15" t="s">
        <v>17</v>
      </c>
      <c r="L237" s="17"/>
      <c r="M237" s="17"/>
    </row>
    <row r="238" spans="1:13" s="20" customFormat="1" x14ac:dyDescent="0.2">
      <c r="A238" s="10" t="s">
        <v>8</v>
      </c>
      <c r="B238" s="11" t="s">
        <v>9</v>
      </c>
      <c r="C238" s="75" t="s">
        <v>208</v>
      </c>
      <c r="D238" s="73">
        <v>7173800</v>
      </c>
      <c r="E238" s="72">
        <v>45454</v>
      </c>
      <c r="F238" s="12">
        <v>2489.5100000000002</v>
      </c>
      <c r="G238" s="13" t="s">
        <v>209</v>
      </c>
      <c r="H238" s="14" t="s">
        <v>16</v>
      </c>
      <c r="I238" s="15" t="s">
        <v>17</v>
      </c>
      <c r="L238" s="17"/>
      <c r="M238" s="17"/>
    </row>
    <row r="239" spans="1:13" s="20" customFormat="1" x14ac:dyDescent="0.2">
      <c r="A239" s="10" t="s">
        <v>8</v>
      </c>
      <c r="B239" s="11" t="s">
        <v>9</v>
      </c>
      <c r="C239" s="77" t="s">
        <v>761</v>
      </c>
      <c r="D239" s="73">
        <v>7173982</v>
      </c>
      <c r="E239" s="72">
        <v>45464</v>
      </c>
      <c r="F239" s="12">
        <v>2460</v>
      </c>
      <c r="G239" s="13" t="s">
        <v>27</v>
      </c>
      <c r="H239" s="14" t="s">
        <v>16</v>
      </c>
      <c r="I239" s="15" t="s">
        <v>17</v>
      </c>
      <c r="L239" s="17"/>
      <c r="M239" s="17"/>
    </row>
    <row r="240" spans="1:13" s="20" customFormat="1" x14ac:dyDescent="0.2">
      <c r="A240" s="10" t="s">
        <v>8</v>
      </c>
      <c r="B240" s="11" t="s">
        <v>9</v>
      </c>
      <c r="C240" s="75" t="s">
        <v>212</v>
      </c>
      <c r="D240" s="73">
        <v>7173517</v>
      </c>
      <c r="E240" s="72">
        <v>45450</v>
      </c>
      <c r="F240" s="12">
        <v>2455</v>
      </c>
      <c r="G240" s="13" t="s">
        <v>27</v>
      </c>
      <c r="H240" s="14" t="s">
        <v>16</v>
      </c>
      <c r="I240" s="15" t="s">
        <v>17</v>
      </c>
      <c r="L240" s="17"/>
      <c r="M240" s="17"/>
    </row>
    <row r="241" spans="1:13" s="20" customFormat="1" x14ac:dyDescent="0.2">
      <c r="A241" s="10" t="s">
        <v>8</v>
      </c>
      <c r="B241" s="11" t="s">
        <v>9</v>
      </c>
      <c r="C241" s="75" t="s">
        <v>93</v>
      </c>
      <c r="D241" s="73">
        <v>7172202</v>
      </c>
      <c r="E241" s="72">
        <v>45446</v>
      </c>
      <c r="F241" s="12">
        <v>2453</v>
      </c>
      <c r="G241" s="13" t="s">
        <v>94</v>
      </c>
      <c r="H241" s="14" t="s">
        <v>16</v>
      </c>
      <c r="I241" s="15" t="s">
        <v>17</v>
      </c>
      <c r="L241" s="17"/>
      <c r="M241" s="17"/>
    </row>
    <row r="242" spans="1:13" s="20" customFormat="1" x14ac:dyDescent="0.2">
      <c r="A242" s="10" t="s">
        <v>8</v>
      </c>
      <c r="B242" s="11" t="s">
        <v>9</v>
      </c>
      <c r="C242" s="75" t="s">
        <v>196</v>
      </c>
      <c r="D242" s="73">
        <v>7173971</v>
      </c>
      <c r="E242" s="72">
        <v>45461</v>
      </c>
      <c r="F242" s="12">
        <v>2448.8000000000002</v>
      </c>
      <c r="G242" s="13" t="s">
        <v>169</v>
      </c>
      <c r="H242" s="14" t="s">
        <v>16</v>
      </c>
      <c r="I242" s="15" t="s">
        <v>17</v>
      </c>
      <c r="L242" s="17"/>
      <c r="M242" s="17"/>
    </row>
    <row r="243" spans="1:13" s="20" customFormat="1" x14ac:dyDescent="0.2">
      <c r="A243" s="10" t="s">
        <v>8</v>
      </c>
      <c r="B243" s="11" t="s">
        <v>9</v>
      </c>
      <c r="C243" s="75" t="s">
        <v>289</v>
      </c>
      <c r="D243" s="73">
        <v>7173214</v>
      </c>
      <c r="E243" s="72">
        <v>45446</v>
      </c>
      <c r="F243" s="12">
        <v>2412</v>
      </c>
      <c r="G243" s="13" t="s">
        <v>91</v>
      </c>
      <c r="H243" s="14" t="s">
        <v>16</v>
      </c>
      <c r="I243" s="15" t="s">
        <v>17</v>
      </c>
      <c r="L243" s="17"/>
      <c r="M243" s="17"/>
    </row>
    <row r="244" spans="1:13" s="20" customFormat="1" x14ac:dyDescent="0.2">
      <c r="A244" s="10" t="s">
        <v>8</v>
      </c>
      <c r="B244" s="11" t="s">
        <v>9</v>
      </c>
      <c r="C244" s="75" t="s">
        <v>213</v>
      </c>
      <c r="D244" s="73">
        <v>7174121</v>
      </c>
      <c r="E244" s="72">
        <v>45467</v>
      </c>
      <c r="F244" s="12">
        <v>2403.25</v>
      </c>
      <c r="G244" s="13" t="s">
        <v>131</v>
      </c>
      <c r="H244" s="14" t="s">
        <v>16</v>
      </c>
      <c r="I244" s="15" t="s">
        <v>17</v>
      </c>
      <c r="L244" s="17"/>
      <c r="M244" s="17"/>
    </row>
    <row r="245" spans="1:13" s="20" customFormat="1" x14ac:dyDescent="0.2">
      <c r="A245" s="10" t="s">
        <v>8</v>
      </c>
      <c r="B245" s="11" t="s">
        <v>9</v>
      </c>
      <c r="C245" s="75" t="s">
        <v>760</v>
      </c>
      <c r="D245" s="73">
        <v>7173920</v>
      </c>
      <c r="E245" s="72">
        <v>45468</v>
      </c>
      <c r="F245" s="12">
        <v>2400</v>
      </c>
      <c r="G245" s="13" t="s">
        <v>131</v>
      </c>
      <c r="H245" s="14" t="s">
        <v>16</v>
      </c>
      <c r="I245" s="15" t="s">
        <v>17</v>
      </c>
      <c r="L245" s="17"/>
      <c r="M245" s="17"/>
    </row>
    <row r="246" spans="1:13" s="20" customFormat="1" x14ac:dyDescent="0.2">
      <c r="A246" s="10" t="s">
        <v>8</v>
      </c>
      <c r="B246" s="11" t="s">
        <v>9</v>
      </c>
      <c r="C246" s="75" t="s">
        <v>74</v>
      </c>
      <c r="D246" s="73">
        <v>7173720</v>
      </c>
      <c r="E246" s="72">
        <v>45467</v>
      </c>
      <c r="F246" s="12">
        <v>2373.1</v>
      </c>
      <c r="G246" s="13" t="s">
        <v>131</v>
      </c>
      <c r="H246" s="14" t="s">
        <v>16</v>
      </c>
      <c r="I246" s="15" t="s">
        <v>17</v>
      </c>
      <c r="L246" s="17"/>
      <c r="M246" s="17"/>
    </row>
    <row r="247" spans="1:13" s="20" customFormat="1" x14ac:dyDescent="0.2">
      <c r="A247" s="10" t="s">
        <v>8</v>
      </c>
      <c r="B247" s="11" t="s">
        <v>9</v>
      </c>
      <c r="C247" s="75" t="s">
        <v>140</v>
      </c>
      <c r="D247" s="73">
        <v>7174105</v>
      </c>
      <c r="E247" s="72">
        <v>45462</v>
      </c>
      <c r="F247" s="12">
        <v>2367.1</v>
      </c>
      <c r="G247" s="13" t="s">
        <v>156</v>
      </c>
      <c r="H247" s="14" t="s">
        <v>16</v>
      </c>
      <c r="I247" s="15" t="s">
        <v>17</v>
      </c>
      <c r="L247" s="17"/>
      <c r="M247" s="17"/>
    </row>
    <row r="248" spans="1:13" s="20" customFormat="1" x14ac:dyDescent="0.2">
      <c r="A248" s="10" t="s">
        <v>8</v>
      </c>
      <c r="B248" s="11" t="s">
        <v>9</v>
      </c>
      <c r="C248" s="75" t="s">
        <v>121</v>
      </c>
      <c r="D248" s="73">
        <v>7173083</v>
      </c>
      <c r="E248" s="72">
        <v>45448</v>
      </c>
      <c r="F248" s="12">
        <v>2359.02</v>
      </c>
      <c r="G248" s="13" t="s">
        <v>122</v>
      </c>
      <c r="H248" s="14" t="s">
        <v>16</v>
      </c>
      <c r="I248" s="15" t="s">
        <v>17</v>
      </c>
      <c r="L248" s="17"/>
      <c r="M248" s="17"/>
    </row>
    <row r="249" spans="1:13" s="20" customFormat="1" x14ac:dyDescent="0.2">
      <c r="A249" s="10" t="s">
        <v>8</v>
      </c>
      <c r="B249" s="11" t="s">
        <v>9</v>
      </c>
      <c r="C249" s="75" t="s">
        <v>326</v>
      </c>
      <c r="D249" s="73">
        <v>7173401</v>
      </c>
      <c r="E249" s="72">
        <v>45447</v>
      </c>
      <c r="F249" s="12">
        <v>2340</v>
      </c>
      <c r="G249" s="13" t="s">
        <v>38</v>
      </c>
      <c r="H249" s="14" t="s">
        <v>16</v>
      </c>
      <c r="I249" s="15" t="s">
        <v>17</v>
      </c>
      <c r="L249" s="17"/>
      <c r="M249" s="17"/>
    </row>
    <row r="250" spans="1:13" s="20" customFormat="1" x14ac:dyDescent="0.2">
      <c r="A250" s="10" t="s">
        <v>8</v>
      </c>
      <c r="B250" s="11" t="s">
        <v>9</v>
      </c>
      <c r="C250" s="75" t="s">
        <v>74</v>
      </c>
      <c r="D250" s="73">
        <v>7173256</v>
      </c>
      <c r="E250" s="72">
        <v>45448</v>
      </c>
      <c r="F250" s="12">
        <v>2324.4</v>
      </c>
      <c r="G250" s="13" t="s">
        <v>75</v>
      </c>
      <c r="H250" s="14" t="s">
        <v>16</v>
      </c>
      <c r="I250" s="15" t="s">
        <v>17</v>
      </c>
      <c r="L250" s="17"/>
      <c r="M250" s="17"/>
    </row>
    <row r="251" spans="1:13" s="20" customFormat="1" x14ac:dyDescent="0.2">
      <c r="A251" s="10" t="s">
        <v>8</v>
      </c>
      <c r="B251" s="11" t="s">
        <v>9</v>
      </c>
      <c r="C251" s="75" t="s">
        <v>142</v>
      </c>
      <c r="D251" s="73">
        <v>7173585</v>
      </c>
      <c r="E251" s="72">
        <v>45456</v>
      </c>
      <c r="F251" s="12">
        <v>2280</v>
      </c>
      <c r="G251" s="13" t="s">
        <v>143</v>
      </c>
      <c r="H251" s="14" t="s">
        <v>16</v>
      </c>
      <c r="I251" s="15" t="s">
        <v>17</v>
      </c>
      <c r="L251" s="17"/>
      <c r="M251" s="17"/>
    </row>
    <row r="252" spans="1:13" s="20" customFormat="1" x14ac:dyDescent="0.2">
      <c r="A252" s="10" t="s">
        <v>8</v>
      </c>
      <c r="B252" s="11" t="s">
        <v>9</v>
      </c>
      <c r="C252" s="75" t="s">
        <v>675</v>
      </c>
      <c r="D252" s="73">
        <v>7173577</v>
      </c>
      <c r="E252" s="72">
        <v>45456</v>
      </c>
      <c r="F252" s="12">
        <v>2245.71</v>
      </c>
      <c r="G252" s="13" t="s">
        <v>94</v>
      </c>
      <c r="H252" s="14" t="s">
        <v>16</v>
      </c>
      <c r="I252" s="15" t="s">
        <v>17</v>
      </c>
      <c r="L252" s="17"/>
      <c r="M252" s="17"/>
    </row>
    <row r="253" spans="1:13" s="20" customFormat="1" x14ac:dyDescent="0.2">
      <c r="A253" s="10" t="s">
        <v>8</v>
      </c>
      <c r="B253" s="11" t="s">
        <v>9</v>
      </c>
      <c r="C253" s="75" t="s">
        <v>93</v>
      </c>
      <c r="D253" s="73">
        <v>7172201</v>
      </c>
      <c r="E253" s="72">
        <v>45446</v>
      </c>
      <c r="F253" s="12">
        <v>2230</v>
      </c>
      <c r="G253" s="13" t="s">
        <v>94</v>
      </c>
      <c r="H253" s="14" t="s">
        <v>16</v>
      </c>
      <c r="I253" s="15" t="s">
        <v>17</v>
      </c>
      <c r="L253" s="17"/>
      <c r="M253" s="17"/>
    </row>
    <row r="254" spans="1:13" s="20" customFormat="1" x14ac:dyDescent="0.2">
      <c r="A254" s="10" t="s">
        <v>8</v>
      </c>
      <c r="B254" s="11" t="s">
        <v>9</v>
      </c>
      <c r="C254" s="75" t="s">
        <v>200</v>
      </c>
      <c r="D254" s="73">
        <v>7174229</v>
      </c>
      <c r="E254" s="72">
        <v>45467</v>
      </c>
      <c r="F254" s="12">
        <v>2226</v>
      </c>
      <c r="G254" s="13" t="s">
        <v>38</v>
      </c>
      <c r="H254" s="14" t="s">
        <v>16</v>
      </c>
      <c r="I254" s="15" t="s">
        <v>17</v>
      </c>
      <c r="L254" s="17"/>
      <c r="M254" s="17"/>
    </row>
    <row r="255" spans="1:13" s="20" customFormat="1" x14ac:dyDescent="0.2">
      <c r="A255" s="10" t="s">
        <v>8</v>
      </c>
      <c r="B255" s="11" t="s">
        <v>9</v>
      </c>
      <c r="C255" s="75" t="s">
        <v>369</v>
      </c>
      <c r="D255" s="73">
        <v>7174431</v>
      </c>
      <c r="E255" s="72">
        <v>45471</v>
      </c>
      <c r="F255" s="12">
        <v>2175</v>
      </c>
      <c r="G255" s="13" t="s">
        <v>39</v>
      </c>
      <c r="H255" s="14" t="s">
        <v>16</v>
      </c>
      <c r="I255" s="15" t="s">
        <v>17</v>
      </c>
      <c r="L255" s="17"/>
      <c r="M255" s="17"/>
    </row>
    <row r="256" spans="1:13" s="20" customFormat="1" x14ac:dyDescent="0.2">
      <c r="A256" s="10" t="s">
        <v>8</v>
      </c>
      <c r="B256" s="11" t="s">
        <v>9</v>
      </c>
      <c r="C256" s="75" t="s">
        <v>759</v>
      </c>
      <c r="D256" s="73">
        <v>7173564</v>
      </c>
      <c r="E256" s="72">
        <v>45462</v>
      </c>
      <c r="F256" s="12">
        <v>2161</v>
      </c>
      <c r="G256" s="13" t="s">
        <v>382</v>
      </c>
      <c r="H256" s="14" t="s">
        <v>16</v>
      </c>
      <c r="I256" s="15" t="s">
        <v>17</v>
      </c>
      <c r="L256" s="17"/>
      <c r="M256" s="17"/>
    </row>
    <row r="257" spans="1:13" s="20" customFormat="1" x14ac:dyDescent="0.2">
      <c r="A257" s="10" t="s">
        <v>8</v>
      </c>
      <c r="B257" s="11" t="s">
        <v>9</v>
      </c>
      <c r="C257" s="75" t="s">
        <v>139</v>
      </c>
      <c r="D257" s="73">
        <v>7173143</v>
      </c>
      <c r="E257" s="72">
        <v>45448</v>
      </c>
      <c r="F257" s="12">
        <v>2147</v>
      </c>
      <c r="G257" s="13" t="s">
        <v>39</v>
      </c>
      <c r="H257" s="14" t="s">
        <v>16</v>
      </c>
      <c r="I257" s="15" t="s">
        <v>17</v>
      </c>
      <c r="L257" s="17"/>
      <c r="M257" s="17"/>
    </row>
    <row r="258" spans="1:13" s="20" customFormat="1" x14ac:dyDescent="0.2">
      <c r="A258" s="10" t="s">
        <v>8</v>
      </c>
      <c r="B258" s="11" t="s">
        <v>9</v>
      </c>
      <c r="C258" s="75" t="s">
        <v>758</v>
      </c>
      <c r="D258" s="73">
        <v>7174368</v>
      </c>
      <c r="E258" s="72">
        <v>45470</v>
      </c>
      <c r="F258" s="12">
        <v>2144</v>
      </c>
      <c r="G258" s="13" t="s">
        <v>98</v>
      </c>
      <c r="H258" s="14" t="s">
        <v>16</v>
      </c>
      <c r="I258" s="15" t="s">
        <v>17</v>
      </c>
      <c r="L258" s="17"/>
      <c r="M258" s="17"/>
    </row>
    <row r="259" spans="1:13" s="20" customFormat="1" x14ac:dyDescent="0.2">
      <c r="A259" s="10" t="s">
        <v>8</v>
      </c>
      <c r="B259" s="11" t="s">
        <v>9</v>
      </c>
      <c r="C259" s="75" t="s">
        <v>74</v>
      </c>
      <c r="D259" s="73">
        <v>7173433</v>
      </c>
      <c r="E259" s="72">
        <v>45457</v>
      </c>
      <c r="F259" s="12">
        <v>2137.35</v>
      </c>
      <c r="G259" s="13" t="s">
        <v>75</v>
      </c>
      <c r="H259" s="14" t="s">
        <v>16</v>
      </c>
      <c r="I259" s="15" t="s">
        <v>17</v>
      </c>
      <c r="L259" s="17"/>
      <c r="M259" s="17"/>
    </row>
    <row r="260" spans="1:13" s="20" customFormat="1" x14ac:dyDescent="0.2">
      <c r="A260" s="10" t="s">
        <v>8</v>
      </c>
      <c r="B260" s="11" t="s">
        <v>9</v>
      </c>
      <c r="C260" s="75" t="s">
        <v>99</v>
      </c>
      <c r="D260" s="73">
        <v>7174237</v>
      </c>
      <c r="E260" s="72">
        <v>45467</v>
      </c>
      <c r="F260" s="12">
        <v>567.17999999999995</v>
      </c>
      <c r="G260" s="13" t="s">
        <v>94</v>
      </c>
      <c r="H260" s="14" t="s">
        <v>12</v>
      </c>
      <c r="I260" s="15" t="s">
        <v>13</v>
      </c>
      <c r="L260" s="17"/>
      <c r="M260" s="17"/>
    </row>
    <row r="261" spans="1:13" s="20" customFormat="1" x14ac:dyDescent="0.2">
      <c r="A261" s="10" t="s">
        <v>8</v>
      </c>
      <c r="B261" s="11" t="s">
        <v>9</v>
      </c>
      <c r="C261" s="75" t="s">
        <v>99</v>
      </c>
      <c r="D261" s="73">
        <v>7174237</v>
      </c>
      <c r="E261" s="72">
        <v>45467</v>
      </c>
      <c r="F261" s="12">
        <v>1552.1299999999999</v>
      </c>
      <c r="G261" s="13" t="s">
        <v>673</v>
      </c>
      <c r="H261" s="14" t="s">
        <v>16</v>
      </c>
      <c r="I261" s="15" t="s">
        <v>17</v>
      </c>
      <c r="L261" s="17"/>
      <c r="M261" s="17"/>
    </row>
    <row r="262" spans="1:13" s="20" customFormat="1" x14ac:dyDescent="0.2">
      <c r="A262" s="10" t="s">
        <v>8</v>
      </c>
      <c r="B262" s="11" t="s">
        <v>9</v>
      </c>
      <c r="C262" s="75" t="s">
        <v>385</v>
      </c>
      <c r="D262" s="73">
        <v>7173698</v>
      </c>
      <c r="E262" s="72">
        <v>45456</v>
      </c>
      <c r="F262" s="12">
        <v>2089.77</v>
      </c>
      <c r="G262" s="13" t="s">
        <v>112</v>
      </c>
      <c r="H262" s="14" t="s">
        <v>16</v>
      </c>
      <c r="I262" s="15" t="s">
        <v>17</v>
      </c>
      <c r="L262" s="17"/>
      <c r="M262" s="17"/>
    </row>
    <row r="263" spans="1:13" s="20" customFormat="1" x14ac:dyDescent="0.2">
      <c r="A263" s="10" t="s">
        <v>8</v>
      </c>
      <c r="B263" s="11" t="s">
        <v>9</v>
      </c>
      <c r="C263" s="75" t="s">
        <v>140</v>
      </c>
      <c r="D263" s="73">
        <v>7173528</v>
      </c>
      <c r="E263" s="72">
        <v>45448</v>
      </c>
      <c r="F263" s="12">
        <v>2082.54</v>
      </c>
      <c r="G263" s="13" t="s">
        <v>40</v>
      </c>
      <c r="H263" s="14" t="s">
        <v>16</v>
      </c>
      <c r="I263" s="15" t="s">
        <v>17</v>
      </c>
      <c r="L263" s="17"/>
      <c r="M263" s="17"/>
    </row>
    <row r="264" spans="1:13" s="20" customFormat="1" x14ac:dyDescent="0.2">
      <c r="A264" s="10" t="s">
        <v>8</v>
      </c>
      <c r="B264" s="11" t="s">
        <v>9</v>
      </c>
      <c r="C264" s="75" t="s">
        <v>219</v>
      </c>
      <c r="D264" s="73">
        <v>7173442</v>
      </c>
      <c r="E264" s="72">
        <v>45446</v>
      </c>
      <c r="F264" s="12">
        <v>2077.35</v>
      </c>
      <c r="G264" s="13" t="s">
        <v>220</v>
      </c>
      <c r="H264" s="14" t="s">
        <v>16</v>
      </c>
      <c r="I264" s="15" t="s">
        <v>17</v>
      </c>
      <c r="L264" s="17"/>
      <c r="M264" s="17"/>
    </row>
    <row r="265" spans="1:13" s="20" customFormat="1" x14ac:dyDescent="0.2">
      <c r="A265" s="10" t="s">
        <v>8</v>
      </c>
      <c r="B265" s="11" t="s">
        <v>9</v>
      </c>
      <c r="C265" s="75" t="s">
        <v>196</v>
      </c>
      <c r="D265" s="73">
        <v>7173435</v>
      </c>
      <c r="E265" s="72">
        <v>45447</v>
      </c>
      <c r="F265" s="12">
        <v>2053.23</v>
      </c>
      <c r="G265" s="13" t="s">
        <v>169</v>
      </c>
      <c r="H265" s="14" t="s">
        <v>16</v>
      </c>
      <c r="I265" s="15" t="s">
        <v>17</v>
      </c>
      <c r="L265" s="17"/>
      <c r="M265" s="17"/>
    </row>
    <row r="266" spans="1:13" s="20" customFormat="1" x14ac:dyDescent="0.2">
      <c r="A266" s="10" t="s">
        <v>8</v>
      </c>
      <c r="B266" s="11" t="s">
        <v>9</v>
      </c>
      <c r="C266" s="75" t="s">
        <v>231</v>
      </c>
      <c r="D266" s="73">
        <v>7173607</v>
      </c>
      <c r="E266" s="72">
        <v>45453</v>
      </c>
      <c r="F266" s="12">
        <v>2049.9</v>
      </c>
      <c r="G266" s="13" t="s">
        <v>22</v>
      </c>
      <c r="H266" s="14" t="s">
        <v>16</v>
      </c>
      <c r="I266" s="15" t="s">
        <v>17</v>
      </c>
      <c r="L266" s="17"/>
      <c r="M266" s="17"/>
    </row>
    <row r="267" spans="1:13" s="20" customFormat="1" x14ac:dyDescent="0.2">
      <c r="A267" s="10" t="s">
        <v>8</v>
      </c>
      <c r="B267" s="11" t="s">
        <v>9</v>
      </c>
      <c r="C267" s="75" t="s">
        <v>757</v>
      </c>
      <c r="D267" s="73">
        <v>7173549</v>
      </c>
      <c r="E267" s="72">
        <v>45449</v>
      </c>
      <c r="F267" s="12">
        <v>2034.5</v>
      </c>
      <c r="G267" s="13" t="s">
        <v>151</v>
      </c>
      <c r="H267" s="14" t="s">
        <v>16</v>
      </c>
      <c r="I267" s="15" t="s">
        <v>17</v>
      </c>
      <c r="L267" s="17"/>
      <c r="M267" s="17"/>
    </row>
    <row r="268" spans="1:13" s="20" customFormat="1" x14ac:dyDescent="0.2">
      <c r="A268" s="10" t="s">
        <v>8</v>
      </c>
      <c r="B268" s="11" t="s">
        <v>9</v>
      </c>
      <c r="C268" s="75" t="s">
        <v>256</v>
      </c>
      <c r="D268" s="73">
        <v>7173950</v>
      </c>
      <c r="E268" s="72">
        <v>45461</v>
      </c>
      <c r="F268" s="12">
        <v>2017.9</v>
      </c>
      <c r="G268" s="13" t="s">
        <v>155</v>
      </c>
      <c r="H268" s="14" t="s">
        <v>16</v>
      </c>
      <c r="I268" s="15" t="s">
        <v>17</v>
      </c>
      <c r="L268" s="17"/>
      <c r="M268" s="17"/>
    </row>
    <row r="269" spans="1:13" s="20" customFormat="1" x14ac:dyDescent="0.2">
      <c r="A269" s="10" t="s">
        <v>8</v>
      </c>
      <c r="B269" s="11" t="s">
        <v>9</v>
      </c>
      <c r="C269" s="75" t="s">
        <v>756</v>
      </c>
      <c r="D269" s="73">
        <v>7173987</v>
      </c>
      <c r="E269" s="72">
        <v>45467</v>
      </c>
      <c r="F269" s="12">
        <v>2000</v>
      </c>
      <c r="G269" s="13" t="s">
        <v>22</v>
      </c>
      <c r="H269" s="14" t="s">
        <v>16</v>
      </c>
      <c r="I269" s="15" t="s">
        <v>17</v>
      </c>
      <c r="L269" s="17"/>
      <c r="M269" s="17"/>
    </row>
    <row r="270" spans="1:13" s="20" customFormat="1" x14ac:dyDescent="0.2">
      <c r="A270" s="10" t="s">
        <v>8</v>
      </c>
      <c r="B270" s="11" t="s">
        <v>9</v>
      </c>
      <c r="C270" s="75" t="s">
        <v>256</v>
      </c>
      <c r="D270" s="73">
        <v>7173964</v>
      </c>
      <c r="E270" s="72">
        <v>45467</v>
      </c>
      <c r="F270" s="12">
        <v>1978.71</v>
      </c>
      <c r="G270" s="13" t="s">
        <v>155</v>
      </c>
      <c r="H270" s="14" t="s">
        <v>16</v>
      </c>
      <c r="I270" s="15" t="s">
        <v>17</v>
      </c>
      <c r="L270" s="17"/>
      <c r="M270" s="17"/>
    </row>
    <row r="271" spans="1:13" s="20" customFormat="1" x14ac:dyDescent="0.2">
      <c r="A271" s="10" t="s">
        <v>8</v>
      </c>
      <c r="B271" s="11" t="s">
        <v>9</v>
      </c>
      <c r="C271" s="75" t="s">
        <v>256</v>
      </c>
      <c r="D271" s="73">
        <v>7172480</v>
      </c>
      <c r="E271" s="72">
        <v>45467</v>
      </c>
      <c r="F271" s="12">
        <v>1934.72</v>
      </c>
      <c r="G271" s="13" t="s">
        <v>131</v>
      </c>
      <c r="H271" s="14" t="s">
        <v>16</v>
      </c>
      <c r="I271" s="15" t="s">
        <v>17</v>
      </c>
      <c r="L271" s="17"/>
      <c r="M271" s="17"/>
    </row>
    <row r="272" spans="1:13" s="20" customFormat="1" x14ac:dyDescent="0.2">
      <c r="A272" s="10" t="s">
        <v>8</v>
      </c>
      <c r="B272" s="11" t="s">
        <v>9</v>
      </c>
      <c r="C272" s="75" t="s">
        <v>153</v>
      </c>
      <c r="D272" s="73">
        <v>7173782</v>
      </c>
      <c r="E272" s="72">
        <v>45457</v>
      </c>
      <c r="F272" s="12">
        <v>1885</v>
      </c>
      <c r="G272" s="13" t="s">
        <v>39</v>
      </c>
      <c r="H272" s="14" t="s">
        <v>16</v>
      </c>
      <c r="I272" s="15" t="s">
        <v>17</v>
      </c>
      <c r="L272" s="17"/>
      <c r="M272" s="17"/>
    </row>
    <row r="273" spans="1:13" s="20" customFormat="1" x14ac:dyDescent="0.2">
      <c r="A273" s="10" t="s">
        <v>8</v>
      </c>
      <c r="B273" s="11" t="s">
        <v>9</v>
      </c>
      <c r="C273" s="75" t="s">
        <v>755</v>
      </c>
      <c r="D273" s="73">
        <v>7174199</v>
      </c>
      <c r="E273" s="72">
        <v>45467</v>
      </c>
      <c r="F273" s="12">
        <v>1880</v>
      </c>
      <c r="G273" s="13" t="s">
        <v>131</v>
      </c>
      <c r="H273" s="14" t="s">
        <v>16</v>
      </c>
      <c r="I273" s="15" t="s">
        <v>17</v>
      </c>
      <c r="L273" s="17"/>
      <c r="M273" s="17"/>
    </row>
    <row r="274" spans="1:13" s="20" customFormat="1" x14ac:dyDescent="0.2">
      <c r="A274" s="10" t="s">
        <v>8</v>
      </c>
      <c r="B274" s="11" t="s">
        <v>9</v>
      </c>
      <c r="C274" s="75" t="s">
        <v>289</v>
      </c>
      <c r="D274" s="73">
        <v>7173403</v>
      </c>
      <c r="E274" s="72">
        <v>45448</v>
      </c>
      <c r="F274" s="12">
        <v>1866.22</v>
      </c>
      <c r="G274" s="13" t="s">
        <v>91</v>
      </c>
      <c r="H274" s="14" t="s">
        <v>16</v>
      </c>
      <c r="I274" s="15" t="s">
        <v>17</v>
      </c>
      <c r="L274" s="17"/>
      <c r="M274" s="17"/>
    </row>
    <row r="275" spans="1:13" s="20" customFormat="1" x14ac:dyDescent="0.2">
      <c r="A275" s="10" t="s">
        <v>8</v>
      </c>
      <c r="B275" s="11" t="s">
        <v>9</v>
      </c>
      <c r="C275" s="75" t="s">
        <v>256</v>
      </c>
      <c r="D275" s="73">
        <v>7173457</v>
      </c>
      <c r="E275" s="72">
        <v>45447</v>
      </c>
      <c r="F275" s="12">
        <v>1852.79</v>
      </c>
      <c r="G275" s="13" t="s">
        <v>131</v>
      </c>
      <c r="H275" s="14" t="s">
        <v>16</v>
      </c>
      <c r="I275" s="15" t="s">
        <v>17</v>
      </c>
      <c r="L275" s="17"/>
      <c r="M275" s="17"/>
    </row>
    <row r="276" spans="1:13" s="20" customFormat="1" x14ac:dyDescent="0.2">
      <c r="A276" s="10" t="s">
        <v>8</v>
      </c>
      <c r="B276" s="11" t="s">
        <v>9</v>
      </c>
      <c r="C276" s="75" t="s">
        <v>754</v>
      </c>
      <c r="D276" s="73">
        <v>7173892</v>
      </c>
      <c r="E276" s="72">
        <v>45457</v>
      </c>
      <c r="F276" s="12">
        <v>1627.5</v>
      </c>
      <c r="G276" s="13" t="s">
        <v>131</v>
      </c>
      <c r="H276" s="14" t="s">
        <v>16</v>
      </c>
      <c r="I276" s="15" t="s">
        <v>17</v>
      </c>
      <c r="L276" s="17"/>
      <c r="M276" s="17"/>
    </row>
    <row r="277" spans="1:13" s="20" customFormat="1" x14ac:dyDescent="0.2">
      <c r="A277" s="10" t="s">
        <v>8</v>
      </c>
      <c r="B277" s="11" t="s">
        <v>9</v>
      </c>
      <c r="C277" s="75" t="s">
        <v>754</v>
      </c>
      <c r="D277" s="73">
        <v>7173892</v>
      </c>
      <c r="E277" s="72">
        <v>45457</v>
      </c>
      <c r="F277" s="12">
        <v>213.98</v>
      </c>
      <c r="G277" s="13" t="s">
        <v>151</v>
      </c>
      <c r="H277" s="14" t="s">
        <v>12</v>
      </c>
      <c r="I277" s="15" t="s">
        <v>13</v>
      </c>
      <c r="L277" s="17"/>
      <c r="M277" s="17"/>
    </row>
    <row r="278" spans="1:13" s="20" customFormat="1" x14ac:dyDescent="0.2">
      <c r="A278" s="10" t="s">
        <v>8</v>
      </c>
      <c r="B278" s="11" t="s">
        <v>9</v>
      </c>
      <c r="C278" s="75" t="s">
        <v>636</v>
      </c>
      <c r="D278" s="73">
        <v>7173844</v>
      </c>
      <c r="E278" s="72">
        <v>45462</v>
      </c>
      <c r="F278" s="12">
        <v>1836</v>
      </c>
      <c r="G278" s="13" t="s">
        <v>251</v>
      </c>
      <c r="H278" s="14" t="s">
        <v>16</v>
      </c>
      <c r="I278" s="15" t="s">
        <v>17</v>
      </c>
      <c r="L278" s="17"/>
      <c r="M278" s="17"/>
    </row>
    <row r="279" spans="1:13" s="20" customFormat="1" x14ac:dyDescent="0.2">
      <c r="A279" s="10" t="s">
        <v>8</v>
      </c>
      <c r="B279" s="11" t="s">
        <v>9</v>
      </c>
      <c r="C279" s="75" t="s">
        <v>99</v>
      </c>
      <c r="D279" s="73">
        <v>7173266</v>
      </c>
      <c r="E279" s="72">
        <v>45446</v>
      </c>
      <c r="F279" s="12">
        <v>882.09</v>
      </c>
      <c r="G279" s="13" t="s">
        <v>94</v>
      </c>
      <c r="H279" s="14" t="s">
        <v>12</v>
      </c>
      <c r="I279" s="15" t="s">
        <v>13</v>
      </c>
      <c r="L279" s="17"/>
      <c r="M279" s="17"/>
    </row>
    <row r="280" spans="1:13" s="20" customFormat="1" x14ac:dyDescent="0.2">
      <c r="A280" s="10" t="s">
        <v>8</v>
      </c>
      <c r="B280" s="11" t="s">
        <v>9</v>
      </c>
      <c r="C280" s="75" t="s">
        <v>99</v>
      </c>
      <c r="D280" s="73">
        <v>7173266</v>
      </c>
      <c r="E280" s="72">
        <v>45446</v>
      </c>
      <c r="F280" s="12">
        <v>883.12</v>
      </c>
      <c r="G280" s="13" t="s">
        <v>673</v>
      </c>
      <c r="H280" s="14" t="s">
        <v>12</v>
      </c>
      <c r="I280" s="15" t="s">
        <v>13</v>
      </c>
      <c r="L280" s="17"/>
      <c r="M280" s="17"/>
    </row>
    <row r="281" spans="1:13" s="20" customFormat="1" x14ac:dyDescent="0.2">
      <c r="A281" s="10" t="s">
        <v>8</v>
      </c>
      <c r="B281" s="11" t="s">
        <v>9</v>
      </c>
      <c r="C281" s="75" t="s">
        <v>142</v>
      </c>
      <c r="D281" s="73">
        <v>7173522</v>
      </c>
      <c r="E281" s="72">
        <v>45448</v>
      </c>
      <c r="F281" s="12">
        <v>1764</v>
      </c>
      <c r="G281" s="13" t="s">
        <v>143</v>
      </c>
      <c r="H281" s="14" t="s">
        <v>16</v>
      </c>
      <c r="I281" s="15" t="s">
        <v>17</v>
      </c>
      <c r="L281" s="17"/>
      <c r="M281" s="17"/>
    </row>
    <row r="282" spans="1:13" s="20" customFormat="1" x14ac:dyDescent="0.2">
      <c r="A282" s="10" t="s">
        <v>8</v>
      </c>
      <c r="B282" s="11" t="s">
        <v>9</v>
      </c>
      <c r="C282" s="75" t="s">
        <v>753</v>
      </c>
      <c r="D282" s="73">
        <v>7174381</v>
      </c>
      <c r="E282" s="72">
        <v>45470</v>
      </c>
      <c r="F282" s="12">
        <v>1762.5</v>
      </c>
      <c r="G282" s="13" t="s">
        <v>158</v>
      </c>
      <c r="H282" s="14" t="s">
        <v>16</v>
      </c>
      <c r="I282" s="15" t="s">
        <v>17</v>
      </c>
      <c r="L282" s="17"/>
      <c r="M282" s="17"/>
    </row>
    <row r="283" spans="1:13" s="20" customFormat="1" x14ac:dyDescent="0.2">
      <c r="A283" s="10" t="s">
        <v>8</v>
      </c>
      <c r="B283" s="11" t="s">
        <v>9</v>
      </c>
      <c r="C283" s="75" t="s">
        <v>99</v>
      </c>
      <c r="D283" s="73">
        <v>7172422</v>
      </c>
      <c r="E283" s="72">
        <v>45446</v>
      </c>
      <c r="F283" s="12">
        <v>1759</v>
      </c>
      <c r="G283" s="13" t="s">
        <v>94</v>
      </c>
      <c r="H283" s="14" t="s">
        <v>16</v>
      </c>
      <c r="I283" s="15" t="s">
        <v>17</v>
      </c>
      <c r="L283" s="17"/>
      <c r="M283" s="17"/>
    </row>
    <row r="284" spans="1:13" s="20" customFormat="1" x14ac:dyDescent="0.2">
      <c r="A284" s="10" t="s">
        <v>8</v>
      </c>
      <c r="B284" s="11" t="s">
        <v>9</v>
      </c>
      <c r="C284" s="75" t="s">
        <v>608</v>
      </c>
      <c r="D284" s="73">
        <v>7173689</v>
      </c>
      <c r="E284" s="72">
        <v>45455</v>
      </c>
      <c r="F284" s="12">
        <v>1750</v>
      </c>
      <c r="G284" s="13" t="s">
        <v>138</v>
      </c>
      <c r="H284" s="14" t="s">
        <v>16</v>
      </c>
      <c r="I284" s="15" t="s">
        <v>17</v>
      </c>
      <c r="L284" s="17"/>
      <c r="M284" s="17"/>
    </row>
    <row r="285" spans="1:13" s="20" customFormat="1" x14ac:dyDescent="0.2">
      <c r="A285" s="10" t="s">
        <v>8</v>
      </c>
      <c r="B285" s="11" t="s">
        <v>9</v>
      </c>
      <c r="C285" s="75" t="s">
        <v>608</v>
      </c>
      <c r="D285" s="73">
        <v>7174083</v>
      </c>
      <c r="E285" s="72">
        <v>45462</v>
      </c>
      <c r="F285" s="12">
        <v>1750</v>
      </c>
      <c r="G285" s="13" t="s">
        <v>138</v>
      </c>
      <c r="H285" s="14" t="s">
        <v>16</v>
      </c>
      <c r="I285" s="15" t="s">
        <v>17</v>
      </c>
      <c r="L285" s="17"/>
      <c r="M285" s="17"/>
    </row>
    <row r="286" spans="1:13" s="20" customFormat="1" x14ac:dyDescent="0.2">
      <c r="A286" s="10" t="s">
        <v>8</v>
      </c>
      <c r="B286" s="11" t="s">
        <v>9</v>
      </c>
      <c r="C286" s="75" t="s">
        <v>142</v>
      </c>
      <c r="D286" s="73">
        <v>7173523</v>
      </c>
      <c r="E286" s="72">
        <v>45448</v>
      </c>
      <c r="F286" s="12">
        <v>1750</v>
      </c>
      <c r="G286" s="13" t="s">
        <v>143</v>
      </c>
      <c r="H286" s="14" t="s">
        <v>16</v>
      </c>
      <c r="I286" s="15" t="s">
        <v>17</v>
      </c>
      <c r="L286" s="17"/>
      <c r="M286" s="17"/>
    </row>
    <row r="287" spans="1:13" s="20" customFormat="1" x14ac:dyDescent="0.2">
      <c r="A287" s="10" t="s">
        <v>8</v>
      </c>
      <c r="B287" s="11" t="s">
        <v>9</v>
      </c>
      <c r="C287" s="75" t="s">
        <v>276</v>
      </c>
      <c r="D287" s="73">
        <v>7173657</v>
      </c>
      <c r="E287" s="72">
        <v>45456</v>
      </c>
      <c r="F287" s="12">
        <v>1744.61</v>
      </c>
      <c r="G287" s="13" t="s">
        <v>40</v>
      </c>
      <c r="H287" s="14" t="s">
        <v>16</v>
      </c>
      <c r="I287" s="15" t="s">
        <v>17</v>
      </c>
      <c r="L287" s="17"/>
      <c r="M287" s="17"/>
    </row>
    <row r="288" spans="1:13" s="20" customFormat="1" x14ac:dyDescent="0.2">
      <c r="A288" s="10" t="s">
        <v>8</v>
      </c>
      <c r="B288" s="11" t="s">
        <v>9</v>
      </c>
      <c r="C288" s="75" t="s">
        <v>276</v>
      </c>
      <c r="D288" s="73">
        <v>7173665</v>
      </c>
      <c r="E288" s="72">
        <v>45456</v>
      </c>
      <c r="F288" s="12">
        <v>1744.61</v>
      </c>
      <c r="G288" s="13" t="s">
        <v>40</v>
      </c>
      <c r="H288" s="14" t="s">
        <v>16</v>
      </c>
      <c r="I288" s="15" t="s">
        <v>17</v>
      </c>
      <c r="L288" s="17"/>
      <c r="M288" s="17"/>
    </row>
    <row r="289" spans="1:13" s="20" customFormat="1" x14ac:dyDescent="0.2">
      <c r="A289" s="10" t="s">
        <v>8</v>
      </c>
      <c r="B289" s="11" t="s">
        <v>9</v>
      </c>
      <c r="C289" s="75" t="s">
        <v>291</v>
      </c>
      <c r="D289" s="73">
        <v>7173007</v>
      </c>
      <c r="E289" s="72">
        <v>45448</v>
      </c>
      <c r="F289" s="12">
        <v>1739.39</v>
      </c>
      <c r="G289" s="13" t="s">
        <v>39</v>
      </c>
      <c r="H289" s="14" t="s">
        <v>16</v>
      </c>
      <c r="I289" s="15" t="s">
        <v>17</v>
      </c>
      <c r="L289" s="17"/>
      <c r="M289" s="17"/>
    </row>
    <row r="290" spans="1:13" s="20" customFormat="1" x14ac:dyDescent="0.2">
      <c r="A290" s="10" t="s">
        <v>8</v>
      </c>
      <c r="B290" s="11" t="s">
        <v>9</v>
      </c>
      <c r="C290" s="75" t="s">
        <v>260</v>
      </c>
      <c r="D290" s="73">
        <v>7173420</v>
      </c>
      <c r="E290" s="72">
        <v>45446</v>
      </c>
      <c r="F290" s="12">
        <v>1738.07</v>
      </c>
      <c r="G290" s="13" t="s">
        <v>261</v>
      </c>
      <c r="H290" s="14" t="s">
        <v>16</v>
      </c>
      <c r="I290" s="15" t="s">
        <v>17</v>
      </c>
      <c r="L290" s="17"/>
      <c r="M290" s="17"/>
    </row>
    <row r="291" spans="1:13" s="20" customFormat="1" x14ac:dyDescent="0.2">
      <c r="A291" s="10" t="s">
        <v>8</v>
      </c>
      <c r="B291" s="11" t="s">
        <v>9</v>
      </c>
      <c r="C291" s="75" t="s">
        <v>162</v>
      </c>
      <c r="D291" s="73">
        <v>7173350</v>
      </c>
      <c r="E291" s="72">
        <v>45446</v>
      </c>
      <c r="F291" s="12">
        <v>1735</v>
      </c>
      <c r="G291" s="13" t="s">
        <v>39</v>
      </c>
      <c r="H291" s="14" t="s">
        <v>16</v>
      </c>
      <c r="I291" s="15" t="s">
        <v>17</v>
      </c>
      <c r="L291" s="17"/>
      <c r="M291" s="17"/>
    </row>
    <row r="292" spans="1:13" s="20" customFormat="1" x14ac:dyDescent="0.2">
      <c r="A292" s="10" t="s">
        <v>8</v>
      </c>
      <c r="B292" s="11" t="s">
        <v>9</v>
      </c>
      <c r="C292" s="75" t="s">
        <v>283</v>
      </c>
      <c r="D292" s="73">
        <v>7173480</v>
      </c>
      <c r="E292" s="72">
        <v>45448</v>
      </c>
      <c r="F292" s="12">
        <v>1706.96</v>
      </c>
      <c r="G292" s="13" t="s">
        <v>40</v>
      </c>
      <c r="H292" s="14" t="s">
        <v>16</v>
      </c>
      <c r="I292" s="15" t="s">
        <v>17</v>
      </c>
      <c r="L292" s="17"/>
      <c r="M292" s="17"/>
    </row>
    <row r="293" spans="1:13" s="20" customFormat="1" x14ac:dyDescent="0.2">
      <c r="A293" s="10" t="s">
        <v>8</v>
      </c>
      <c r="B293" s="11" t="s">
        <v>9</v>
      </c>
      <c r="C293" s="75" t="s">
        <v>752</v>
      </c>
      <c r="D293" s="73">
        <v>7171014</v>
      </c>
      <c r="E293" s="72">
        <v>45456</v>
      </c>
      <c r="F293" s="12">
        <v>1700</v>
      </c>
      <c r="G293" s="13" t="s">
        <v>106</v>
      </c>
      <c r="H293" s="14" t="s">
        <v>16</v>
      </c>
      <c r="I293" s="15" t="s">
        <v>17</v>
      </c>
      <c r="L293" s="17"/>
      <c r="M293" s="17"/>
    </row>
    <row r="294" spans="1:13" x14ac:dyDescent="0.2">
      <c r="A294" s="10" t="s">
        <v>8</v>
      </c>
      <c r="B294" s="11" t="s">
        <v>9</v>
      </c>
      <c r="C294" s="75" t="s">
        <v>10</v>
      </c>
      <c r="D294" s="73">
        <v>7170954</v>
      </c>
      <c r="E294" s="72">
        <v>45457</v>
      </c>
      <c r="F294" s="12">
        <v>1696</v>
      </c>
      <c r="G294" s="13" t="s">
        <v>22</v>
      </c>
      <c r="H294" s="14" t="s">
        <v>16</v>
      </c>
      <c r="I294" s="15" t="s">
        <v>17</v>
      </c>
    </row>
    <row r="295" spans="1:13" x14ac:dyDescent="0.2">
      <c r="A295" s="10" t="s">
        <v>8</v>
      </c>
      <c r="B295" s="11" t="s">
        <v>9</v>
      </c>
      <c r="C295" s="75" t="s">
        <v>308</v>
      </c>
      <c r="D295" s="73">
        <v>7173823</v>
      </c>
      <c r="E295" s="72">
        <v>45455</v>
      </c>
      <c r="F295" s="12">
        <v>1679.04</v>
      </c>
      <c r="G295" s="13" t="s">
        <v>160</v>
      </c>
      <c r="H295" s="14" t="s">
        <v>16</v>
      </c>
      <c r="I295" s="15" t="s">
        <v>17</v>
      </c>
    </row>
    <row r="296" spans="1:13" x14ac:dyDescent="0.2">
      <c r="A296" s="10" t="s">
        <v>8</v>
      </c>
      <c r="B296" s="11" t="s">
        <v>9</v>
      </c>
      <c r="C296" s="75" t="s">
        <v>537</v>
      </c>
      <c r="D296" s="73">
        <v>7173250</v>
      </c>
      <c r="E296" s="72">
        <v>45450</v>
      </c>
      <c r="F296" s="18">
        <v>1665.81</v>
      </c>
      <c r="G296" s="19" t="s">
        <v>131</v>
      </c>
      <c r="H296" s="14" t="s">
        <v>16</v>
      </c>
      <c r="I296" s="15" t="s">
        <v>17</v>
      </c>
    </row>
    <row r="297" spans="1:13" x14ac:dyDescent="0.2">
      <c r="A297" s="10" t="s">
        <v>8</v>
      </c>
      <c r="B297" s="11" t="s">
        <v>9</v>
      </c>
      <c r="C297" s="75" t="s">
        <v>369</v>
      </c>
      <c r="D297" s="73">
        <v>7174451</v>
      </c>
      <c r="E297" s="72">
        <v>45471</v>
      </c>
      <c r="F297" s="12">
        <v>1650</v>
      </c>
      <c r="G297" s="13" t="s">
        <v>39</v>
      </c>
      <c r="H297" s="14" t="s">
        <v>16</v>
      </c>
      <c r="I297" s="15" t="s">
        <v>17</v>
      </c>
    </row>
    <row r="298" spans="1:13" x14ac:dyDescent="0.2">
      <c r="A298" s="10" t="s">
        <v>8</v>
      </c>
      <c r="B298" s="11" t="s">
        <v>9</v>
      </c>
      <c r="C298" s="75" t="s">
        <v>135</v>
      </c>
      <c r="D298" s="73">
        <v>7173406</v>
      </c>
      <c r="E298" s="72">
        <v>45446</v>
      </c>
      <c r="F298" s="12">
        <v>1649.1</v>
      </c>
      <c r="G298" s="13" t="s">
        <v>40</v>
      </c>
      <c r="H298" s="14" t="s">
        <v>16</v>
      </c>
      <c r="I298" s="15" t="s">
        <v>17</v>
      </c>
    </row>
    <row r="299" spans="1:13" x14ac:dyDescent="0.2">
      <c r="A299" s="10" t="s">
        <v>8</v>
      </c>
      <c r="B299" s="11" t="s">
        <v>9</v>
      </c>
      <c r="C299" s="75" t="s">
        <v>751</v>
      </c>
      <c r="D299" s="73">
        <v>7173516</v>
      </c>
      <c r="E299" s="72">
        <v>45450</v>
      </c>
      <c r="F299" s="12">
        <v>1605</v>
      </c>
      <c r="G299" s="13" t="s">
        <v>27</v>
      </c>
      <c r="H299" s="14" t="s">
        <v>16</v>
      </c>
      <c r="I299" s="15" t="s">
        <v>17</v>
      </c>
    </row>
    <row r="300" spans="1:13" x14ac:dyDescent="0.2">
      <c r="A300" s="10" t="s">
        <v>8</v>
      </c>
      <c r="B300" s="11" t="s">
        <v>9</v>
      </c>
      <c r="C300" s="75" t="s">
        <v>750</v>
      </c>
      <c r="D300" s="73">
        <v>7173390</v>
      </c>
      <c r="E300" s="72">
        <v>45456</v>
      </c>
      <c r="F300" s="12">
        <v>1551.55</v>
      </c>
      <c r="G300" s="13" t="s">
        <v>148</v>
      </c>
      <c r="H300" s="14" t="s">
        <v>16</v>
      </c>
      <c r="I300" s="15" t="s">
        <v>17</v>
      </c>
    </row>
    <row r="301" spans="1:13" x14ac:dyDescent="0.2">
      <c r="A301" s="10" t="s">
        <v>8</v>
      </c>
      <c r="B301" s="11" t="s">
        <v>9</v>
      </c>
      <c r="C301" s="75" t="s">
        <v>260</v>
      </c>
      <c r="D301" s="73">
        <v>7173546</v>
      </c>
      <c r="E301" s="72">
        <v>45449</v>
      </c>
      <c r="F301" s="12">
        <v>1542.85</v>
      </c>
      <c r="G301" s="13" t="s">
        <v>261</v>
      </c>
      <c r="H301" s="14" t="s">
        <v>16</v>
      </c>
      <c r="I301" s="15" t="s">
        <v>17</v>
      </c>
    </row>
    <row r="302" spans="1:13" x14ac:dyDescent="0.2">
      <c r="A302" s="10" t="s">
        <v>8</v>
      </c>
      <c r="B302" s="11" t="s">
        <v>9</v>
      </c>
      <c r="C302" s="75" t="s">
        <v>749</v>
      </c>
      <c r="D302" s="73">
        <v>7173553</v>
      </c>
      <c r="E302" s="72">
        <v>45449</v>
      </c>
      <c r="F302" s="12">
        <v>1531.08</v>
      </c>
      <c r="G302" s="13" t="s">
        <v>91</v>
      </c>
      <c r="H302" s="14" t="s">
        <v>16</v>
      </c>
      <c r="I302" s="15" t="s">
        <v>17</v>
      </c>
    </row>
    <row r="303" spans="1:13" x14ac:dyDescent="0.2">
      <c r="A303" s="10" t="s">
        <v>8</v>
      </c>
      <c r="B303" s="11" t="s">
        <v>9</v>
      </c>
      <c r="C303" s="75" t="s">
        <v>748</v>
      </c>
      <c r="D303" s="73">
        <v>7172964</v>
      </c>
      <c r="E303" s="72">
        <v>45463</v>
      </c>
      <c r="F303" s="12">
        <v>1521.95</v>
      </c>
      <c r="G303" s="13" t="s">
        <v>94</v>
      </c>
      <c r="H303" s="14" t="s">
        <v>16</v>
      </c>
      <c r="I303" s="15" t="s">
        <v>17</v>
      </c>
    </row>
    <row r="304" spans="1:13" x14ac:dyDescent="0.2">
      <c r="A304" s="10" t="s">
        <v>8</v>
      </c>
      <c r="B304" s="11" t="s">
        <v>9</v>
      </c>
      <c r="C304" s="75" t="s">
        <v>418</v>
      </c>
      <c r="D304" s="73">
        <v>7173990</v>
      </c>
      <c r="E304" s="72">
        <v>45461</v>
      </c>
      <c r="F304" s="12">
        <v>1499</v>
      </c>
      <c r="G304" s="13" t="s">
        <v>155</v>
      </c>
      <c r="H304" s="14" t="s">
        <v>16</v>
      </c>
      <c r="I304" s="15" t="s">
        <v>17</v>
      </c>
    </row>
    <row r="305" spans="1:9" x14ac:dyDescent="0.2">
      <c r="A305" s="10" t="s">
        <v>8</v>
      </c>
      <c r="B305" s="11" t="s">
        <v>9</v>
      </c>
      <c r="C305" s="75" t="s">
        <v>74</v>
      </c>
      <c r="D305" s="73">
        <v>7173261</v>
      </c>
      <c r="E305" s="72">
        <v>45468</v>
      </c>
      <c r="F305" s="12">
        <v>1498.24</v>
      </c>
      <c r="G305" s="13" t="s">
        <v>75</v>
      </c>
      <c r="H305" s="14" t="s">
        <v>16</v>
      </c>
      <c r="I305" s="15" t="s">
        <v>17</v>
      </c>
    </row>
    <row r="306" spans="1:9" x14ac:dyDescent="0.2">
      <c r="A306" s="10" t="s">
        <v>8</v>
      </c>
      <c r="B306" s="11" t="s">
        <v>9</v>
      </c>
      <c r="C306" s="75" t="s">
        <v>181</v>
      </c>
      <c r="D306" s="73">
        <v>7173369</v>
      </c>
      <c r="E306" s="72">
        <v>45446</v>
      </c>
      <c r="F306" s="12">
        <v>1473.36</v>
      </c>
      <c r="G306" s="13" t="s">
        <v>106</v>
      </c>
      <c r="H306" s="14" t="s">
        <v>16</v>
      </c>
      <c r="I306" s="15" t="s">
        <v>17</v>
      </c>
    </row>
    <row r="307" spans="1:9" x14ac:dyDescent="0.2">
      <c r="A307" s="10" t="s">
        <v>8</v>
      </c>
      <c r="B307" s="11" t="s">
        <v>9</v>
      </c>
      <c r="C307" s="75" t="s">
        <v>266</v>
      </c>
      <c r="D307" s="73">
        <v>7173940</v>
      </c>
      <c r="E307" s="72">
        <v>45462</v>
      </c>
      <c r="F307" s="12">
        <v>1466.83</v>
      </c>
      <c r="G307" s="13" t="s">
        <v>209</v>
      </c>
      <c r="H307" s="14" t="s">
        <v>16</v>
      </c>
      <c r="I307" s="15" t="s">
        <v>17</v>
      </c>
    </row>
    <row r="308" spans="1:9" x14ac:dyDescent="0.2">
      <c r="A308" s="10" t="s">
        <v>8</v>
      </c>
      <c r="B308" s="11" t="s">
        <v>9</v>
      </c>
      <c r="C308" s="75" t="s">
        <v>74</v>
      </c>
      <c r="D308" s="73">
        <v>7173405</v>
      </c>
      <c r="E308" s="72">
        <v>45446</v>
      </c>
      <c r="F308" s="12">
        <v>1459.38</v>
      </c>
      <c r="G308" s="13" t="s">
        <v>148</v>
      </c>
      <c r="H308" s="14" t="s">
        <v>16</v>
      </c>
      <c r="I308" s="15" t="s">
        <v>17</v>
      </c>
    </row>
    <row r="309" spans="1:9" x14ac:dyDescent="0.2">
      <c r="A309" s="10" t="s">
        <v>8</v>
      </c>
      <c r="B309" s="11" t="s">
        <v>9</v>
      </c>
      <c r="C309" s="75" t="s">
        <v>163</v>
      </c>
      <c r="D309" s="73">
        <v>7173526</v>
      </c>
      <c r="E309" s="72">
        <v>45448</v>
      </c>
      <c r="F309" s="12">
        <v>210</v>
      </c>
      <c r="G309" s="13" t="s">
        <v>45</v>
      </c>
      <c r="H309" s="14" t="s">
        <v>12</v>
      </c>
      <c r="I309" s="15" t="s">
        <v>13</v>
      </c>
    </row>
    <row r="310" spans="1:9" x14ac:dyDescent="0.2">
      <c r="A310" s="10" t="s">
        <v>8</v>
      </c>
      <c r="B310" s="11" t="s">
        <v>9</v>
      </c>
      <c r="C310" s="75" t="s">
        <v>163</v>
      </c>
      <c r="D310" s="73">
        <v>7173526</v>
      </c>
      <c r="E310" s="72">
        <v>45448</v>
      </c>
      <c r="F310" s="12">
        <v>1227</v>
      </c>
      <c r="G310" s="13" t="s">
        <v>81</v>
      </c>
      <c r="H310" s="14" t="s">
        <v>16</v>
      </c>
      <c r="I310" s="15" t="s">
        <v>17</v>
      </c>
    </row>
    <row r="311" spans="1:9" x14ac:dyDescent="0.2">
      <c r="A311" s="10" t="s">
        <v>8</v>
      </c>
      <c r="B311" s="11" t="s">
        <v>9</v>
      </c>
      <c r="C311" s="75" t="s">
        <v>412</v>
      </c>
      <c r="D311" s="73">
        <v>7173656</v>
      </c>
      <c r="E311" s="72">
        <v>45450</v>
      </c>
      <c r="F311" s="12">
        <v>1412.83</v>
      </c>
      <c r="G311" s="13" t="s">
        <v>388</v>
      </c>
      <c r="H311" s="14" t="s">
        <v>16</v>
      </c>
      <c r="I311" s="15" t="s">
        <v>17</v>
      </c>
    </row>
    <row r="312" spans="1:9" x14ac:dyDescent="0.2">
      <c r="A312" s="10" t="s">
        <v>8</v>
      </c>
      <c r="B312" s="11" t="s">
        <v>9</v>
      </c>
      <c r="C312" s="75" t="s">
        <v>608</v>
      </c>
      <c r="D312" s="73">
        <v>7173424</v>
      </c>
      <c r="E312" s="72">
        <v>45448</v>
      </c>
      <c r="F312" s="12">
        <v>1400</v>
      </c>
      <c r="G312" s="13" t="s">
        <v>138</v>
      </c>
      <c r="H312" s="14" t="s">
        <v>16</v>
      </c>
      <c r="I312" s="15" t="s">
        <v>17</v>
      </c>
    </row>
    <row r="313" spans="1:9" x14ac:dyDescent="0.2">
      <c r="A313" s="10" t="s">
        <v>8</v>
      </c>
      <c r="B313" s="11" t="s">
        <v>9</v>
      </c>
      <c r="C313" s="75" t="s">
        <v>369</v>
      </c>
      <c r="D313" s="73">
        <v>7174446</v>
      </c>
      <c r="E313" s="72">
        <v>45471</v>
      </c>
      <c r="F313" s="12">
        <v>1400</v>
      </c>
      <c r="G313" s="13" t="s">
        <v>39</v>
      </c>
      <c r="H313" s="14" t="s">
        <v>16</v>
      </c>
      <c r="I313" s="15" t="s">
        <v>17</v>
      </c>
    </row>
    <row r="314" spans="1:9" x14ac:dyDescent="0.2">
      <c r="A314" s="10" t="s">
        <v>8</v>
      </c>
      <c r="B314" s="11" t="s">
        <v>9</v>
      </c>
      <c r="C314" s="75" t="s">
        <v>240</v>
      </c>
      <c r="D314" s="73">
        <v>7174007</v>
      </c>
      <c r="E314" s="72">
        <v>45461</v>
      </c>
      <c r="F314" s="12">
        <v>1383.2</v>
      </c>
      <c r="G314" s="13" t="s">
        <v>241</v>
      </c>
      <c r="H314" s="14" t="s">
        <v>16</v>
      </c>
      <c r="I314" s="15" t="s">
        <v>17</v>
      </c>
    </row>
    <row r="315" spans="1:9" x14ac:dyDescent="0.2">
      <c r="A315" s="10" t="s">
        <v>8</v>
      </c>
      <c r="B315" s="11" t="s">
        <v>9</v>
      </c>
      <c r="C315" s="75" t="s">
        <v>747</v>
      </c>
      <c r="D315" s="73">
        <v>7173996</v>
      </c>
      <c r="E315" s="72">
        <v>45460</v>
      </c>
      <c r="F315" s="12">
        <v>1380</v>
      </c>
      <c r="G315" s="13" t="s">
        <v>345</v>
      </c>
      <c r="H315" s="14" t="s">
        <v>16</v>
      </c>
      <c r="I315" s="15" t="s">
        <v>17</v>
      </c>
    </row>
    <row r="316" spans="1:9" x14ac:dyDescent="0.2">
      <c r="A316" s="10" t="s">
        <v>8</v>
      </c>
      <c r="B316" s="11" t="s">
        <v>9</v>
      </c>
      <c r="C316" s="75" t="s">
        <v>291</v>
      </c>
      <c r="D316" s="73">
        <v>7173008</v>
      </c>
      <c r="E316" s="72">
        <v>45448</v>
      </c>
      <c r="F316" s="12">
        <v>1366.27</v>
      </c>
      <c r="G316" s="13" t="s">
        <v>39</v>
      </c>
      <c r="H316" s="14" t="s">
        <v>16</v>
      </c>
      <c r="I316" s="15" t="s">
        <v>17</v>
      </c>
    </row>
    <row r="317" spans="1:9" x14ac:dyDescent="0.2">
      <c r="A317" s="10" t="s">
        <v>8</v>
      </c>
      <c r="B317" s="11" t="s">
        <v>9</v>
      </c>
      <c r="C317" s="75" t="s">
        <v>256</v>
      </c>
      <c r="D317" s="73">
        <v>7173952</v>
      </c>
      <c r="E317" s="72">
        <v>45467</v>
      </c>
      <c r="F317" s="12">
        <v>1359.28</v>
      </c>
      <c r="G317" s="13" t="s">
        <v>155</v>
      </c>
      <c r="H317" s="14" t="s">
        <v>16</v>
      </c>
      <c r="I317" s="15" t="s">
        <v>17</v>
      </c>
    </row>
    <row r="318" spans="1:9" x14ac:dyDescent="0.2">
      <c r="A318" s="10" t="s">
        <v>8</v>
      </c>
      <c r="B318" s="11" t="s">
        <v>9</v>
      </c>
      <c r="C318" s="75" t="s">
        <v>161</v>
      </c>
      <c r="D318" s="73">
        <v>7173236</v>
      </c>
      <c r="E318" s="72">
        <v>45448</v>
      </c>
      <c r="F318" s="12">
        <v>1356</v>
      </c>
      <c r="G318" s="13" t="s">
        <v>75</v>
      </c>
      <c r="H318" s="14" t="s">
        <v>16</v>
      </c>
      <c r="I318" s="15" t="s">
        <v>17</v>
      </c>
    </row>
    <row r="319" spans="1:9" x14ac:dyDescent="0.2">
      <c r="A319" s="10" t="s">
        <v>8</v>
      </c>
      <c r="B319" s="11" t="s">
        <v>9</v>
      </c>
      <c r="C319" s="75" t="s">
        <v>30</v>
      </c>
      <c r="D319" s="73">
        <v>7173485</v>
      </c>
      <c r="E319" s="72">
        <v>45447</v>
      </c>
      <c r="F319" s="12">
        <v>1354.7</v>
      </c>
      <c r="G319" s="13" t="s">
        <v>31</v>
      </c>
      <c r="H319" s="14" t="s">
        <v>16</v>
      </c>
      <c r="I319" s="15" t="s">
        <v>17</v>
      </c>
    </row>
    <row r="320" spans="1:9" x14ac:dyDescent="0.2">
      <c r="A320" s="10" t="s">
        <v>8</v>
      </c>
      <c r="B320" s="11" t="s">
        <v>9</v>
      </c>
      <c r="C320" s="75" t="s">
        <v>369</v>
      </c>
      <c r="D320" s="73">
        <v>7174423</v>
      </c>
      <c r="E320" s="72">
        <v>45471</v>
      </c>
      <c r="F320" s="12">
        <v>1350</v>
      </c>
      <c r="G320" s="13" t="s">
        <v>39</v>
      </c>
      <c r="H320" s="14" t="s">
        <v>16</v>
      </c>
      <c r="I320" s="15" t="s">
        <v>17</v>
      </c>
    </row>
    <row r="321" spans="1:9" x14ac:dyDescent="0.2">
      <c r="A321" s="10" t="s">
        <v>8</v>
      </c>
      <c r="B321" s="11" t="s">
        <v>9</v>
      </c>
      <c r="C321" s="75" t="s">
        <v>746</v>
      </c>
      <c r="D321" s="73">
        <v>7173078</v>
      </c>
      <c r="E321" s="72">
        <v>45456</v>
      </c>
      <c r="F321" s="12">
        <v>1350</v>
      </c>
      <c r="G321" s="13" t="s">
        <v>131</v>
      </c>
      <c r="H321" s="14" t="s">
        <v>16</v>
      </c>
      <c r="I321" s="15" t="s">
        <v>17</v>
      </c>
    </row>
    <row r="322" spans="1:9" x14ac:dyDescent="0.2">
      <c r="A322" s="10" t="s">
        <v>8</v>
      </c>
      <c r="B322" s="11" t="s">
        <v>9</v>
      </c>
      <c r="C322" s="75" t="s">
        <v>419</v>
      </c>
      <c r="D322" s="73">
        <v>7173644</v>
      </c>
      <c r="E322" s="72">
        <v>45450</v>
      </c>
      <c r="F322" s="12">
        <v>1337.5</v>
      </c>
      <c r="G322" s="13" t="s">
        <v>22</v>
      </c>
      <c r="H322" s="14" t="s">
        <v>16</v>
      </c>
      <c r="I322" s="15" t="s">
        <v>17</v>
      </c>
    </row>
    <row r="323" spans="1:9" x14ac:dyDescent="0.2">
      <c r="A323" s="10" t="s">
        <v>8</v>
      </c>
      <c r="B323" s="11" t="s">
        <v>9</v>
      </c>
      <c r="C323" s="75" t="s">
        <v>419</v>
      </c>
      <c r="D323" s="73">
        <v>7173643</v>
      </c>
      <c r="E323" s="72">
        <v>45450</v>
      </c>
      <c r="F323" s="12">
        <v>1337.5</v>
      </c>
      <c r="G323" s="13" t="s">
        <v>22</v>
      </c>
      <c r="H323" s="14" t="s">
        <v>16</v>
      </c>
      <c r="I323" s="15" t="s">
        <v>17</v>
      </c>
    </row>
    <row r="324" spans="1:9" x14ac:dyDescent="0.2">
      <c r="A324" s="10" t="s">
        <v>8</v>
      </c>
      <c r="B324" s="11" t="s">
        <v>9</v>
      </c>
      <c r="C324" s="75" t="s">
        <v>366</v>
      </c>
      <c r="D324" s="73">
        <v>7172806</v>
      </c>
      <c r="E324" s="72">
        <v>45450</v>
      </c>
      <c r="F324" s="12">
        <v>1317.58</v>
      </c>
      <c r="G324" s="13" t="s">
        <v>155</v>
      </c>
      <c r="H324" s="14" t="s">
        <v>16</v>
      </c>
      <c r="I324" s="15" t="s">
        <v>17</v>
      </c>
    </row>
    <row r="325" spans="1:9" x14ac:dyDescent="0.2">
      <c r="A325" s="10" t="s">
        <v>8</v>
      </c>
      <c r="B325" s="11" t="s">
        <v>9</v>
      </c>
      <c r="C325" s="75" t="s">
        <v>202</v>
      </c>
      <c r="D325" s="73">
        <v>7173934</v>
      </c>
      <c r="E325" s="72">
        <v>45457</v>
      </c>
      <c r="F325" s="12">
        <v>1305.5999999999999</v>
      </c>
      <c r="G325" s="13" t="s">
        <v>203</v>
      </c>
      <c r="H325" s="14" t="s">
        <v>16</v>
      </c>
      <c r="I325" s="15" t="s">
        <v>17</v>
      </c>
    </row>
    <row r="326" spans="1:9" x14ac:dyDescent="0.2">
      <c r="A326" s="10" t="s">
        <v>8</v>
      </c>
      <c r="B326" s="11" t="s">
        <v>9</v>
      </c>
      <c r="C326" s="75" t="s">
        <v>262</v>
      </c>
      <c r="D326" s="73">
        <v>7173434</v>
      </c>
      <c r="E326" s="72">
        <v>45446</v>
      </c>
      <c r="F326" s="18">
        <v>1300</v>
      </c>
      <c r="G326" s="19" t="s">
        <v>263</v>
      </c>
      <c r="H326" s="14" t="s">
        <v>16</v>
      </c>
      <c r="I326" s="15" t="s">
        <v>17</v>
      </c>
    </row>
    <row r="327" spans="1:9" x14ac:dyDescent="0.2">
      <c r="A327" s="10" t="s">
        <v>8</v>
      </c>
      <c r="B327" s="11" t="s">
        <v>9</v>
      </c>
      <c r="C327" s="75" t="s">
        <v>393</v>
      </c>
      <c r="D327" s="73">
        <v>7173967</v>
      </c>
      <c r="E327" s="72">
        <v>45461</v>
      </c>
      <c r="F327" s="12">
        <v>1296.97</v>
      </c>
      <c r="G327" s="13" t="s">
        <v>131</v>
      </c>
      <c r="H327" s="14" t="s">
        <v>16</v>
      </c>
      <c r="I327" s="15" t="s">
        <v>17</v>
      </c>
    </row>
    <row r="328" spans="1:9" x14ac:dyDescent="0.2">
      <c r="A328" s="10" t="s">
        <v>8</v>
      </c>
      <c r="B328" s="11" t="s">
        <v>9</v>
      </c>
      <c r="C328" s="75" t="s">
        <v>260</v>
      </c>
      <c r="D328" s="73">
        <v>7174361</v>
      </c>
      <c r="E328" s="72">
        <v>45469</v>
      </c>
      <c r="F328" s="12">
        <v>1295.17</v>
      </c>
      <c r="G328" s="13" t="s">
        <v>261</v>
      </c>
      <c r="H328" s="14" t="s">
        <v>16</v>
      </c>
      <c r="I328" s="15" t="s">
        <v>17</v>
      </c>
    </row>
    <row r="329" spans="1:9" x14ac:dyDescent="0.2">
      <c r="A329" s="10" t="s">
        <v>8</v>
      </c>
      <c r="B329" s="11" t="s">
        <v>9</v>
      </c>
      <c r="C329" s="75" t="s">
        <v>745</v>
      </c>
      <c r="D329" s="73">
        <v>7173493</v>
      </c>
      <c r="E329" s="72">
        <v>45447</v>
      </c>
      <c r="F329" s="12">
        <v>1279.8</v>
      </c>
      <c r="G329" s="13" t="s">
        <v>94</v>
      </c>
      <c r="H329" s="14" t="s">
        <v>16</v>
      </c>
      <c r="I329" s="15" t="s">
        <v>17</v>
      </c>
    </row>
    <row r="330" spans="1:9" x14ac:dyDescent="0.2">
      <c r="A330" s="10" t="s">
        <v>8</v>
      </c>
      <c r="B330" s="11" t="s">
        <v>9</v>
      </c>
      <c r="C330" s="75" t="s">
        <v>202</v>
      </c>
      <c r="D330" s="73">
        <v>7173429</v>
      </c>
      <c r="E330" s="72">
        <v>45446</v>
      </c>
      <c r="F330" s="12">
        <v>1278</v>
      </c>
      <c r="G330" s="13" t="s">
        <v>203</v>
      </c>
      <c r="H330" s="14" t="s">
        <v>16</v>
      </c>
      <c r="I330" s="15" t="s">
        <v>17</v>
      </c>
    </row>
    <row r="331" spans="1:9" x14ac:dyDescent="0.2">
      <c r="A331" s="10" t="s">
        <v>8</v>
      </c>
      <c r="B331" s="11" t="s">
        <v>9</v>
      </c>
      <c r="C331" s="77" t="s">
        <v>252</v>
      </c>
      <c r="D331" s="73">
        <v>7173735</v>
      </c>
      <c r="E331" s="72">
        <v>45454</v>
      </c>
      <c r="F331" s="12">
        <v>1268.8</v>
      </c>
      <c r="G331" s="13" t="s">
        <v>148</v>
      </c>
      <c r="H331" s="14" t="s">
        <v>16</v>
      </c>
      <c r="I331" s="15" t="s">
        <v>17</v>
      </c>
    </row>
    <row r="332" spans="1:9" x14ac:dyDescent="0.2">
      <c r="A332" s="10" t="s">
        <v>8</v>
      </c>
      <c r="B332" s="11" t="s">
        <v>9</v>
      </c>
      <c r="C332" s="75" t="s">
        <v>691</v>
      </c>
      <c r="D332" s="73">
        <v>7173601</v>
      </c>
      <c r="E332" s="72">
        <v>45454</v>
      </c>
      <c r="F332" s="12">
        <v>1260</v>
      </c>
      <c r="G332" s="13" t="s">
        <v>138</v>
      </c>
      <c r="H332" s="14" t="s">
        <v>16</v>
      </c>
      <c r="I332" s="15" t="s">
        <v>17</v>
      </c>
    </row>
    <row r="333" spans="1:9" x14ac:dyDescent="0.2">
      <c r="A333" s="10" t="s">
        <v>8</v>
      </c>
      <c r="B333" s="11" t="s">
        <v>9</v>
      </c>
      <c r="C333" s="75" t="s">
        <v>691</v>
      </c>
      <c r="D333" s="73">
        <v>7173845</v>
      </c>
      <c r="E333" s="72">
        <v>45457</v>
      </c>
      <c r="F333" s="12">
        <v>1260</v>
      </c>
      <c r="G333" s="13" t="s">
        <v>138</v>
      </c>
      <c r="H333" s="14" t="s">
        <v>16</v>
      </c>
      <c r="I333" s="15" t="s">
        <v>17</v>
      </c>
    </row>
    <row r="334" spans="1:9" x14ac:dyDescent="0.2">
      <c r="A334" s="10" t="s">
        <v>8</v>
      </c>
      <c r="B334" s="11" t="s">
        <v>9</v>
      </c>
      <c r="C334" s="75" t="s">
        <v>691</v>
      </c>
      <c r="D334" s="73">
        <v>7173847</v>
      </c>
      <c r="E334" s="72">
        <v>45457</v>
      </c>
      <c r="F334" s="12">
        <v>1260</v>
      </c>
      <c r="G334" s="13" t="s">
        <v>138</v>
      </c>
      <c r="H334" s="14" t="s">
        <v>16</v>
      </c>
      <c r="I334" s="15" t="s">
        <v>17</v>
      </c>
    </row>
    <row r="335" spans="1:9" x14ac:dyDescent="0.2">
      <c r="A335" s="10" t="s">
        <v>8</v>
      </c>
      <c r="B335" s="11" t="s">
        <v>9</v>
      </c>
      <c r="C335" s="75" t="s">
        <v>175</v>
      </c>
      <c r="D335" s="73">
        <v>7173796</v>
      </c>
      <c r="E335" s="72">
        <v>45454</v>
      </c>
      <c r="F335" s="12">
        <v>1250</v>
      </c>
      <c r="G335" s="13" t="s">
        <v>22</v>
      </c>
      <c r="H335" s="14" t="s">
        <v>16</v>
      </c>
      <c r="I335" s="15" t="s">
        <v>17</v>
      </c>
    </row>
    <row r="336" spans="1:9" x14ac:dyDescent="0.2">
      <c r="A336" s="10" t="s">
        <v>8</v>
      </c>
      <c r="B336" s="11" t="s">
        <v>9</v>
      </c>
      <c r="C336" s="75" t="s">
        <v>454</v>
      </c>
      <c r="D336" s="73">
        <v>7174029</v>
      </c>
      <c r="E336" s="72">
        <v>45461</v>
      </c>
      <c r="F336" s="12">
        <v>1238.28</v>
      </c>
      <c r="G336" s="13" t="s">
        <v>38</v>
      </c>
      <c r="H336" s="14" t="s">
        <v>16</v>
      </c>
      <c r="I336" s="15" t="s">
        <v>17</v>
      </c>
    </row>
    <row r="337" spans="1:9" x14ac:dyDescent="0.2">
      <c r="A337" s="10" t="s">
        <v>8</v>
      </c>
      <c r="B337" s="11" t="s">
        <v>9</v>
      </c>
      <c r="C337" s="75" t="s">
        <v>172</v>
      </c>
      <c r="D337" s="73">
        <v>7174215</v>
      </c>
      <c r="E337" s="72">
        <v>45464</v>
      </c>
      <c r="F337" s="12">
        <v>1236.26</v>
      </c>
      <c r="G337" s="13" t="s">
        <v>39</v>
      </c>
      <c r="H337" s="14" t="s">
        <v>16</v>
      </c>
      <c r="I337" s="15" t="s">
        <v>17</v>
      </c>
    </row>
    <row r="338" spans="1:9" x14ac:dyDescent="0.2">
      <c r="A338" s="10" t="s">
        <v>8</v>
      </c>
      <c r="B338" s="11" t="s">
        <v>9</v>
      </c>
      <c r="C338" s="75" t="s">
        <v>744</v>
      </c>
      <c r="D338" s="73">
        <v>7173908</v>
      </c>
      <c r="E338" s="72">
        <v>45461</v>
      </c>
      <c r="F338" s="12">
        <v>1235</v>
      </c>
      <c r="G338" s="13" t="s">
        <v>39</v>
      </c>
      <c r="H338" s="14" t="s">
        <v>16</v>
      </c>
      <c r="I338" s="15" t="s">
        <v>17</v>
      </c>
    </row>
    <row r="339" spans="1:9" x14ac:dyDescent="0.2">
      <c r="A339" s="10" t="s">
        <v>8</v>
      </c>
      <c r="B339" s="11" t="s">
        <v>9</v>
      </c>
      <c r="C339" s="75" t="s">
        <v>447</v>
      </c>
      <c r="D339" s="73">
        <v>7173915</v>
      </c>
      <c r="E339" s="72">
        <v>45467</v>
      </c>
      <c r="F339" s="12">
        <v>1200</v>
      </c>
      <c r="G339" s="13" t="s">
        <v>98</v>
      </c>
      <c r="H339" s="14" t="s">
        <v>16</v>
      </c>
      <c r="I339" s="15" t="s">
        <v>17</v>
      </c>
    </row>
    <row r="340" spans="1:9" x14ac:dyDescent="0.2">
      <c r="A340" s="10" t="s">
        <v>8</v>
      </c>
      <c r="B340" s="11" t="s">
        <v>9</v>
      </c>
      <c r="C340" s="75" t="s">
        <v>329</v>
      </c>
      <c r="D340" s="73">
        <v>7173691</v>
      </c>
      <c r="E340" s="72">
        <v>45453</v>
      </c>
      <c r="F340" s="12">
        <v>1187.9000000000001</v>
      </c>
      <c r="G340" s="13" t="s">
        <v>330</v>
      </c>
      <c r="H340" s="14" t="s">
        <v>16</v>
      </c>
      <c r="I340" s="15" t="s">
        <v>17</v>
      </c>
    </row>
    <row r="341" spans="1:9" x14ac:dyDescent="0.2">
      <c r="A341" s="10" t="s">
        <v>8</v>
      </c>
      <c r="B341" s="11" t="s">
        <v>9</v>
      </c>
      <c r="C341" s="75" t="s">
        <v>432</v>
      </c>
      <c r="D341" s="73">
        <v>7173884</v>
      </c>
      <c r="E341" s="72">
        <v>45467</v>
      </c>
      <c r="F341" s="12">
        <v>1160</v>
      </c>
      <c r="G341" s="13" t="s">
        <v>22</v>
      </c>
      <c r="H341" s="14" t="s">
        <v>16</v>
      </c>
      <c r="I341" s="15" t="s">
        <v>17</v>
      </c>
    </row>
    <row r="342" spans="1:9" x14ac:dyDescent="0.2">
      <c r="A342" s="10" t="s">
        <v>8</v>
      </c>
      <c r="B342" s="11" t="s">
        <v>9</v>
      </c>
      <c r="C342" s="75" t="s">
        <v>721</v>
      </c>
      <c r="D342" s="73">
        <v>7173768</v>
      </c>
      <c r="E342" s="72">
        <v>45454</v>
      </c>
      <c r="F342" s="12">
        <v>1156.5</v>
      </c>
      <c r="G342" s="13" t="s">
        <v>22</v>
      </c>
      <c r="H342" s="14" t="s">
        <v>16</v>
      </c>
      <c r="I342" s="15" t="s">
        <v>17</v>
      </c>
    </row>
    <row r="343" spans="1:9" x14ac:dyDescent="0.2">
      <c r="A343" s="10" t="s">
        <v>8</v>
      </c>
      <c r="B343" s="11" t="s">
        <v>9</v>
      </c>
      <c r="C343" s="75" t="s">
        <v>461</v>
      </c>
      <c r="D343" s="73">
        <v>7174278</v>
      </c>
      <c r="E343" s="72">
        <v>45468</v>
      </c>
      <c r="F343" s="12">
        <v>1130.8</v>
      </c>
      <c r="G343" s="13" t="s">
        <v>251</v>
      </c>
      <c r="H343" s="14" t="s">
        <v>16</v>
      </c>
      <c r="I343" s="15" t="s">
        <v>17</v>
      </c>
    </row>
    <row r="344" spans="1:9" x14ac:dyDescent="0.2">
      <c r="A344" s="10" t="s">
        <v>8</v>
      </c>
      <c r="B344" s="11" t="s">
        <v>9</v>
      </c>
      <c r="C344" s="75" t="s">
        <v>260</v>
      </c>
      <c r="D344" s="73">
        <v>7173383</v>
      </c>
      <c r="E344" s="72">
        <v>45448</v>
      </c>
      <c r="F344" s="12">
        <v>1121.0600000000002</v>
      </c>
      <c r="G344" s="13" t="s">
        <v>261</v>
      </c>
      <c r="H344" s="14" t="s">
        <v>16</v>
      </c>
      <c r="I344" s="15" t="s">
        <v>17</v>
      </c>
    </row>
    <row r="345" spans="1:9" x14ac:dyDescent="0.2">
      <c r="A345" s="10" t="s">
        <v>8</v>
      </c>
      <c r="B345" s="11" t="s">
        <v>9</v>
      </c>
      <c r="C345" s="75" t="s">
        <v>281</v>
      </c>
      <c r="D345" s="73">
        <v>7173525</v>
      </c>
      <c r="E345" s="72">
        <v>45450</v>
      </c>
      <c r="F345" s="12">
        <v>1113.3</v>
      </c>
      <c r="G345" s="13" t="s">
        <v>209</v>
      </c>
      <c r="H345" s="14" t="s">
        <v>16</v>
      </c>
      <c r="I345" s="15" t="s">
        <v>17</v>
      </c>
    </row>
    <row r="346" spans="1:9" x14ac:dyDescent="0.2">
      <c r="A346" s="10" t="s">
        <v>8</v>
      </c>
      <c r="B346" s="11" t="s">
        <v>9</v>
      </c>
      <c r="C346" s="75" t="s">
        <v>181</v>
      </c>
      <c r="D346" s="73">
        <v>7173743</v>
      </c>
      <c r="E346" s="72">
        <v>45456</v>
      </c>
      <c r="F346" s="12">
        <v>1095.5</v>
      </c>
      <c r="G346" s="13" t="s">
        <v>106</v>
      </c>
      <c r="H346" s="14" t="s">
        <v>16</v>
      </c>
      <c r="I346" s="15" t="s">
        <v>17</v>
      </c>
    </row>
    <row r="347" spans="1:9" x14ac:dyDescent="0.2">
      <c r="A347" s="10" t="s">
        <v>8</v>
      </c>
      <c r="B347" s="11" t="s">
        <v>9</v>
      </c>
      <c r="C347" s="75" t="s">
        <v>302</v>
      </c>
      <c r="D347" s="73">
        <v>7173603</v>
      </c>
      <c r="E347" s="72">
        <v>45450</v>
      </c>
      <c r="F347" s="12">
        <v>1084.6199999999999</v>
      </c>
      <c r="G347" s="13" t="s">
        <v>131</v>
      </c>
      <c r="H347" s="14" t="s">
        <v>16</v>
      </c>
      <c r="I347" s="15" t="s">
        <v>17</v>
      </c>
    </row>
    <row r="348" spans="1:9" x14ac:dyDescent="0.2">
      <c r="A348" s="10" t="s">
        <v>8</v>
      </c>
      <c r="B348" s="11" t="s">
        <v>9</v>
      </c>
      <c r="C348" s="75" t="s">
        <v>181</v>
      </c>
      <c r="D348" s="73">
        <v>7174167</v>
      </c>
      <c r="E348" s="72">
        <v>45467</v>
      </c>
      <c r="F348" s="12">
        <v>1081.68</v>
      </c>
      <c r="G348" s="13" t="s">
        <v>106</v>
      </c>
      <c r="H348" s="14" t="s">
        <v>16</v>
      </c>
      <c r="I348" s="15" t="s">
        <v>17</v>
      </c>
    </row>
    <row r="349" spans="1:9" x14ac:dyDescent="0.2">
      <c r="A349" s="10" t="s">
        <v>8</v>
      </c>
      <c r="B349" s="11" t="s">
        <v>9</v>
      </c>
      <c r="C349" s="75" t="s">
        <v>377</v>
      </c>
      <c r="D349" s="73">
        <v>7174090</v>
      </c>
      <c r="E349" s="72">
        <v>45463</v>
      </c>
      <c r="F349" s="12">
        <v>1080</v>
      </c>
      <c r="G349" s="13" t="s">
        <v>376</v>
      </c>
      <c r="H349" s="14" t="s">
        <v>16</v>
      </c>
      <c r="I349" s="15" t="s">
        <v>17</v>
      </c>
    </row>
    <row r="350" spans="1:9" x14ac:dyDescent="0.2">
      <c r="A350" s="10" t="s">
        <v>8</v>
      </c>
      <c r="B350" s="11" t="s">
        <v>9</v>
      </c>
      <c r="C350" s="75" t="s">
        <v>419</v>
      </c>
      <c r="D350" s="73">
        <v>7173640</v>
      </c>
      <c r="E350" s="72">
        <v>45450</v>
      </c>
      <c r="F350" s="12">
        <v>1070</v>
      </c>
      <c r="G350" s="13" t="s">
        <v>22</v>
      </c>
      <c r="H350" s="14" t="s">
        <v>16</v>
      </c>
      <c r="I350" s="15" t="s">
        <v>17</v>
      </c>
    </row>
    <row r="351" spans="1:9" x14ac:dyDescent="0.2">
      <c r="A351" s="10" t="s">
        <v>8</v>
      </c>
      <c r="B351" s="11" t="s">
        <v>9</v>
      </c>
      <c r="C351" s="75" t="s">
        <v>181</v>
      </c>
      <c r="D351" s="73">
        <v>7170998</v>
      </c>
      <c r="E351" s="72">
        <v>45456</v>
      </c>
      <c r="F351" s="12">
        <v>1054.5</v>
      </c>
      <c r="G351" s="13" t="s">
        <v>106</v>
      </c>
      <c r="H351" s="14" t="s">
        <v>16</v>
      </c>
      <c r="I351" s="15" t="s">
        <v>17</v>
      </c>
    </row>
    <row r="352" spans="1:9" x14ac:dyDescent="0.2">
      <c r="A352" s="10" t="s">
        <v>8</v>
      </c>
      <c r="B352" s="11" t="s">
        <v>9</v>
      </c>
      <c r="C352" s="75" t="s">
        <v>743</v>
      </c>
      <c r="D352" s="73">
        <v>7173579</v>
      </c>
      <c r="E352" s="72">
        <v>45450</v>
      </c>
      <c r="F352" s="12">
        <v>1050</v>
      </c>
      <c r="G352" s="13" t="s">
        <v>66</v>
      </c>
      <c r="H352" s="14" t="s">
        <v>16</v>
      </c>
      <c r="I352" s="15" t="s">
        <v>17</v>
      </c>
    </row>
    <row r="353" spans="1:13" x14ac:dyDescent="0.2">
      <c r="A353" s="10" t="s">
        <v>8</v>
      </c>
      <c r="B353" s="11" t="s">
        <v>9</v>
      </c>
      <c r="C353" s="75" t="s">
        <v>608</v>
      </c>
      <c r="D353" s="73">
        <v>7174376</v>
      </c>
      <c r="E353" s="72">
        <v>45469</v>
      </c>
      <c r="F353" s="12">
        <v>1050</v>
      </c>
      <c r="G353" s="13" t="s">
        <v>138</v>
      </c>
      <c r="H353" s="14" t="s">
        <v>16</v>
      </c>
      <c r="I353" s="15" t="s">
        <v>17</v>
      </c>
    </row>
    <row r="354" spans="1:13" x14ac:dyDescent="0.2">
      <c r="A354" s="10" t="s">
        <v>8</v>
      </c>
      <c r="B354" s="11" t="s">
        <v>9</v>
      </c>
      <c r="C354" s="75" t="s">
        <v>260</v>
      </c>
      <c r="D354" s="73">
        <v>7172300</v>
      </c>
      <c r="E354" s="72">
        <v>45446</v>
      </c>
      <c r="F354" s="12">
        <v>1041.05</v>
      </c>
      <c r="G354" s="13" t="s">
        <v>261</v>
      </c>
      <c r="H354" s="14" t="s">
        <v>16</v>
      </c>
      <c r="I354" s="15" t="s">
        <v>17</v>
      </c>
    </row>
    <row r="355" spans="1:13" x14ac:dyDescent="0.2">
      <c r="A355" s="10" t="s">
        <v>8</v>
      </c>
      <c r="B355" s="11" t="s">
        <v>9</v>
      </c>
      <c r="C355" s="75" t="s">
        <v>231</v>
      </c>
      <c r="D355" s="73">
        <v>7173606</v>
      </c>
      <c r="E355" s="72">
        <v>45453</v>
      </c>
      <c r="F355" s="12">
        <v>1024.95</v>
      </c>
      <c r="G355" s="13" t="s">
        <v>22</v>
      </c>
      <c r="H355" s="14" t="s">
        <v>16</v>
      </c>
      <c r="I355" s="15" t="s">
        <v>17</v>
      </c>
    </row>
    <row r="356" spans="1:13" x14ac:dyDescent="0.2">
      <c r="A356" s="10" t="s">
        <v>8</v>
      </c>
      <c r="B356" s="11" t="s">
        <v>9</v>
      </c>
      <c r="C356" s="75" t="s">
        <v>219</v>
      </c>
      <c r="D356" s="73">
        <v>7173443</v>
      </c>
      <c r="E356" s="72">
        <v>45446</v>
      </c>
      <c r="F356" s="12">
        <v>1024.25</v>
      </c>
      <c r="G356" s="13" t="s">
        <v>220</v>
      </c>
      <c r="H356" s="14" t="s">
        <v>16</v>
      </c>
      <c r="I356" s="15" t="s">
        <v>17</v>
      </c>
    </row>
    <row r="357" spans="1:13" x14ac:dyDescent="0.2">
      <c r="A357" s="10" t="s">
        <v>8</v>
      </c>
      <c r="B357" s="11" t="s">
        <v>9</v>
      </c>
      <c r="C357" s="75" t="s">
        <v>260</v>
      </c>
      <c r="D357" s="73">
        <v>7172584</v>
      </c>
      <c r="E357" s="72">
        <v>45446</v>
      </c>
      <c r="F357" s="12">
        <v>1013.3599999999999</v>
      </c>
      <c r="G357" s="13" t="s">
        <v>261</v>
      </c>
      <c r="H357" s="14" t="s">
        <v>16</v>
      </c>
      <c r="I357" s="15" t="s">
        <v>17</v>
      </c>
    </row>
    <row r="358" spans="1:13" x14ac:dyDescent="0.2">
      <c r="A358" s="10" t="s">
        <v>8</v>
      </c>
      <c r="B358" s="11" t="s">
        <v>9</v>
      </c>
      <c r="C358" s="75" t="s">
        <v>222</v>
      </c>
      <c r="D358" s="73">
        <v>7173759</v>
      </c>
      <c r="E358" s="72">
        <v>45462</v>
      </c>
      <c r="F358" s="12">
        <v>1010.25</v>
      </c>
      <c r="G358" s="13" t="s">
        <v>22</v>
      </c>
      <c r="H358" s="14" t="s">
        <v>16</v>
      </c>
      <c r="I358" s="15" t="s">
        <v>17</v>
      </c>
    </row>
    <row r="359" spans="1:13" x14ac:dyDescent="0.2">
      <c r="A359" s="10" t="s">
        <v>8</v>
      </c>
      <c r="B359" s="11" t="s">
        <v>9</v>
      </c>
      <c r="C359" s="75" t="s">
        <v>149</v>
      </c>
      <c r="D359" s="73">
        <v>7174338</v>
      </c>
      <c r="E359" s="72">
        <v>45470</v>
      </c>
      <c r="F359" s="12">
        <v>1000.02</v>
      </c>
      <c r="G359" s="13" t="s">
        <v>138</v>
      </c>
      <c r="H359" s="14" t="s">
        <v>16</v>
      </c>
      <c r="I359" s="15" t="s">
        <v>17</v>
      </c>
    </row>
    <row r="360" spans="1:13" x14ac:dyDescent="0.2">
      <c r="A360" s="10" t="s">
        <v>8</v>
      </c>
      <c r="B360" s="11" t="s">
        <v>9</v>
      </c>
      <c r="C360" s="75" t="s">
        <v>193</v>
      </c>
      <c r="D360" s="73">
        <v>7174164</v>
      </c>
      <c r="E360" s="72">
        <v>45467</v>
      </c>
      <c r="F360" s="12">
        <v>1000</v>
      </c>
      <c r="G360" s="13" t="s">
        <v>22</v>
      </c>
      <c r="H360" s="14" t="s">
        <v>12</v>
      </c>
      <c r="I360" s="15" t="s">
        <v>13</v>
      </c>
    </row>
    <row r="361" spans="1:13" x14ac:dyDescent="0.2">
      <c r="A361" s="10" t="s">
        <v>8</v>
      </c>
      <c r="B361" s="11" t="s">
        <v>9</v>
      </c>
      <c r="C361" s="75" t="s">
        <v>742</v>
      </c>
      <c r="D361" s="73">
        <v>7174004</v>
      </c>
      <c r="E361" s="72">
        <v>45461</v>
      </c>
      <c r="F361" s="12">
        <v>1000</v>
      </c>
      <c r="G361" s="13" t="s">
        <v>106</v>
      </c>
      <c r="H361" s="14" t="s">
        <v>12</v>
      </c>
      <c r="I361" s="15" t="s">
        <v>13</v>
      </c>
    </row>
    <row r="362" spans="1:13" x14ac:dyDescent="0.2">
      <c r="A362" s="10" t="s">
        <v>8</v>
      </c>
      <c r="B362" s="11" t="s">
        <v>9</v>
      </c>
      <c r="C362" s="75" t="s">
        <v>367</v>
      </c>
      <c r="D362" s="73">
        <v>7173961</v>
      </c>
      <c r="E362" s="72">
        <v>45462</v>
      </c>
      <c r="F362" s="12">
        <v>978</v>
      </c>
      <c r="G362" s="13" t="s">
        <v>259</v>
      </c>
      <c r="H362" s="14" t="s">
        <v>12</v>
      </c>
      <c r="I362" s="15" t="s">
        <v>13</v>
      </c>
    </row>
    <row r="363" spans="1:13" x14ac:dyDescent="0.2">
      <c r="A363" s="10" t="s">
        <v>8</v>
      </c>
      <c r="B363" s="11" t="s">
        <v>9</v>
      </c>
      <c r="C363" s="75" t="s">
        <v>231</v>
      </c>
      <c r="D363" s="73">
        <v>7173850</v>
      </c>
      <c r="E363" s="72">
        <v>45456</v>
      </c>
      <c r="F363" s="12">
        <v>975</v>
      </c>
      <c r="G363" s="13" t="s">
        <v>22</v>
      </c>
      <c r="H363" s="14" t="s">
        <v>12</v>
      </c>
      <c r="I363" s="15" t="s">
        <v>13</v>
      </c>
    </row>
    <row r="364" spans="1:13" x14ac:dyDescent="0.2">
      <c r="A364" s="10" t="s">
        <v>8</v>
      </c>
      <c r="B364" s="11" t="s">
        <v>9</v>
      </c>
      <c r="C364" s="75" t="s">
        <v>214</v>
      </c>
      <c r="D364" s="73">
        <v>7173752</v>
      </c>
      <c r="E364" s="72">
        <v>45457</v>
      </c>
      <c r="F364" s="12">
        <v>975</v>
      </c>
      <c r="G364" s="13" t="s">
        <v>22</v>
      </c>
      <c r="H364" s="14" t="s">
        <v>12</v>
      </c>
      <c r="I364" s="15" t="s">
        <v>13</v>
      </c>
    </row>
    <row r="365" spans="1:13" x14ac:dyDescent="0.2">
      <c r="A365" s="10" t="s">
        <v>8</v>
      </c>
      <c r="B365" s="11" t="s">
        <v>9</v>
      </c>
      <c r="C365" s="75" t="s">
        <v>256</v>
      </c>
      <c r="D365" s="73">
        <v>7174264</v>
      </c>
      <c r="E365" s="72">
        <v>45467</v>
      </c>
      <c r="F365" s="12">
        <v>971.3</v>
      </c>
      <c r="G365" s="13" t="s">
        <v>131</v>
      </c>
      <c r="H365" s="14" t="s">
        <v>12</v>
      </c>
      <c r="I365" s="15" t="s">
        <v>13</v>
      </c>
    </row>
    <row r="366" spans="1:13" x14ac:dyDescent="0.2">
      <c r="A366" s="10" t="s">
        <v>8</v>
      </c>
      <c r="B366" s="11" t="s">
        <v>9</v>
      </c>
      <c r="C366" s="75" t="s">
        <v>368</v>
      </c>
      <c r="D366" s="73">
        <v>7174059</v>
      </c>
      <c r="E366" s="72">
        <v>45462</v>
      </c>
      <c r="F366" s="12">
        <v>970</v>
      </c>
      <c r="G366" s="13" t="s">
        <v>38</v>
      </c>
      <c r="H366" s="14" t="s">
        <v>12</v>
      </c>
      <c r="I366" s="15" t="s">
        <v>13</v>
      </c>
    </row>
    <row r="367" spans="1:13" s="20" customFormat="1" x14ac:dyDescent="0.2">
      <c r="A367" s="10" t="s">
        <v>8</v>
      </c>
      <c r="B367" s="11" t="s">
        <v>9</v>
      </c>
      <c r="C367" s="75" t="s">
        <v>741</v>
      </c>
      <c r="D367" s="73">
        <v>7173471</v>
      </c>
      <c r="E367" s="72">
        <v>45447</v>
      </c>
      <c r="F367" s="12">
        <v>967</v>
      </c>
      <c r="G367" s="13" t="s">
        <v>131</v>
      </c>
      <c r="H367" s="14" t="s">
        <v>12</v>
      </c>
      <c r="I367" s="15" t="s">
        <v>13</v>
      </c>
      <c r="L367" s="17"/>
      <c r="M367" s="17"/>
    </row>
    <row r="368" spans="1:13" s="20" customFormat="1" x14ac:dyDescent="0.2">
      <c r="A368" s="10" t="s">
        <v>8</v>
      </c>
      <c r="B368" s="11" t="s">
        <v>9</v>
      </c>
      <c r="C368" s="75" t="s">
        <v>740</v>
      </c>
      <c r="D368" s="73">
        <v>7173933</v>
      </c>
      <c r="E368" s="72">
        <v>45461</v>
      </c>
      <c r="F368" s="12">
        <v>956.8</v>
      </c>
      <c r="G368" s="13" t="s">
        <v>155</v>
      </c>
      <c r="H368" s="14" t="s">
        <v>12</v>
      </c>
      <c r="I368" s="15" t="s">
        <v>13</v>
      </c>
      <c r="L368" s="17"/>
      <c r="M368" s="17"/>
    </row>
    <row r="369" spans="1:13" s="20" customFormat="1" x14ac:dyDescent="0.2">
      <c r="A369" s="10" t="s">
        <v>8</v>
      </c>
      <c r="B369" s="11" t="s">
        <v>9</v>
      </c>
      <c r="C369" s="75" t="s">
        <v>172</v>
      </c>
      <c r="D369" s="73">
        <v>7173156</v>
      </c>
      <c r="E369" s="72">
        <v>45448</v>
      </c>
      <c r="F369" s="12">
        <v>955.1</v>
      </c>
      <c r="G369" s="13" t="s">
        <v>39</v>
      </c>
      <c r="H369" s="14" t="s">
        <v>12</v>
      </c>
      <c r="I369" s="15" t="s">
        <v>13</v>
      </c>
      <c r="L369" s="17"/>
      <c r="M369" s="17"/>
    </row>
    <row r="370" spans="1:13" s="20" customFormat="1" x14ac:dyDescent="0.2">
      <c r="A370" s="10" t="s">
        <v>8</v>
      </c>
      <c r="B370" s="11" t="s">
        <v>9</v>
      </c>
      <c r="C370" s="75" t="s">
        <v>396</v>
      </c>
      <c r="D370" s="73">
        <v>7173515</v>
      </c>
      <c r="E370" s="72">
        <v>45448</v>
      </c>
      <c r="F370" s="12">
        <v>950</v>
      </c>
      <c r="G370" s="13" t="s">
        <v>22</v>
      </c>
      <c r="H370" s="14" t="s">
        <v>12</v>
      </c>
      <c r="I370" s="15" t="s">
        <v>13</v>
      </c>
      <c r="L370" s="17"/>
      <c r="M370" s="17"/>
    </row>
    <row r="371" spans="1:13" s="20" customFormat="1" x14ac:dyDescent="0.2">
      <c r="A371" s="10" t="s">
        <v>8</v>
      </c>
      <c r="B371" s="11" t="s">
        <v>9</v>
      </c>
      <c r="C371" s="75" t="s">
        <v>314</v>
      </c>
      <c r="D371" s="73">
        <v>7173565</v>
      </c>
      <c r="E371" s="72">
        <v>45450</v>
      </c>
      <c r="F371" s="12">
        <v>939.88</v>
      </c>
      <c r="G371" s="13" t="s">
        <v>315</v>
      </c>
      <c r="H371" s="14" t="s">
        <v>12</v>
      </c>
      <c r="I371" s="15" t="s">
        <v>13</v>
      </c>
      <c r="L371" s="17"/>
      <c r="M371" s="17"/>
    </row>
    <row r="372" spans="1:13" s="20" customFormat="1" x14ac:dyDescent="0.2">
      <c r="A372" s="10" t="s">
        <v>8</v>
      </c>
      <c r="B372" s="11" t="s">
        <v>9</v>
      </c>
      <c r="C372" s="75" t="s">
        <v>260</v>
      </c>
      <c r="D372" s="73">
        <v>7174172</v>
      </c>
      <c r="E372" s="72">
        <v>45464</v>
      </c>
      <c r="F372" s="12">
        <v>936.75</v>
      </c>
      <c r="G372" s="13" t="s">
        <v>261</v>
      </c>
      <c r="H372" s="14" t="s">
        <v>12</v>
      </c>
      <c r="I372" s="15" t="s">
        <v>13</v>
      </c>
      <c r="L372" s="17"/>
      <c r="M372" s="17"/>
    </row>
    <row r="373" spans="1:13" s="20" customFormat="1" x14ac:dyDescent="0.2">
      <c r="A373" s="10" t="s">
        <v>8</v>
      </c>
      <c r="B373" s="11" t="s">
        <v>9</v>
      </c>
      <c r="C373" s="75" t="s">
        <v>200</v>
      </c>
      <c r="D373" s="73">
        <v>7173875</v>
      </c>
      <c r="E373" s="72">
        <v>45461</v>
      </c>
      <c r="F373" s="12">
        <v>923</v>
      </c>
      <c r="G373" s="13" t="s">
        <v>38</v>
      </c>
      <c r="H373" s="14" t="s">
        <v>12</v>
      </c>
      <c r="I373" s="15" t="s">
        <v>13</v>
      </c>
      <c r="L373" s="17"/>
      <c r="M373" s="17"/>
    </row>
    <row r="374" spans="1:13" s="20" customFormat="1" x14ac:dyDescent="0.2">
      <c r="A374" s="10" t="s">
        <v>8</v>
      </c>
      <c r="B374" s="11" t="s">
        <v>9</v>
      </c>
      <c r="C374" s="75" t="s">
        <v>308</v>
      </c>
      <c r="D374" s="73">
        <v>7173825</v>
      </c>
      <c r="E374" s="72">
        <v>45455</v>
      </c>
      <c r="F374" s="12">
        <v>904.78</v>
      </c>
      <c r="G374" s="13" t="s">
        <v>160</v>
      </c>
      <c r="H374" s="14" t="s">
        <v>12</v>
      </c>
      <c r="I374" s="15" t="s">
        <v>13</v>
      </c>
      <c r="L374" s="17"/>
      <c r="M374" s="17"/>
    </row>
    <row r="375" spans="1:13" s="20" customFormat="1" x14ac:dyDescent="0.2">
      <c r="A375" s="10" t="s">
        <v>8</v>
      </c>
      <c r="B375" s="11" t="s">
        <v>9</v>
      </c>
      <c r="C375" s="75" t="s">
        <v>297</v>
      </c>
      <c r="D375" s="73">
        <v>7173325</v>
      </c>
      <c r="E375" s="72">
        <v>45457</v>
      </c>
      <c r="F375" s="12">
        <v>900</v>
      </c>
      <c r="G375" s="13" t="s">
        <v>298</v>
      </c>
      <c r="H375" s="14" t="s">
        <v>12</v>
      </c>
      <c r="I375" s="15" t="s">
        <v>13</v>
      </c>
      <c r="L375" s="17"/>
      <c r="M375" s="17"/>
    </row>
    <row r="376" spans="1:13" s="20" customFormat="1" x14ac:dyDescent="0.2">
      <c r="A376" s="10" t="s">
        <v>8</v>
      </c>
      <c r="B376" s="11" t="s">
        <v>9</v>
      </c>
      <c r="C376" s="75" t="s">
        <v>739</v>
      </c>
      <c r="D376" s="73">
        <v>7173290</v>
      </c>
      <c r="E376" s="72">
        <v>45446</v>
      </c>
      <c r="F376" s="12">
        <v>900</v>
      </c>
      <c r="G376" s="13" t="s">
        <v>673</v>
      </c>
      <c r="H376" s="14" t="s">
        <v>12</v>
      </c>
      <c r="I376" s="15" t="s">
        <v>13</v>
      </c>
      <c r="L376" s="17"/>
      <c r="M376" s="17"/>
    </row>
    <row r="377" spans="1:13" s="20" customFormat="1" x14ac:dyDescent="0.2">
      <c r="A377" s="10" t="s">
        <v>8</v>
      </c>
      <c r="B377" s="11" t="s">
        <v>9</v>
      </c>
      <c r="C377" s="75" t="s">
        <v>284</v>
      </c>
      <c r="D377" s="73">
        <v>7173954</v>
      </c>
      <c r="E377" s="72">
        <v>45460</v>
      </c>
      <c r="F377" s="12">
        <v>894.4</v>
      </c>
      <c r="G377" s="13" t="s">
        <v>131</v>
      </c>
      <c r="H377" s="14" t="s">
        <v>12</v>
      </c>
      <c r="I377" s="15" t="s">
        <v>13</v>
      </c>
      <c r="L377" s="17"/>
      <c r="M377" s="17"/>
    </row>
    <row r="378" spans="1:13" s="20" customFormat="1" x14ac:dyDescent="0.2">
      <c r="A378" s="10" t="s">
        <v>8</v>
      </c>
      <c r="B378" s="11" t="s">
        <v>9</v>
      </c>
      <c r="C378" s="75" t="s">
        <v>738</v>
      </c>
      <c r="D378" s="73">
        <v>7172863</v>
      </c>
      <c r="E378" s="72">
        <v>45446</v>
      </c>
      <c r="F378" s="12">
        <v>875</v>
      </c>
      <c r="G378" s="13" t="s">
        <v>27</v>
      </c>
      <c r="H378" s="14" t="s">
        <v>12</v>
      </c>
      <c r="I378" s="15" t="s">
        <v>13</v>
      </c>
      <c r="L378" s="17"/>
      <c r="M378" s="17"/>
    </row>
    <row r="379" spans="1:13" s="20" customFormat="1" x14ac:dyDescent="0.2">
      <c r="A379" s="10" t="s">
        <v>8</v>
      </c>
      <c r="B379" s="11" t="s">
        <v>9</v>
      </c>
      <c r="C379" s="75" t="s">
        <v>737</v>
      </c>
      <c r="D379" s="73">
        <v>7173212</v>
      </c>
      <c r="E379" s="72">
        <v>45448</v>
      </c>
      <c r="F379" s="12">
        <v>869.75</v>
      </c>
      <c r="G379" s="13" t="s">
        <v>27</v>
      </c>
      <c r="H379" s="14" t="s">
        <v>12</v>
      </c>
      <c r="I379" s="15" t="s">
        <v>13</v>
      </c>
      <c r="L379" s="17"/>
      <c r="M379" s="17"/>
    </row>
    <row r="380" spans="1:13" s="20" customFormat="1" x14ac:dyDescent="0.2">
      <c r="A380" s="10" t="s">
        <v>8</v>
      </c>
      <c r="B380" s="11" t="s">
        <v>9</v>
      </c>
      <c r="C380" s="75" t="s">
        <v>411</v>
      </c>
      <c r="D380" s="73">
        <v>7172545</v>
      </c>
      <c r="E380" s="72">
        <v>45446</v>
      </c>
      <c r="F380" s="12">
        <v>343</v>
      </c>
      <c r="G380" s="13" t="s">
        <v>131</v>
      </c>
      <c r="H380" s="14" t="s">
        <v>12</v>
      </c>
      <c r="I380" s="15" t="s">
        <v>13</v>
      </c>
      <c r="L380" s="17"/>
      <c r="M380" s="17"/>
    </row>
    <row r="381" spans="1:13" s="20" customFormat="1" x14ac:dyDescent="0.2">
      <c r="A381" s="10" t="s">
        <v>8</v>
      </c>
      <c r="B381" s="11" t="s">
        <v>9</v>
      </c>
      <c r="C381" s="75" t="s">
        <v>411</v>
      </c>
      <c r="D381" s="73">
        <v>7172545</v>
      </c>
      <c r="E381" s="72">
        <v>45446</v>
      </c>
      <c r="F381" s="12">
        <v>388.38</v>
      </c>
      <c r="G381" s="13" t="s">
        <v>156</v>
      </c>
      <c r="H381" s="14" t="s">
        <v>12</v>
      </c>
      <c r="I381" s="15" t="s">
        <v>13</v>
      </c>
      <c r="L381" s="17"/>
      <c r="M381" s="17"/>
    </row>
    <row r="382" spans="1:13" s="20" customFormat="1" x14ac:dyDescent="0.2">
      <c r="A382" s="10" t="s">
        <v>8</v>
      </c>
      <c r="B382" s="11" t="s">
        <v>9</v>
      </c>
      <c r="C382" s="75" t="s">
        <v>411</v>
      </c>
      <c r="D382" s="73">
        <v>7172545</v>
      </c>
      <c r="E382" s="72">
        <v>45446</v>
      </c>
      <c r="F382" s="12">
        <v>135.1</v>
      </c>
      <c r="G382" s="13" t="s">
        <v>42</v>
      </c>
      <c r="H382" s="14" t="s">
        <v>12</v>
      </c>
      <c r="I382" s="15" t="s">
        <v>13</v>
      </c>
      <c r="L382" s="17"/>
      <c r="M382" s="17"/>
    </row>
    <row r="383" spans="1:13" x14ac:dyDescent="0.2">
      <c r="A383" s="10" t="s">
        <v>8</v>
      </c>
      <c r="B383" s="11" t="s">
        <v>9</v>
      </c>
      <c r="C383" s="75" t="s">
        <v>332</v>
      </c>
      <c r="D383" s="73">
        <v>7173423</v>
      </c>
      <c r="E383" s="72">
        <v>45447</v>
      </c>
      <c r="F383" s="12">
        <v>866.28</v>
      </c>
      <c r="G383" s="13" t="s">
        <v>131</v>
      </c>
      <c r="H383" s="14" t="s">
        <v>12</v>
      </c>
      <c r="I383" s="15" t="s">
        <v>13</v>
      </c>
    </row>
    <row r="384" spans="1:13" x14ac:dyDescent="0.2">
      <c r="A384" s="10" t="s">
        <v>8</v>
      </c>
      <c r="B384" s="11" t="s">
        <v>9</v>
      </c>
      <c r="C384" s="75" t="s">
        <v>10</v>
      </c>
      <c r="D384" s="73">
        <v>7171481</v>
      </c>
      <c r="E384" s="72">
        <v>45450</v>
      </c>
      <c r="F384" s="12">
        <v>858</v>
      </c>
      <c r="G384" s="13" t="s">
        <v>22</v>
      </c>
      <c r="H384" s="14" t="s">
        <v>12</v>
      </c>
      <c r="I384" s="15" t="s">
        <v>13</v>
      </c>
    </row>
    <row r="385" spans="1:13" x14ac:dyDescent="0.2">
      <c r="A385" s="10" t="s">
        <v>8</v>
      </c>
      <c r="B385" s="11" t="s">
        <v>9</v>
      </c>
      <c r="C385" s="75" t="s">
        <v>68</v>
      </c>
      <c r="D385" s="73">
        <v>7173786</v>
      </c>
      <c r="E385" s="72">
        <v>45454</v>
      </c>
      <c r="F385" s="12">
        <v>850</v>
      </c>
      <c r="G385" s="13" t="s">
        <v>43</v>
      </c>
      <c r="H385" s="14" t="s">
        <v>12</v>
      </c>
      <c r="I385" s="15" t="s">
        <v>13</v>
      </c>
    </row>
    <row r="386" spans="1:13" x14ac:dyDescent="0.2">
      <c r="A386" s="10" t="s">
        <v>8</v>
      </c>
      <c r="B386" s="11" t="s">
        <v>9</v>
      </c>
      <c r="C386" s="75" t="s">
        <v>304</v>
      </c>
      <c r="D386" s="73">
        <v>7174019</v>
      </c>
      <c r="E386" s="72">
        <v>45462</v>
      </c>
      <c r="F386" s="12">
        <v>848.5</v>
      </c>
      <c r="G386" s="13" t="s">
        <v>155</v>
      </c>
      <c r="H386" s="14" t="s">
        <v>12</v>
      </c>
      <c r="I386" s="15" t="s">
        <v>13</v>
      </c>
    </row>
    <row r="387" spans="1:13" x14ac:dyDescent="0.2">
      <c r="A387" s="10" t="s">
        <v>8</v>
      </c>
      <c r="B387" s="11" t="s">
        <v>9</v>
      </c>
      <c r="C387" s="75" t="s">
        <v>385</v>
      </c>
      <c r="D387" s="73">
        <v>7173742</v>
      </c>
      <c r="E387" s="72">
        <v>45457</v>
      </c>
      <c r="F387" s="12">
        <v>842.5</v>
      </c>
      <c r="G387" s="13" t="s">
        <v>91</v>
      </c>
      <c r="H387" s="14" t="s">
        <v>12</v>
      </c>
      <c r="I387" s="15" t="s">
        <v>13</v>
      </c>
    </row>
    <row r="388" spans="1:13" x14ac:dyDescent="0.2">
      <c r="A388" s="10" t="s">
        <v>8</v>
      </c>
      <c r="B388" s="11" t="s">
        <v>9</v>
      </c>
      <c r="C388" s="75" t="s">
        <v>256</v>
      </c>
      <c r="D388" s="73">
        <v>7173445</v>
      </c>
      <c r="E388" s="72">
        <v>45446</v>
      </c>
      <c r="F388" s="12">
        <v>841.5</v>
      </c>
      <c r="G388" s="13" t="s">
        <v>155</v>
      </c>
      <c r="H388" s="14" t="s">
        <v>12</v>
      </c>
      <c r="I388" s="15" t="s">
        <v>13</v>
      </c>
    </row>
    <row r="389" spans="1:13" x14ac:dyDescent="0.2">
      <c r="A389" s="10" t="s">
        <v>8</v>
      </c>
      <c r="B389" s="11" t="s">
        <v>9</v>
      </c>
      <c r="C389" s="75" t="s">
        <v>316</v>
      </c>
      <c r="D389" s="73">
        <v>7174397</v>
      </c>
      <c r="E389" s="72">
        <v>45470</v>
      </c>
      <c r="F389" s="12">
        <v>837</v>
      </c>
      <c r="G389" s="13" t="s">
        <v>241</v>
      </c>
      <c r="H389" s="14" t="s">
        <v>12</v>
      </c>
      <c r="I389" s="15" t="s">
        <v>13</v>
      </c>
    </row>
    <row r="390" spans="1:13" x14ac:dyDescent="0.2">
      <c r="A390" s="10" t="s">
        <v>8</v>
      </c>
      <c r="B390" s="11" t="s">
        <v>9</v>
      </c>
      <c r="C390" s="75" t="s">
        <v>316</v>
      </c>
      <c r="D390" s="73">
        <v>7173346</v>
      </c>
      <c r="E390" s="72">
        <v>45446</v>
      </c>
      <c r="F390" s="12">
        <v>837</v>
      </c>
      <c r="G390" s="13" t="s">
        <v>241</v>
      </c>
      <c r="H390" s="14" t="s">
        <v>12</v>
      </c>
      <c r="I390" s="15" t="s">
        <v>13</v>
      </c>
    </row>
    <row r="391" spans="1:13" x14ac:dyDescent="0.2">
      <c r="A391" s="10" t="s">
        <v>8</v>
      </c>
      <c r="B391" s="11" t="s">
        <v>9</v>
      </c>
      <c r="C391" s="75" t="s">
        <v>256</v>
      </c>
      <c r="D391" s="73">
        <v>7174231</v>
      </c>
      <c r="E391" s="72">
        <v>45467</v>
      </c>
      <c r="F391" s="12">
        <v>836.04</v>
      </c>
      <c r="G391" s="13" t="s">
        <v>155</v>
      </c>
      <c r="H391" s="14" t="s">
        <v>12</v>
      </c>
      <c r="I391" s="15" t="s">
        <v>13</v>
      </c>
    </row>
    <row r="392" spans="1:13" x14ac:dyDescent="0.2">
      <c r="A392" s="10" t="s">
        <v>8</v>
      </c>
      <c r="B392" s="11" t="s">
        <v>9</v>
      </c>
      <c r="C392" s="75" t="s">
        <v>74</v>
      </c>
      <c r="D392" s="73">
        <v>7174119</v>
      </c>
      <c r="E392" s="72">
        <v>45463</v>
      </c>
      <c r="F392" s="12">
        <v>834</v>
      </c>
      <c r="G392" s="13" t="s">
        <v>131</v>
      </c>
      <c r="H392" s="14" t="s">
        <v>12</v>
      </c>
      <c r="I392" s="15" t="s">
        <v>13</v>
      </c>
    </row>
    <row r="393" spans="1:13" x14ac:dyDescent="0.2">
      <c r="A393" s="10" t="s">
        <v>8</v>
      </c>
      <c r="B393" s="11" t="s">
        <v>9</v>
      </c>
      <c r="C393" s="75" t="s">
        <v>736</v>
      </c>
      <c r="D393" s="73">
        <v>7173068</v>
      </c>
      <c r="E393" s="72">
        <v>45461</v>
      </c>
      <c r="F393" s="12">
        <v>833.33</v>
      </c>
      <c r="G393" s="13" t="s">
        <v>729</v>
      </c>
      <c r="H393" s="14" t="s">
        <v>12</v>
      </c>
      <c r="I393" s="15" t="s">
        <v>13</v>
      </c>
    </row>
    <row r="394" spans="1:13" x14ac:dyDescent="0.2">
      <c r="A394" s="10" t="s">
        <v>8</v>
      </c>
      <c r="B394" s="11" t="s">
        <v>9</v>
      </c>
      <c r="C394" s="75" t="s">
        <v>10</v>
      </c>
      <c r="D394" s="73">
        <v>7174103</v>
      </c>
      <c r="E394" s="72">
        <v>45467</v>
      </c>
      <c r="F394" s="12">
        <v>830</v>
      </c>
      <c r="G394" s="13" t="s">
        <v>22</v>
      </c>
      <c r="H394" s="14" t="s">
        <v>12</v>
      </c>
      <c r="I394" s="15" t="s">
        <v>13</v>
      </c>
    </row>
    <row r="395" spans="1:13" s="20" customFormat="1" x14ac:dyDescent="0.2">
      <c r="A395" s="10" t="s">
        <v>8</v>
      </c>
      <c r="B395" s="11" t="s">
        <v>9</v>
      </c>
      <c r="C395" s="75" t="s">
        <v>516</v>
      </c>
      <c r="D395" s="73">
        <v>7174367</v>
      </c>
      <c r="E395" s="72">
        <v>45469</v>
      </c>
      <c r="F395" s="12">
        <v>827.35</v>
      </c>
      <c r="G395" s="13" t="s">
        <v>155</v>
      </c>
      <c r="H395" s="14" t="s">
        <v>12</v>
      </c>
      <c r="I395" s="15" t="s">
        <v>13</v>
      </c>
      <c r="L395" s="17"/>
      <c r="M395" s="17"/>
    </row>
    <row r="396" spans="1:13" s="20" customFormat="1" x14ac:dyDescent="0.2">
      <c r="A396" s="10" t="s">
        <v>8</v>
      </c>
      <c r="B396" s="11" t="s">
        <v>9</v>
      </c>
      <c r="C396" s="75" t="s">
        <v>369</v>
      </c>
      <c r="D396" s="73">
        <v>7174436</v>
      </c>
      <c r="E396" s="72">
        <v>45471</v>
      </c>
      <c r="F396" s="12">
        <v>825</v>
      </c>
      <c r="G396" s="13" t="s">
        <v>39</v>
      </c>
      <c r="H396" s="14" t="s">
        <v>12</v>
      </c>
      <c r="I396" s="15" t="s">
        <v>13</v>
      </c>
      <c r="L396" s="17"/>
      <c r="M396" s="17"/>
    </row>
    <row r="397" spans="1:13" s="20" customFormat="1" x14ac:dyDescent="0.2">
      <c r="A397" s="10" t="s">
        <v>8</v>
      </c>
      <c r="B397" s="11" t="s">
        <v>9</v>
      </c>
      <c r="C397" s="77" t="s">
        <v>369</v>
      </c>
      <c r="D397" s="73">
        <v>7174424</v>
      </c>
      <c r="E397" s="72">
        <v>45470</v>
      </c>
      <c r="F397" s="12">
        <v>825</v>
      </c>
      <c r="G397" s="13" t="s">
        <v>39</v>
      </c>
      <c r="H397" s="14" t="s">
        <v>12</v>
      </c>
      <c r="I397" s="15" t="s">
        <v>13</v>
      </c>
      <c r="L397" s="17"/>
      <c r="M397" s="17"/>
    </row>
    <row r="398" spans="1:13" s="20" customFormat="1" x14ac:dyDescent="0.2">
      <c r="A398" s="10" t="s">
        <v>8</v>
      </c>
      <c r="B398" s="11" t="s">
        <v>9</v>
      </c>
      <c r="C398" s="75" t="s">
        <v>312</v>
      </c>
      <c r="D398" s="73">
        <v>7173785</v>
      </c>
      <c r="E398" s="72">
        <v>45454</v>
      </c>
      <c r="F398" s="12">
        <v>809</v>
      </c>
      <c r="G398" s="13" t="s">
        <v>151</v>
      </c>
      <c r="H398" s="14" t="s">
        <v>12</v>
      </c>
      <c r="I398" s="15" t="s">
        <v>13</v>
      </c>
      <c r="L398" s="17"/>
      <c r="M398" s="17"/>
    </row>
    <row r="399" spans="1:13" s="20" customFormat="1" x14ac:dyDescent="0.2">
      <c r="A399" s="10" t="s">
        <v>8</v>
      </c>
      <c r="B399" s="11" t="s">
        <v>9</v>
      </c>
      <c r="C399" s="75" t="s">
        <v>385</v>
      </c>
      <c r="D399" s="73">
        <v>7173695</v>
      </c>
      <c r="E399" s="72">
        <v>45456</v>
      </c>
      <c r="F399" s="12">
        <v>804.23</v>
      </c>
      <c r="G399" s="13" t="s">
        <v>112</v>
      </c>
      <c r="H399" s="14" t="s">
        <v>12</v>
      </c>
      <c r="I399" s="15" t="s">
        <v>13</v>
      </c>
      <c r="L399" s="17"/>
      <c r="M399" s="17"/>
    </row>
    <row r="400" spans="1:13" s="20" customFormat="1" x14ac:dyDescent="0.2">
      <c r="A400" s="10" t="s">
        <v>8</v>
      </c>
      <c r="B400" s="11" t="s">
        <v>9</v>
      </c>
      <c r="C400" s="75" t="s">
        <v>419</v>
      </c>
      <c r="D400" s="73">
        <v>7173642</v>
      </c>
      <c r="E400" s="72">
        <v>45450</v>
      </c>
      <c r="F400" s="12">
        <v>802.5</v>
      </c>
      <c r="G400" s="13" t="s">
        <v>22</v>
      </c>
      <c r="H400" s="14" t="s">
        <v>12</v>
      </c>
      <c r="I400" s="15" t="s">
        <v>13</v>
      </c>
      <c r="L400" s="17"/>
      <c r="M400" s="17"/>
    </row>
    <row r="401" spans="1:13" s="20" customFormat="1" x14ac:dyDescent="0.2">
      <c r="A401" s="10" t="s">
        <v>8</v>
      </c>
      <c r="B401" s="11" t="s">
        <v>9</v>
      </c>
      <c r="C401" s="75" t="s">
        <v>149</v>
      </c>
      <c r="D401" s="73">
        <v>7174034</v>
      </c>
      <c r="E401" s="72">
        <v>45463</v>
      </c>
      <c r="F401" s="12">
        <v>796.95</v>
      </c>
      <c r="G401" s="13" t="s">
        <v>138</v>
      </c>
      <c r="H401" s="14" t="s">
        <v>12</v>
      </c>
      <c r="I401" s="15" t="s">
        <v>13</v>
      </c>
      <c r="L401" s="17"/>
      <c r="M401" s="17"/>
    </row>
    <row r="402" spans="1:13" s="20" customFormat="1" x14ac:dyDescent="0.2">
      <c r="A402" s="10" t="s">
        <v>8</v>
      </c>
      <c r="B402" s="11" t="s">
        <v>9</v>
      </c>
      <c r="C402" s="75" t="s">
        <v>735</v>
      </c>
      <c r="D402" s="73">
        <v>7173790</v>
      </c>
      <c r="E402" s="72">
        <v>45456</v>
      </c>
      <c r="F402" s="12">
        <v>794.5</v>
      </c>
      <c r="G402" s="13" t="s">
        <v>106</v>
      </c>
      <c r="H402" s="14" t="s">
        <v>12</v>
      </c>
      <c r="I402" s="15" t="s">
        <v>13</v>
      </c>
      <c r="L402" s="17"/>
      <c r="M402" s="17"/>
    </row>
    <row r="403" spans="1:13" s="20" customFormat="1" x14ac:dyDescent="0.2">
      <c r="A403" s="10" t="s">
        <v>8</v>
      </c>
      <c r="B403" s="11" t="s">
        <v>9</v>
      </c>
      <c r="C403" s="75" t="s">
        <v>10</v>
      </c>
      <c r="D403" s="73">
        <v>7173407</v>
      </c>
      <c r="E403" s="72">
        <v>45450</v>
      </c>
      <c r="F403" s="12">
        <v>794.2</v>
      </c>
      <c r="G403" s="13" t="s">
        <v>22</v>
      </c>
      <c r="H403" s="14" t="s">
        <v>12</v>
      </c>
      <c r="I403" s="15" t="s">
        <v>13</v>
      </c>
      <c r="L403" s="17"/>
      <c r="M403" s="17"/>
    </row>
    <row r="404" spans="1:13" s="20" customFormat="1" x14ac:dyDescent="0.2">
      <c r="A404" s="10" t="s">
        <v>8</v>
      </c>
      <c r="B404" s="11" t="s">
        <v>9</v>
      </c>
      <c r="C404" s="77" t="s">
        <v>222</v>
      </c>
      <c r="D404" s="73">
        <v>7172795</v>
      </c>
      <c r="E404" s="72">
        <v>45448</v>
      </c>
      <c r="F404" s="12">
        <v>787.5</v>
      </c>
      <c r="G404" s="13" t="s">
        <v>22</v>
      </c>
      <c r="H404" s="14" t="s">
        <v>12</v>
      </c>
      <c r="I404" s="15" t="s">
        <v>13</v>
      </c>
      <c r="L404" s="17"/>
      <c r="M404" s="17"/>
    </row>
    <row r="405" spans="1:13" s="20" customFormat="1" x14ac:dyDescent="0.2">
      <c r="A405" s="10" t="s">
        <v>8</v>
      </c>
      <c r="B405" s="11" t="s">
        <v>9</v>
      </c>
      <c r="C405" s="75" t="s">
        <v>419</v>
      </c>
      <c r="D405" s="73">
        <v>7173667</v>
      </c>
      <c r="E405" s="72">
        <v>45450</v>
      </c>
      <c r="F405" s="12">
        <v>780</v>
      </c>
      <c r="G405" s="13" t="s">
        <v>22</v>
      </c>
      <c r="H405" s="14" t="s">
        <v>12</v>
      </c>
      <c r="I405" s="15" t="s">
        <v>13</v>
      </c>
      <c r="L405" s="17"/>
      <c r="M405" s="17"/>
    </row>
    <row r="406" spans="1:13" s="20" customFormat="1" x14ac:dyDescent="0.2">
      <c r="A406" s="10" t="s">
        <v>8</v>
      </c>
      <c r="B406" s="11" t="s">
        <v>9</v>
      </c>
      <c r="C406" s="75" t="s">
        <v>202</v>
      </c>
      <c r="D406" s="73">
        <v>7173604</v>
      </c>
      <c r="E406" s="72">
        <v>45449</v>
      </c>
      <c r="F406" s="12">
        <v>774.9</v>
      </c>
      <c r="G406" s="13" t="s">
        <v>203</v>
      </c>
      <c r="H406" s="14" t="s">
        <v>12</v>
      </c>
      <c r="I406" s="15" t="s">
        <v>13</v>
      </c>
      <c r="L406" s="17"/>
      <c r="M406" s="17"/>
    </row>
    <row r="407" spans="1:13" s="20" customFormat="1" x14ac:dyDescent="0.2">
      <c r="A407" s="10" t="s">
        <v>8</v>
      </c>
      <c r="B407" s="11" t="s">
        <v>9</v>
      </c>
      <c r="C407" s="75" t="s">
        <v>202</v>
      </c>
      <c r="D407" s="73">
        <v>7173550</v>
      </c>
      <c r="E407" s="72">
        <v>45449</v>
      </c>
      <c r="F407" s="12">
        <v>773.9</v>
      </c>
      <c r="G407" s="13" t="s">
        <v>203</v>
      </c>
      <c r="H407" s="14" t="s">
        <v>12</v>
      </c>
      <c r="I407" s="15" t="s">
        <v>13</v>
      </c>
      <c r="L407" s="17"/>
      <c r="M407" s="17"/>
    </row>
    <row r="408" spans="1:13" s="20" customFormat="1" x14ac:dyDescent="0.2">
      <c r="A408" s="10" t="s">
        <v>8</v>
      </c>
      <c r="B408" s="11" t="s">
        <v>9</v>
      </c>
      <c r="C408" s="75" t="s">
        <v>256</v>
      </c>
      <c r="D408" s="73">
        <v>7174238</v>
      </c>
      <c r="E408" s="72">
        <v>45467</v>
      </c>
      <c r="F408" s="12">
        <v>773.5</v>
      </c>
      <c r="G408" s="13" t="s">
        <v>155</v>
      </c>
      <c r="H408" s="14" t="s">
        <v>12</v>
      </c>
      <c r="I408" s="15" t="s">
        <v>13</v>
      </c>
      <c r="L408" s="17"/>
      <c r="M408" s="17"/>
    </row>
    <row r="409" spans="1:13" s="20" customFormat="1" x14ac:dyDescent="0.2">
      <c r="A409" s="10" t="s">
        <v>8</v>
      </c>
      <c r="B409" s="11" t="s">
        <v>9</v>
      </c>
      <c r="C409" s="75" t="s">
        <v>260</v>
      </c>
      <c r="D409" s="73">
        <v>7174275</v>
      </c>
      <c r="E409" s="72">
        <v>45467</v>
      </c>
      <c r="F409" s="12">
        <v>770.7</v>
      </c>
      <c r="G409" s="13" t="s">
        <v>261</v>
      </c>
      <c r="H409" s="14" t="s">
        <v>12</v>
      </c>
      <c r="I409" s="15" t="s">
        <v>13</v>
      </c>
      <c r="L409" s="17"/>
      <c r="M409" s="17"/>
    </row>
    <row r="410" spans="1:13" s="20" customFormat="1" x14ac:dyDescent="0.2">
      <c r="A410" s="10" t="s">
        <v>8</v>
      </c>
      <c r="B410" s="11" t="s">
        <v>9</v>
      </c>
      <c r="C410" s="75" t="s">
        <v>734</v>
      </c>
      <c r="D410" s="73">
        <v>7172398</v>
      </c>
      <c r="E410" s="72">
        <v>45446</v>
      </c>
      <c r="F410" s="12">
        <v>770</v>
      </c>
      <c r="G410" s="13" t="s">
        <v>106</v>
      </c>
      <c r="H410" s="14" t="s">
        <v>12</v>
      </c>
      <c r="I410" s="15" t="s">
        <v>13</v>
      </c>
      <c r="L410" s="17"/>
      <c r="M410" s="17"/>
    </row>
    <row r="411" spans="1:13" s="20" customFormat="1" x14ac:dyDescent="0.2">
      <c r="A411" s="10" t="s">
        <v>8</v>
      </c>
      <c r="B411" s="11" t="s">
        <v>9</v>
      </c>
      <c r="C411" s="75" t="s">
        <v>734</v>
      </c>
      <c r="D411" s="73">
        <v>7172671</v>
      </c>
      <c r="E411" s="72">
        <v>45446</v>
      </c>
      <c r="F411" s="12">
        <v>770</v>
      </c>
      <c r="G411" s="13" t="s">
        <v>106</v>
      </c>
      <c r="H411" s="14" t="s">
        <v>12</v>
      </c>
      <c r="I411" s="15" t="s">
        <v>13</v>
      </c>
      <c r="L411" s="17"/>
      <c r="M411" s="17"/>
    </row>
    <row r="412" spans="1:13" s="20" customFormat="1" x14ac:dyDescent="0.2">
      <c r="A412" s="10" t="s">
        <v>8</v>
      </c>
      <c r="B412" s="11" t="s">
        <v>9</v>
      </c>
      <c r="C412" s="75" t="s">
        <v>734</v>
      </c>
      <c r="D412" s="73">
        <v>7174104</v>
      </c>
      <c r="E412" s="72">
        <v>45463</v>
      </c>
      <c r="F412" s="12">
        <v>770</v>
      </c>
      <c r="G412" s="13" t="s">
        <v>106</v>
      </c>
      <c r="H412" s="14" t="s">
        <v>12</v>
      </c>
      <c r="I412" s="15" t="s">
        <v>13</v>
      </c>
      <c r="L412" s="17"/>
      <c r="M412" s="17"/>
    </row>
    <row r="413" spans="1:13" s="20" customFormat="1" x14ac:dyDescent="0.2">
      <c r="A413" s="10" t="s">
        <v>8</v>
      </c>
      <c r="B413" s="11" t="s">
        <v>9</v>
      </c>
      <c r="C413" s="75" t="s">
        <v>124</v>
      </c>
      <c r="D413" s="73">
        <v>7174173</v>
      </c>
      <c r="E413" s="72">
        <v>45464</v>
      </c>
      <c r="F413" s="12">
        <v>769.87</v>
      </c>
      <c r="G413" s="13" t="s">
        <v>376</v>
      </c>
      <c r="H413" s="14" t="s">
        <v>12</v>
      </c>
      <c r="I413" s="15" t="s">
        <v>13</v>
      </c>
      <c r="L413" s="17"/>
      <c r="M413" s="17"/>
    </row>
    <row r="414" spans="1:13" s="20" customFormat="1" x14ac:dyDescent="0.2">
      <c r="A414" s="10" t="s">
        <v>8</v>
      </c>
      <c r="B414" s="11" t="s">
        <v>9</v>
      </c>
      <c r="C414" s="75" t="s">
        <v>411</v>
      </c>
      <c r="D414" s="73">
        <v>7173789</v>
      </c>
      <c r="E414" s="72">
        <v>45454</v>
      </c>
      <c r="F414" s="12">
        <v>762.5</v>
      </c>
      <c r="G414" s="13" t="s">
        <v>156</v>
      </c>
      <c r="H414" s="14" t="s">
        <v>12</v>
      </c>
      <c r="I414" s="15" t="s">
        <v>13</v>
      </c>
      <c r="L414" s="17"/>
      <c r="M414" s="17"/>
    </row>
    <row r="415" spans="1:13" s="20" customFormat="1" x14ac:dyDescent="0.2">
      <c r="A415" s="10" t="s">
        <v>8</v>
      </c>
      <c r="B415" s="11" t="s">
        <v>9</v>
      </c>
      <c r="C415" s="75" t="s">
        <v>142</v>
      </c>
      <c r="D415" s="73">
        <v>7173563</v>
      </c>
      <c r="E415" s="72">
        <v>45456</v>
      </c>
      <c r="F415" s="12">
        <v>760</v>
      </c>
      <c r="G415" s="13" t="s">
        <v>143</v>
      </c>
      <c r="H415" s="14" t="s">
        <v>12</v>
      </c>
      <c r="I415" s="15" t="s">
        <v>13</v>
      </c>
      <c r="L415" s="17"/>
      <c r="M415" s="17"/>
    </row>
    <row r="416" spans="1:13" s="20" customFormat="1" x14ac:dyDescent="0.2">
      <c r="A416" s="10" t="s">
        <v>8</v>
      </c>
      <c r="B416" s="11" t="s">
        <v>9</v>
      </c>
      <c r="C416" s="75" t="s">
        <v>733</v>
      </c>
      <c r="D416" s="73">
        <v>7172864</v>
      </c>
      <c r="E416" s="72">
        <v>45446</v>
      </c>
      <c r="F416" s="12">
        <v>750</v>
      </c>
      <c r="G416" s="13" t="s">
        <v>27</v>
      </c>
      <c r="H416" s="14" t="s">
        <v>12</v>
      </c>
      <c r="I416" s="15" t="s">
        <v>13</v>
      </c>
      <c r="L416" s="17"/>
      <c r="M416" s="17"/>
    </row>
    <row r="417" spans="1:13" s="20" customFormat="1" x14ac:dyDescent="0.2">
      <c r="A417" s="10" t="s">
        <v>8</v>
      </c>
      <c r="B417" s="11" t="s">
        <v>9</v>
      </c>
      <c r="C417" s="75" t="s">
        <v>222</v>
      </c>
      <c r="D417" s="73">
        <v>7172793</v>
      </c>
      <c r="E417" s="72">
        <v>45446</v>
      </c>
      <c r="F417" s="12">
        <v>749</v>
      </c>
      <c r="G417" s="13" t="s">
        <v>259</v>
      </c>
      <c r="H417" s="14" t="s">
        <v>12</v>
      </c>
      <c r="I417" s="15" t="s">
        <v>13</v>
      </c>
      <c r="L417" s="17"/>
      <c r="M417" s="17"/>
    </row>
    <row r="418" spans="1:13" s="20" customFormat="1" x14ac:dyDescent="0.2">
      <c r="A418" s="10" t="s">
        <v>8</v>
      </c>
      <c r="B418" s="11" t="s">
        <v>9</v>
      </c>
      <c r="C418" s="75" t="s">
        <v>222</v>
      </c>
      <c r="D418" s="73">
        <v>7173756</v>
      </c>
      <c r="E418" s="72">
        <v>45456</v>
      </c>
      <c r="F418" s="12">
        <v>749</v>
      </c>
      <c r="G418" s="13" t="s">
        <v>259</v>
      </c>
      <c r="H418" s="14" t="s">
        <v>12</v>
      </c>
      <c r="I418" s="15" t="s">
        <v>13</v>
      </c>
      <c r="L418" s="17"/>
      <c r="M418" s="17"/>
    </row>
    <row r="419" spans="1:13" s="20" customFormat="1" x14ac:dyDescent="0.2">
      <c r="A419" s="10" t="s">
        <v>8</v>
      </c>
      <c r="B419" s="11" t="s">
        <v>9</v>
      </c>
      <c r="C419" s="75" t="s">
        <v>732</v>
      </c>
      <c r="D419" s="73">
        <v>7173895</v>
      </c>
      <c r="E419" s="72">
        <v>45457</v>
      </c>
      <c r="F419" s="12">
        <v>745</v>
      </c>
      <c r="G419" s="13" t="s">
        <v>131</v>
      </c>
      <c r="H419" s="14" t="s">
        <v>12</v>
      </c>
      <c r="I419" s="15" t="s">
        <v>13</v>
      </c>
      <c r="L419" s="17"/>
      <c r="M419" s="17"/>
    </row>
    <row r="420" spans="1:13" s="20" customFormat="1" x14ac:dyDescent="0.2">
      <c r="A420" s="10" t="s">
        <v>8</v>
      </c>
      <c r="B420" s="11" t="s">
        <v>9</v>
      </c>
      <c r="C420" s="75" t="s">
        <v>260</v>
      </c>
      <c r="D420" s="73">
        <v>7173011</v>
      </c>
      <c r="E420" s="72">
        <v>45446</v>
      </c>
      <c r="F420" s="12">
        <v>739.82</v>
      </c>
      <c r="G420" s="13" t="s">
        <v>261</v>
      </c>
      <c r="H420" s="14" t="s">
        <v>12</v>
      </c>
      <c r="I420" s="15" t="s">
        <v>13</v>
      </c>
      <c r="L420" s="17"/>
      <c r="M420" s="17"/>
    </row>
    <row r="421" spans="1:13" s="20" customFormat="1" x14ac:dyDescent="0.2">
      <c r="A421" s="10" t="s">
        <v>8</v>
      </c>
      <c r="B421" s="11" t="s">
        <v>9</v>
      </c>
      <c r="C421" s="75" t="s">
        <v>731</v>
      </c>
      <c r="D421" s="73">
        <v>7173747</v>
      </c>
      <c r="E421" s="72">
        <v>45454</v>
      </c>
      <c r="F421" s="12">
        <v>737.49</v>
      </c>
      <c r="G421" s="13" t="s">
        <v>106</v>
      </c>
      <c r="H421" s="14" t="s">
        <v>12</v>
      </c>
      <c r="I421" s="15" t="s">
        <v>13</v>
      </c>
      <c r="L421" s="17"/>
      <c r="M421" s="17"/>
    </row>
    <row r="422" spans="1:13" s="20" customFormat="1" x14ac:dyDescent="0.2">
      <c r="A422" s="10" t="s">
        <v>8</v>
      </c>
      <c r="B422" s="11" t="s">
        <v>9</v>
      </c>
      <c r="C422" s="75" t="s">
        <v>260</v>
      </c>
      <c r="D422" s="73">
        <v>7172754</v>
      </c>
      <c r="E422" s="72">
        <v>45446</v>
      </c>
      <c r="F422" s="18">
        <v>734.24</v>
      </c>
      <c r="G422" s="19" t="s">
        <v>261</v>
      </c>
      <c r="H422" s="14" t="s">
        <v>12</v>
      </c>
      <c r="I422" s="15" t="s">
        <v>13</v>
      </c>
      <c r="L422" s="17"/>
      <c r="M422" s="17"/>
    </row>
    <row r="423" spans="1:13" s="20" customFormat="1" x14ac:dyDescent="0.2">
      <c r="A423" s="10" t="s">
        <v>8</v>
      </c>
      <c r="B423" s="11" t="s">
        <v>9</v>
      </c>
      <c r="C423" s="75" t="s">
        <v>256</v>
      </c>
      <c r="D423" s="73">
        <v>7173453</v>
      </c>
      <c r="E423" s="72">
        <v>45447</v>
      </c>
      <c r="F423" s="12">
        <v>732.58</v>
      </c>
      <c r="G423" s="13" t="s">
        <v>131</v>
      </c>
      <c r="H423" s="14" t="s">
        <v>12</v>
      </c>
      <c r="I423" s="15" t="s">
        <v>13</v>
      </c>
      <c r="L423" s="17"/>
      <c r="M423" s="17"/>
    </row>
    <row r="424" spans="1:13" s="20" customFormat="1" x14ac:dyDescent="0.2">
      <c r="A424" s="10" t="s">
        <v>8</v>
      </c>
      <c r="B424" s="11" t="s">
        <v>9</v>
      </c>
      <c r="C424" s="75" t="s">
        <v>65</v>
      </c>
      <c r="D424" s="73">
        <v>7174143</v>
      </c>
      <c r="E424" s="72">
        <v>45464</v>
      </c>
      <c r="F424" s="12">
        <v>729.68</v>
      </c>
      <c r="G424" s="13" t="s">
        <v>131</v>
      </c>
      <c r="H424" s="14" t="s">
        <v>12</v>
      </c>
      <c r="I424" s="15" t="s">
        <v>13</v>
      </c>
      <c r="L424" s="17"/>
      <c r="M424" s="17"/>
    </row>
    <row r="425" spans="1:13" s="20" customFormat="1" x14ac:dyDescent="0.2">
      <c r="A425" s="10" t="s">
        <v>8</v>
      </c>
      <c r="B425" s="11" t="s">
        <v>9</v>
      </c>
      <c r="C425" s="75" t="s">
        <v>370</v>
      </c>
      <c r="D425" s="73">
        <v>7173688</v>
      </c>
      <c r="E425" s="72">
        <v>45453</v>
      </c>
      <c r="F425" s="12">
        <v>725</v>
      </c>
      <c r="G425" s="13" t="s">
        <v>151</v>
      </c>
      <c r="H425" s="14" t="s">
        <v>12</v>
      </c>
      <c r="I425" s="15" t="s">
        <v>13</v>
      </c>
      <c r="L425" s="17"/>
      <c r="M425" s="17"/>
    </row>
    <row r="426" spans="1:13" s="20" customFormat="1" x14ac:dyDescent="0.2">
      <c r="A426" s="10" t="s">
        <v>8</v>
      </c>
      <c r="B426" s="11" t="s">
        <v>9</v>
      </c>
      <c r="C426" s="75" t="s">
        <v>377</v>
      </c>
      <c r="D426" s="73">
        <v>7174126</v>
      </c>
      <c r="E426" s="72">
        <v>45463</v>
      </c>
      <c r="F426" s="12">
        <v>720</v>
      </c>
      <c r="G426" s="13" t="s">
        <v>376</v>
      </c>
      <c r="H426" s="14" t="s">
        <v>12</v>
      </c>
      <c r="I426" s="15" t="s">
        <v>13</v>
      </c>
      <c r="L426" s="17"/>
      <c r="M426" s="17"/>
    </row>
    <row r="427" spans="1:13" s="20" customFormat="1" x14ac:dyDescent="0.2">
      <c r="A427" s="10" t="s">
        <v>8</v>
      </c>
      <c r="B427" s="11" t="s">
        <v>9</v>
      </c>
      <c r="C427" s="75" t="s">
        <v>688</v>
      </c>
      <c r="D427" s="73">
        <v>7174187</v>
      </c>
      <c r="E427" s="72">
        <v>45464</v>
      </c>
      <c r="F427" s="12">
        <v>708.75</v>
      </c>
      <c r="G427" s="13" t="s">
        <v>131</v>
      </c>
      <c r="H427" s="14" t="s">
        <v>12</v>
      </c>
      <c r="I427" s="15" t="s">
        <v>13</v>
      </c>
      <c r="L427" s="17"/>
      <c r="M427" s="17"/>
    </row>
    <row r="428" spans="1:13" s="20" customFormat="1" x14ac:dyDescent="0.2">
      <c r="A428" s="10" t="s">
        <v>8</v>
      </c>
      <c r="B428" s="11" t="s">
        <v>9</v>
      </c>
      <c r="C428" s="75" t="s">
        <v>328</v>
      </c>
      <c r="D428" s="73">
        <v>7173797</v>
      </c>
      <c r="E428" s="72">
        <v>45455</v>
      </c>
      <c r="F428" s="12">
        <v>675</v>
      </c>
      <c r="G428" s="13" t="s">
        <v>131</v>
      </c>
      <c r="H428" s="14" t="s">
        <v>12</v>
      </c>
      <c r="I428" s="15" t="s">
        <v>13</v>
      </c>
      <c r="L428" s="17"/>
      <c r="M428" s="17"/>
    </row>
    <row r="429" spans="1:13" s="20" customFormat="1" x14ac:dyDescent="0.2">
      <c r="A429" s="10" t="s">
        <v>8</v>
      </c>
      <c r="B429" s="11" t="s">
        <v>9</v>
      </c>
      <c r="C429" s="75" t="s">
        <v>334</v>
      </c>
      <c r="D429" s="73">
        <v>7173894</v>
      </c>
      <c r="E429" s="72">
        <v>45456</v>
      </c>
      <c r="F429" s="12">
        <v>675</v>
      </c>
      <c r="G429" s="13" t="s">
        <v>91</v>
      </c>
      <c r="H429" s="14" t="s">
        <v>12</v>
      </c>
      <c r="I429" s="15" t="s">
        <v>13</v>
      </c>
      <c r="L429" s="17"/>
      <c r="M429" s="17"/>
    </row>
    <row r="430" spans="1:13" s="20" customFormat="1" x14ac:dyDescent="0.2">
      <c r="A430" s="10" t="s">
        <v>8</v>
      </c>
      <c r="B430" s="11" t="s">
        <v>9</v>
      </c>
      <c r="C430" s="75" t="s">
        <v>369</v>
      </c>
      <c r="D430" s="73">
        <v>7174427</v>
      </c>
      <c r="E430" s="72">
        <v>45471</v>
      </c>
      <c r="F430" s="12">
        <v>675</v>
      </c>
      <c r="G430" s="13" t="s">
        <v>39</v>
      </c>
      <c r="H430" s="14" t="s">
        <v>12</v>
      </c>
      <c r="I430" s="15" t="s">
        <v>13</v>
      </c>
      <c r="L430" s="17"/>
      <c r="M430" s="17"/>
    </row>
    <row r="431" spans="1:13" s="20" customFormat="1" x14ac:dyDescent="0.2">
      <c r="A431" s="10" t="s">
        <v>8</v>
      </c>
      <c r="B431" s="11" t="s">
        <v>9</v>
      </c>
      <c r="C431" s="75" t="s">
        <v>124</v>
      </c>
      <c r="D431" s="73">
        <v>7174252</v>
      </c>
      <c r="E431" s="72">
        <v>45467</v>
      </c>
      <c r="F431" s="12">
        <v>670.6</v>
      </c>
      <c r="G431" s="13" t="s">
        <v>376</v>
      </c>
      <c r="H431" s="14" t="s">
        <v>12</v>
      </c>
      <c r="I431" s="15" t="s">
        <v>13</v>
      </c>
      <c r="L431" s="17"/>
      <c r="M431" s="17"/>
    </row>
    <row r="432" spans="1:13" s="20" customFormat="1" x14ac:dyDescent="0.2">
      <c r="A432" s="10" t="s">
        <v>8</v>
      </c>
      <c r="B432" s="11" t="s">
        <v>9</v>
      </c>
      <c r="C432" s="75" t="s">
        <v>172</v>
      </c>
      <c r="D432" s="73">
        <v>7173225</v>
      </c>
      <c r="E432" s="72">
        <v>45446</v>
      </c>
      <c r="F432" s="12">
        <v>668</v>
      </c>
      <c r="G432" s="13" t="s">
        <v>39</v>
      </c>
      <c r="H432" s="14" t="s">
        <v>12</v>
      </c>
      <c r="I432" s="15" t="s">
        <v>13</v>
      </c>
      <c r="L432" s="17"/>
      <c r="M432" s="17"/>
    </row>
    <row r="433" spans="1:13" s="20" customFormat="1" x14ac:dyDescent="0.2">
      <c r="A433" s="10" t="s">
        <v>8</v>
      </c>
      <c r="B433" s="11" t="s">
        <v>9</v>
      </c>
      <c r="C433" s="75" t="s">
        <v>93</v>
      </c>
      <c r="D433" s="73">
        <v>7173837</v>
      </c>
      <c r="E433" s="72">
        <v>45455</v>
      </c>
      <c r="F433" s="12">
        <v>664.95</v>
      </c>
      <c r="G433" s="13" t="s">
        <v>94</v>
      </c>
      <c r="H433" s="14" t="s">
        <v>12</v>
      </c>
      <c r="I433" s="15" t="s">
        <v>13</v>
      </c>
      <c r="L433" s="17"/>
      <c r="M433" s="17"/>
    </row>
    <row r="434" spans="1:13" s="20" customFormat="1" x14ac:dyDescent="0.2">
      <c r="A434" s="10" t="s">
        <v>8</v>
      </c>
      <c r="B434" s="11" t="s">
        <v>9</v>
      </c>
      <c r="C434" s="75" t="s">
        <v>730</v>
      </c>
      <c r="D434" s="73">
        <v>7174416</v>
      </c>
      <c r="E434" s="72">
        <v>45470</v>
      </c>
      <c r="F434" s="12">
        <v>663.75</v>
      </c>
      <c r="G434" s="13" t="s">
        <v>729</v>
      </c>
      <c r="H434" s="14" t="s">
        <v>12</v>
      </c>
      <c r="I434" s="15" t="s">
        <v>13</v>
      </c>
      <c r="L434" s="17"/>
      <c r="M434" s="17"/>
    </row>
    <row r="435" spans="1:13" s="20" customFormat="1" x14ac:dyDescent="0.2">
      <c r="A435" s="10" t="s">
        <v>8</v>
      </c>
      <c r="B435" s="11" t="s">
        <v>9</v>
      </c>
      <c r="C435" s="75" t="s">
        <v>728</v>
      </c>
      <c r="D435" s="73">
        <v>7173519</v>
      </c>
      <c r="E435" s="72">
        <v>45450</v>
      </c>
      <c r="F435" s="12">
        <v>655</v>
      </c>
      <c r="G435" s="13" t="s">
        <v>27</v>
      </c>
      <c r="H435" s="14" t="s">
        <v>12</v>
      </c>
      <c r="I435" s="15" t="s">
        <v>13</v>
      </c>
      <c r="L435" s="17"/>
      <c r="M435" s="17"/>
    </row>
    <row r="436" spans="1:13" s="20" customFormat="1" x14ac:dyDescent="0.2">
      <c r="A436" s="10" t="s">
        <v>8</v>
      </c>
      <c r="B436" s="11" t="s">
        <v>9</v>
      </c>
      <c r="C436" s="75" t="s">
        <v>328</v>
      </c>
      <c r="D436" s="73">
        <v>7171709</v>
      </c>
      <c r="E436" s="72">
        <v>45447</v>
      </c>
      <c r="F436" s="12">
        <v>645</v>
      </c>
      <c r="G436" s="13" t="s">
        <v>131</v>
      </c>
      <c r="H436" s="14" t="s">
        <v>12</v>
      </c>
      <c r="I436" s="15" t="s">
        <v>13</v>
      </c>
      <c r="L436" s="17"/>
      <c r="M436" s="17"/>
    </row>
    <row r="437" spans="1:13" x14ac:dyDescent="0.2">
      <c r="A437" s="10" t="s">
        <v>8</v>
      </c>
      <c r="B437" s="11" t="s">
        <v>9</v>
      </c>
      <c r="C437" s="75" t="s">
        <v>328</v>
      </c>
      <c r="D437" s="73">
        <v>7172543</v>
      </c>
      <c r="E437" s="72">
        <v>45447</v>
      </c>
      <c r="F437" s="12">
        <v>645</v>
      </c>
      <c r="G437" s="13" t="s">
        <v>131</v>
      </c>
      <c r="H437" s="14" t="s">
        <v>12</v>
      </c>
      <c r="I437" s="15" t="s">
        <v>13</v>
      </c>
    </row>
    <row r="438" spans="1:13" x14ac:dyDescent="0.2">
      <c r="A438" s="10" t="s">
        <v>8</v>
      </c>
      <c r="B438" s="11" t="s">
        <v>9</v>
      </c>
      <c r="C438" s="75" t="s">
        <v>411</v>
      </c>
      <c r="D438" s="73">
        <v>7173745</v>
      </c>
      <c r="E438" s="72">
        <v>45453</v>
      </c>
      <c r="F438" s="12">
        <v>641.04999999999995</v>
      </c>
      <c r="G438" s="13" t="s">
        <v>156</v>
      </c>
      <c r="H438" s="14" t="s">
        <v>12</v>
      </c>
      <c r="I438" s="15" t="s">
        <v>13</v>
      </c>
    </row>
    <row r="439" spans="1:13" x14ac:dyDescent="0.2">
      <c r="A439" s="10" t="s">
        <v>8</v>
      </c>
      <c r="B439" s="11" t="s">
        <v>9</v>
      </c>
      <c r="C439" s="75" t="s">
        <v>727</v>
      </c>
      <c r="D439" s="73">
        <v>7173194</v>
      </c>
      <c r="E439" s="72">
        <v>45456</v>
      </c>
      <c r="F439" s="12">
        <v>635.83000000000004</v>
      </c>
      <c r="G439" s="13" t="s">
        <v>106</v>
      </c>
      <c r="H439" s="14" t="s">
        <v>12</v>
      </c>
      <c r="I439" s="15" t="s">
        <v>13</v>
      </c>
    </row>
    <row r="440" spans="1:13" x14ac:dyDescent="0.2">
      <c r="A440" s="10" t="s">
        <v>8</v>
      </c>
      <c r="B440" s="11" t="s">
        <v>9</v>
      </c>
      <c r="C440" s="75" t="s">
        <v>256</v>
      </c>
      <c r="D440" s="73">
        <v>7174232</v>
      </c>
      <c r="E440" s="72">
        <v>45467</v>
      </c>
      <c r="F440" s="12">
        <v>631.77</v>
      </c>
      <c r="G440" s="13" t="s">
        <v>155</v>
      </c>
      <c r="H440" s="14" t="s">
        <v>12</v>
      </c>
      <c r="I440" s="15" t="s">
        <v>13</v>
      </c>
    </row>
    <row r="441" spans="1:13" x14ac:dyDescent="0.2">
      <c r="A441" s="10" t="s">
        <v>8</v>
      </c>
      <c r="B441" s="11" t="s">
        <v>9</v>
      </c>
      <c r="C441" s="75" t="s">
        <v>691</v>
      </c>
      <c r="D441" s="73">
        <v>7174274</v>
      </c>
      <c r="E441" s="72">
        <v>45468</v>
      </c>
      <c r="F441" s="12">
        <v>630</v>
      </c>
      <c r="G441" s="13" t="s">
        <v>138</v>
      </c>
      <c r="H441" s="14" t="s">
        <v>12</v>
      </c>
      <c r="I441" s="15" t="s">
        <v>13</v>
      </c>
    </row>
    <row r="442" spans="1:13" x14ac:dyDescent="0.2">
      <c r="A442" s="10" t="s">
        <v>8</v>
      </c>
      <c r="B442" s="11" t="s">
        <v>9</v>
      </c>
      <c r="C442" s="75" t="s">
        <v>726</v>
      </c>
      <c r="D442" s="73">
        <v>7173159</v>
      </c>
      <c r="E442" s="72">
        <v>45446</v>
      </c>
      <c r="F442" s="12">
        <v>620</v>
      </c>
      <c r="G442" s="13" t="s">
        <v>131</v>
      </c>
      <c r="H442" s="14" t="s">
        <v>12</v>
      </c>
      <c r="I442" s="15" t="s">
        <v>13</v>
      </c>
    </row>
    <row r="443" spans="1:13" x14ac:dyDescent="0.2">
      <c r="A443" s="10" t="s">
        <v>8</v>
      </c>
      <c r="B443" s="11" t="s">
        <v>9</v>
      </c>
      <c r="C443" s="75" t="s">
        <v>348</v>
      </c>
      <c r="D443" s="73">
        <v>7173161</v>
      </c>
      <c r="E443" s="72">
        <v>45446</v>
      </c>
      <c r="F443" s="12">
        <v>619.03</v>
      </c>
      <c r="G443" s="13" t="s">
        <v>131</v>
      </c>
      <c r="H443" s="14" t="s">
        <v>12</v>
      </c>
      <c r="I443" s="15" t="s">
        <v>13</v>
      </c>
    </row>
    <row r="444" spans="1:13" x14ac:dyDescent="0.2">
      <c r="A444" s="10" t="s">
        <v>8</v>
      </c>
      <c r="B444" s="11" t="s">
        <v>9</v>
      </c>
      <c r="C444" s="75" t="s">
        <v>725</v>
      </c>
      <c r="D444" s="73">
        <v>7174055</v>
      </c>
      <c r="E444" s="72">
        <v>45462</v>
      </c>
      <c r="F444" s="12">
        <v>615</v>
      </c>
      <c r="G444" s="13" t="s">
        <v>133</v>
      </c>
      <c r="H444" s="14" t="s">
        <v>12</v>
      </c>
      <c r="I444" s="15" t="s">
        <v>13</v>
      </c>
    </row>
    <row r="445" spans="1:13" x14ac:dyDescent="0.2">
      <c r="A445" s="10" t="s">
        <v>8</v>
      </c>
      <c r="B445" s="11" t="s">
        <v>9</v>
      </c>
      <c r="C445" s="75" t="s">
        <v>260</v>
      </c>
      <c r="D445" s="73">
        <v>7172968</v>
      </c>
      <c r="E445" s="72">
        <v>45446</v>
      </c>
      <c r="F445" s="12">
        <v>611.08000000000004</v>
      </c>
      <c r="G445" s="13" t="s">
        <v>261</v>
      </c>
      <c r="H445" s="14" t="s">
        <v>12</v>
      </c>
      <c r="I445" s="15" t="s">
        <v>13</v>
      </c>
    </row>
    <row r="446" spans="1:13" x14ac:dyDescent="0.2">
      <c r="A446" s="10" t="s">
        <v>8</v>
      </c>
      <c r="B446" s="11" t="s">
        <v>9</v>
      </c>
      <c r="C446" s="75" t="s">
        <v>256</v>
      </c>
      <c r="D446" s="73">
        <v>7174222</v>
      </c>
      <c r="E446" s="72">
        <v>45467</v>
      </c>
      <c r="F446" s="12">
        <v>608.83000000000004</v>
      </c>
      <c r="G446" s="13" t="s">
        <v>131</v>
      </c>
      <c r="H446" s="14" t="s">
        <v>12</v>
      </c>
      <c r="I446" s="15" t="s">
        <v>13</v>
      </c>
    </row>
    <row r="447" spans="1:13" x14ac:dyDescent="0.2">
      <c r="A447" s="10" t="s">
        <v>8</v>
      </c>
      <c r="B447" s="11" t="s">
        <v>9</v>
      </c>
      <c r="C447" s="75" t="s">
        <v>724</v>
      </c>
      <c r="D447" s="73">
        <v>7173932</v>
      </c>
      <c r="E447" s="72">
        <v>45457</v>
      </c>
      <c r="F447" s="12">
        <v>608.76</v>
      </c>
      <c r="G447" s="13" t="s">
        <v>148</v>
      </c>
      <c r="H447" s="14" t="s">
        <v>12</v>
      </c>
      <c r="I447" s="15" t="s">
        <v>13</v>
      </c>
    </row>
    <row r="448" spans="1:13" x14ac:dyDescent="0.2">
      <c r="A448" s="10" t="s">
        <v>8</v>
      </c>
      <c r="B448" s="11" t="s">
        <v>9</v>
      </c>
      <c r="C448" s="75" t="s">
        <v>272</v>
      </c>
      <c r="D448" s="73">
        <v>7173511</v>
      </c>
      <c r="E448" s="72">
        <v>45447</v>
      </c>
      <c r="F448" s="12">
        <v>608</v>
      </c>
      <c r="G448" s="13" t="s">
        <v>22</v>
      </c>
      <c r="H448" s="14" t="s">
        <v>12</v>
      </c>
      <c r="I448" s="15" t="s">
        <v>13</v>
      </c>
    </row>
    <row r="449" spans="1:9" x14ac:dyDescent="0.2">
      <c r="A449" s="10" t="s">
        <v>8</v>
      </c>
      <c r="B449" s="11" t="s">
        <v>9</v>
      </c>
      <c r="C449" s="75" t="s">
        <v>193</v>
      </c>
      <c r="D449" s="73">
        <v>7174161</v>
      </c>
      <c r="E449" s="72">
        <v>45467</v>
      </c>
      <c r="F449" s="12">
        <v>600</v>
      </c>
      <c r="G449" s="13" t="s">
        <v>22</v>
      </c>
      <c r="H449" s="14" t="s">
        <v>12</v>
      </c>
      <c r="I449" s="15" t="s">
        <v>13</v>
      </c>
    </row>
    <row r="450" spans="1:9" x14ac:dyDescent="0.2">
      <c r="A450" s="10" t="s">
        <v>8</v>
      </c>
      <c r="B450" s="11" t="s">
        <v>9</v>
      </c>
      <c r="C450" s="75" t="s">
        <v>723</v>
      </c>
      <c r="D450" s="73">
        <v>7173472</v>
      </c>
      <c r="E450" s="72">
        <v>45447</v>
      </c>
      <c r="F450" s="12">
        <v>600</v>
      </c>
      <c r="G450" s="13" t="s">
        <v>22</v>
      </c>
      <c r="H450" s="14" t="s">
        <v>12</v>
      </c>
      <c r="I450" s="15" t="s">
        <v>13</v>
      </c>
    </row>
    <row r="451" spans="1:9" x14ac:dyDescent="0.2">
      <c r="A451" s="10" t="s">
        <v>8</v>
      </c>
      <c r="B451" s="11" t="s">
        <v>9</v>
      </c>
      <c r="C451" s="75" t="s">
        <v>369</v>
      </c>
      <c r="D451" s="73">
        <v>7174432</v>
      </c>
      <c r="E451" s="72">
        <v>45471</v>
      </c>
      <c r="F451" s="12">
        <v>600</v>
      </c>
      <c r="G451" s="13" t="s">
        <v>39</v>
      </c>
      <c r="H451" s="14" t="s">
        <v>12</v>
      </c>
      <c r="I451" s="15" t="s">
        <v>13</v>
      </c>
    </row>
    <row r="452" spans="1:9" x14ac:dyDescent="0.2">
      <c r="A452" s="10" t="s">
        <v>8</v>
      </c>
      <c r="B452" s="11" t="s">
        <v>9</v>
      </c>
      <c r="C452" s="75" t="s">
        <v>90</v>
      </c>
      <c r="D452" s="73">
        <v>7174365</v>
      </c>
      <c r="E452" s="72">
        <v>45470</v>
      </c>
      <c r="F452" s="12">
        <v>597.6</v>
      </c>
      <c r="G452" s="13" t="s">
        <v>123</v>
      </c>
      <c r="H452" s="14" t="s">
        <v>12</v>
      </c>
      <c r="I452" s="15" t="s">
        <v>13</v>
      </c>
    </row>
    <row r="453" spans="1:9" x14ac:dyDescent="0.2">
      <c r="A453" s="10" t="s">
        <v>8</v>
      </c>
      <c r="B453" s="11" t="s">
        <v>9</v>
      </c>
      <c r="C453" s="75" t="s">
        <v>291</v>
      </c>
      <c r="D453" s="73">
        <v>7173010</v>
      </c>
      <c r="E453" s="72">
        <v>45448</v>
      </c>
      <c r="F453" s="12">
        <v>589.5</v>
      </c>
      <c r="G453" s="13" t="s">
        <v>39</v>
      </c>
      <c r="H453" s="14" t="s">
        <v>12</v>
      </c>
      <c r="I453" s="15" t="s">
        <v>13</v>
      </c>
    </row>
    <row r="454" spans="1:9" x14ac:dyDescent="0.2">
      <c r="A454" s="10" t="s">
        <v>8</v>
      </c>
      <c r="B454" s="11" t="s">
        <v>9</v>
      </c>
      <c r="C454" s="75" t="s">
        <v>113</v>
      </c>
      <c r="D454" s="73">
        <v>7173980</v>
      </c>
      <c r="E454" s="72">
        <v>45462</v>
      </c>
      <c r="F454" s="12">
        <v>588.23</v>
      </c>
      <c r="G454" s="13" t="s">
        <v>114</v>
      </c>
      <c r="H454" s="14" t="s">
        <v>12</v>
      </c>
      <c r="I454" s="15" t="s">
        <v>13</v>
      </c>
    </row>
    <row r="455" spans="1:9" x14ac:dyDescent="0.2">
      <c r="A455" s="10" t="s">
        <v>8</v>
      </c>
      <c r="B455" s="11" t="s">
        <v>9</v>
      </c>
      <c r="C455" s="75" t="s">
        <v>93</v>
      </c>
      <c r="D455" s="73">
        <v>7173838</v>
      </c>
      <c r="E455" s="72">
        <v>45455</v>
      </c>
      <c r="F455" s="12">
        <v>588.04999999999995</v>
      </c>
      <c r="G455" s="13" t="s">
        <v>94</v>
      </c>
      <c r="H455" s="14" t="s">
        <v>12</v>
      </c>
      <c r="I455" s="15" t="s">
        <v>13</v>
      </c>
    </row>
    <row r="456" spans="1:9" x14ac:dyDescent="0.2">
      <c r="A456" s="10" t="s">
        <v>8</v>
      </c>
      <c r="B456" s="11" t="s">
        <v>9</v>
      </c>
      <c r="C456" s="75" t="s">
        <v>722</v>
      </c>
      <c r="D456" s="73">
        <v>7173803</v>
      </c>
      <c r="E456" s="72">
        <v>45457</v>
      </c>
      <c r="F456" s="12">
        <v>583.33000000000004</v>
      </c>
      <c r="G456" s="13" t="s">
        <v>27</v>
      </c>
      <c r="H456" s="14" t="s">
        <v>12</v>
      </c>
      <c r="I456" s="15" t="s">
        <v>13</v>
      </c>
    </row>
    <row r="457" spans="1:9" x14ac:dyDescent="0.2">
      <c r="A457" s="10" t="s">
        <v>8</v>
      </c>
      <c r="B457" s="11" t="s">
        <v>9</v>
      </c>
      <c r="C457" s="75" t="s">
        <v>172</v>
      </c>
      <c r="D457" s="73">
        <v>7173226</v>
      </c>
      <c r="E457" s="72">
        <v>45446</v>
      </c>
      <c r="F457" s="12">
        <v>578</v>
      </c>
      <c r="G457" s="13" t="s">
        <v>39</v>
      </c>
      <c r="H457" s="14" t="s">
        <v>12</v>
      </c>
      <c r="I457" s="15" t="s">
        <v>13</v>
      </c>
    </row>
    <row r="458" spans="1:9" x14ac:dyDescent="0.2">
      <c r="A458" s="10" t="s">
        <v>8</v>
      </c>
      <c r="B458" s="11" t="s">
        <v>9</v>
      </c>
      <c r="C458" s="75" t="s">
        <v>256</v>
      </c>
      <c r="D458" s="73">
        <v>7174223</v>
      </c>
      <c r="E458" s="72">
        <v>45467</v>
      </c>
      <c r="F458" s="12">
        <v>572.04</v>
      </c>
      <c r="G458" s="13" t="s">
        <v>131</v>
      </c>
      <c r="H458" s="14" t="s">
        <v>12</v>
      </c>
      <c r="I458" s="15" t="s">
        <v>13</v>
      </c>
    </row>
    <row r="459" spans="1:9" x14ac:dyDescent="0.2">
      <c r="A459" s="10" t="s">
        <v>8</v>
      </c>
      <c r="B459" s="11" t="s">
        <v>9</v>
      </c>
      <c r="C459" s="75" t="s">
        <v>277</v>
      </c>
      <c r="D459" s="73">
        <v>7174293</v>
      </c>
      <c r="E459" s="72">
        <v>45468</v>
      </c>
      <c r="F459" s="12">
        <v>572</v>
      </c>
      <c r="G459" s="13" t="s">
        <v>392</v>
      </c>
      <c r="H459" s="14" t="s">
        <v>12</v>
      </c>
      <c r="I459" s="15" t="s">
        <v>13</v>
      </c>
    </row>
    <row r="460" spans="1:9" x14ac:dyDescent="0.2">
      <c r="A460" s="10" t="s">
        <v>8</v>
      </c>
      <c r="B460" s="11" t="s">
        <v>9</v>
      </c>
      <c r="C460" s="75" t="s">
        <v>202</v>
      </c>
      <c r="D460" s="73">
        <v>7174420</v>
      </c>
      <c r="E460" s="72">
        <v>45470</v>
      </c>
      <c r="F460" s="12">
        <v>568</v>
      </c>
      <c r="G460" s="13" t="s">
        <v>203</v>
      </c>
      <c r="H460" s="14" t="s">
        <v>12</v>
      </c>
      <c r="I460" s="15" t="s">
        <v>13</v>
      </c>
    </row>
    <row r="461" spans="1:9" x14ac:dyDescent="0.2">
      <c r="A461" s="10" t="s">
        <v>8</v>
      </c>
      <c r="B461" s="11" t="s">
        <v>9</v>
      </c>
      <c r="C461" s="75" t="s">
        <v>135</v>
      </c>
      <c r="D461" s="73">
        <v>7173806</v>
      </c>
      <c r="E461" s="72">
        <v>45455</v>
      </c>
      <c r="F461" s="12">
        <v>562.5</v>
      </c>
      <c r="G461" s="13" t="s">
        <v>40</v>
      </c>
      <c r="H461" s="14" t="s">
        <v>12</v>
      </c>
      <c r="I461" s="15" t="s">
        <v>13</v>
      </c>
    </row>
    <row r="462" spans="1:9" x14ac:dyDescent="0.2">
      <c r="A462" s="10" t="s">
        <v>8</v>
      </c>
      <c r="B462" s="11" t="s">
        <v>9</v>
      </c>
      <c r="C462" s="75" t="s">
        <v>721</v>
      </c>
      <c r="D462" s="73">
        <v>7174324</v>
      </c>
      <c r="E462" s="72">
        <v>45468</v>
      </c>
      <c r="F462" s="12">
        <v>562.5</v>
      </c>
      <c r="G462" s="13" t="s">
        <v>22</v>
      </c>
      <c r="H462" s="14" t="s">
        <v>12</v>
      </c>
      <c r="I462" s="15" t="s">
        <v>13</v>
      </c>
    </row>
    <row r="463" spans="1:9" x14ac:dyDescent="0.2">
      <c r="A463" s="10" t="s">
        <v>8</v>
      </c>
      <c r="B463" s="11" t="s">
        <v>9</v>
      </c>
      <c r="C463" s="75" t="s">
        <v>419</v>
      </c>
      <c r="D463" s="73">
        <v>7173941</v>
      </c>
      <c r="E463" s="72">
        <v>45457</v>
      </c>
      <c r="F463" s="12">
        <v>561</v>
      </c>
      <c r="G463" s="13" t="s">
        <v>22</v>
      </c>
      <c r="H463" s="14" t="s">
        <v>12</v>
      </c>
      <c r="I463" s="15" t="s">
        <v>13</v>
      </c>
    </row>
    <row r="464" spans="1:9" x14ac:dyDescent="0.2">
      <c r="A464" s="10" t="s">
        <v>8</v>
      </c>
      <c r="B464" s="11" t="s">
        <v>9</v>
      </c>
      <c r="C464" s="75" t="s">
        <v>419</v>
      </c>
      <c r="D464" s="73">
        <v>7173942</v>
      </c>
      <c r="E464" s="72">
        <v>45457</v>
      </c>
      <c r="F464" s="12">
        <v>561</v>
      </c>
      <c r="G464" s="13" t="s">
        <v>22</v>
      </c>
      <c r="H464" s="14" t="s">
        <v>12</v>
      </c>
      <c r="I464" s="15" t="s">
        <v>13</v>
      </c>
    </row>
    <row r="465" spans="1:9" x14ac:dyDescent="0.2">
      <c r="A465" s="10" t="s">
        <v>8</v>
      </c>
      <c r="B465" s="11" t="s">
        <v>9</v>
      </c>
      <c r="C465" s="75" t="s">
        <v>283</v>
      </c>
      <c r="D465" s="73">
        <v>7173801</v>
      </c>
      <c r="E465" s="72">
        <v>45455</v>
      </c>
      <c r="F465" s="12">
        <v>561</v>
      </c>
      <c r="G465" s="13" t="s">
        <v>40</v>
      </c>
      <c r="H465" s="14" t="s">
        <v>12</v>
      </c>
      <c r="I465" s="15" t="s">
        <v>13</v>
      </c>
    </row>
    <row r="466" spans="1:9" x14ac:dyDescent="0.2">
      <c r="A466" s="10" t="s">
        <v>8</v>
      </c>
      <c r="B466" s="11" t="s">
        <v>9</v>
      </c>
      <c r="C466" s="75" t="s">
        <v>260</v>
      </c>
      <c r="D466" s="73">
        <v>7173898</v>
      </c>
      <c r="E466" s="72">
        <v>45457</v>
      </c>
      <c r="F466" s="12">
        <v>554.74</v>
      </c>
      <c r="G466" s="13" t="s">
        <v>261</v>
      </c>
      <c r="H466" s="14" t="s">
        <v>12</v>
      </c>
      <c r="I466" s="15" t="s">
        <v>13</v>
      </c>
    </row>
    <row r="467" spans="1:9" x14ac:dyDescent="0.2">
      <c r="A467" s="10" t="s">
        <v>8</v>
      </c>
      <c r="B467" s="11" t="s">
        <v>9</v>
      </c>
      <c r="C467" s="75" t="s">
        <v>256</v>
      </c>
      <c r="D467" s="73">
        <v>7174227</v>
      </c>
      <c r="E467" s="72">
        <v>45467</v>
      </c>
      <c r="F467" s="12">
        <v>551.20000000000005</v>
      </c>
      <c r="G467" s="13" t="s">
        <v>131</v>
      </c>
      <c r="H467" s="14" t="s">
        <v>12</v>
      </c>
      <c r="I467" s="15" t="s">
        <v>13</v>
      </c>
    </row>
    <row r="468" spans="1:9" x14ac:dyDescent="0.2">
      <c r="A468" s="10" t="s">
        <v>8</v>
      </c>
      <c r="B468" s="11" t="s">
        <v>9</v>
      </c>
      <c r="C468" s="75" t="s">
        <v>371</v>
      </c>
      <c r="D468" s="73">
        <v>7174475</v>
      </c>
      <c r="E468" s="72">
        <v>45471</v>
      </c>
      <c r="F468" s="12">
        <v>550</v>
      </c>
      <c r="G468" s="13" t="s">
        <v>330</v>
      </c>
      <c r="H468" s="14" t="s">
        <v>12</v>
      </c>
      <c r="I468" s="15" t="s">
        <v>13</v>
      </c>
    </row>
    <row r="469" spans="1:9" x14ac:dyDescent="0.2">
      <c r="A469" s="10" t="s">
        <v>8</v>
      </c>
      <c r="B469" s="11" t="s">
        <v>9</v>
      </c>
      <c r="C469" s="75" t="s">
        <v>717</v>
      </c>
      <c r="D469" s="73">
        <v>7173566</v>
      </c>
      <c r="E469" s="72">
        <v>45449</v>
      </c>
      <c r="F469" s="12">
        <v>541.70000000000005</v>
      </c>
      <c r="G469" s="13" t="s">
        <v>22</v>
      </c>
      <c r="H469" s="14" t="s">
        <v>12</v>
      </c>
      <c r="I469" s="15" t="s">
        <v>13</v>
      </c>
    </row>
    <row r="470" spans="1:9" x14ac:dyDescent="0.2">
      <c r="A470" s="10" t="s">
        <v>8</v>
      </c>
      <c r="B470" s="11" t="s">
        <v>9</v>
      </c>
      <c r="C470" s="75" t="s">
        <v>717</v>
      </c>
      <c r="D470" s="73">
        <v>7173567</v>
      </c>
      <c r="E470" s="72">
        <v>45449</v>
      </c>
      <c r="F470" s="12">
        <v>541.70000000000005</v>
      </c>
      <c r="G470" s="13" t="s">
        <v>22</v>
      </c>
      <c r="H470" s="14" t="s">
        <v>12</v>
      </c>
      <c r="I470" s="15" t="s">
        <v>13</v>
      </c>
    </row>
    <row r="471" spans="1:9" x14ac:dyDescent="0.2">
      <c r="A471" s="10" t="s">
        <v>8</v>
      </c>
      <c r="B471" s="11" t="s">
        <v>9</v>
      </c>
      <c r="C471" s="75" t="s">
        <v>292</v>
      </c>
      <c r="D471" s="73">
        <v>7173702</v>
      </c>
      <c r="E471" s="72">
        <v>45454</v>
      </c>
      <c r="F471" s="12">
        <v>541.66</v>
      </c>
      <c r="G471" s="13" t="s">
        <v>84</v>
      </c>
      <c r="H471" s="14" t="s">
        <v>12</v>
      </c>
      <c r="I471" s="15" t="s">
        <v>13</v>
      </c>
    </row>
    <row r="472" spans="1:9" x14ac:dyDescent="0.2">
      <c r="A472" s="10" t="s">
        <v>8</v>
      </c>
      <c r="B472" s="11" t="s">
        <v>9</v>
      </c>
      <c r="C472" s="75" t="s">
        <v>411</v>
      </c>
      <c r="D472" s="73">
        <v>7173826</v>
      </c>
      <c r="E472" s="72">
        <v>45455</v>
      </c>
      <c r="F472" s="12">
        <v>540.4</v>
      </c>
      <c r="G472" s="13" t="s">
        <v>42</v>
      </c>
      <c r="H472" s="14" t="s">
        <v>12</v>
      </c>
      <c r="I472" s="15" t="s">
        <v>13</v>
      </c>
    </row>
    <row r="473" spans="1:9" x14ac:dyDescent="0.2">
      <c r="A473" s="10" t="s">
        <v>8</v>
      </c>
      <c r="B473" s="11" t="s">
        <v>9</v>
      </c>
      <c r="C473" s="75" t="s">
        <v>419</v>
      </c>
      <c r="D473" s="73">
        <v>7173641</v>
      </c>
      <c r="E473" s="72">
        <v>45450</v>
      </c>
      <c r="F473" s="12">
        <v>535</v>
      </c>
      <c r="G473" s="13" t="s">
        <v>22</v>
      </c>
      <c r="H473" s="14" t="s">
        <v>12</v>
      </c>
      <c r="I473" s="15" t="s">
        <v>13</v>
      </c>
    </row>
    <row r="474" spans="1:9" x14ac:dyDescent="0.2">
      <c r="A474" s="10" t="s">
        <v>8</v>
      </c>
      <c r="B474" s="11" t="s">
        <v>9</v>
      </c>
      <c r="C474" s="75" t="s">
        <v>720</v>
      </c>
      <c r="D474" s="73">
        <v>7173972</v>
      </c>
      <c r="E474" s="72">
        <v>45460</v>
      </c>
      <c r="F474" s="12">
        <v>525</v>
      </c>
      <c r="G474" s="13" t="s">
        <v>123</v>
      </c>
      <c r="H474" s="14" t="s">
        <v>12</v>
      </c>
      <c r="I474" s="15" t="s">
        <v>13</v>
      </c>
    </row>
    <row r="475" spans="1:9" x14ac:dyDescent="0.2">
      <c r="A475" s="10" t="s">
        <v>8</v>
      </c>
      <c r="B475" s="11" t="s">
        <v>9</v>
      </c>
      <c r="C475" s="75" t="s">
        <v>369</v>
      </c>
      <c r="D475" s="73">
        <v>7174419</v>
      </c>
      <c r="E475" s="72">
        <v>45470</v>
      </c>
      <c r="F475" s="12">
        <v>525</v>
      </c>
      <c r="G475" s="13" t="s">
        <v>39</v>
      </c>
      <c r="H475" s="14" t="s">
        <v>12</v>
      </c>
      <c r="I475" s="15" t="s">
        <v>13</v>
      </c>
    </row>
    <row r="476" spans="1:9" x14ac:dyDescent="0.2">
      <c r="A476" s="10" t="s">
        <v>8</v>
      </c>
      <c r="B476" s="11" t="s">
        <v>9</v>
      </c>
      <c r="C476" s="75" t="s">
        <v>719</v>
      </c>
      <c r="D476" s="73">
        <v>7174356</v>
      </c>
      <c r="E476" s="72">
        <v>45470</v>
      </c>
      <c r="F476" s="12">
        <v>524.97</v>
      </c>
      <c r="G476" s="13" t="s">
        <v>106</v>
      </c>
      <c r="H476" s="14" t="s">
        <v>12</v>
      </c>
      <c r="I476" s="15" t="s">
        <v>13</v>
      </c>
    </row>
    <row r="477" spans="1:9" x14ac:dyDescent="0.2">
      <c r="A477" s="10" t="s">
        <v>8</v>
      </c>
      <c r="B477" s="11" t="s">
        <v>9</v>
      </c>
      <c r="C477" s="75" t="s">
        <v>222</v>
      </c>
      <c r="D477" s="73">
        <v>7173779</v>
      </c>
      <c r="E477" s="72">
        <v>45462</v>
      </c>
      <c r="F477" s="12">
        <v>522</v>
      </c>
      <c r="G477" s="13" t="s">
        <v>22</v>
      </c>
      <c r="H477" s="14" t="s">
        <v>12</v>
      </c>
      <c r="I477" s="15" t="s">
        <v>13</v>
      </c>
    </row>
    <row r="478" spans="1:9" x14ac:dyDescent="0.2">
      <c r="A478" s="10" t="s">
        <v>8</v>
      </c>
      <c r="B478" s="11" t="s">
        <v>9</v>
      </c>
      <c r="C478" s="75" t="s">
        <v>71</v>
      </c>
      <c r="D478" s="73">
        <v>7173504</v>
      </c>
      <c r="E478" s="72">
        <v>45447</v>
      </c>
      <c r="F478" s="12">
        <v>521.52</v>
      </c>
      <c r="G478" s="13" t="s">
        <v>345</v>
      </c>
      <c r="H478" s="14" t="s">
        <v>12</v>
      </c>
      <c r="I478" s="15" t="s">
        <v>13</v>
      </c>
    </row>
    <row r="479" spans="1:9" x14ac:dyDescent="0.2">
      <c r="A479" s="10" t="s">
        <v>8</v>
      </c>
      <c r="B479" s="11" t="s">
        <v>9</v>
      </c>
      <c r="C479" s="75" t="s">
        <v>71</v>
      </c>
      <c r="D479" s="73">
        <v>7173503</v>
      </c>
      <c r="E479" s="72">
        <v>45447</v>
      </c>
      <c r="F479" s="12">
        <v>521.52</v>
      </c>
      <c r="G479" s="13" t="s">
        <v>345</v>
      </c>
      <c r="H479" s="14" t="s">
        <v>12</v>
      </c>
      <c r="I479" s="15" t="s">
        <v>13</v>
      </c>
    </row>
    <row r="480" spans="1:9" x14ac:dyDescent="0.2">
      <c r="A480" s="10" t="s">
        <v>8</v>
      </c>
      <c r="B480" s="11" t="s">
        <v>9</v>
      </c>
      <c r="C480" s="75" t="s">
        <v>71</v>
      </c>
      <c r="D480" s="73">
        <v>7173501</v>
      </c>
      <c r="E480" s="72">
        <v>45447</v>
      </c>
      <c r="F480" s="12">
        <v>521.52</v>
      </c>
      <c r="G480" s="13" t="s">
        <v>345</v>
      </c>
      <c r="H480" s="14" t="s">
        <v>12</v>
      </c>
      <c r="I480" s="15" t="s">
        <v>13</v>
      </c>
    </row>
    <row r="481" spans="1:9" x14ac:dyDescent="0.2">
      <c r="A481" s="10" t="s">
        <v>8</v>
      </c>
      <c r="B481" s="11" t="s">
        <v>9</v>
      </c>
      <c r="C481" s="75" t="s">
        <v>71</v>
      </c>
      <c r="D481" s="73">
        <v>7173500</v>
      </c>
      <c r="E481" s="72">
        <v>45447</v>
      </c>
      <c r="F481" s="12">
        <v>521.52</v>
      </c>
      <c r="G481" s="13" t="s">
        <v>345</v>
      </c>
      <c r="H481" s="14" t="s">
        <v>12</v>
      </c>
      <c r="I481" s="15" t="s">
        <v>13</v>
      </c>
    </row>
    <row r="482" spans="1:9" x14ac:dyDescent="0.2">
      <c r="A482" s="10" t="s">
        <v>8</v>
      </c>
      <c r="B482" s="11" t="s">
        <v>9</v>
      </c>
      <c r="C482" s="75" t="s">
        <v>260</v>
      </c>
      <c r="D482" s="73">
        <v>7174179</v>
      </c>
      <c r="E482" s="72">
        <v>45464</v>
      </c>
      <c r="F482" s="12">
        <v>520.84</v>
      </c>
      <c r="G482" s="13" t="s">
        <v>131</v>
      </c>
      <c r="H482" s="14" t="s">
        <v>12</v>
      </c>
      <c r="I482" s="15" t="s">
        <v>13</v>
      </c>
    </row>
    <row r="483" spans="1:9" x14ac:dyDescent="0.2">
      <c r="A483" s="10" t="s">
        <v>8</v>
      </c>
      <c r="B483" s="11" t="s">
        <v>9</v>
      </c>
      <c r="C483" s="75" t="s">
        <v>718</v>
      </c>
      <c r="D483" s="73">
        <v>7174047</v>
      </c>
      <c r="E483" s="72">
        <v>45462</v>
      </c>
      <c r="F483" s="12">
        <v>515</v>
      </c>
      <c r="G483" s="13" t="s">
        <v>94</v>
      </c>
      <c r="H483" s="14" t="s">
        <v>12</v>
      </c>
      <c r="I483" s="15" t="s">
        <v>13</v>
      </c>
    </row>
    <row r="484" spans="1:9" x14ac:dyDescent="0.2">
      <c r="A484" s="10" t="s">
        <v>8</v>
      </c>
      <c r="B484" s="11" t="s">
        <v>9</v>
      </c>
      <c r="C484" s="75" t="s">
        <v>256</v>
      </c>
      <c r="D484" s="73">
        <v>7174235</v>
      </c>
      <c r="E484" s="72">
        <v>45467</v>
      </c>
      <c r="F484" s="12">
        <v>512.03</v>
      </c>
      <c r="G484" s="13" t="s">
        <v>131</v>
      </c>
      <c r="H484" s="14" t="s">
        <v>12</v>
      </c>
      <c r="I484" s="15" t="s">
        <v>13</v>
      </c>
    </row>
    <row r="485" spans="1:9" x14ac:dyDescent="0.2">
      <c r="A485" s="10" t="s">
        <v>8</v>
      </c>
      <c r="B485" s="11" t="s">
        <v>9</v>
      </c>
      <c r="C485" s="75" t="s">
        <v>260</v>
      </c>
      <c r="D485" s="73">
        <v>7173809</v>
      </c>
      <c r="E485" s="72">
        <v>45455</v>
      </c>
      <c r="F485" s="12">
        <v>508.42</v>
      </c>
      <c r="G485" s="13" t="s">
        <v>261</v>
      </c>
      <c r="H485" s="14" t="s">
        <v>12</v>
      </c>
      <c r="I485" s="15" t="s">
        <v>13</v>
      </c>
    </row>
    <row r="486" spans="1:9" x14ac:dyDescent="0.2">
      <c r="A486" s="10" t="s">
        <v>8</v>
      </c>
      <c r="B486" s="11" t="s">
        <v>9</v>
      </c>
      <c r="C486" s="75" t="s">
        <v>479</v>
      </c>
      <c r="D486" s="73">
        <v>7173530</v>
      </c>
      <c r="E486" s="72">
        <v>45448</v>
      </c>
      <c r="F486" s="12">
        <v>508</v>
      </c>
      <c r="G486" s="13" t="s">
        <v>75</v>
      </c>
      <c r="H486" s="14" t="s">
        <v>12</v>
      </c>
      <c r="I486" s="15" t="s">
        <v>13</v>
      </c>
    </row>
    <row r="487" spans="1:9" x14ac:dyDescent="0.2">
      <c r="A487" s="10" t="s">
        <v>8</v>
      </c>
      <c r="B487" s="11" t="s">
        <v>9</v>
      </c>
      <c r="C487" s="75" t="s">
        <v>640</v>
      </c>
      <c r="D487" s="73">
        <v>7174130</v>
      </c>
      <c r="E487" s="72">
        <v>45463</v>
      </c>
      <c r="F487" s="12">
        <v>500.12</v>
      </c>
      <c r="G487" s="13" t="s">
        <v>131</v>
      </c>
      <c r="H487" s="14" t="s">
        <v>12</v>
      </c>
      <c r="I487" s="15" t="s">
        <v>13</v>
      </c>
    </row>
    <row r="488" spans="1:9" x14ac:dyDescent="0.2">
      <c r="A488" s="10" t="s">
        <v>8</v>
      </c>
      <c r="B488" s="11" t="s">
        <v>9</v>
      </c>
      <c r="C488" s="75" t="s">
        <v>267</v>
      </c>
      <c r="D488" s="73">
        <v>7173425</v>
      </c>
      <c r="E488" s="72">
        <v>45446</v>
      </c>
      <c r="F488" s="12">
        <v>500</v>
      </c>
      <c r="G488" s="13" t="s">
        <v>106</v>
      </c>
      <c r="H488" s="14" t="s">
        <v>12</v>
      </c>
      <c r="I488" s="15" t="s">
        <v>13</v>
      </c>
    </row>
    <row r="489" spans="1:9" x14ac:dyDescent="0.2">
      <c r="A489" s="10" t="s">
        <v>8</v>
      </c>
      <c r="B489" s="11" t="s">
        <v>9</v>
      </c>
      <c r="C489" s="75" t="s">
        <v>369</v>
      </c>
      <c r="D489" s="73">
        <v>7174418</v>
      </c>
      <c r="E489" s="72">
        <v>45470</v>
      </c>
      <c r="F489" s="12">
        <v>500</v>
      </c>
      <c r="G489" s="13" t="s">
        <v>39</v>
      </c>
      <c r="H489" s="14" t="s">
        <v>12</v>
      </c>
      <c r="I489" s="15" t="s">
        <v>13</v>
      </c>
    </row>
    <row r="490" spans="1:9" x14ac:dyDescent="0.2">
      <c r="A490" s="10" t="s">
        <v>8</v>
      </c>
      <c r="B490" s="11" t="s">
        <v>9</v>
      </c>
      <c r="C490" s="75" t="s">
        <v>717</v>
      </c>
      <c r="D490" s="73">
        <v>7173460</v>
      </c>
      <c r="E490" s="72">
        <v>45447</v>
      </c>
      <c r="F490" s="12">
        <v>-632.70000000000005</v>
      </c>
      <c r="G490" s="13" t="s">
        <v>22</v>
      </c>
      <c r="H490" s="14" t="s">
        <v>12</v>
      </c>
      <c r="I490" s="15" t="s">
        <v>13</v>
      </c>
    </row>
    <row r="491" spans="1:9" x14ac:dyDescent="0.2">
      <c r="A491" s="10" t="s">
        <v>8</v>
      </c>
      <c r="B491" s="11" t="s">
        <v>9</v>
      </c>
      <c r="C491" s="75" t="s">
        <v>328</v>
      </c>
      <c r="D491" s="73">
        <v>7173461</v>
      </c>
      <c r="E491" s="72">
        <v>45447</v>
      </c>
      <c r="F491" s="12">
        <v>-645</v>
      </c>
      <c r="G491" s="13" t="s">
        <v>131</v>
      </c>
      <c r="H491" s="14" t="s">
        <v>12</v>
      </c>
      <c r="I491" s="15" t="s">
        <v>13</v>
      </c>
    </row>
    <row r="492" spans="1:9" x14ac:dyDescent="0.2">
      <c r="A492" s="10" t="s">
        <v>8</v>
      </c>
      <c r="B492" s="11" t="s">
        <v>9</v>
      </c>
      <c r="C492" s="75" t="s">
        <v>328</v>
      </c>
      <c r="D492" s="73">
        <v>7173462</v>
      </c>
      <c r="E492" s="72">
        <v>45447</v>
      </c>
      <c r="F492" s="12">
        <v>-645</v>
      </c>
      <c r="G492" s="13" t="s">
        <v>131</v>
      </c>
      <c r="H492" s="14" t="s">
        <v>12</v>
      </c>
      <c r="I492" s="15" t="s">
        <v>13</v>
      </c>
    </row>
    <row r="493" spans="1:9" x14ac:dyDescent="0.2">
      <c r="A493" s="10" t="s">
        <v>8</v>
      </c>
      <c r="B493" s="11" t="s">
        <v>9</v>
      </c>
      <c r="C493" s="75" t="s">
        <v>252</v>
      </c>
      <c r="D493" s="73">
        <v>7173816</v>
      </c>
      <c r="E493" s="72">
        <v>45456</v>
      </c>
      <c r="F493" s="12">
        <v>-1123.2</v>
      </c>
      <c r="G493" s="13" t="s">
        <v>148</v>
      </c>
      <c r="H493" s="14" t="s">
        <v>12</v>
      </c>
      <c r="I493" s="15" t="s">
        <v>13</v>
      </c>
    </row>
    <row r="494" spans="1:9" x14ac:dyDescent="0.2">
      <c r="A494" s="10" t="s">
        <v>8</v>
      </c>
      <c r="B494" s="11" t="s">
        <v>9</v>
      </c>
      <c r="C494" s="75" t="s">
        <v>276</v>
      </c>
      <c r="D494" s="73">
        <v>7173876</v>
      </c>
      <c r="E494" s="72">
        <v>45456</v>
      </c>
      <c r="F494" s="12">
        <v>-1744.61</v>
      </c>
      <c r="G494" s="13" t="s">
        <v>40</v>
      </c>
      <c r="H494" s="14" t="s">
        <v>12</v>
      </c>
      <c r="I494" s="15" t="s">
        <v>13</v>
      </c>
    </row>
    <row r="495" spans="1:9" x14ac:dyDescent="0.2">
      <c r="A495" s="10" t="s">
        <v>8</v>
      </c>
      <c r="B495" s="11" t="s">
        <v>9</v>
      </c>
      <c r="C495" s="75" t="s">
        <v>140</v>
      </c>
      <c r="D495" s="73">
        <v>7173397</v>
      </c>
      <c r="E495" s="72">
        <v>45448</v>
      </c>
      <c r="F495" s="12">
        <v>-2082.54</v>
      </c>
      <c r="G495" s="13" t="s">
        <v>34</v>
      </c>
      <c r="H495" s="14" t="s">
        <v>12</v>
      </c>
      <c r="I495" s="15" t="s">
        <v>13</v>
      </c>
    </row>
    <row r="496" spans="1:9" x14ac:dyDescent="0.2">
      <c r="A496" s="10" t="s">
        <v>8</v>
      </c>
      <c r="B496" s="11" t="s">
        <v>9</v>
      </c>
      <c r="C496" s="75" t="s">
        <v>140</v>
      </c>
      <c r="D496" s="73">
        <v>7173396</v>
      </c>
      <c r="E496" s="72">
        <v>45448</v>
      </c>
      <c r="F496" s="12">
        <v>-9047.7000000000007</v>
      </c>
      <c r="G496" s="13" t="s">
        <v>34</v>
      </c>
      <c r="H496" s="14" t="s">
        <v>12</v>
      </c>
      <c r="I496" s="15" t="s">
        <v>13</v>
      </c>
    </row>
    <row r="497" spans="1:9" x14ac:dyDescent="0.2">
      <c r="A497" s="10" t="s">
        <v>8</v>
      </c>
      <c r="B497" s="11" t="s">
        <v>9</v>
      </c>
      <c r="C497" s="75" t="s">
        <v>140</v>
      </c>
      <c r="D497" s="73">
        <v>7173395</v>
      </c>
      <c r="E497" s="72">
        <v>45448</v>
      </c>
      <c r="F497" s="12">
        <v>-105151.89</v>
      </c>
      <c r="G497" s="13" t="s">
        <v>34</v>
      </c>
      <c r="H497" s="14" t="s">
        <v>12</v>
      </c>
      <c r="I497" s="15" t="s">
        <v>13</v>
      </c>
    </row>
    <row r="498" spans="1:9" x14ac:dyDescent="0.2">
      <c r="A498" s="10" t="s">
        <v>8</v>
      </c>
      <c r="B498" s="11" t="s">
        <v>9</v>
      </c>
      <c r="C498" s="75" t="s">
        <v>51</v>
      </c>
      <c r="D498" s="73">
        <v>7174188</v>
      </c>
      <c r="E498" s="72">
        <v>45464</v>
      </c>
      <c r="F498" s="12">
        <v>-169850</v>
      </c>
      <c r="G498" s="13" t="s">
        <v>15</v>
      </c>
      <c r="H498" s="14" t="s">
        <v>12</v>
      </c>
      <c r="I498" s="15" t="s">
        <v>13</v>
      </c>
    </row>
    <row r="499" spans="1:9" x14ac:dyDescent="0.2">
      <c r="A499" s="10" t="s">
        <v>8</v>
      </c>
      <c r="B499" s="11" t="s">
        <v>9</v>
      </c>
      <c r="C499" s="75"/>
      <c r="D499" s="73"/>
      <c r="E499" s="72"/>
      <c r="F499" s="12"/>
      <c r="G499" s="13"/>
      <c r="H499" s="14" t="str">
        <f t="shared" ref="H499:H544" si="0">IF(F499&gt;25000,"C",IF(F499&gt;1000,"B","A"))</f>
        <v>A</v>
      </c>
      <c r="I499" s="15" t="str">
        <f t="shared" ref="I499:I544" si="1">VLOOKUP(H499,$L$2:$M$4,2,FALSE)</f>
        <v>The Commissioner &amp; Chief Constable are satisfied the spend represents VFM in accordance with the requirements of Category A</v>
      </c>
    </row>
    <row r="500" spans="1:9" x14ac:dyDescent="0.2">
      <c r="A500" s="10" t="s">
        <v>8</v>
      </c>
      <c r="B500" s="11" t="s">
        <v>9</v>
      </c>
      <c r="C500" s="75"/>
      <c r="D500" s="73"/>
      <c r="E500" s="72"/>
      <c r="F500" s="12"/>
      <c r="G500" s="13"/>
      <c r="H500" s="14" t="str">
        <f t="shared" si="0"/>
        <v>A</v>
      </c>
      <c r="I500" s="15" t="str">
        <f t="shared" si="1"/>
        <v>The Commissioner &amp; Chief Constable are satisfied the spend represents VFM in accordance with the requirements of Category A</v>
      </c>
    </row>
    <row r="501" spans="1:9" x14ac:dyDescent="0.2">
      <c r="A501" s="10" t="s">
        <v>8</v>
      </c>
      <c r="B501" s="11" t="s">
        <v>9</v>
      </c>
      <c r="C501" s="76"/>
      <c r="D501" s="73"/>
      <c r="E501" s="72"/>
      <c r="F501" s="12"/>
      <c r="G501" s="13"/>
      <c r="H501" s="14" t="str">
        <f t="shared" si="0"/>
        <v>A</v>
      </c>
      <c r="I501" s="15" t="str">
        <f t="shared" si="1"/>
        <v>The Commissioner &amp; Chief Constable are satisfied the spend represents VFM in accordance with the requirements of Category A</v>
      </c>
    </row>
    <row r="502" spans="1:9" x14ac:dyDescent="0.2">
      <c r="A502" s="10" t="s">
        <v>8</v>
      </c>
      <c r="B502" s="11" t="s">
        <v>9</v>
      </c>
      <c r="C502" s="76"/>
      <c r="D502" s="73"/>
      <c r="E502" s="72"/>
      <c r="F502" s="12"/>
      <c r="G502" s="13"/>
      <c r="H502" s="14" t="str">
        <f t="shared" si="0"/>
        <v>A</v>
      </c>
      <c r="I502" s="15" t="str">
        <f t="shared" si="1"/>
        <v>The Commissioner &amp; Chief Constable are satisfied the spend represents VFM in accordance with the requirements of Category A</v>
      </c>
    </row>
    <row r="503" spans="1:9" x14ac:dyDescent="0.2">
      <c r="A503" s="10" t="s">
        <v>8</v>
      </c>
      <c r="B503" s="11" t="s">
        <v>9</v>
      </c>
      <c r="C503" s="75"/>
      <c r="D503" s="73"/>
      <c r="E503" s="72"/>
      <c r="F503" s="12"/>
      <c r="G503" s="13"/>
      <c r="H503" s="14" t="str">
        <f t="shared" si="0"/>
        <v>A</v>
      </c>
      <c r="I503" s="15" t="str">
        <f t="shared" si="1"/>
        <v>The Commissioner &amp; Chief Constable are satisfied the spend represents VFM in accordance with the requirements of Category A</v>
      </c>
    </row>
    <row r="504" spans="1:9" x14ac:dyDescent="0.2">
      <c r="A504" s="10" t="s">
        <v>8</v>
      </c>
      <c r="B504" s="11" t="s">
        <v>9</v>
      </c>
      <c r="C504" s="75"/>
      <c r="D504" s="73"/>
      <c r="E504" s="72"/>
      <c r="F504" s="12"/>
      <c r="G504" s="13"/>
      <c r="H504" s="14" t="str">
        <f t="shared" si="0"/>
        <v>A</v>
      </c>
      <c r="I504" s="15" t="str">
        <f t="shared" si="1"/>
        <v>The Commissioner &amp; Chief Constable are satisfied the spend represents VFM in accordance with the requirements of Category A</v>
      </c>
    </row>
    <row r="505" spans="1:9" x14ac:dyDescent="0.2">
      <c r="A505" s="10" t="s">
        <v>8</v>
      </c>
      <c r="B505" s="11" t="s">
        <v>9</v>
      </c>
      <c r="C505" s="75"/>
      <c r="D505" s="73"/>
      <c r="E505" s="72"/>
      <c r="F505" s="12"/>
      <c r="G505" s="13"/>
      <c r="H505" s="14" t="str">
        <f t="shared" si="0"/>
        <v>A</v>
      </c>
      <c r="I505" s="15" t="str">
        <f t="shared" si="1"/>
        <v>The Commissioner &amp; Chief Constable are satisfied the spend represents VFM in accordance with the requirements of Category A</v>
      </c>
    </row>
    <row r="506" spans="1:9" x14ac:dyDescent="0.2">
      <c r="A506" s="10" t="s">
        <v>8</v>
      </c>
      <c r="B506" s="11" t="s">
        <v>9</v>
      </c>
      <c r="C506" s="75"/>
      <c r="D506" s="73"/>
      <c r="E506" s="72"/>
      <c r="F506" s="12"/>
      <c r="G506" s="13"/>
      <c r="H506" s="14" t="str">
        <f t="shared" si="0"/>
        <v>A</v>
      </c>
      <c r="I506" s="15" t="str">
        <f t="shared" si="1"/>
        <v>The Commissioner &amp; Chief Constable are satisfied the spend represents VFM in accordance with the requirements of Category A</v>
      </c>
    </row>
    <row r="507" spans="1:9" x14ac:dyDescent="0.2">
      <c r="A507" s="10" t="s">
        <v>8</v>
      </c>
      <c r="B507" s="11" t="s">
        <v>9</v>
      </c>
      <c r="C507" s="75"/>
      <c r="D507" s="73"/>
      <c r="E507" s="72"/>
      <c r="F507" s="12"/>
      <c r="G507" s="13"/>
      <c r="H507" s="14" t="str">
        <f t="shared" si="0"/>
        <v>A</v>
      </c>
      <c r="I507" s="15" t="str">
        <f t="shared" si="1"/>
        <v>The Commissioner &amp; Chief Constable are satisfied the spend represents VFM in accordance with the requirements of Category A</v>
      </c>
    </row>
    <row r="508" spans="1:9" x14ac:dyDescent="0.2">
      <c r="A508" s="10" t="s">
        <v>8</v>
      </c>
      <c r="B508" s="11" t="s">
        <v>9</v>
      </c>
      <c r="C508" s="75"/>
      <c r="D508" s="73"/>
      <c r="E508" s="72"/>
      <c r="F508" s="12"/>
      <c r="G508" s="13"/>
      <c r="H508" s="14" t="str">
        <f t="shared" si="0"/>
        <v>A</v>
      </c>
      <c r="I508" s="15" t="str">
        <f t="shared" si="1"/>
        <v>The Commissioner &amp; Chief Constable are satisfied the spend represents VFM in accordance with the requirements of Category A</v>
      </c>
    </row>
    <row r="509" spans="1:9" x14ac:dyDescent="0.2">
      <c r="A509" s="10" t="s">
        <v>8</v>
      </c>
      <c r="B509" s="11" t="s">
        <v>9</v>
      </c>
      <c r="C509" s="75"/>
      <c r="D509" s="73"/>
      <c r="E509" s="72"/>
      <c r="F509" s="12"/>
      <c r="G509" s="13"/>
      <c r="H509" s="14" t="str">
        <f t="shared" si="0"/>
        <v>A</v>
      </c>
      <c r="I509" s="15" t="str">
        <f t="shared" si="1"/>
        <v>The Commissioner &amp; Chief Constable are satisfied the spend represents VFM in accordance with the requirements of Category A</v>
      </c>
    </row>
    <row r="510" spans="1:9" x14ac:dyDescent="0.2">
      <c r="A510" s="10" t="s">
        <v>8</v>
      </c>
      <c r="B510" s="11" t="s">
        <v>9</v>
      </c>
      <c r="C510" s="75"/>
      <c r="D510" s="73"/>
      <c r="E510" s="72"/>
      <c r="F510" s="12"/>
      <c r="G510" s="13"/>
      <c r="H510" s="14" t="str">
        <f t="shared" si="0"/>
        <v>A</v>
      </c>
      <c r="I510" s="15" t="str">
        <f t="shared" si="1"/>
        <v>The Commissioner &amp; Chief Constable are satisfied the spend represents VFM in accordance with the requirements of Category A</v>
      </c>
    </row>
    <row r="511" spans="1:9" x14ac:dyDescent="0.2">
      <c r="A511" s="10" t="s">
        <v>8</v>
      </c>
      <c r="B511" s="11" t="s">
        <v>9</v>
      </c>
      <c r="C511" s="75"/>
      <c r="D511" s="73"/>
      <c r="E511" s="72"/>
      <c r="F511" s="12"/>
      <c r="G511" s="13"/>
      <c r="H511" s="14" t="str">
        <f t="shared" si="0"/>
        <v>A</v>
      </c>
      <c r="I511" s="15" t="str">
        <f t="shared" si="1"/>
        <v>The Commissioner &amp; Chief Constable are satisfied the spend represents VFM in accordance with the requirements of Category A</v>
      </c>
    </row>
    <row r="512" spans="1:9" x14ac:dyDescent="0.2">
      <c r="A512" s="10" t="s">
        <v>8</v>
      </c>
      <c r="B512" s="11" t="s">
        <v>9</v>
      </c>
      <c r="C512" s="75"/>
      <c r="D512" s="73"/>
      <c r="E512" s="72"/>
      <c r="F512" s="12"/>
      <c r="G512" s="13"/>
      <c r="H512" s="14" t="str">
        <f t="shared" si="0"/>
        <v>A</v>
      </c>
      <c r="I512" s="15" t="str">
        <f t="shared" si="1"/>
        <v>The Commissioner &amp; Chief Constable are satisfied the spend represents VFM in accordance with the requirements of Category A</v>
      </c>
    </row>
    <row r="513" spans="1:9" x14ac:dyDescent="0.2">
      <c r="A513" s="10" t="s">
        <v>8</v>
      </c>
      <c r="B513" s="11" t="s">
        <v>9</v>
      </c>
      <c r="C513" s="75"/>
      <c r="D513" s="73"/>
      <c r="E513" s="72"/>
      <c r="F513" s="12"/>
      <c r="G513" s="13"/>
      <c r="H513" s="14" t="str">
        <f t="shared" si="0"/>
        <v>A</v>
      </c>
      <c r="I513" s="15" t="str">
        <f t="shared" si="1"/>
        <v>The Commissioner &amp; Chief Constable are satisfied the spend represents VFM in accordance with the requirements of Category A</v>
      </c>
    </row>
    <row r="514" spans="1:9" x14ac:dyDescent="0.2">
      <c r="A514" s="10" t="s">
        <v>8</v>
      </c>
      <c r="B514" s="11" t="s">
        <v>9</v>
      </c>
      <c r="C514" s="75"/>
      <c r="D514" s="73"/>
      <c r="E514" s="72"/>
      <c r="F514" s="12"/>
      <c r="G514" s="13"/>
      <c r="H514" s="14" t="str">
        <f t="shared" si="0"/>
        <v>A</v>
      </c>
      <c r="I514" s="15" t="str">
        <f t="shared" si="1"/>
        <v>The Commissioner &amp; Chief Constable are satisfied the spend represents VFM in accordance with the requirements of Category A</v>
      </c>
    </row>
    <row r="515" spans="1:9" x14ac:dyDescent="0.2">
      <c r="A515" s="10" t="s">
        <v>8</v>
      </c>
      <c r="B515" s="11" t="s">
        <v>9</v>
      </c>
      <c r="C515" s="75"/>
      <c r="D515" s="73"/>
      <c r="E515" s="72"/>
      <c r="F515" s="12"/>
      <c r="G515" s="13"/>
      <c r="H515" s="14" t="str">
        <f t="shared" si="0"/>
        <v>A</v>
      </c>
      <c r="I515" s="15" t="str">
        <f t="shared" si="1"/>
        <v>The Commissioner &amp; Chief Constable are satisfied the spend represents VFM in accordance with the requirements of Category A</v>
      </c>
    </row>
    <row r="516" spans="1:9" x14ac:dyDescent="0.2">
      <c r="A516" s="10" t="s">
        <v>8</v>
      </c>
      <c r="B516" s="11" t="s">
        <v>9</v>
      </c>
      <c r="C516" s="75"/>
      <c r="D516" s="73"/>
      <c r="E516" s="72"/>
      <c r="F516" s="12"/>
      <c r="G516" s="13"/>
      <c r="H516" s="14" t="str">
        <f t="shared" si="0"/>
        <v>A</v>
      </c>
      <c r="I516" s="15" t="str">
        <f t="shared" si="1"/>
        <v>The Commissioner &amp; Chief Constable are satisfied the spend represents VFM in accordance with the requirements of Category A</v>
      </c>
    </row>
    <row r="517" spans="1:9" x14ac:dyDescent="0.2">
      <c r="A517" s="10" t="s">
        <v>8</v>
      </c>
      <c r="B517" s="11" t="s">
        <v>9</v>
      </c>
      <c r="C517" s="75"/>
      <c r="D517" s="73"/>
      <c r="E517" s="72"/>
      <c r="F517" s="12"/>
      <c r="G517" s="13"/>
      <c r="H517" s="14" t="str">
        <f t="shared" si="0"/>
        <v>A</v>
      </c>
      <c r="I517" s="15" t="str">
        <f t="shared" si="1"/>
        <v>The Commissioner &amp; Chief Constable are satisfied the spend represents VFM in accordance with the requirements of Category A</v>
      </c>
    </row>
    <row r="518" spans="1:9" x14ac:dyDescent="0.2">
      <c r="A518" s="10" t="s">
        <v>8</v>
      </c>
      <c r="B518" s="11" t="s">
        <v>9</v>
      </c>
      <c r="C518" s="75"/>
      <c r="D518" s="73"/>
      <c r="E518" s="72"/>
      <c r="F518" s="12"/>
      <c r="G518" s="13"/>
      <c r="H518" s="14" t="str">
        <f t="shared" si="0"/>
        <v>A</v>
      </c>
      <c r="I518" s="15" t="str">
        <f t="shared" si="1"/>
        <v>The Commissioner &amp; Chief Constable are satisfied the spend represents VFM in accordance with the requirements of Category A</v>
      </c>
    </row>
    <row r="519" spans="1:9" x14ac:dyDescent="0.2">
      <c r="A519" s="10" t="s">
        <v>8</v>
      </c>
      <c r="B519" s="11" t="s">
        <v>9</v>
      </c>
      <c r="C519" s="75"/>
      <c r="D519" s="73"/>
      <c r="E519" s="72"/>
      <c r="F519" s="12"/>
      <c r="G519" s="13"/>
      <c r="H519" s="14" t="str">
        <f t="shared" si="0"/>
        <v>A</v>
      </c>
      <c r="I519" s="15" t="str">
        <f t="shared" si="1"/>
        <v>The Commissioner &amp; Chief Constable are satisfied the spend represents VFM in accordance with the requirements of Category A</v>
      </c>
    </row>
    <row r="520" spans="1:9" x14ac:dyDescent="0.2">
      <c r="A520" s="10" t="s">
        <v>8</v>
      </c>
      <c r="B520" s="11" t="s">
        <v>9</v>
      </c>
      <c r="C520" s="75"/>
      <c r="D520" s="73"/>
      <c r="E520" s="72"/>
      <c r="F520" s="12"/>
      <c r="G520" s="13"/>
      <c r="H520" s="14" t="str">
        <f t="shared" si="0"/>
        <v>A</v>
      </c>
      <c r="I520" s="15" t="str">
        <f t="shared" si="1"/>
        <v>The Commissioner &amp; Chief Constable are satisfied the spend represents VFM in accordance with the requirements of Category A</v>
      </c>
    </row>
    <row r="521" spans="1:9" x14ac:dyDescent="0.2">
      <c r="A521" s="10" t="s">
        <v>8</v>
      </c>
      <c r="B521" s="11" t="s">
        <v>9</v>
      </c>
      <c r="C521" s="75"/>
      <c r="D521" s="73"/>
      <c r="E521" s="72"/>
      <c r="F521" s="12"/>
      <c r="G521" s="13"/>
      <c r="H521" s="14" t="str">
        <f t="shared" si="0"/>
        <v>A</v>
      </c>
      <c r="I521" s="15" t="str">
        <f t="shared" si="1"/>
        <v>The Commissioner &amp; Chief Constable are satisfied the spend represents VFM in accordance with the requirements of Category A</v>
      </c>
    </row>
    <row r="522" spans="1:9" x14ac:dyDescent="0.2">
      <c r="A522" s="10" t="s">
        <v>8</v>
      </c>
      <c r="B522" s="11" t="s">
        <v>9</v>
      </c>
      <c r="C522" s="75"/>
      <c r="D522" s="73"/>
      <c r="E522" s="72"/>
      <c r="F522" s="12"/>
      <c r="G522" s="13"/>
      <c r="H522" s="14" t="str">
        <f t="shared" si="0"/>
        <v>A</v>
      </c>
      <c r="I522" s="15" t="str">
        <f t="shared" si="1"/>
        <v>The Commissioner &amp; Chief Constable are satisfied the spend represents VFM in accordance with the requirements of Category A</v>
      </c>
    </row>
    <row r="523" spans="1:9" x14ac:dyDescent="0.2">
      <c r="A523" s="10" t="s">
        <v>8</v>
      </c>
      <c r="B523" s="11" t="s">
        <v>9</v>
      </c>
      <c r="C523" s="75"/>
      <c r="D523" s="73"/>
      <c r="E523" s="72"/>
      <c r="F523" s="12"/>
      <c r="G523" s="13"/>
      <c r="H523" s="14" t="str">
        <f t="shared" si="0"/>
        <v>A</v>
      </c>
      <c r="I523" s="15" t="str">
        <f t="shared" si="1"/>
        <v>The Commissioner &amp; Chief Constable are satisfied the spend represents VFM in accordance with the requirements of Category A</v>
      </c>
    </row>
    <row r="524" spans="1:9" x14ac:dyDescent="0.2">
      <c r="A524" s="10" t="s">
        <v>8</v>
      </c>
      <c r="B524" s="11" t="s">
        <v>9</v>
      </c>
      <c r="C524" s="75"/>
      <c r="D524" s="73"/>
      <c r="E524" s="72"/>
      <c r="F524" s="12"/>
      <c r="G524" s="13"/>
      <c r="H524" s="14" t="str">
        <f t="shared" si="0"/>
        <v>A</v>
      </c>
      <c r="I524" s="15" t="str">
        <f t="shared" si="1"/>
        <v>The Commissioner &amp; Chief Constable are satisfied the spend represents VFM in accordance with the requirements of Category A</v>
      </c>
    </row>
    <row r="525" spans="1:9" x14ac:dyDescent="0.2">
      <c r="A525" s="10" t="s">
        <v>8</v>
      </c>
      <c r="B525" s="11" t="s">
        <v>9</v>
      </c>
      <c r="C525" s="75"/>
      <c r="D525" s="73"/>
      <c r="E525" s="72"/>
      <c r="F525" s="12"/>
      <c r="G525" s="13"/>
      <c r="H525" s="14" t="str">
        <f t="shared" si="0"/>
        <v>A</v>
      </c>
      <c r="I525" s="15" t="str">
        <f t="shared" si="1"/>
        <v>The Commissioner &amp; Chief Constable are satisfied the spend represents VFM in accordance with the requirements of Category A</v>
      </c>
    </row>
    <row r="526" spans="1:9" x14ac:dyDescent="0.2">
      <c r="A526" s="10" t="s">
        <v>8</v>
      </c>
      <c r="B526" s="11" t="s">
        <v>9</v>
      </c>
      <c r="C526" s="75"/>
      <c r="D526" s="73"/>
      <c r="E526" s="72"/>
      <c r="F526" s="12"/>
      <c r="G526" s="13"/>
      <c r="H526" s="14" t="str">
        <f t="shared" si="0"/>
        <v>A</v>
      </c>
      <c r="I526" s="15" t="str">
        <f t="shared" si="1"/>
        <v>The Commissioner &amp; Chief Constable are satisfied the spend represents VFM in accordance with the requirements of Category A</v>
      </c>
    </row>
    <row r="527" spans="1:9" x14ac:dyDescent="0.2">
      <c r="A527" s="10" t="s">
        <v>8</v>
      </c>
      <c r="B527" s="11" t="s">
        <v>9</v>
      </c>
      <c r="C527" s="75"/>
      <c r="D527" s="73"/>
      <c r="E527" s="72"/>
      <c r="F527" s="12"/>
      <c r="G527" s="13"/>
      <c r="H527" s="14" t="str">
        <f t="shared" si="0"/>
        <v>A</v>
      </c>
      <c r="I527" s="15" t="str">
        <f t="shared" si="1"/>
        <v>The Commissioner &amp; Chief Constable are satisfied the spend represents VFM in accordance with the requirements of Category A</v>
      </c>
    </row>
    <row r="528" spans="1:9" x14ac:dyDescent="0.2">
      <c r="A528" s="10" t="s">
        <v>8</v>
      </c>
      <c r="B528" s="11" t="s">
        <v>9</v>
      </c>
      <c r="C528" s="75"/>
      <c r="D528" s="73"/>
      <c r="E528" s="72"/>
      <c r="F528" s="12"/>
      <c r="G528" s="13"/>
      <c r="H528" s="14" t="str">
        <f t="shared" si="0"/>
        <v>A</v>
      </c>
      <c r="I528" s="15" t="str">
        <f t="shared" si="1"/>
        <v>The Commissioner &amp; Chief Constable are satisfied the spend represents VFM in accordance with the requirements of Category A</v>
      </c>
    </row>
    <row r="529" spans="1:9" x14ac:dyDescent="0.2">
      <c r="A529" s="10" t="s">
        <v>8</v>
      </c>
      <c r="B529" s="11" t="s">
        <v>9</v>
      </c>
      <c r="C529" s="74"/>
      <c r="D529" s="73"/>
      <c r="E529" s="72"/>
      <c r="F529" s="12"/>
      <c r="G529" s="13"/>
      <c r="H529" s="14" t="str">
        <f t="shared" si="0"/>
        <v>A</v>
      </c>
      <c r="I529" s="15" t="str">
        <f t="shared" si="1"/>
        <v>The Commissioner &amp; Chief Constable are satisfied the spend represents VFM in accordance with the requirements of Category A</v>
      </c>
    </row>
    <row r="530" spans="1:9" x14ac:dyDescent="0.2">
      <c r="A530" s="10" t="s">
        <v>8</v>
      </c>
      <c r="B530" s="11" t="s">
        <v>9</v>
      </c>
      <c r="C530" s="74"/>
      <c r="D530" s="73"/>
      <c r="E530" s="72"/>
      <c r="F530" s="12"/>
      <c r="G530" s="13"/>
      <c r="H530" s="14" t="str">
        <f t="shared" si="0"/>
        <v>A</v>
      </c>
      <c r="I530" s="15" t="str">
        <f t="shared" si="1"/>
        <v>The Commissioner &amp; Chief Constable are satisfied the spend represents VFM in accordance with the requirements of Category A</v>
      </c>
    </row>
    <row r="531" spans="1:9" x14ac:dyDescent="0.2">
      <c r="A531" s="10" t="s">
        <v>8</v>
      </c>
      <c r="B531" s="11" t="s">
        <v>9</v>
      </c>
      <c r="C531" s="74"/>
      <c r="D531" s="73"/>
      <c r="E531" s="72"/>
      <c r="F531" s="12"/>
      <c r="G531" s="13"/>
      <c r="H531" s="14" t="str">
        <f t="shared" si="0"/>
        <v>A</v>
      </c>
      <c r="I531" s="15" t="str">
        <f t="shared" si="1"/>
        <v>The Commissioner &amp; Chief Constable are satisfied the spend represents VFM in accordance with the requirements of Category A</v>
      </c>
    </row>
    <row r="532" spans="1:9" x14ac:dyDescent="0.2">
      <c r="A532" s="10" t="s">
        <v>8</v>
      </c>
      <c r="B532" s="11" t="s">
        <v>9</v>
      </c>
      <c r="C532" s="74"/>
      <c r="D532" s="73"/>
      <c r="E532" s="72"/>
      <c r="F532" s="12"/>
      <c r="G532" s="13"/>
      <c r="H532" s="14" t="str">
        <f t="shared" si="0"/>
        <v>A</v>
      </c>
      <c r="I532" s="15" t="str">
        <f t="shared" si="1"/>
        <v>The Commissioner &amp; Chief Constable are satisfied the spend represents VFM in accordance with the requirements of Category A</v>
      </c>
    </row>
    <row r="533" spans="1:9" x14ac:dyDescent="0.2">
      <c r="A533" s="10" t="s">
        <v>8</v>
      </c>
      <c r="B533" s="11" t="s">
        <v>9</v>
      </c>
      <c r="C533" s="74"/>
      <c r="D533" s="73"/>
      <c r="E533" s="72"/>
      <c r="F533" s="12"/>
      <c r="G533" s="13"/>
      <c r="H533" s="14" t="str">
        <f t="shared" si="0"/>
        <v>A</v>
      </c>
      <c r="I533" s="15" t="str">
        <f t="shared" si="1"/>
        <v>The Commissioner &amp; Chief Constable are satisfied the spend represents VFM in accordance with the requirements of Category A</v>
      </c>
    </row>
    <row r="534" spans="1:9" x14ac:dyDescent="0.2">
      <c r="A534" s="10" t="s">
        <v>8</v>
      </c>
      <c r="B534" s="11" t="s">
        <v>9</v>
      </c>
      <c r="C534" s="74"/>
      <c r="D534" s="73"/>
      <c r="E534" s="72"/>
      <c r="F534" s="12"/>
      <c r="G534" s="13"/>
      <c r="H534" s="14" t="str">
        <f t="shared" si="0"/>
        <v>A</v>
      </c>
      <c r="I534" s="15" t="str">
        <f t="shared" si="1"/>
        <v>The Commissioner &amp; Chief Constable are satisfied the spend represents VFM in accordance with the requirements of Category A</v>
      </c>
    </row>
    <row r="535" spans="1:9" x14ac:dyDescent="0.2">
      <c r="A535" s="10" t="s">
        <v>8</v>
      </c>
      <c r="B535" s="11" t="s">
        <v>9</v>
      </c>
      <c r="C535" s="74"/>
      <c r="D535" s="73"/>
      <c r="E535" s="72"/>
      <c r="F535" s="12"/>
      <c r="G535" s="13"/>
      <c r="H535" s="14" t="str">
        <f t="shared" si="0"/>
        <v>A</v>
      </c>
      <c r="I535" s="15" t="str">
        <f t="shared" si="1"/>
        <v>The Commissioner &amp; Chief Constable are satisfied the spend represents VFM in accordance with the requirements of Category A</v>
      </c>
    </row>
    <row r="536" spans="1:9" x14ac:dyDescent="0.2">
      <c r="A536" s="10" t="s">
        <v>8</v>
      </c>
      <c r="B536" s="11" t="s">
        <v>9</v>
      </c>
      <c r="C536" s="74"/>
      <c r="D536" s="73"/>
      <c r="E536" s="72"/>
      <c r="F536" s="12"/>
      <c r="G536" s="13"/>
      <c r="H536" s="14" t="str">
        <f t="shared" si="0"/>
        <v>A</v>
      </c>
      <c r="I536" s="15" t="str">
        <f t="shared" si="1"/>
        <v>The Commissioner &amp; Chief Constable are satisfied the spend represents VFM in accordance with the requirements of Category A</v>
      </c>
    </row>
    <row r="537" spans="1:9" x14ac:dyDescent="0.2">
      <c r="A537" s="10" t="s">
        <v>8</v>
      </c>
      <c r="B537" s="11" t="s">
        <v>9</v>
      </c>
      <c r="C537" s="74"/>
      <c r="D537" s="73"/>
      <c r="E537" s="72"/>
      <c r="F537" s="12"/>
      <c r="G537" s="13"/>
      <c r="H537" s="14" t="str">
        <f t="shared" si="0"/>
        <v>A</v>
      </c>
      <c r="I537" s="15" t="str">
        <f t="shared" si="1"/>
        <v>The Commissioner &amp; Chief Constable are satisfied the spend represents VFM in accordance with the requirements of Category A</v>
      </c>
    </row>
    <row r="538" spans="1:9" x14ac:dyDescent="0.2">
      <c r="A538" s="10" t="s">
        <v>8</v>
      </c>
      <c r="B538" s="11" t="s">
        <v>9</v>
      </c>
      <c r="C538" s="74"/>
      <c r="D538" s="73"/>
      <c r="E538" s="72"/>
      <c r="F538" s="12"/>
      <c r="G538" s="13"/>
      <c r="H538" s="14" t="str">
        <f t="shared" si="0"/>
        <v>A</v>
      </c>
      <c r="I538" s="15" t="str">
        <f t="shared" si="1"/>
        <v>The Commissioner &amp; Chief Constable are satisfied the spend represents VFM in accordance with the requirements of Category A</v>
      </c>
    </row>
    <row r="539" spans="1:9" x14ac:dyDescent="0.2">
      <c r="A539" s="10" t="s">
        <v>8</v>
      </c>
      <c r="B539" s="11" t="s">
        <v>9</v>
      </c>
      <c r="C539" s="74"/>
      <c r="D539" s="73"/>
      <c r="E539" s="72"/>
      <c r="F539" s="12"/>
      <c r="G539" s="13"/>
      <c r="H539" s="14" t="str">
        <f t="shared" si="0"/>
        <v>A</v>
      </c>
      <c r="I539" s="15" t="str">
        <f t="shared" si="1"/>
        <v>The Commissioner &amp; Chief Constable are satisfied the spend represents VFM in accordance with the requirements of Category A</v>
      </c>
    </row>
    <row r="540" spans="1:9" x14ac:dyDescent="0.2">
      <c r="A540" s="10" t="s">
        <v>8</v>
      </c>
      <c r="B540" s="11" t="s">
        <v>9</v>
      </c>
      <c r="C540" s="74"/>
      <c r="D540" s="73"/>
      <c r="E540" s="72"/>
      <c r="F540" s="12"/>
      <c r="G540" s="13"/>
      <c r="H540" s="14" t="str">
        <f t="shared" si="0"/>
        <v>A</v>
      </c>
      <c r="I540" s="15" t="str">
        <f t="shared" si="1"/>
        <v>The Commissioner &amp; Chief Constable are satisfied the spend represents VFM in accordance with the requirements of Category A</v>
      </c>
    </row>
    <row r="541" spans="1:9" x14ac:dyDescent="0.2">
      <c r="A541" s="10" t="s">
        <v>8</v>
      </c>
      <c r="B541" s="11" t="s">
        <v>9</v>
      </c>
      <c r="C541" s="74"/>
      <c r="D541" s="73"/>
      <c r="E541" s="72"/>
      <c r="F541" s="12"/>
      <c r="G541" s="13"/>
      <c r="H541" s="14" t="str">
        <f t="shared" si="0"/>
        <v>A</v>
      </c>
      <c r="I541" s="15" t="str">
        <f t="shared" si="1"/>
        <v>The Commissioner &amp; Chief Constable are satisfied the spend represents VFM in accordance with the requirements of Category A</v>
      </c>
    </row>
    <row r="542" spans="1:9" x14ac:dyDescent="0.2">
      <c r="A542" s="10" t="s">
        <v>8</v>
      </c>
      <c r="B542" s="11" t="s">
        <v>9</v>
      </c>
      <c r="C542" s="74"/>
      <c r="D542" s="73"/>
      <c r="E542" s="72"/>
      <c r="F542" s="12"/>
      <c r="G542" s="13"/>
      <c r="H542" s="14" t="str">
        <f t="shared" si="0"/>
        <v>A</v>
      </c>
      <c r="I542" s="15" t="str">
        <f t="shared" si="1"/>
        <v>The Commissioner &amp; Chief Constable are satisfied the spend represents VFM in accordance with the requirements of Category A</v>
      </c>
    </row>
    <row r="543" spans="1:9" x14ac:dyDescent="0.2">
      <c r="A543" s="10" t="s">
        <v>8</v>
      </c>
      <c r="B543" s="11" t="s">
        <v>9</v>
      </c>
      <c r="C543" s="74"/>
      <c r="D543" s="73"/>
      <c r="E543" s="72"/>
      <c r="F543" s="12"/>
      <c r="G543" s="13"/>
      <c r="H543" s="14" t="str">
        <f t="shared" si="0"/>
        <v>A</v>
      </c>
      <c r="I543" s="15" t="str">
        <f t="shared" si="1"/>
        <v>The Commissioner &amp; Chief Constable are satisfied the spend represents VFM in accordance with the requirements of Category A</v>
      </c>
    </row>
    <row r="544" spans="1:9" x14ac:dyDescent="0.2">
      <c r="A544" s="10" t="s">
        <v>8</v>
      </c>
      <c r="B544" s="11" t="s">
        <v>9</v>
      </c>
      <c r="C544" s="74"/>
      <c r="D544" s="73"/>
      <c r="E544" s="72"/>
      <c r="F544" s="12"/>
      <c r="G544" s="13"/>
      <c r="H544" s="14" t="str">
        <f t="shared" si="0"/>
        <v>A</v>
      </c>
      <c r="I544" s="15" t="str">
        <f t="shared" si="1"/>
        <v>The Commissioner &amp; Chief Constable are satisfied the spend represents VFM in accordance with the requirements of Category A</v>
      </c>
    </row>
  </sheetData>
  <autoFilter ref="A1:M544" xr:uid="{30B06A3B-0B49-4425-9705-5E7AA2E1A2B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EEDE-1E34-4922-A595-9BF40E8C2501}">
  <sheetPr>
    <pageSetUpPr fitToPage="1"/>
  </sheetPr>
  <dimension ref="A1:M514"/>
  <sheetViews>
    <sheetView zoomScaleNormal="100" workbookViewId="0">
      <pane ySplit="1" topLeftCell="A2" activePane="bottomLeft" state="frozen"/>
      <selection pane="bottomLeft" activeCell="C29" sqref="C29"/>
    </sheetView>
  </sheetViews>
  <sheetFormatPr defaultColWidth="9.140625" defaultRowHeight="11.25" x14ac:dyDescent="0.2"/>
  <cols>
    <col min="1" max="1" width="35.28515625" style="47" bestFit="1" customWidth="1"/>
    <col min="2" max="2" width="18.85546875" style="47" bestFit="1" customWidth="1"/>
    <col min="3" max="3" width="44.85546875" style="42" bestFit="1" customWidth="1"/>
    <col min="4" max="4" width="20" style="46" customWidth="1"/>
    <col min="5" max="5" width="10.28515625" style="45" customWidth="1"/>
    <col min="6" max="6" width="11.140625" style="44" bestFit="1" customWidth="1"/>
    <col min="7" max="7" width="38.85546875" style="42" bestFit="1" customWidth="1"/>
    <col min="8" max="8" width="11.7109375" style="43" bestFit="1" customWidth="1"/>
    <col min="9" max="9" width="93.42578125" style="42" bestFit="1" customWidth="1"/>
    <col min="10" max="10" width="1.7109375" style="42" customWidth="1"/>
    <col min="11" max="11" width="16.140625" style="42" bestFit="1" customWidth="1"/>
    <col min="12" max="13" width="5.7109375" style="41" hidden="1" customWidth="1"/>
    <col min="14" max="14" width="5.7109375" style="41" bestFit="1" customWidth="1"/>
    <col min="15" max="16384" width="9.140625" style="41"/>
  </cols>
  <sheetData>
    <row r="1" spans="1:13" s="61" customFormat="1" ht="32.25" thickBot="1" x14ac:dyDescent="0.3">
      <c r="A1" s="70" t="s">
        <v>0</v>
      </c>
      <c r="B1" s="69" t="s">
        <v>1</v>
      </c>
      <c r="C1" s="68"/>
      <c r="D1" s="67"/>
      <c r="E1" s="66"/>
      <c r="F1" s="65"/>
      <c r="G1" s="64"/>
      <c r="H1" s="64" t="s">
        <v>6</v>
      </c>
      <c r="I1" s="63" t="s">
        <v>7</v>
      </c>
      <c r="K1" s="62"/>
    </row>
    <row r="2" spans="1:13" x14ac:dyDescent="0.2">
      <c r="A2" s="56" t="s">
        <v>8</v>
      </c>
      <c r="B2" s="55" t="s">
        <v>9</v>
      </c>
      <c r="C2" s="81" t="s">
        <v>844</v>
      </c>
      <c r="D2" s="53">
        <v>9035299</v>
      </c>
      <c r="E2" s="52">
        <v>45477</v>
      </c>
      <c r="F2" s="80">
        <v>1010544</v>
      </c>
      <c r="G2" s="79" t="s">
        <v>60</v>
      </c>
      <c r="H2" s="49" t="str">
        <f t="shared" ref="H2:H65" si="0">IF(F2&gt;25000,"C",IF(F2&gt;1000,"B","A"))</f>
        <v>C</v>
      </c>
      <c r="I2" s="48" t="str">
        <f t="shared" ref="I2:I65" si="1">VLOOKUP(H2,$L$2:$M$4,2,FALSE)</f>
        <v>The Commissioner &amp; Chief Constable are satisfied the spend represents VFM in accordance with the requirements of Category C</v>
      </c>
      <c r="J2" s="60"/>
      <c r="K2" s="60"/>
      <c r="L2" s="41" t="s">
        <v>12</v>
      </c>
      <c r="M2" s="48" t="s">
        <v>13</v>
      </c>
    </row>
    <row r="3" spans="1:13" x14ac:dyDescent="0.2">
      <c r="A3" s="56" t="s">
        <v>8</v>
      </c>
      <c r="B3" s="55" t="s">
        <v>9</v>
      </c>
      <c r="C3" s="81" t="s">
        <v>10</v>
      </c>
      <c r="D3" s="53">
        <v>7175026</v>
      </c>
      <c r="E3" s="52">
        <v>45492</v>
      </c>
      <c r="F3" s="80">
        <v>386471.24</v>
      </c>
      <c r="G3" s="79" t="s">
        <v>11</v>
      </c>
      <c r="H3" s="49" t="str">
        <f t="shared" si="0"/>
        <v>C</v>
      </c>
      <c r="I3" s="48" t="str">
        <f t="shared" si="1"/>
        <v>The Commissioner &amp; Chief Constable are satisfied the spend represents VFM in accordance with the requirements of Category C</v>
      </c>
      <c r="J3" s="60"/>
      <c r="K3" s="60"/>
      <c r="L3" s="41" t="s">
        <v>16</v>
      </c>
      <c r="M3" s="48" t="s">
        <v>17</v>
      </c>
    </row>
    <row r="4" spans="1:13" x14ac:dyDescent="0.2">
      <c r="A4" s="56" t="s">
        <v>8</v>
      </c>
      <c r="B4" s="55" t="s">
        <v>9</v>
      </c>
      <c r="C4" s="81" t="s">
        <v>496</v>
      </c>
      <c r="D4" s="53">
        <v>7174414</v>
      </c>
      <c r="E4" s="52">
        <v>45481</v>
      </c>
      <c r="F4" s="80">
        <v>337177</v>
      </c>
      <c r="G4" s="79" t="s">
        <v>102</v>
      </c>
      <c r="H4" s="49" t="str">
        <f t="shared" si="0"/>
        <v>C</v>
      </c>
      <c r="I4" s="48" t="str">
        <f t="shared" si="1"/>
        <v>The Commissioner &amp; Chief Constable are satisfied the spend represents VFM in accordance with the requirements of Category C</v>
      </c>
      <c r="J4" s="60"/>
      <c r="K4" s="60"/>
      <c r="L4" s="41" t="s">
        <v>20</v>
      </c>
      <c r="M4" s="48" t="s">
        <v>21</v>
      </c>
    </row>
    <row r="5" spans="1:13" x14ac:dyDescent="0.2">
      <c r="A5" s="56" t="s">
        <v>8</v>
      </c>
      <c r="B5" s="55" t="s">
        <v>9</v>
      </c>
      <c r="C5" s="81" t="s">
        <v>18</v>
      </c>
      <c r="D5" s="53">
        <v>9035475</v>
      </c>
      <c r="E5" s="52">
        <v>45496</v>
      </c>
      <c r="F5" s="80">
        <v>325665.08</v>
      </c>
      <c r="G5" s="79" t="s">
        <v>19</v>
      </c>
      <c r="H5" s="49" t="str">
        <f t="shared" si="0"/>
        <v>C</v>
      </c>
      <c r="I5" s="48" t="str">
        <f t="shared" si="1"/>
        <v>The Commissioner &amp; Chief Constable are satisfied the spend represents VFM in accordance with the requirements of Category C</v>
      </c>
      <c r="J5" s="60"/>
      <c r="K5" s="60"/>
    </row>
    <row r="6" spans="1:13" x14ac:dyDescent="0.2">
      <c r="A6" s="56" t="s">
        <v>8</v>
      </c>
      <c r="B6" s="55" t="s">
        <v>9</v>
      </c>
      <c r="C6" s="81" t="s">
        <v>352</v>
      </c>
      <c r="D6" s="53">
        <v>7175192</v>
      </c>
      <c r="E6" s="52">
        <v>45499</v>
      </c>
      <c r="F6" s="80">
        <v>217274.14</v>
      </c>
      <c r="G6" s="79" t="s">
        <v>58</v>
      </c>
      <c r="H6" s="49" t="str">
        <f t="shared" si="0"/>
        <v>C</v>
      </c>
      <c r="I6" s="48" t="str">
        <f t="shared" si="1"/>
        <v>The Commissioner &amp; Chief Constable are satisfied the spend represents VFM in accordance with the requirements of Category C</v>
      </c>
      <c r="J6" s="60"/>
      <c r="K6" s="60"/>
    </row>
    <row r="7" spans="1:13" x14ac:dyDescent="0.2">
      <c r="A7" s="56" t="s">
        <v>8</v>
      </c>
      <c r="B7" s="55" t="s">
        <v>9</v>
      </c>
      <c r="C7" s="82" t="s">
        <v>352</v>
      </c>
      <c r="D7" s="53">
        <v>7175192</v>
      </c>
      <c r="E7" s="52">
        <v>45499</v>
      </c>
      <c r="F7" s="80">
        <v>100266.08</v>
      </c>
      <c r="G7" s="79" t="s">
        <v>131</v>
      </c>
      <c r="H7" s="49" t="str">
        <f t="shared" si="0"/>
        <v>C</v>
      </c>
      <c r="I7" s="48" t="str">
        <f t="shared" si="1"/>
        <v>The Commissioner &amp; Chief Constable are satisfied the spend represents VFM in accordance with the requirements of Category C</v>
      </c>
      <c r="J7" s="60"/>
      <c r="K7" s="60"/>
    </row>
    <row r="8" spans="1:13" x14ac:dyDescent="0.2">
      <c r="A8" s="56" t="s">
        <v>8</v>
      </c>
      <c r="B8" s="55" t="s">
        <v>9</v>
      </c>
      <c r="C8" s="81" t="s">
        <v>352</v>
      </c>
      <c r="D8" s="53">
        <v>7175192</v>
      </c>
      <c r="E8" s="52">
        <v>45499</v>
      </c>
      <c r="F8" s="80">
        <v>1929</v>
      </c>
      <c r="G8" s="79" t="s">
        <v>106</v>
      </c>
      <c r="H8" s="49" t="str">
        <f t="shared" si="0"/>
        <v>B</v>
      </c>
      <c r="I8" s="48" t="str">
        <f t="shared" si="1"/>
        <v>The Commissioner &amp; Chief Constable are satisfied the spend represents VFM in accordance with the requirements of Category B</v>
      </c>
      <c r="J8" s="60"/>
      <c r="K8" s="60"/>
    </row>
    <row r="9" spans="1:13" x14ac:dyDescent="0.2">
      <c r="A9" s="56" t="s">
        <v>8</v>
      </c>
      <c r="B9" s="55" t="s">
        <v>9</v>
      </c>
      <c r="C9" s="82" t="s">
        <v>170</v>
      </c>
      <c r="D9" s="53">
        <v>7174273</v>
      </c>
      <c r="E9" s="52">
        <v>45481</v>
      </c>
      <c r="F9" s="80">
        <v>201842.93</v>
      </c>
      <c r="G9" s="79" t="s">
        <v>27</v>
      </c>
      <c r="H9" s="49" t="str">
        <f t="shared" si="0"/>
        <v>C</v>
      </c>
      <c r="I9" s="48" t="str">
        <f t="shared" si="1"/>
        <v>The Commissioner &amp; Chief Constable are satisfied the spend represents VFM in accordance with the requirements of Category C</v>
      </c>
      <c r="J9" s="60"/>
      <c r="K9" s="60"/>
    </row>
    <row r="10" spans="1:13" x14ac:dyDescent="0.2">
      <c r="A10" s="56" t="s">
        <v>8</v>
      </c>
      <c r="B10" s="55" t="s">
        <v>9</v>
      </c>
      <c r="C10" s="81" t="s">
        <v>51</v>
      </c>
      <c r="D10" s="53">
        <v>7174048</v>
      </c>
      <c r="E10" s="52">
        <v>45475</v>
      </c>
      <c r="F10" s="80">
        <v>169850</v>
      </c>
      <c r="G10" s="79" t="s">
        <v>15</v>
      </c>
      <c r="H10" s="49" t="str">
        <f t="shared" si="0"/>
        <v>C</v>
      </c>
      <c r="I10" s="48" t="str">
        <f t="shared" si="1"/>
        <v>The Commissioner &amp; Chief Constable are satisfied the spend represents VFM in accordance with the requirements of Category C</v>
      </c>
      <c r="J10" s="60"/>
      <c r="K10" s="60"/>
    </row>
    <row r="11" spans="1:13" x14ac:dyDescent="0.2">
      <c r="A11" s="56" t="s">
        <v>8</v>
      </c>
      <c r="B11" s="55" t="s">
        <v>9</v>
      </c>
      <c r="C11" s="81" t="s">
        <v>140</v>
      </c>
      <c r="D11" s="53">
        <v>7174068</v>
      </c>
      <c r="E11" s="52">
        <v>45499</v>
      </c>
      <c r="F11" s="80">
        <v>115211.09</v>
      </c>
      <c r="G11" s="79" t="s">
        <v>34</v>
      </c>
      <c r="H11" s="49" t="str">
        <f t="shared" si="0"/>
        <v>C</v>
      </c>
      <c r="I11" s="48" t="str">
        <f t="shared" si="1"/>
        <v>The Commissioner &amp; Chief Constable are satisfied the spend represents VFM in accordance with the requirements of Category C</v>
      </c>
      <c r="J11" s="60"/>
      <c r="K11" s="60"/>
    </row>
    <row r="12" spans="1:13" x14ac:dyDescent="0.2">
      <c r="A12" s="56" t="s">
        <v>8</v>
      </c>
      <c r="B12" s="55" t="s">
        <v>9</v>
      </c>
      <c r="C12" s="81" t="s">
        <v>23</v>
      </c>
      <c r="D12" s="53">
        <v>7175467</v>
      </c>
      <c r="E12" s="52">
        <v>45504</v>
      </c>
      <c r="F12" s="80">
        <v>106236</v>
      </c>
      <c r="G12" s="84" t="s">
        <v>24</v>
      </c>
      <c r="H12" s="49" t="str">
        <f t="shared" si="0"/>
        <v>C</v>
      </c>
      <c r="I12" s="48" t="str">
        <f t="shared" si="1"/>
        <v>The Commissioner &amp; Chief Constable are satisfied the spend represents VFM in accordance with the requirements of Category C</v>
      </c>
      <c r="J12" s="60"/>
      <c r="K12" s="60"/>
    </row>
    <row r="13" spans="1:13" x14ac:dyDescent="0.2">
      <c r="A13" s="56" t="s">
        <v>8</v>
      </c>
      <c r="B13" s="55" t="s">
        <v>9</v>
      </c>
      <c r="C13" s="82" t="s">
        <v>30</v>
      </c>
      <c r="D13" s="53">
        <v>7174629</v>
      </c>
      <c r="E13" s="52">
        <v>45477</v>
      </c>
      <c r="F13" s="83">
        <v>99288.58</v>
      </c>
      <c r="G13" s="79" t="s">
        <v>31</v>
      </c>
      <c r="H13" s="49" t="str">
        <f t="shared" si="0"/>
        <v>C</v>
      </c>
      <c r="I13" s="48" t="str">
        <f t="shared" si="1"/>
        <v>The Commissioner &amp; Chief Constable are satisfied the spend represents VFM in accordance with the requirements of Category C</v>
      </c>
      <c r="J13" s="60"/>
      <c r="K13" s="60"/>
    </row>
    <row r="14" spans="1:13" x14ac:dyDescent="0.2">
      <c r="A14" s="56" t="s">
        <v>8</v>
      </c>
      <c r="B14" s="55" t="s">
        <v>9</v>
      </c>
      <c r="C14" s="81" t="s">
        <v>30</v>
      </c>
      <c r="D14" s="53">
        <v>7174629</v>
      </c>
      <c r="E14" s="52">
        <v>45477</v>
      </c>
      <c r="F14" s="83">
        <v>3.25</v>
      </c>
      <c r="G14" s="79" t="s">
        <v>32</v>
      </c>
      <c r="H14" s="49" t="str">
        <f t="shared" si="0"/>
        <v>A</v>
      </c>
      <c r="I14" s="48" t="str">
        <f t="shared" si="1"/>
        <v>The Commissioner &amp; Chief Constable are satisfied the spend represents VFM in accordance with the requirements of Category A</v>
      </c>
      <c r="J14" s="60"/>
      <c r="K14" s="60"/>
    </row>
    <row r="15" spans="1:13" x14ac:dyDescent="0.2">
      <c r="A15" s="56" t="s">
        <v>8</v>
      </c>
      <c r="B15" s="55" t="s">
        <v>9</v>
      </c>
      <c r="C15" s="81" t="s">
        <v>48</v>
      </c>
      <c r="D15" s="53">
        <v>7175162</v>
      </c>
      <c r="E15" s="52">
        <v>45503</v>
      </c>
      <c r="F15" s="83">
        <v>85632.75</v>
      </c>
      <c r="G15" s="84" t="s">
        <v>49</v>
      </c>
      <c r="H15" s="49" t="str">
        <f t="shared" si="0"/>
        <v>C</v>
      </c>
      <c r="I15" s="48" t="str">
        <f t="shared" si="1"/>
        <v>The Commissioner &amp; Chief Constable are satisfied the spend represents VFM in accordance with the requirements of Category C</v>
      </c>
      <c r="J15" s="60"/>
      <c r="K15" s="60"/>
    </row>
    <row r="16" spans="1:13" x14ac:dyDescent="0.2">
      <c r="A16" s="56" t="s">
        <v>8</v>
      </c>
      <c r="B16" s="55" t="s">
        <v>9</v>
      </c>
      <c r="C16" s="81" t="s">
        <v>74</v>
      </c>
      <c r="D16" s="53">
        <v>7173947</v>
      </c>
      <c r="E16" s="52">
        <v>45478</v>
      </c>
      <c r="F16" s="83">
        <v>26229.88</v>
      </c>
      <c r="G16" s="79" t="s">
        <v>75</v>
      </c>
      <c r="H16" s="49" t="str">
        <f t="shared" si="0"/>
        <v>C</v>
      </c>
      <c r="I16" s="48" t="str">
        <f t="shared" si="1"/>
        <v>The Commissioner &amp; Chief Constable are satisfied the spend represents VFM in accordance with the requirements of Category C</v>
      </c>
      <c r="J16" s="60"/>
      <c r="K16" s="60"/>
    </row>
    <row r="17" spans="1:11" x14ac:dyDescent="0.2">
      <c r="A17" s="56" t="s">
        <v>8</v>
      </c>
      <c r="B17" s="55" t="s">
        <v>9</v>
      </c>
      <c r="C17" s="82" t="s">
        <v>74</v>
      </c>
      <c r="D17" s="53">
        <v>7173947</v>
      </c>
      <c r="E17" s="52">
        <v>45478</v>
      </c>
      <c r="F17" s="83">
        <v>57296.800000000003</v>
      </c>
      <c r="G17" s="79" t="s">
        <v>218</v>
      </c>
      <c r="H17" s="49" t="str">
        <f t="shared" si="0"/>
        <v>C</v>
      </c>
      <c r="I17" s="48" t="str">
        <f t="shared" si="1"/>
        <v>The Commissioner &amp; Chief Constable are satisfied the spend represents VFM in accordance with the requirements of Category C</v>
      </c>
      <c r="J17" s="60"/>
      <c r="K17" s="60"/>
    </row>
    <row r="18" spans="1:11" x14ac:dyDescent="0.2">
      <c r="A18" s="56" t="s">
        <v>8</v>
      </c>
      <c r="B18" s="55" t="s">
        <v>9</v>
      </c>
      <c r="C18" s="81" t="s">
        <v>799</v>
      </c>
      <c r="D18" s="53">
        <v>7175604</v>
      </c>
      <c r="E18" s="52">
        <v>45504</v>
      </c>
      <c r="F18" s="83">
        <v>81725.58</v>
      </c>
      <c r="G18" s="79" t="s">
        <v>164</v>
      </c>
      <c r="H18" s="49" t="str">
        <f t="shared" si="0"/>
        <v>C</v>
      </c>
      <c r="I18" s="48" t="str">
        <f t="shared" si="1"/>
        <v>The Commissioner &amp; Chief Constable are satisfied the spend represents VFM in accordance with the requirements of Category C</v>
      </c>
      <c r="J18" s="60"/>
      <c r="K18" s="60"/>
    </row>
    <row r="19" spans="1:11" x14ac:dyDescent="0.2">
      <c r="A19" s="56" t="s">
        <v>8</v>
      </c>
      <c r="B19" s="55" t="s">
        <v>9</v>
      </c>
      <c r="C19" s="82" t="s">
        <v>46</v>
      </c>
      <c r="D19" s="53">
        <v>7174502</v>
      </c>
      <c r="E19" s="52">
        <v>45474</v>
      </c>
      <c r="F19" s="83">
        <v>80949.009999999995</v>
      </c>
      <c r="G19" s="79" t="s">
        <v>47</v>
      </c>
      <c r="H19" s="49" t="str">
        <f t="shared" si="0"/>
        <v>C</v>
      </c>
      <c r="I19" s="48" t="str">
        <f t="shared" si="1"/>
        <v>The Commissioner &amp; Chief Constable are satisfied the spend represents VFM in accordance with the requirements of Category C</v>
      </c>
      <c r="J19" s="60"/>
      <c r="K19" s="60"/>
    </row>
    <row r="20" spans="1:11" x14ac:dyDescent="0.2">
      <c r="A20" s="56" t="s">
        <v>8</v>
      </c>
      <c r="B20" s="55" t="s">
        <v>9</v>
      </c>
      <c r="C20" s="81" t="s">
        <v>166</v>
      </c>
      <c r="D20" s="53">
        <v>7174461</v>
      </c>
      <c r="E20" s="52">
        <v>45474</v>
      </c>
      <c r="F20" s="83">
        <v>74033</v>
      </c>
      <c r="G20" s="79" t="s">
        <v>22</v>
      </c>
      <c r="H20" s="49" t="str">
        <f t="shared" si="0"/>
        <v>C</v>
      </c>
      <c r="I20" s="48" t="str">
        <f t="shared" si="1"/>
        <v>The Commissioner &amp; Chief Constable are satisfied the spend represents VFM in accordance with the requirements of Category C</v>
      </c>
      <c r="J20" s="60"/>
      <c r="K20" s="60"/>
    </row>
    <row r="21" spans="1:11" x14ac:dyDescent="0.2">
      <c r="A21" s="56" t="s">
        <v>8</v>
      </c>
      <c r="B21" s="55" t="s">
        <v>9</v>
      </c>
      <c r="C21" s="82" t="s">
        <v>85</v>
      </c>
      <c r="D21" s="53">
        <v>7175104</v>
      </c>
      <c r="E21" s="52">
        <v>45491</v>
      </c>
      <c r="F21" s="83">
        <v>68703.789999999994</v>
      </c>
      <c r="G21" s="79" t="s">
        <v>27</v>
      </c>
      <c r="H21" s="49" t="str">
        <f t="shared" si="0"/>
        <v>C</v>
      </c>
      <c r="I21" s="48" t="str">
        <f t="shared" si="1"/>
        <v>The Commissioner &amp; Chief Constable are satisfied the spend represents VFM in accordance with the requirements of Category C</v>
      </c>
      <c r="J21" s="60"/>
      <c r="K21" s="60"/>
    </row>
    <row r="22" spans="1:11" x14ac:dyDescent="0.2">
      <c r="A22" s="56" t="s">
        <v>8</v>
      </c>
      <c r="B22" s="55" t="s">
        <v>9</v>
      </c>
      <c r="C22" s="81" t="s">
        <v>26</v>
      </c>
      <c r="D22" s="53">
        <v>7175322</v>
      </c>
      <c r="E22" s="52">
        <v>45497</v>
      </c>
      <c r="F22" s="83">
        <v>61207.44</v>
      </c>
      <c r="G22" s="79" t="s">
        <v>53</v>
      </c>
      <c r="H22" s="49" t="str">
        <f t="shared" si="0"/>
        <v>C</v>
      </c>
      <c r="I22" s="48" t="str">
        <f t="shared" si="1"/>
        <v>The Commissioner &amp; Chief Constable are satisfied the spend represents VFM in accordance with the requirements of Category C</v>
      </c>
      <c r="J22" s="60"/>
      <c r="K22" s="60"/>
    </row>
    <row r="23" spans="1:11" x14ac:dyDescent="0.2">
      <c r="A23" s="56" t="s">
        <v>8</v>
      </c>
      <c r="B23" s="55" t="s">
        <v>9</v>
      </c>
      <c r="C23" s="81" t="s">
        <v>65</v>
      </c>
      <c r="D23" s="53">
        <v>7174474</v>
      </c>
      <c r="E23" s="52">
        <v>45474</v>
      </c>
      <c r="F23" s="80">
        <v>61187.51</v>
      </c>
      <c r="G23" s="79" t="s">
        <v>66</v>
      </c>
      <c r="H23" s="49" t="str">
        <f t="shared" si="0"/>
        <v>C</v>
      </c>
      <c r="I23" s="48" t="str">
        <f t="shared" si="1"/>
        <v>The Commissioner &amp; Chief Constable are satisfied the spend represents VFM in accordance with the requirements of Category C</v>
      </c>
      <c r="J23" s="60"/>
      <c r="K23" s="60"/>
    </row>
    <row r="24" spans="1:11" x14ac:dyDescent="0.2">
      <c r="A24" s="56" t="s">
        <v>8</v>
      </c>
      <c r="B24" s="55" t="s">
        <v>9</v>
      </c>
      <c r="C24" s="81" t="s">
        <v>44</v>
      </c>
      <c r="D24" s="53">
        <v>7174642</v>
      </c>
      <c r="E24" s="52">
        <v>45481</v>
      </c>
      <c r="F24" s="80">
        <v>59200</v>
      </c>
      <c r="G24" s="79" t="s">
        <v>45</v>
      </c>
      <c r="H24" s="49" t="str">
        <f t="shared" si="0"/>
        <v>C</v>
      </c>
      <c r="I24" s="48" t="str">
        <f t="shared" si="1"/>
        <v>The Commissioner &amp; Chief Constable are satisfied the spend represents VFM in accordance with the requirements of Category C</v>
      </c>
      <c r="J24" s="60"/>
      <c r="K24" s="60"/>
    </row>
    <row r="25" spans="1:11" x14ac:dyDescent="0.2">
      <c r="A25" s="56" t="s">
        <v>8</v>
      </c>
      <c r="B25" s="55" t="s">
        <v>9</v>
      </c>
      <c r="C25" s="81" t="s">
        <v>52</v>
      </c>
      <c r="D25" s="53">
        <v>7174759</v>
      </c>
      <c r="E25" s="52">
        <v>45488</v>
      </c>
      <c r="F25" s="80">
        <v>55678</v>
      </c>
      <c r="G25" s="79" t="s">
        <v>45</v>
      </c>
      <c r="H25" s="49" t="str">
        <f t="shared" si="0"/>
        <v>C</v>
      </c>
      <c r="I25" s="48" t="str">
        <f t="shared" si="1"/>
        <v>The Commissioner &amp; Chief Constable are satisfied the spend represents VFM in accordance with the requirements of Category C</v>
      </c>
      <c r="J25" s="60"/>
      <c r="K25" s="60"/>
    </row>
    <row r="26" spans="1:11" x14ac:dyDescent="0.2">
      <c r="A26" s="56" t="s">
        <v>8</v>
      </c>
      <c r="B26" s="55" t="s">
        <v>9</v>
      </c>
      <c r="C26" s="81" t="s">
        <v>57</v>
      </c>
      <c r="D26" s="53">
        <v>7175097</v>
      </c>
      <c r="E26" s="52">
        <v>45492</v>
      </c>
      <c r="F26" s="80">
        <v>55486.11</v>
      </c>
      <c r="G26" s="79" t="s">
        <v>58</v>
      </c>
      <c r="H26" s="49" t="str">
        <f t="shared" si="0"/>
        <v>C</v>
      </c>
      <c r="I26" s="48" t="str">
        <f t="shared" si="1"/>
        <v>The Commissioner &amp; Chief Constable are satisfied the spend represents VFM in accordance with the requirements of Category C</v>
      </c>
      <c r="J26" s="60"/>
      <c r="K26" s="60"/>
    </row>
    <row r="27" spans="1:11" x14ac:dyDescent="0.2">
      <c r="A27" s="56" t="s">
        <v>8</v>
      </c>
      <c r="B27" s="55" t="s">
        <v>9</v>
      </c>
      <c r="C27" s="81" t="s">
        <v>448</v>
      </c>
      <c r="D27" s="53">
        <v>7175427</v>
      </c>
      <c r="E27" s="52">
        <v>45503</v>
      </c>
      <c r="F27" s="80">
        <v>55123</v>
      </c>
      <c r="G27" s="79" t="s">
        <v>27</v>
      </c>
      <c r="H27" s="49" t="str">
        <f t="shared" si="0"/>
        <v>C</v>
      </c>
      <c r="I27" s="48" t="str">
        <f t="shared" si="1"/>
        <v>The Commissioner &amp; Chief Constable are satisfied the spend represents VFM in accordance with the requirements of Category C</v>
      </c>
      <c r="J27" s="60"/>
      <c r="K27" s="60"/>
    </row>
    <row r="28" spans="1:11" x14ac:dyDescent="0.2">
      <c r="A28" s="56" t="s">
        <v>8</v>
      </c>
      <c r="B28" s="55" t="s">
        <v>9</v>
      </c>
      <c r="C28" s="81" t="s">
        <v>55</v>
      </c>
      <c r="D28" s="53">
        <v>7174401</v>
      </c>
      <c r="E28" s="52">
        <v>45474</v>
      </c>
      <c r="F28" s="80">
        <v>54833.75</v>
      </c>
      <c r="G28" s="79" t="s">
        <v>27</v>
      </c>
      <c r="H28" s="49" t="str">
        <f t="shared" si="0"/>
        <v>C</v>
      </c>
      <c r="I28" s="48" t="str">
        <f t="shared" si="1"/>
        <v>The Commissioner &amp; Chief Constable are satisfied the spend represents VFM in accordance with the requirements of Category C</v>
      </c>
      <c r="J28" s="60"/>
      <c r="K28" s="60"/>
    </row>
    <row r="29" spans="1:11" x14ac:dyDescent="0.2">
      <c r="A29" s="56" t="s">
        <v>8</v>
      </c>
      <c r="B29" s="55" t="s">
        <v>9</v>
      </c>
      <c r="C29" s="81" t="s">
        <v>415</v>
      </c>
      <c r="D29" s="53">
        <v>7175203</v>
      </c>
      <c r="E29" s="52">
        <v>45496</v>
      </c>
      <c r="F29" s="80">
        <v>47821.47</v>
      </c>
      <c r="G29" s="84" t="s">
        <v>164</v>
      </c>
      <c r="H29" s="49" t="str">
        <f t="shared" si="0"/>
        <v>C</v>
      </c>
      <c r="I29" s="48" t="str">
        <f t="shared" si="1"/>
        <v>The Commissioner &amp; Chief Constable are satisfied the spend represents VFM in accordance with the requirements of Category C</v>
      </c>
      <c r="J29" s="60"/>
      <c r="K29" s="60"/>
    </row>
    <row r="30" spans="1:11" x14ac:dyDescent="0.2">
      <c r="A30" s="56" t="s">
        <v>8</v>
      </c>
      <c r="B30" s="55" t="s">
        <v>9</v>
      </c>
      <c r="C30" s="81" t="s">
        <v>487</v>
      </c>
      <c r="D30" s="53">
        <v>7174840</v>
      </c>
      <c r="E30" s="52">
        <v>45482</v>
      </c>
      <c r="F30" s="80">
        <v>47368.42</v>
      </c>
      <c r="G30" s="84" t="s">
        <v>15</v>
      </c>
      <c r="H30" s="49" t="str">
        <f t="shared" si="0"/>
        <v>C</v>
      </c>
      <c r="I30" s="48" t="str">
        <f t="shared" si="1"/>
        <v>The Commissioner &amp; Chief Constable are satisfied the spend represents VFM in accordance with the requirements of Category C</v>
      </c>
      <c r="J30" s="60"/>
      <c r="K30" s="60"/>
    </row>
    <row r="31" spans="1:11" x14ac:dyDescent="0.2">
      <c r="A31" s="56" t="s">
        <v>8</v>
      </c>
      <c r="B31" s="55" t="s">
        <v>9</v>
      </c>
      <c r="C31" s="81" t="s">
        <v>389</v>
      </c>
      <c r="D31" s="53">
        <v>7175238</v>
      </c>
      <c r="E31" s="52">
        <v>45492</v>
      </c>
      <c r="F31" s="80">
        <v>46800</v>
      </c>
      <c r="G31" s="84" t="s">
        <v>15</v>
      </c>
      <c r="H31" s="49" t="str">
        <f t="shared" si="0"/>
        <v>C</v>
      </c>
      <c r="I31" s="48" t="str">
        <f t="shared" si="1"/>
        <v>The Commissioner &amp; Chief Constable are satisfied the spend represents VFM in accordance with the requirements of Category C</v>
      </c>
      <c r="J31" s="60"/>
      <c r="K31" s="60"/>
    </row>
    <row r="32" spans="1:11" x14ac:dyDescent="0.2">
      <c r="A32" s="56" t="s">
        <v>8</v>
      </c>
      <c r="B32" s="55" t="s">
        <v>9</v>
      </c>
      <c r="C32" s="81" t="s">
        <v>843</v>
      </c>
      <c r="D32" s="53">
        <v>9035297</v>
      </c>
      <c r="E32" s="52">
        <v>45477</v>
      </c>
      <c r="F32" s="80">
        <v>42600</v>
      </c>
      <c r="G32" s="84" t="s">
        <v>60</v>
      </c>
      <c r="H32" s="49" t="str">
        <f t="shared" si="0"/>
        <v>C</v>
      </c>
      <c r="I32" s="48" t="str">
        <f t="shared" si="1"/>
        <v>The Commissioner &amp; Chief Constable are satisfied the spend represents VFM in accordance with the requirements of Category C</v>
      </c>
      <c r="J32" s="60"/>
      <c r="K32" s="60"/>
    </row>
    <row r="33" spans="1:11" x14ac:dyDescent="0.2">
      <c r="A33" s="56" t="s">
        <v>8</v>
      </c>
      <c r="B33" s="55" t="s">
        <v>9</v>
      </c>
      <c r="C33" s="82" t="s">
        <v>105</v>
      </c>
      <c r="D33" s="53">
        <v>7174545</v>
      </c>
      <c r="E33" s="52">
        <v>45474</v>
      </c>
      <c r="F33" s="80">
        <v>42000</v>
      </c>
      <c r="G33" s="84" t="s">
        <v>22</v>
      </c>
      <c r="H33" s="49" t="str">
        <f t="shared" si="0"/>
        <v>C</v>
      </c>
      <c r="I33" s="48" t="str">
        <f t="shared" si="1"/>
        <v>The Commissioner &amp; Chief Constable are satisfied the spend represents VFM in accordance with the requirements of Category C</v>
      </c>
      <c r="J33" s="60"/>
      <c r="K33" s="60"/>
    </row>
    <row r="34" spans="1:11" x14ac:dyDescent="0.2">
      <c r="A34" s="56" t="s">
        <v>8</v>
      </c>
      <c r="B34" s="55" t="s">
        <v>9</v>
      </c>
      <c r="C34" s="81" t="s">
        <v>586</v>
      </c>
      <c r="D34" s="53">
        <v>7174632</v>
      </c>
      <c r="E34" s="52">
        <v>45477</v>
      </c>
      <c r="F34" s="80">
        <v>40354.79</v>
      </c>
      <c r="G34" s="84" t="s">
        <v>62</v>
      </c>
      <c r="H34" s="49" t="str">
        <f t="shared" si="0"/>
        <v>C</v>
      </c>
      <c r="I34" s="48" t="str">
        <f t="shared" si="1"/>
        <v>The Commissioner &amp; Chief Constable are satisfied the spend represents VFM in accordance with the requirements of Category C</v>
      </c>
      <c r="J34" s="60"/>
      <c r="K34" s="60"/>
    </row>
    <row r="35" spans="1:11" x14ac:dyDescent="0.2">
      <c r="A35" s="56" t="s">
        <v>8</v>
      </c>
      <c r="B35" s="55" t="s">
        <v>9</v>
      </c>
      <c r="C35" s="81" t="s">
        <v>586</v>
      </c>
      <c r="D35" s="53">
        <v>7174631</v>
      </c>
      <c r="E35" s="52">
        <v>45477</v>
      </c>
      <c r="F35" s="80">
        <v>37340.82</v>
      </c>
      <c r="G35" s="84" t="s">
        <v>62</v>
      </c>
      <c r="H35" s="49" t="str">
        <f t="shared" si="0"/>
        <v>C</v>
      </c>
      <c r="I35" s="48" t="str">
        <f t="shared" si="1"/>
        <v>The Commissioner &amp; Chief Constable are satisfied the spend represents VFM in accordance with the requirements of Category C</v>
      </c>
      <c r="J35" s="60"/>
      <c r="K35" s="60"/>
    </row>
    <row r="36" spans="1:11" x14ac:dyDescent="0.2">
      <c r="A36" s="56" t="s">
        <v>8</v>
      </c>
      <c r="B36" s="55" t="s">
        <v>9</v>
      </c>
      <c r="C36" s="81" t="s">
        <v>26</v>
      </c>
      <c r="D36" s="53">
        <v>7174762</v>
      </c>
      <c r="E36" s="52">
        <v>45489</v>
      </c>
      <c r="F36" s="80">
        <v>35688.33</v>
      </c>
      <c r="G36" s="84" t="s">
        <v>76</v>
      </c>
      <c r="H36" s="49" t="str">
        <f t="shared" si="0"/>
        <v>C</v>
      </c>
      <c r="I36" s="48" t="str">
        <f t="shared" si="1"/>
        <v>The Commissioner &amp; Chief Constable are satisfied the spend represents VFM in accordance with the requirements of Category C</v>
      </c>
      <c r="J36" s="60"/>
      <c r="K36" s="60"/>
    </row>
    <row r="37" spans="1:11" x14ac:dyDescent="0.2">
      <c r="A37" s="56" t="s">
        <v>8</v>
      </c>
      <c r="B37" s="55" t="s">
        <v>9</v>
      </c>
      <c r="C37" s="81" t="s">
        <v>69</v>
      </c>
      <c r="D37" s="53">
        <v>7175385</v>
      </c>
      <c r="E37" s="52">
        <v>45498</v>
      </c>
      <c r="F37" s="83">
        <v>35299.449999999997</v>
      </c>
      <c r="G37" s="79" t="s">
        <v>58</v>
      </c>
      <c r="H37" s="49" t="str">
        <f t="shared" si="0"/>
        <v>C</v>
      </c>
      <c r="I37" s="48" t="str">
        <f t="shared" si="1"/>
        <v>The Commissioner &amp; Chief Constable are satisfied the spend represents VFM in accordance with the requirements of Category C</v>
      </c>
      <c r="J37" s="60"/>
      <c r="K37" s="60"/>
    </row>
    <row r="38" spans="1:11" x14ac:dyDescent="0.2">
      <c r="A38" s="56" t="s">
        <v>8</v>
      </c>
      <c r="B38" s="55" t="s">
        <v>9</v>
      </c>
      <c r="C38" s="81" t="s">
        <v>448</v>
      </c>
      <c r="D38" s="53">
        <v>7174249</v>
      </c>
      <c r="E38" s="52">
        <v>45474</v>
      </c>
      <c r="F38" s="80">
        <v>33733.75</v>
      </c>
      <c r="G38" s="79" t="s">
        <v>27</v>
      </c>
      <c r="H38" s="49" t="str">
        <f t="shared" si="0"/>
        <v>C</v>
      </c>
      <c r="I38" s="48" t="str">
        <f t="shared" si="1"/>
        <v>The Commissioner &amp; Chief Constable are satisfied the spend represents VFM in accordance with the requirements of Category C</v>
      </c>
      <c r="J38" s="60"/>
      <c r="K38" s="60"/>
    </row>
    <row r="39" spans="1:11" x14ac:dyDescent="0.2">
      <c r="A39" s="56" t="s">
        <v>8</v>
      </c>
      <c r="B39" s="55" t="s">
        <v>9</v>
      </c>
      <c r="C39" s="81" t="s">
        <v>448</v>
      </c>
      <c r="D39" s="53">
        <v>7175224</v>
      </c>
      <c r="E39" s="52">
        <v>45497</v>
      </c>
      <c r="F39" s="80">
        <v>33733.75</v>
      </c>
      <c r="G39" s="79" t="s">
        <v>27</v>
      </c>
      <c r="H39" s="49" t="str">
        <f t="shared" si="0"/>
        <v>C</v>
      </c>
      <c r="I39" s="48" t="str">
        <f t="shared" si="1"/>
        <v>The Commissioner &amp; Chief Constable are satisfied the spend represents VFM in accordance with the requirements of Category C</v>
      </c>
      <c r="J39" s="60"/>
      <c r="K39" s="60"/>
    </row>
    <row r="40" spans="1:11" x14ac:dyDescent="0.2">
      <c r="A40" s="56" t="s">
        <v>8</v>
      </c>
      <c r="B40" s="55" t="s">
        <v>9</v>
      </c>
      <c r="C40" s="81" t="s">
        <v>65</v>
      </c>
      <c r="D40" s="53">
        <v>7174523</v>
      </c>
      <c r="E40" s="52">
        <v>45488</v>
      </c>
      <c r="F40" s="80">
        <v>31471.119999999999</v>
      </c>
      <c r="G40" s="79" t="s">
        <v>66</v>
      </c>
      <c r="H40" s="49" t="str">
        <f t="shared" si="0"/>
        <v>C</v>
      </c>
      <c r="I40" s="48" t="str">
        <f t="shared" si="1"/>
        <v>The Commissioner &amp; Chief Constable are satisfied the spend represents VFM in accordance with the requirements of Category C</v>
      </c>
      <c r="J40" s="60"/>
      <c r="K40" s="60"/>
    </row>
    <row r="41" spans="1:11" x14ac:dyDescent="0.2">
      <c r="A41" s="56" t="s">
        <v>8</v>
      </c>
      <c r="B41" s="55" t="s">
        <v>9</v>
      </c>
      <c r="C41" s="81" t="s">
        <v>70</v>
      </c>
      <c r="D41" s="53">
        <v>7174712</v>
      </c>
      <c r="E41" s="52">
        <v>45481</v>
      </c>
      <c r="F41" s="80">
        <v>30911.35</v>
      </c>
      <c r="G41" s="79" t="s">
        <v>58</v>
      </c>
      <c r="H41" s="49" t="str">
        <f t="shared" si="0"/>
        <v>C</v>
      </c>
      <c r="I41" s="48" t="str">
        <f t="shared" si="1"/>
        <v>The Commissioner &amp; Chief Constable are satisfied the spend represents VFM in accordance with the requirements of Category C</v>
      </c>
      <c r="J41" s="60"/>
      <c r="K41" s="60"/>
    </row>
    <row r="42" spans="1:11" x14ac:dyDescent="0.2">
      <c r="A42" s="56" t="s">
        <v>8</v>
      </c>
      <c r="B42" s="55" t="s">
        <v>9</v>
      </c>
      <c r="C42" s="81" t="s">
        <v>121</v>
      </c>
      <c r="D42" s="53">
        <v>7175255</v>
      </c>
      <c r="E42" s="52">
        <v>45495</v>
      </c>
      <c r="F42" s="80">
        <v>30409.53</v>
      </c>
      <c r="G42" s="79" t="s">
        <v>122</v>
      </c>
      <c r="H42" s="49" t="str">
        <f t="shared" si="0"/>
        <v>C</v>
      </c>
      <c r="I42" s="48" t="str">
        <f t="shared" si="1"/>
        <v>The Commissioner &amp; Chief Constable are satisfied the spend represents VFM in accordance with the requirements of Category C</v>
      </c>
      <c r="J42" s="60"/>
      <c r="K42" s="60"/>
    </row>
    <row r="43" spans="1:11" x14ac:dyDescent="0.2">
      <c r="A43" s="56" t="s">
        <v>8</v>
      </c>
      <c r="B43" s="55" t="s">
        <v>9</v>
      </c>
      <c r="C43" s="81" t="s">
        <v>488</v>
      </c>
      <c r="D43" s="53">
        <v>3068186</v>
      </c>
      <c r="E43" s="52">
        <v>45495</v>
      </c>
      <c r="F43" s="80">
        <v>29442.17</v>
      </c>
      <c r="G43" s="79" t="s">
        <v>579</v>
      </c>
      <c r="H43" s="49" t="str">
        <f t="shared" si="0"/>
        <v>C</v>
      </c>
      <c r="I43" s="48" t="str">
        <f t="shared" si="1"/>
        <v>The Commissioner &amp; Chief Constable are satisfied the spend represents VFM in accordance with the requirements of Category C</v>
      </c>
      <c r="J43" s="60"/>
      <c r="K43" s="60"/>
    </row>
    <row r="44" spans="1:11" x14ac:dyDescent="0.2">
      <c r="A44" s="56" t="s">
        <v>8</v>
      </c>
      <c r="B44" s="55" t="s">
        <v>9</v>
      </c>
      <c r="C44" s="81" t="s">
        <v>72</v>
      </c>
      <c r="D44" s="53">
        <v>7174528</v>
      </c>
      <c r="E44" s="52">
        <v>45474</v>
      </c>
      <c r="F44" s="80">
        <v>26981.13</v>
      </c>
      <c r="G44" s="79" t="s">
        <v>27</v>
      </c>
      <c r="H44" s="49" t="str">
        <f t="shared" si="0"/>
        <v>C</v>
      </c>
      <c r="I44" s="48" t="str">
        <f t="shared" si="1"/>
        <v>The Commissioner &amp; Chief Constable are satisfied the spend represents VFM in accordance with the requirements of Category C</v>
      </c>
      <c r="J44" s="60"/>
      <c r="K44" s="60"/>
    </row>
    <row r="45" spans="1:11" x14ac:dyDescent="0.2">
      <c r="A45" s="56" t="s">
        <v>8</v>
      </c>
      <c r="B45" s="55" t="s">
        <v>9</v>
      </c>
      <c r="C45" s="81" t="s">
        <v>61</v>
      </c>
      <c r="D45" s="53">
        <v>7174609</v>
      </c>
      <c r="E45" s="52">
        <v>45475</v>
      </c>
      <c r="F45" s="80">
        <v>25750.1</v>
      </c>
      <c r="G45" s="79" t="s">
        <v>62</v>
      </c>
      <c r="H45" s="49" t="str">
        <f t="shared" si="0"/>
        <v>C</v>
      </c>
      <c r="I45" s="48" t="str">
        <f t="shared" si="1"/>
        <v>The Commissioner &amp; Chief Constable are satisfied the spend represents VFM in accordance with the requirements of Category C</v>
      </c>
      <c r="J45" s="60"/>
      <c r="K45" s="60"/>
    </row>
    <row r="46" spans="1:11" x14ac:dyDescent="0.2">
      <c r="A46" s="56" t="s">
        <v>8</v>
      </c>
      <c r="B46" s="55" t="s">
        <v>9</v>
      </c>
      <c r="C46" s="81" t="s">
        <v>61</v>
      </c>
      <c r="D46" s="53">
        <v>7174609</v>
      </c>
      <c r="E46" s="52">
        <v>45475</v>
      </c>
      <c r="F46" s="80">
        <v>55</v>
      </c>
      <c r="G46" s="79" t="s">
        <v>63</v>
      </c>
      <c r="H46" s="49" t="str">
        <f t="shared" si="0"/>
        <v>A</v>
      </c>
      <c r="I46" s="48" t="str">
        <f t="shared" si="1"/>
        <v>The Commissioner &amp; Chief Constable are satisfied the spend represents VFM in accordance with the requirements of Category A</v>
      </c>
      <c r="J46" s="60"/>
      <c r="K46" s="60"/>
    </row>
    <row r="47" spans="1:11" x14ac:dyDescent="0.2">
      <c r="A47" s="56" t="s">
        <v>8</v>
      </c>
      <c r="B47" s="55" t="s">
        <v>9</v>
      </c>
      <c r="C47" s="81" t="s">
        <v>709</v>
      </c>
      <c r="D47" s="53">
        <v>9035335</v>
      </c>
      <c r="E47" s="52">
        <v>45482</v>
      </c>
      <c r="F47" s="80">
        <v>24195.16</v>
      </c>
      <c r="G47" s="79" t="s">
        <v>80</v>
      </c>
      <c r="H47" s="49" t="str">
        <f t="shared" si="0"/>
        <v>B</v>
      </c>
      <c r="I47" s="48" t="str">
        <f t="shared" si="1"/>
        <v>The Commissioner &amp; Chief Constable are satisfied the spend represents VFM in accordance with the requirements of Category B</v>
      </c>
      <c r="J47" s="60"/>
      <c r="K47" s="60"/>
    </row>
    <row r="48" spans="1:11" x14ac:dyDescent="0.2">
      <c r="A48" s="56" t="s">
        <v>8</v>
      </c>
      <c r="B48" s="55" t="s">
        <v>9</v>
      </c>
      <c r="C48" s="81" t="s">
        <v>159</v>
      </c>
      <c r="D48" s="53">
        <v>7174591</v>
      </c>
      <c r="E48" s="52">
        <v>45476</v>
      </c>
      <c r="F48" s="80">
        <v>22755.69</v>
      </c>
      <c r="G48" s="79" t="s">
        <v>22</v>
      </c>
      <c r="H48" s="49" t="str">
        <f t="shared" si="0"/>
        <v>B</v>
      </c>
      <c r="I48" s="48" t="str">
        <f t="shared" si="1"/>
        <v>The Commissioner &amp; Chief Constable are satisfied the spend represents VFM in accordance with the requirements of Category B</v>
      </c>
      <c r="J48" s="60"/>
      <c r="K48" s="60"/>
    </row>
    <row r="49" spans="1:11" x14ac:dyDescent="0.2">
      <c r="A49" s="56" t="s">
        <v>8</v>
      </c>
      <c r="B49" s="55" t="s">
        <v>9</v>
      </c>
      <c r="C49" s="81" t="s">
        <v>85</v>
      </c>
      <c r="D49" s="53">
        <v>7175101</v>
      </c>
      <c r="E49" s="52">
        <v>45490</v>
      </c>
      <c r="F49" s="80">
        <v>21263.34</v>
      </c>
      <c r="G49" s="79" t="s">
        <v>27</v>
      </c>
      <c r="H49" s="49" t="str">
        <f t="shared" si="0"/>
        <v>B</v>
      </c>
      <c r="I49" s="48" t="str">
        <f t="shared" si="1"/>
        <v>The Commissioner &amp; Chief Constable are satisfied the spend represents VFM in accordance with the requirements of Category B</v>
      </c>
      <c r="J49" s="60"/>
      <c r="K49" s="60"/>
    </row>
    <row r="50" spans="1:11" x14ac:dyDescent="0.2">
      <c r="A50" s="56" t="s">
        <v>8</v>
      </c>
      <c r="B50" s="55" t="s">
        <v>9</v>
      </c>
      <c r="C50" s="81" t="s">
        <v>26</v>
      </c>
      <c r="D50" s="53">
        <v>7175360</v>
      </c>
      <c r="E50" s="52">
        <v>45497</v>
      </c>
      <c r="F50" s="80">
        <v>19398.150000000001</v>
      </c>
      <c r="G50" s="79" t="s">
        <v>88</v>
      </c>
      <c r="H50" s="49" t="str">
        <f t="shared" si="0"/>
        <v>B</v>
      </c>
      <c r="I50" s="48" t="str">
        <f t="shared" si="1"/>
        <v>The Commissioner &amp; Chief Constable are satisfied the spend represents VFM in accordance with the requirements of Category B</v>
      </c>
      <c r="J50" s="60"/>
      <c r="K50" s="60"/>
    </row>
    <row r="51" spans="1:11" x14ac:dyDescent="0.2">
      <c r="A51" s="56" t="s">
        <v>8</v>
      </c>
      <c r="B51" s="55" t="s">
        <v>9</v>
      </c>
      <c r="C51" s="81" t="s">
        <v>50</v>
      </c>
      <c r="D51" s="53">
        <v>7175166</v>
      </c>
      <c r="E51" s="52">
        <v>45503</v>
      </c>
      <c r="F51" s="80">
        <v>19337.45</v>
      </c>
      <c r="G51" s="79" t="s">
        <v>36</v>
      </c>
      <c r="H51" s="49" t="str">
        <f t="shared" si="0"/>
        <v>B</v>
      </c>
      <c r="I51" s="48" t="str">
        <f t="shared" si="1"/>
        <v>The Commissioner &amp; Chief Constable are satisfied the spend represents VFM in accordance with the requirements of Category B</v>
      </c>
      <c r="J51" s="60"/>
      <c r="K51" s="60"/>
    </row>
    <row r="52" spans="1:11" x14ac:dyDescent="0.2">
      <c r="A52" s="56" t="s">
        <v>8</v>
      </c>
      <c r="B52" s="55" t="s">
        <v>9</v>
      </c>
      <c r="C52" s="81" t="s">
        <v>85</v>
      </c>
      <c r="D52" s="53">
        <v>7175105</v>
      </c>
      <c r="E52" s="52">
        <v>45490</v>
      </c>
      <c r="F52" s="80">
        <v>18776.919999999998</v>
      </c>
      <c r="G52" s="79" t="s">
        <v>27</v>
      </c>
      <c r="H52" s="49" t="str">
        <f t="shared" si="0"/>
        <v>B</v>
      </c>
      <c r="I52" s="48" t="str">
        <f t="shared" si="1"/>
        <v>The Commissioner &amp; Chief Constable are satisfied the spend represents VFM in accordance with the requirements of Category B</v>
      </c>
      <c r="J52" s="60"/>
      <c r="K52" s="60"/>
    </row>
    <row r="53" spans="1:11" x14ac:dyDescent="0.2">
      <c r="A53" s="56" t="s">
        <v>8</v>
      </c>
      <c r="B53" s="55" t="s">
        <v>9</v>
      </c>
      <c r="C53" s="81" t="s">
        <v>85</v>
      </c>
      <c r="D53" s="53">
        <v>7175103</v>
      </c>
      <c r="E53" s="52">
        <v>45490</v>
      </c>
      <c r="F53" s="83">
        <v>18776.919999999998</v>
      </c>
      <c r="G53" s="79" t="s">
        <v>27</v>
      </c>
      <c r="H53" s="49" t="str">
        <f t="shared" si="0"/>
        <v>B</v>
      </c>
      <c r="I53" s="48" t="str">
        <f t="shared" si="1"/>
        <v>The Commissioner &amp; Chief Constable are satisfied the spend represents VFM in accordance with the requirements of Category B</v>
      </c>
      <c r="J53" s="60"/>
      <c r="K53" s="60"/>
    </row>
    <row r="54" spans="1:11" x14ac:dyDescent="0.2">
      <c r="A54" s="56" t="s">
        <v>8</v>
      </c>
      <c r="B54" s="55" t="s">
        <v>9</v>
      </c>
      <c r="C54" s="81" t="s">
        <v>85</v>
      </c>
      <c r="D54" s="53">
        <v>7175102</v>
      </c>
      <c r="E54" s="52">
        <v>45490</v>
      </c>
      <c r="F54" s="80">
        <v>18776.919999999998</v>
      </c>
      <c r="G54" s="79" t="s">
        <v>27</v>
      </c>
      <c r="H54" s="49" t="str">
        <f t="shared" si="0"/>
        <v>B</v>
      </c>
      <c r="I54" s="48" t="str">
        <f t="shared" si="1"/>
        <v>The Commissioner &amp; Chief Constable are satisfied the spend represents VFM in accordance with the requirements of Category B</v>
      </c>
      <c r="J54" s="60"/>
      <c r="K54" s="60"/>
    </row>
    <row r="55" spans="1:11" x14ac:dyDescent="0.2">
      <c r="A55" s="56" t="s">
        <v>8</v>
      </c>
      <c r="B55" s="55" t="s">
        <v>9</v>
      </c>
      <c r="C55" s="81" t="s">
        <v>572</v>
      </c>
      <c r="D55" s="53">
        <v>7174785</v>
      </c>
      <c r="E55" s="52">
        <v>45484</v>
      </c>
      <c r="F55" s="83">
        <v>17700</v>
      </c>
      <c r="G55" s="79" t="s">
        <v>259</v>
      </c>
      <c r="H55" s="49" t="str">
        <f t="shared" si="0"/>
        <v>B</v>
      </c>
      <c r="I55" s="48" t="str">
        <f t="shared" si="1"/>
        <v>The Commissioner &amp; Chief Constable are satisfied the spend represents VFM in accordance with the requirements of Category B</v>
      </c>
      <c r="J55" s="60"/>
      <c r="K55" s="60"/>
    </row>
    <row r="56" spans="1:11" x14ac:dyDescent="0.2">
      <c r="A56" s="56" t="s">
        <v>8</v>
      </c>
      <c r="B56" s="55" t="s">
        <v>9</v>
      </c>
      <c r="C56" s="81" t="s">
        <v>137</v>
      </c>
      <c r="D56" s="53">
        <v>7174951</v>
      </c>
      <c r="E56" s="52">
        <v>45485</v>
      </c>
      <c r="F56" s="80">
        <v>17553.21</v>
      </c>
      <c r="G56" s="79" t="s">
        <v>138</v>
      </c>
      <c r="H56" s="49" t="str">
        <f t="shared" si="0"/>
        <v>B</v>
      </c>
      <c r="I56" s="48" t="str">
        <f t="shared" si="1"/>
        <v>The Commissioner &amp; Chief Constable are satisfied the spend represents VFM in accordance with the requirements of Category B</v>
      </c>
      <c r="J56" s="60"/>
      <c r="K56" s="60"/>
    </row>
    <row r="57" spans="1:11" x14ac:dyDescent="0.2">
      <c r="A57" s="56" t="s">
        <v>8</v>
      </c>
      <c r="B57" s="55" t="s">
        <v>9</v>
      </c>
      <c r="C57" s="81" t="s">
        <v>181</v>
      </c>
      <c r="D57" s="53">
        <v>7175036</v>
      </c>
      <c r="E57" s="52">
        <v>45488</v>
      </c>
      <c r="F57" s="83">
        <v>17057.95</v>
      </c>
      <c r="G57" s="84" t="s">
        <v>98</v>
      </c>
      <c r="H57" s="49" t="str">
        <f t="shared" si="0"/>
        <v>B</v>
      </c>
      <c r="I57" s="48" t="str">
        <f t="shared" si="1"/>
        <v>The Commissioner &amp; Chief Constable are satisfied the spend represents VFM in accordance with the requirements of Category B</v>
      </c>
      <c r="J57" s="60"/>
      <c r="K57" s="60"/>
    </row>
    <row r="58" spans="1:11" x14ac:dyDescent="0.2">
      <c r="A58" s="56" t="s">
        <v>8</v>
      </c>
      <c r="B58" s="55" t="s">
        <v>9</v>
      </c>
      <c r="C58" s="81" t="s">
        <v>799</v>
      </c>
      <c r="D58" s="53">
        <v>7174500</v>
      </c>
      <c r="E58" s="52">
        <v>45474</v>
      </c>
      <c r="F58" s="80">
        <v>16747.07</v>
      </c>
      <c r="G58" s="84" t="s">
        <v>164</v>
      </c>
      <c r="H58" s="49" t="str">
        <f t="shared" si="0"/>
        <v>B</v>
      </c>
      <c r="I58" s="48" t="str">
        <f t="shared" si="1"/>
        <v>The Commissioner &amp; Chief Constable are satisfied the spend represents VFM in accordance with the requirements of Category B</v>
      </c>
      <c r="J58" s="60"/>
      <c r="K58" s="60"/>
    </row>
    <row r="59" spans="1:11" x14ac:dyDescent="0.2">
      <c r="A59" s="56" t="s">
        <v>8</v>
      </c>
      <c r="B59" s="55" t="s">
        <v>9</v>
      </c>
      <c r="C59" s="81" t="s">
        <v>107</v>
      </c>
      <c r="D59" s="53">
        <v>7174668</v>
      </c>
      <c r="E59" s="52">
        <v>45478</v>
      </c>
      <c r="F59" s="83">
        <v>15633.35</v>
      </c>
      <c r="G59" s="79" t="s">
        <v>108</v>
      </c>
      <c r="H59" s="49" t="str">
        <f t="shared" si="0"/>
        <v>B</v>
      </c>
      <c r="I59" s="48" t="str">
        <f t="shared" si="1"/>
        <v>The Commissioner &amp; Chief Constable are satisfied the spend represents VFM in accordance with the requirements of Category B</v>
      </c>
      <c r="J59" s="60"/>
      <c r="K59" s="60"/>
    </row>
    <row r="60" spans="1:11" x14ac:dyDescent="0.2">
      <c r="A60" s="56" t="s">
        <v>8</v>
      </c>
      <c r="B60" s="55" t="s">
        <v>9</v>
      </c>
      <c r="C60" s="81" t="s">
        <v>95</v>
      </c>
      <c r="D60" s="53">
        <v>7175211</v>
      </c>
      <c r="E60" s="52">
        <v>45492</v>
      </c>
      <c r="F60" s="80">
        <v>15000</v>
      </c>
      <c r="G60" s="84" t="s">
        <v>54</v>
      </c>
      <c r="H60" s="49" t="str">
        <f t="shared" si="0"/>
        <v>B</v>
      </c>
      <c r="I60" s="48" t="str">
        <f t="shared" si="1"/>
        <v>The Commissioner &amp; Chief Constable are satisfied the spend represents VFM in accordance with the requirements of Category B</v>
      </c>
      <c r="J60" s="60"/>
      <c r="K60" s="60"/>
    </row>
    <row r="61" spans="1:11" x14ac:dyDescent="0.2">
      <c r="A61" s="56" t="s">
        <v>8</v>
      </c>
      <c r="B61" s="55" t="s">
        <v>9</v>
      </c>
      <c r="C61" s="82" t="s">
        <v>499</v>
      </c>
      <c r="D61" s="53">
        <v>7175535</v>
      </c>
      <c r="E61" s="52">
        <v>45503</v>
      </c>
      <c r="F61" s="83">
        <v>15000</v>
      </c>
      <c r="G61" s="79" t="s">
        <v>27</v>
      </c>
      <c r="H61" s="49" t="str">
        <f t="shared" si="0"/>
        <v>B</v>
      </c>
      <c r="I61" s="48" t="str">
        <f t="shared" si="1"/>
        <v>The Commissioner &amp; Chief Constable are satisfied the spend represents VFM in accordance with the requirements of Category B</v>
      </c>
      <c r="J61" s="60"/>
      <c r="K61" s="60"/>
    </row>
    <row r="62" spans="1:11" x14ac:dyDescent="0.2">
      <c r="A62" s="56" t="s">
        <v>8</v>
      </c>
      <c r="B62" s="55" t="s">
        <v>9</v>
      </c>
      <c r="C62" s="81" t="s">
        <v>115</v>
      </c>
      <c r="D62" s="53">
        <v>7175327</v>
      </c>
      <c r="E62" s="52">
        <v>45496</v>
      </c>
      <c r="F62" s="80">
        <v>14921.12</v>
      </c>
      <c r="G62" s="84" t="s">
        <v>116</v>
      </c>
      <c r="H62" s="49" t="str">
        <f t="shared" si="0"/>
        <v>B</v>
      </c>
      <c r="I62" s="48" t="str">
        <f t="shared" si="1"/>
        <v>The Commissioner &amp; Chief Constable are satisfied the spend represents VFM in accordance with the requirements of Category B</v>
      </c>
      <c r="J62" s="60"/>
      <c r="K62" s="60"/>
    </row>
    <row r="63" spans="1:11" x14ac:dyDescent="0.2">
      <c r="A63" s="56" t="s">
        <v>8</v>
      </c>
      <c r="B63" s="55" t="s">
        <v>9</v>
      </c>
      <c r="C63" s="81" t="s">
        <v>26</v>
      </c>
      <c r="D63" s="53">
        <v>7174774</v>
      </c>
      <c r="E63" s="52">
        <v>45488</v>
      </c>
      <c r="F63" s="83">
        <v>14480.99</v>
      </c>
      <c r="G63" s="79" t="s">
        <v>76</v>
      </c>
      <c r="H63" s="49" t="str">
        <f t="shared" si="0"/>
        <v>B</v>
      </c>
      <c r="I63" s="48" t="str">
        <f t="shared" si="1"/>
        <v>The Commissioner &amp; Chief Constable are satisfied the spend represents VFM in accordance with the requirements of Category B</v>
      </c>
      <c r="J63" s="60"/>
      <c r="K63" s="60"/>
    </row>
    <row r="64" spans="1:11" x14ac:dyDescent="0.2">
      <c r="A64" s="56" t="s">
        <v>8</v>
      </c>
      <c r="B64" s="55" t="s">
        <v>9</v>
      </c>
      <c r="C64" s="81" t="s">
        <v>181</v>
      </c>
      <c r="D64" s="53">
        <v>7174520</v>
      </c>
      <c r="E64" s="52">
        <v>45481</v>
      </c>
      <c r="F64" s="80">
        <v>14433.65</v>
      </c>
      <c r="G64" s="79" t="s">
        <v>98</v>
      </c>
      <c r="H64" s="49" t="str">
        <f t="shared" si="0"/>
        <v>B</v>
      </c>
      <c r="I64" s="48" t="str">
        <f t="shared" si="1"/>
        <v>The Commissioner &amp; Chief Constable are satisfied the spend represents VFM in accordance with the requirements of Category B</v>
      </c>
      <c r="J64" s="60"/>
      <c r="K64" s="60"/>
    </row>
    <row r="65" spans="1:11" x14ac:dyDescent="0.2">
      <c r="A65" s="56" t="s">
        <v>8</v>
      </c>
      <c r="B65" s="55" t="s">
        <v>9</v>
      </c>
      <c r="C65" s="81" t="s">
        <v>52</v>
      </c>
      <c r="D65" s="53">
        <v>7174620</v>
      </c>
      <c r="E65" s="52">
        <v>45476</v>
      </c>
      <c r="F65" s="80">
        <v>1192</v>
      </c>
      <c r="G65" s="79" t="s">
        <v>45</v>
      </c>
      <c r="H65" s="49" t="str">
        <f t="shared" si="0"/>
        <v>B</v>
      </c>
      <c r="I65" s="48" t="str">
        <f t="shared" si="1"/>
        <v>The Commissioner &amp; Chief Constable are satisfied the spend represents VFM in accordance with the requirements of Category B</v>
      </c>
      <c r="J65" s="60"/>
      <c r="K65" s="60"/>
    </row>
    <row r="66" spans="1:11" x14ac:dyDescent="0.2">
      <c r="A66" s="56" t="s">
        <v>8</v>
      </c>
      <c r="B66" s="55" t="s">
        <v>9</v>
      </c>
      <c r="C66" s="81" t="s">
        <v>52</v>
      </c>
      <c r="D66" s="53">
        <v>7174620</v>
      </c>
      <c r="E66" s="52">
        <v>45476</v>
      </c>
      <c r="F66" s="80">
        <v>8915.5</v>
      </c>
      <c r="G66" s="79" t="s">
        <v>81</v>
      </c>
      <c r="H66" s="49" t="str">
        <f t="shared" ref="H66:H129" si="2">IF(F66&gt;25000,"C",IF(F66&gt;1000,"B","A"))</f>
        <v>B</v>
      </c>
      <c r="I66" s="48" t="str">
        <f t="shared" ref="I66:I129" si="3">VLOOKUP(H66,$L$2:$M$4,2,FALSE)</f>
        <v>The Commissioner &amp; Chief Constable are satisfied the spend represents VFM in accordance with the requirements of Category B</v>
      </c>
      <c r="J66" s="60"/>
      <c r="K66" s="60"/>
    </row>
    <row r="67" spans="1:11" x14ac:dyDescent="0.2">
      <c r="A67" s="56" t="s">
        <v>8</v>
      </c>
      <c r="B67" s="55" t="s">
        <v>9</v>
      </c>
      <c r="C67" s="82" t="s">
        <v>52</v>
      </c>
      <c r="D67" s="53">
        <v>7174620</v>
      </c>
      <c r="E67" s="52">
        <v>45476</v>
      </c>
      <c r="F67" s="83">
        <v>3568</v>
      </c>
      <c r="G67" s="79" t="s">
        <v>82</v>
      </c>
      <c r="H67" s="49" t="str">
        <f t="shared" si="2"/>
        <v>B</v>
      </c>
      <c r="I67" s="48" t="str">
        <f t="shared" si="3"/>
        <v>The Commissioner &amp; Chief Constable are satisfied the spend represents VFM in accordance with the requirements of Category B</v>
      </c>
      <c r="J67" s="60"/>
      <c r="K67" s="60"/>
    </row>
    <row r="68" spans="1:11" x14ac:dyDescent="0.2">
      <c r="A68" s="56" t="s">
        <v>8</v>
      </c>
      <c r="B68" s="55" t="s">
        <v>9</v>
      </c>
      <c r="C68" s="82" t="s">
        <v>44</v>
      </c>
      <c r="D68" s="53">
        <v>7174560</v>
      </c>
      <c r="E68" s="52">
        <v>45475</v>
      </c>
      <c r="F68" s="83">
        <v>954</v>
      </c>
      <c r="G68" s="79" t="s">
        <v>45</v>
      </c>
      <c r="H68" s="49" t="str">
        <f t="shared" si="2"/>
        <v>A</v>
      </c>
      <c r="I68" s="48" t="str">
        <f t="shared" si="3"/>
        <v>The Commissioner &amp; Chief Constable are satisfied the spend represents VFM in accordance with the requirements of Category A</v>
      </c>
      <c r="J68" s="60"/>
      <c r="K68" s="60"/>
    </row>
    <row r="69" spans="1:11" x14ac:dyDescent="0.2">
      <c r="A69" s="56" t="s">
        <v>8</v>
      </c>
      <c r="B69" s="55" t="s">
        <v>9</v>
      </c>
      <c r="C69" s="81" t="s">
        <v>44</v>
      </c>
      <c r="D69" s="53">
        <v>7174560</v>
      </c>
      <c r="E69" s="52">
        <v>45475</v>
      </c>
      <c r="F69" s="80">
        <v>9816.6</v>
      </c>
      <c r="G69" s="79" t="s">
        <v>81</v>
      </c>
      <c r="H69" s="49" t="str">
        <f t="shared" si="2"/>
        <v>B</v>
      </c>
      <c r="I69" s="48" t="str">
        <f t="shared" si="3"/>
        <v>The Commissioner &amp; Chief Constable are satisfied the spend represents VFM in accordance with the requirements of Category B</v>
      </c>
      <c r="J69" s="60"/>
      <c r="K69" s="60"/>
    </row>
    <row r="70" spans="1:11" x14ac:dyDescent="0.2">
      <c r="A70" s="56" t="s">
        <v>8</v>
      </c>
      <c r="B70" s="55" t="s">
        <v>9</v>
      </c>
      <c r="C70" s="82" t="s">
        <v>44</v>
      </c>
      <c r="D70" s="53">
        <v>7174560</v>
      </c>
      <c r="E70" s="52">
        <v>45475</v>
      </c>
      <c r="F70" s="80">
        <v>2820</v>
      </c>
      <c r="G70" s="79" t="s">
        <v>82</v>
      </c>
      <c r="H70" s="49" t="str">
        <f t="shared" si="2"/>
        <v>B</v>
      </c>
      <c r="I70" s="48" t="str">
        <f t="shared" si="3"/>
        <v>The Commissioner &amp; Chief Constable are satisfied the spend represents VFM in accordance with the requirements of Category B</v>
      </c>
      <c r="J70" s="60"/>
      <c r="K70" s="60"/>
    </row>
    <row r="71" spans="1:11" x14ac:dyDescent="0.2">
      <c r="A71" s="56" t="s">
        <v>8</v>
      </c>
      <c r="B71" s="55" t="s">
        <v>9</v>
      </c>
      <c r="C71" s="82" t="s">
        <v>117</v>
      </c>
      <c r="D71" s="53">
        <v>7174665</v>
      </c>
      <c r="E71" s="52">
        <v>45490</v>
      </c>
      <c r="F71" s="83">
        <v>13291.61</v>
      </c>
      <c r="G71" s="79" t="s">
        <v>118</v>
      </c>
      <c r="H71" s="49" t="str">
        <f t="shared" si="2"/>
        <v>B</v>
      </c>
      <c r="I71" s="48" t="str">
        <f t="shared" si="3"/>
        <v>The Commissioner &amp; Chief Constable are satisfied the spend represents VFM in accordance with the requirements of Category B</v>
      </c>
      <c r="J71" s="60"/>
      <c r="K71" s="60"/>
    </row>
    <row r="72" spans="1:11" x14ac:dyDescent="0.2">
      <c r="A72" s="56" t="s">
        <v>8</v>
      </c>
      <c r="B72" s="55" t="s">
        <v>9</v>
      </c>
      <c r="C72" s="81" t="s">
        <v>86</v>
      </c>
      <c r="D72" s="53">
        <v>7174570</v>
      </c>
      <c r="E72" s="52">
        <v>45475</v>
      </c>
      <c r="F72" s="80">
        <v>13276.42</v>
      </c>
      <c r="G72" s="79" t="s">
        <v>87</v>
      </c>
      <c r="H72" s="49" t="str">
        <f t="shared" si="2"/>
        <v>B</v>
      </c>
      <c r="I72" s="48" t="str">
        <f t="shared" si="3"/>
        <v>The Commissioner &amp; Chief Constable are satisfied the spend represents VFM in accordance with the requirements of Category B</v>
      </c>
      <c r="J72" s="60"/>
      <c r="K72" s="60"/>
    </row>
    <row r="73" spans="1:11" x14ac:dyDescent="0.2">
      <c r="A73" s="56" t="s">
        <v>8</v>
      </c>
      <c r="B73" s="55" t="s">
        <v>9</v>
      </c>
      <c r="C73" s="82" t="s">
        <v>419</v>
      </c>
      <c r="D73" s="53">
        <v>7175428</v>
      </c>
      <c r="E73" s="52">
        <v>45499</v>
      </c>
      <c r="F73" s="80">
        <v>13020</v>
      </c>
      <c r="G73" s="79" t="s">
        <v>22</v>
      </c>
      <c r="H73" s="49" t="str">
        <f t="shared" si="2"/>
        <v>B</v>
      </c>
      <c r="I73" s="48" t="str">
        <f t="shared" si="3"/>
        <v>The Commissioner &amp; Chief Constable are satisfied the spend represents VFM in accordance with the requirements of Category B</v>
      </c>
      <c r="J73" s="60"/>
      <c r="K73" s="60"/>
    </row>
    <row r="74" spans="1:11" x14ac:dyDescent="0.2">
      <c r="A74" s="56" t="s">
        <v>8</v>
      </c>
      <c r="B74" s="55" t="s">
        <v>9</v>
      </c>
      <c r="C74" s="82" t="s">
        <v>396</v>
      </c>
      <c r="D74" s="53">
        <v>7174650</v>
      </c>
      <c r="E74" s="52">
        <v>45490</v>
      </c>
      <c r="F74" s="80">
        <v>13000</v>
      </c>
      <c r="G74" s="79" t="s">
        <v>22</v>
      </c>
      <c r="H74" s="49" t="str">
        <f t="shared" si="2"/>
        <v>B</v>
      </c>
      <c r="I74" s="48" t="str">
        <f t="shared" si="3"/>
        <v>The Commissioner &amp; Chief Constable are satisfied the spend represents VFM in accordance with the requirements of Category B</v>
      </c>
      <c r="J74" s="60"/>
      <c r="K74" s="60"/>
    </row>
    <row r="75" spans="1:11" x14ac:dyDescent="0.2">
      <c r="A75" s="56" t="s">
        <v>8</v>
      </c>
      <c r="B75" s="55" t="s">
        <v>9</v>
      </c>
      <c r="C75" s="81" t="s">
        <v>26</v>
      </c>
      <c r="D75" s="53">
        <v>7175332</v>
      </c>
      <c r="E75" s="52">
        <v>45497</v>
      </c>
      <c r="F75" s="80">
        <v>12937.51</v>
      </c>
      <c r="G75" s="79" t="s">
        <v>88</v>
      </c>
      <c r="H75" s="49" t="str">
        <f t="shared" si="2"/>
        <v>B</v>
      </c>
      <c r="I75" s="48" t="str">
        <f t="shared" si="3"/>
        <v>The Commissioner &amp; Chief Constable are satisfied the spend represents VFM in accordance with the requirements of Category B</v>
      </c>
      <c r="J75" s="60"/>
      <c r="K75" s="60"/>
    </row>
    <row r="76" spans="1:11" x14ac:dyDescent="0.2">
      <c r="A76" s="56" t="s">
        <v>8</v>
      </c>
      <c r="B76" s="55" t="s">
        <v>9</v>
      </c>
      <c r="C76" s="82" t="s">
        <v>110</v>
      </c>
      <c r="D76" s="53">
        <v>7174735</v>
      </c>
      <c r="E76" s="52">
        <v>45498</v>
      </c>
      <c r="F76" s="80">
        <v>12922.83</v>
      </c>
      <c r="G76" s="84" t="s">
        <v>49</v>
      </c>
      <c r="H76" s="49" t="str">
        <f t="shared" si="2"/>
        <v>B</v>
      </c>
      <c r="I76" s="48" t="str">
        <f t="shared" si="3"/>
        <v>The Commissioner &amp; Chief Constable are satisfied the spend represents VFM in accordance with the requirements of Category B</v>
      </c>
      <c r="J76" s="60"/>
      <c r="K76" s="60"/>
    </row>
    <row r="77" spans="1:11" x14ac:dyDescent="0.2">
      <c r="A77" s="56" t="s">
        <v>8</v>
      </c>
      <c r="B77" s="55" t="s">
        <v>9</v>
      </c>
      <c r="C77" s="82" t="s">
        <v>121</v>
      </c>
      <c r="D77" s="53">
        <v>7174513</v>
      </c>
      <c r="E77" s="52">
        <v>45475</v>
      </c>
      <c r="F77" s="80">
        <v>12727.47</v>
      </c>
      <c r="G77" s="84" t="s">
        <v>122</v>
      </c>
      <c r="H77" s="49" t="str">
        <f t="shared" si="2"/>
        <v>B</v>
      </c>
      <c r="I77" s="48" t="str">
        <f t="shared" si="3"/>
        <v>The Commissioner &amp; Chief Constable are satisfied the spend represents VFM in accordance with the requirements of Category B</v>
      </c>
      <c r="J77" s="60"/>
      <c r="K77" s="60"/>
    </row>
    <row r="78" spans="1:11" x14ac:dyDescent="0.2">
      <c r="A78" s="56" t="s">
        <v>8</v>
      </c>
      <c r="B78" s="55" t="s">
        <v>9</v>
      </c>
      <c r="C78" s="81" t="s">
        <v>842</v>
      </c>
      <c r="D78" s="53">
        <v>7174150</v>
      </c>
      <c r="E78" s="52">
        <v>45490</v>
      </c>
      <c r="F78" s="80">
        <v>12656</v>
      </c>
      <c r="G78" s="79" t="s">
        <v>185</v>
      </c>
      <c r="H78" s="49" t="str">
        <f t="shared" si="2"/>
        <v>B</v>
      </c>
      <c r="I78" s="48" t="str">
        <f t="shared" si="3"/>
        <v>The Commissioner &amp; Chief Constable are satisfied the spend represents VFM in accordance with the requirements of Category B</v>
      </c>
      <c r="J78" s="60"/>
      <c r="K78" s="60"/>
    </row>
    <row r="79" spans="1:11" x14ac:dyDescent="0.2">
      <c r="A79" s="56" t="s">
        <v>8</v>
      </c>
      <c r="B79" s="55" t="s">
        <v>9</v>
      </c>
      <c r="C79" s="82" t="s">
        <v>109</v>
      </c>
      <c r="D79" s="53">
        <v>7174701</v>
      </c>
      <c r="E79" s="52">
        <v>45481</v>
      </c>
      <c r="F79" s="80">
        <v>12500</v>
      </c>
      <c r="G79" s="79" t="s">
        <v>27</v>
      </c>
      <c r="H79" s="49" t="str">
        <f t="shared" si="2"/>
        <v>B</v>
      </c>
      <c r="I79" s="48" t="str">
        <f t="shared" si="3"/>
        <v>The Commissioner &amp; Chief Constable are satisfied the spend represents VFM in accordance with the requirements of Category B</v>
      </c>
      <c r="J79" s="60"/>
      <c r="K79" s="60"/>
    </row>
    <row r="80" spans="1:11" x14ac:dyDescent="0.2">
      <c r="A80" s="56" t="s">
        <v>8</v>
      </c>
      <c r="B80" s="55" t="s">
        <v>9</v>
      </c>
      <c r="C80" s="82" t="s">
        <v>33</v>
      </c>
      <c r="D80" s="53">
        <v>7174943</v>
      </c>
      <c r="E80" s="52">
        <v>45488</v>
      </c>
      <c r="F80" s="80">
        <v>12478.830000000002</v>
      </c>
      <c r="G80" s="84" t="s">
        <v>58</v>
      </c>
      <c r="H80" s="49" t="str">
        <f t="shared" si="2"/>
        <v>B</v>
      </c>
      <c r="I80" s="48" t="str">
        <f t="shared" si="3"/>
        <v>The Commissioner &amp; Chief Constable are satisfied the spend represents VFM in accordance with the requirements of Category B</v>
      </c>
      <c r="J80" s="60"/>
      <c r="K80" s="60"/>
    </row>
    <row r="81" spans="1:11" x14ac:dyDescent="0.2">
      <c r="A81" s="56" t="s">
        <v>8</v>
      </c>
      <c r="B81" s="55" t="s">
        <v>9</v>
      </c>
      <c r="C81" s="81" t="s">
        <v>822</v>
      </c>
      <c r="D81" s="53">
        <v>7175261</v>
      </c>
      <c r="E81" s="52">
        <v>45495</v>
      </c>
      <c r="F81" s="80">
        <v>12099.46</v>
      </c>
      <c r="G81" s="79" t="s">
        <v>91</v>
      </c>
      <c r="H81" s="49" t="str">
        <f t="shared" si="2"/>
        <v>B</v>
      </c>
      <c r="I81" s="48" t="str">
        <f t="shared" si="3"/>
        <v>The Commissioner &amp; Chief Constable are satisfied the spend represents VFM in accordance with the requirements of Category B</v>
      </c>
      <c r="J81" s="60"/>
      <c r="K81" s="60"/>
    </row>
    <row r="82" spans="1:11" x14ac:dyDescent="0.2">
      <c r="A82" s="56" t="s">
        <v>8</v>
      </c>
      <c r="B82" s="55" t="s">
        <v>9</v>
      </c>
      <c r="C82" s="82" t="s">
        <v>448</v>
      </c>
      <c r="D82" s="53">
        <v>7175223</v>
      </c>
      <c r="E82" s="52">
        <v>45497</v>
      </c>
      <c r="F82" s="80">
        <v>11662.58</v>
      </c>
      <c r="G82" s="84" t="s">
        <v>27</v>
      </c>
      <c r="H82" s="49" t="str">
        <f t="shared" si="2"/>
        <v>B</v>
      </c>
      <c r="I82" s="48" t="str">
        <f t="shared" si="3"/>
        <v>The Commissioner &amp; Chief Constable are satisfied the spend represents VFM in accordance with the requirements of Category B</v>
      </c>
      <c r="J82" s="60"/>
      <c r="K82" s="60"/>
    </row>
    <row r="83" spans="1:11" x14ac:dyDescent="0.2">
      <c r="A83" s="56" t="s">
        <v>8</v>
      </c>
      <c r="B83" s="55" t="s">
        <v>9</v>
      </c>
      <c r="C83" s="82" t="s">
        <v>448</v>
      </c>
      <c r="D83" s="53">
        <v>7174250</v>
      </c>
      <c r="E83" s="52">
        <v>45474</v>
      </c>
      <c r="F83" s="80">
        <v>11662.58</v>
      </c>
      <c r="G83" s="79" t="s">
        <v>27</v>
      </c>
      <c r="H83" s="49" t="str">
        <f t="shared" si="2"/>
        <v>B</v>
      </c>
      <c r="I83" s="48" t="str">
        <f t="shared" si="3"/>
        <v>The Commissioner &amp; Chief Constable are satisfied the spend represents VFM in accordance with the requirements of Category B</v>
      </c>
      <c r="J83" s="60"/>
      <c r="K83" s="60"/>
    </row>
    <row r="84" spans="1:11" x14ac:dyDescent="0.2">
      <c r="A84" s="56" t="s">
        <v>8</v>
      </c>
      <c r="B84" s="55" t="s">
        <v>9</v>
      </c>
      <c r="C84" s="81" t="s">
        <v>113</v>
      </c>
      <c r="D84" s="53">
        <v>7175027</v>
      </c>
      <c r="E84" s="52">
        <v>45488</v>
      </c>
      <c r="F84" s="80">
        <v>11340.38</v>
      </c>
      <c r="G84" s="84" t="s">
        <v>114</v>
      </c>
      <c r="H84" s="49" t="str">
        <f t="shared" si="2"/>
        <v>B</v>
      </c>
      <c r="I84" s="48" t="str">
        <f t="shared" si="3"/>
        <v>The Commissioner &amp; Chief Constable are satisfied the spend represents VFM in accordance with the requirements of Category B</v>
      </c>
      <c r="J84" s="60"/>
      <c r="K84" s="60"/>
    </row>
    <row r="85" spans="1:11" x14ac:dyDescent="0.2">
      <c r="A85" s="56" t="s">
        <v>8</v>
      </c>
      <c r="B85" s="55" t="s">
        <v>9</v>
      </c>
      <c r="C85" s="82" t="s">
        <v>127</v>
      </c>
      <c r="D85" s="53">
        <v>7175024</v>
      </c>
      <c r="E85" s="52">
        <v>45488</v>
      </c>
      <c r="F85" s="80">
        <v>11192.05</v>
      </c>
      <c r="G85" s="79" t="s">
        <v>49</v>
      </c>
      <c r="H85" s="49" t="str">
        <f t="shared" si="2"/>
        <v>B</v>
      </c>
      <c r="I85" s="48" t="str">
        <f t="shared" si="3"/>
        <v>The Commissioner &amp; Chief Constable are satisfied the spend represents VFM in accordance with the requirements of Category B</v>
      </c>
      <c r="J85" s="60"/>
      <c r="K85" s="60"/>
    </row>
    <row r="86" spans="1:11" x14ac:dyDescent="0.2">
      <c r="A86" s="56" t="s">
        <v>8</v>
      </c>
      <c r="B86" s="55" t="s">
        <v>9</v>
      </c>
      <c r="C86" s="82" t="s">
        <v>466</v>
      </c>
      <c r="D86" s="53">
        <v>7174956</v>
      </c>
      <c r="E86" s="52">
        <v>45489</v>
      </c>
      <c r="F86" s="80">
        <v>10896</v>
      </c>
      <c r="G86" s="79" t="s">
        <v>22</v>
      </c>
      <c r="H86" s="49" t="str">
        <f t="shared" si="2"/>
        <v>B</v>
      </c>
      <c r="I86" s="48" t="str">
        <f t="shared" si="3"/>
        <v>The Commissioner &amp; Chief Constable are satisfied the spend represents VFM in accordance with the requirements of Category B</v>
      </c>
      <c r="J86" s="60"/>
      <c r="K86" s="60"/>
    </row>
    <row r="87" spans="1:11" x14ac:dyDescent="0.2">
      <c r="A87" s="56" t="s">
        <v>8</v>
      </c>
      <c r="B87" s="55" t="s">
        <v>9</v>
      </c>
      <c r="C87" s="81" t="s">
        <v>100</v>
      </c>
      <c r="D87" s="53">
        <v>7174703</v>
      </c>
      <c r="E87" s="52">
        <v>45490</v>
      </c>
      <c r="F87" s="80">
        <v>10197.42</v>
      </c>
      <c r="G87" s="84" t="s">
        <v>38</v>
      </c>
      <c r="H87" s="49" t="str">
        <f t="shared" si="2"/>
        <v>B</v>
      </c>
      <c r="I87" s="48" t="str">
        <f t="shared" si="3"/>
        <v>The Commissioner &amp; Chief Constable are satisfied the spend represents VFM in accordance with the requirements of Category B</v>
      </c>
      <c r="J87" s="60"/>
      <c r="K87" s="60"/>
    </row>
    <row r="88" spans="1:11" x14ac:dyDescent="0.2">
      <c r="A88" s="56" t="s">
        <v>8</v>
      </c>
      <c r="B88" s="55" t="s">
        <v>9</v>
      </c>
      <c r="C88" s="82" t="s">
        <v>477</v>
      </c>
      <c r="D88" s="53">
        <v>7175468</v>
      </c>
      <c r="E88" s="52">
        <v>45502</v>
      </c>
      <c r="F88" s="80">
        <v>10000</v>
      </c>
      <c r="G88" s="84" t="s">
        <v>22</v>
      </c>
      <c r="H88" s="49" t="str">
        <f t="shared" si="2"/>
        <v>B</v>
      </c>
      <c r="I88" s="48" t="str">
        <f t="shared" si="3"/>
        <v>The Commissioner &amp; Chief Constable are satisfied the spend represents VFM in accordance with the requirements of Category B</v>
      </c>
      <c r="J88" s="60"/>
      <c r="K88" s="60"/>
    </row>
    <row r="89" spans="1:11" x14ac:dyDescent="0.2">
      <c r="A89" s="56" t="s">
        <v>8</v>
      </c>
      <c r="B89" s="55" t="s">
        <v>9</v>
      </c>
      <c r="C89" s="81" t="s">
        <v>157</v>
      </c>
      <c r="D89" s="53">
        <v>7174243</v>
      </c>
      <c r="E89" s="52">
        <v>45481</v>
      </c>
      <c r="F89" s="80">
        <v>9544.33</v>
      </c>
      <c r="G89" s="79" t="s">
        <v>43</v>
      </c>
      <c r="H89" s="49" t="str">
        <f t="shared" si="2"/>
        <v>B</v>
      </c>
      <c r="I89" s="48" t="str">
        <f t="shared" si="3"/>
        <v>The Commissioner &amp; Chief Constable are satisfied the spend represents VFM in accordance with the requirements of Category B</v>
      </c>
      <c r="J89" s="60"/>
      <c r="K89" s="60"/>
    </row>
    <row r="90" spans="1:11" x14ac:dyDescent="0.2">
      <c r="A90" s="56" t="s">
        <v>8</v>
      </c>
      <c r="B90" s="55" t="s">
        <v>9</v>
      </c>
      <c r="C90" s="82" t="s">
        <v>157</v>
      </c>
      <c r="D90" s="53">
        <v>7173326</v>
      </c>
      <c r="E90" s="52">
        <v>45481</v>
      </c>
      <c r="F90" s="80">
        <v>9544.33</v>
      </c>
      <c r="G90" s="84" t="s">
        <v>43</v>
      </c>
      <c r="H90" s="49" t="str">
        <f t="shared" si="2"/>
        <v>B</v>
      </c>
      <c r="I90" s="48" t="str">
        <f t="shared" si="3"/>
        <v>The Commissioner &amp; Chief Constable are satisfied the spend represents VFM in accordance with the requirements of Category B</v>
      </c>
      <c r="J90" s="60"/>
      <c r="K90" s="60"/>
    </row>
    <row r="91" spans="1:11" x14ac:dyDescent="0.2">
      <c r="A91" s="56" t="s">
        <v>8</v>
      </c>
      <c r="B91" s="55" t="s">
        <v>9</v>
      </c>
      <c r="C91" s="82" t="s">
        <v>127</v>
      </c>
      <c r="D91" s="53">
        <v>7174535</v>
      </c>
      <c r="E91" s="52">
        <v>45474</v>
      </c>
      <c r="F91" s="80">
        <v>9198.7100000000009</v>
      </c>
      <c r="G91" s="79" t="s">
        <v>49</v>
      </c>
      <c r="H91" s="49" t="str">
        <f t="shared" si="2"/>
        <v>B</v>
      </c>
      <c r="I91" s="48" t="str">
        <f t="shared" si="3"/>
        <v>The Commissioner &amp; Chief Constable are satisfied the spend represents VFM in accordance with the requirements of Category B</v>
      </c>
      <c r="J91" s="60"/>
      <c r="K91" s="60"/>
    </row>
    <row r="92" spans="1:11" x14ac:dyDescent="0.2">
      <c r="A92" s="56" t="s">
        <v>8</v>
      </c>
      <c r="B92" s="55" t="s">
        <v>9</v>
      </c>
      <c r="C92" s="82" t="s">
        <v>715</v>
      </c>
      <c r="D92" s="53">
        <v>7175216</v>
      </c>
      <c r="E92" s="52">
        <v>45495</v>
      </c>
      <c r="F92" s="80">
        <v>8726.81</v>
      </c>
      <c r="G92" s="79" t="s">
        <v>80</v>
      </c>
      <c r="H92" s="49" t="str">
        <f t="shared" si="2"/>
        <v>B</v>
      </c>
      <c r="I92" s="48" t="str">
        <f t="shared" si="3"/>
        <v>The Commissioner &amp; Chief Constable are satisfied the spend represents VFM in accordance with the requirements of Category B</v>
      </c>
      <c r="J92" s="60"/>
      <c r="K92" s="60"/>
    </row>
    <row r="93" spans="1:11" x14ac:dyDescent="0.2">
      <c r="A93" s="56" t="s">
        <v>8</v>
      </c>
      <c r="B93" s="55" t="s">
        <v>9</v>
      </c>
      <c r="C93" s="82" t="s">
        <v>144</v>
      </c>
      <c r="D93" s="53">
        <v>7174042</v>
      </c>
      <c r="E93" s="52">
        <v>45489</v>
      </c>
      <c r="F93" s="80">
        <v>8710</v>
      </c>
      <c r="G93" s="79" t="s">
        <v>145</v>
      </c>
      <c r="H93" s="49" t="str">
        <f t="shared" si="2"/>
        <v>B</v>
      </c>
      <c r="I93" s="48" t="str">
        <f t="shared" si="3"/>
        <v>The Commissioner &amp; Chief Constable are satisfied the spend represents VFM in accordance with the requirements of Category B</v>
      </c>
      <c r="J93" s="60"/>
      <c r="K93" s="60"/>
    </row>
    <row r="94" spans="1:11" x14ac:dyDescent="0.2">
      <c r="A94" s="56" t="s">
        <v>8</v>
      </c>
      <c r="B94" s="55" t="s">
        <v>9</v>
      </c>
      <c r="C94" s="81" t="s">
        <v>26</v>
      </c>
      <c r="D94" s="53">
        <v>7174758</v>
      </c>
      <c r="E94" s="52">
        <v>45488</v>
      </c>
      <c r="F94" s="80">
        <v>8512.52</v>
      </c>
      <c r="G94" s="79" t="s">
        <v>76</v>
      </c>
      <c r="H94" s="49" t="str">
        <f t="shared" si="2"/>
        <v>B</v>
      </c>
      <c r="I94" s="48" t="str">
        <f t="shared" si="3"/>
        <v>The Commissioner &amp; Chief Constable are satisfied the spend represents VFM in accordance with the requirements of Category B</v>
      </c>
      <c r="J94" s="60"/>
      <c r="K94" s="60"/>
    </row>
    <row r="95" spans="1:11" x14ac:dyDescent="0.2">
      <c r="A95" s="56" t="s">
        <v>8</v>
      </c>
      <c r="B95" s="55" t="s">
        <v>9</v>
      </c>
      <c r="C95" s="82" t="s">
        <v>107</v>
      </c>
      <c r="D95" s="53">
        <v>7174666</v>
      </c>
      <c r="E95" s="52">
        <v>45478</v>
      </c>
      <c r="F95" s="80">
        <v>8373.94</v>
      </c>
      <c r="G95" s="79" t="s">
        <v>108</v>
      </c>
      <c r="H95" s="49" t="str">
        <f t="shared" si="2"/>
        <v>B</v>
      </c>
      <c r="I95" s="48" t="str">
        <f t="shared" si="3"/>
        <v>The Commissioner &amp; Chief Constable are satisfied the spend represents VFM in accordance with the requirements of Category B</v>
      </c>
      <c r="J95" s="60"/>
      <c r="K95" s="60"/>
    </row>
    <row r="96" spans="1:11" x14ac:dyDescent="0.2">
      <c r="A96" s="56" t="s">
        <v>8</v>
      </c>
      <c r="B96" s="55" t="s">
        <v>9</v>
      </c>
      <c r="C96" s="82" t="s">
        <v>109</v>
      </c>
      <c r="D96" s="53">
        <v>7174702</v>
      </c>
      <c r="E96" s="52">
        <v>45481</v>
      </c>
      <c r="F96" s="80">
        <v>8325.58</v>
      </c>
      <c r="G96" s="79" t="s">
        <v>27</v>
      </c>
      <c r="H96" s="49" t="str">
        <f t="shared" si="2"/>
        <v>B</v>
      </c>
      <c r="I96" s="48" t="str">
        <f t="shared" si="3"/>
        <v>The Commissioner &amp; Chief Constable are satisfied the spend represents VFM in accordance with the requirements of Category B</v>
      </c>
      <c r="J96" s="60"/>
      <c r="K96" s="60"/>
    </row>
    <row r="97" spans="1:11" x14ac:dyDescent="0.2">
      <c r="A97" s="56" t="s">
        <v>8</v>
      </c>
      <c r="B97" s="55" t="s">
        <v>9</v>
      </c>
      <c r="C97" s="81" t="s">
        <v>132</v>
      </c>
      <c r="D97" s="53">
        <v>7175384</v>
      </c>
      <c r="E97" s="52">
        <v>45498</v>
      </c>
      <c r="F97" s="80">
        <v>8284</v>
      </c>
      <c r="G97" s="79" t="s">
        <v>133</v>
      </c>
      <c r="H97" s="49" t="str">
        <f t="shared" si="2"/>
        <v>B</v>
      </c>
      <c r="I97" s="48" t="str">
        <f t="shared" si="3"/>
        <v>The Commissioner &amp; Chief Constable are satisfied the spend represents VFM in accordance with the requirements of Category B</v>
      </c>
      <c r="J97" s="60"/>
      <c r="K97" s="60"/>
    </row>
    <row r="98" spans="1:11" x14ac:dyDescent="0.2">
      <c r="A98" s="56" t="s">
        <v>8</v>
      </c>
      <c r="B98" s="55" t="s">
        <v>9</v>
      </c>
      <c r="C98" s="82" t="s">
        <v>144</v>
      </c>
      <c r="D98" s="53">
        <v>7175199</v>
      </c>
      <c r="E98" s="52">
        <v>45499</v>
      </c>
      <c r="F98" s="80">
        <v>8140</v>
      </c>
      <c r="G98" s="79" t="s">
        <v>145</v>
      </c>
      <c r="H98" s="49" t="str">
        <f t="shared" si="2"/>
        <v>B</v>
      </c>
      <c r="I98" s="48" t="str">
        <f t="shared" si="3"/>
        <v>The Commissioner &amp; Chief Constable are satisfied the spend represents VFM in accordance with the requirements of Category B</v>
      </c>
      <c r="J98" s="60"/>
      <c r="K98" s="60"/>
    </row>
    <row r="99" spans="1:11" x14ac:dyDescent="0.2">
      <c r="A99" s="56" t="s">
        <v>8</v>
      </c>
      <c r="B99" s="55" t="s">
        <v>9</v>
      </c>
      <c r="C99" s="82" t="s">
        <v>134</v>
      </c>
      <c r="D99" s="53">
        <v>7174355</v>
      </c>
      <c r="E99" s="52">
        <v>45475</v>
      </c>
      <c r="F99" s="80">
        <v>8113</v>
      </c>
      <c r="G99" s="79" t="s">
        <v>91</v>
      </c>
      <c r="H99" s="49" t="str">
        <f t="shared" si="2"/>
        <v>B</v>
      </c>
      <c r="I99" s="48" t="str">
        <f t="shared" si="3"/>
        <v>The Commissioner &amp; Chief Constable are satisfied the spend represents VFM in accordance with the requirements of Category B</v>
      </c>
      <c r="J99" s="60"/>
      <c r="K99" s="60"/>
    </row>
    <row r="100" spans="1:11" x14ac:dyDescent="0.2">
      <c r="A100" s="56" t="s">
        <v>8</v>
      </c>
      <c r="B100" s="55" t="s">
        <v>9</v>
      </c>
      <c r="C100" s="81" t="s">
        <v>649</v>
      </c>
      <c r="D100" s="53">
        <v>7175271</v>
      </c>
      <c r="E100" s="52">
        <v>45495</v>
      </c>
      <c r="F100" s="80">
        <v>7853</v>
      </c>
      <c r="G100" s="79" t="s">
        <v>54</v>
      </c>
      <c r="H100" s="49" t="str">
        <f t="shared" si="2"/>
        <v>B</v>
      </c>
      <c r="I100" s="48" t="str">
        <f t="shared" si="3"/>
        <v>The Commissioner &amp; Chief Constable are satisfied the spend represents VFM in accordance with the requirements of Category B</v>
      </c>
      <c r="J100" s="60"/>
      <c r="K100" s="60"/>
    </row>
    <row r="101" spans="1:11" x14ac:dyDescent="0.2">
      <c r="A101" s="56" t="s">
        <v>8</v>
      </c>
      <c r="B101" s="55" t="s">
        <v>9</v>
      </c>
      <c r="C101" s="82" t="s">
        <v>455</v>
      </c>
      <c r="D101" s="53">
        <v>7175457</v>
      </c>
      <c r="E101" s="52">
        <v>45499</v>
      </c>
      <c r="F101" s="80">
        <v>7279.82</v>
      </c>
      <c r="G101" s="79" t="s">
        <v>58</v>
      </c>
      <c r="H101" s="49" t="str">
        <f t="shared" si="2"/>
        <v>B</v>
      </c>
      <c r="I101" s="48" t="str">
        <f t="shared" si="3"/>
        <v>The Commissioner &amp; Chief Constable are satisfied the spend represents VFM in accordance with the requirements of Category B</v>
      </c>
      <c r="J101" s="60"/>
      <c r="K101" s="60"/>
    </row>
    <row r="102" spans="1:11" x14ac:dyDescent="0.2">
      <c r="A102" s="56" t="s">
        <v>8</v>
      </c>
      <c r="B102" s="55" t="s">
        <v>9</v>
      </c>
      <c r="C102" s="82" t="s">
        <v>90</v>
      </c>
      <c r="D102" s="53">
        <v>7174918</v>
      </c>
      <c r="E102" s="52">
        <v>45484</v>
      </c>
      <c r="F102" s="80">
        <v>7181.46</v>
      </c>
      <c r="G102" s="79" t="s">
        <v>91</v>
      </c>
      <c r="H102" s="49" t="str">
        <f t="shared" si="2"/>
        <v>B</v>
      </c>
      <c r="I102" s="48" t="str">
        <f t="shared" si="3"/>
        <v>The Commissioner &amp; Chief Constable are satisfied the spend represents VFM in accordance with the requirements of Category B</v>
      </c>
      <c r="J102" s="60"/>
      <c r="K102" s="60"/>
    </row>
    <row r="103" spans="1:11" x14ac:dyDescent="0.2">
      <c r="A103" s="56" t="s">
        <v>8</v>
      </c>
      <c r="B103" s="55" t="s">
        <v>9</v>
      </c>
      <c r="C103" s="81" t="s">
        <v>119</v>
      </c>
      <c r="D103" s="53">
        <v>7175141</v>
      </c>
      <c r="E103" s="52">
        <v>45490</v>
      </c>
      <c r="F103" s="80">
        <v>7160.25</v>
      </c>
      <c r="G103" s="79" t="s">
        <v>120</v>
      </c>
      <c r="H103" s="49" t="str">
        <f t="shared" si="2"/>
        <v>B</v>
      </c>
      <c r="I103" s="48" t="str">
        <f t="shared" si="3"/>
        <v>The Commissioner &amp; Chief Constable are satisfied the spend represents VFM in accordance with the requirements of Category B</v>
      </c>
      <c r="J103" s="60"/>
      <c r="K103" s="60"/>
    </row>
    <row r="104" spans="1:11" x14ac:dyDescent="0.2">
      <c r="A104" s="56" t="s">
        <v>8</v>
      </c>
      <c r="B104" s="55" t="s">
        <v>9</v>
      </c>
      <c r="C104" s="81" t="s">
        <v>352</v>
      </c>
      <c r="D104" s="53">
        <v>7175193</v>
      </c>
      <c r="E104" s="52">
        <v>45491</v>
      </c>
      <c r="F104" s="80">
        <v>6983</v>
      </c>
      <c r="G104" s="79" t="s">
        <v>177</v>
      </c>
      <c r="H104" s="49" t="str">
        <f t="shared" si="2"/>
        <v>B</v>
      </c>
      <c r="I104" s="48" t="str">
        <f t="shared" si="3"/>
        <v>The Commissioner &amp; Chief Constable are satisfied the spend represents VFM in accordance with the requirements of Category B</v>
      </c>
      <c r="J104" s="60"/>
      <c r="K104" s="60"/>
    </row>
    <row r="105" spans="1:11" x14ac:dyDescent="0.2">
      <c r="A105" s="56" t="s">
        <v>8</v>
      </c>
      <c r="B105" s="55" t="s">
        <v>9</v>
      </c>
      <c r="C105" s="81" t="s">
        <v>74</v>
      </c>
      <c r="D105" s="53">
        <v>7174142</v>
      </c>
      <c r="E105" s="52">
        <v>45476</v>
      </c>
      <c r="F105" s="80">
        <v>6972.64</v>
      </c>
      <c r="G105" s="79" t="s">
        <v>674</v>
      </c>
      <c r="H105" s="49" t="str">
        <f t="shared" si="2"/>
        <v>B</v>
      </c>
      <c r="I105" s="48" t="str">
        <f t="shared" si="3"/>
        <v>The Commissioner &amp; Chief Constable are satisfied the spend represents VFM in accordance with the requirements of Category B</v>
      </c>
      <c r="J105" s="60"/>
      <c r="K105" s="60"/>
    </row>
    <row r="106" spans="1:11" x14ac:dyDescent="0.2">
      <c r="A106" s="56" t="s">
        <v>8</v>
      </c>
      <c r="B106" s="55" t="s">
        <v>9</v>
      </c>
      <c r="C106" s="81" t="s">
        <v>142</v>
      </c>
      <c r="D106" s="53">
        <v>7175135</v>
      </c>
      <c r="E106" s="52">
        <v>45490</v>
      </c>
      <c r="F106" s="80">
        <v>6741.2</v>
      </c>
      <c r="G106" s="79" t="s">
        <v>143</v>
      </c>
      <c r="H106" s="49" t="str">
        <f t="shared" si="2"/>
        <v>B</v>
      </c>
      <c r="I106" s="48" t="str">
        <f t="shared" si="3"/>
        <v>The Commissioner &amp; Chief Constable are satisfied the spend represents VFM in accordance with the requirements of Category B</v>
      </c>
      <c r="J106" s="60"/>
      <c r="K106" s="60"/>
    </row>
    <row r="107" spans="1:11" x14ac:dyDescent="0.2">
      <c r="A107" s="56" t="s">
        <v>8</v>
      </c>
      <c r="B107" s="55" t="s">
        <v>9</v>
      </c>
      <c r="C107" s="81" t="s">
        <v>68</v>
      </c>
      <c r="D107" s="53">
        <v>7175585</v>
      </c>
      <c r="E107" s="52">
        <v>45503</v>
      </c>
      <c r="F107" s="80">
        <v>6675.86</v>
      </c>
      <c r="G107" s="79" t="s">
        <v>38</v>
      </c>
      <c r="H107" s="49" t="str">
        <f t="shared" si="2"/>
        <v>B</v>
      </c>
      <c r="I107" s="48" t="str">
        <f t="shared" si="3"/>
        <v>The Commissioner &amp; Chief Constable are satisfied the spend represents VFM in accordance with the requirements of Category B</v>
      </c>
      <c r="J107" s="60"/>
      <c r="K107" s="60"/>
    </row>
    <row r="108" spans="1:11" x14ac:dyDescent="0.2">
      <c r="A108" s="56" t="s">
        <v>8</v>
      </c>
      <c r="B108" s="55" t="s">
        <v>9</v>
      </c>
      <c r="C108" s="82" t="s">
        <v>26</v>
      </c>
      <c r="D108" s="53">
        <v>7173537</v>
      </c>
      <c r="E108" s="52">
        <v>45488</v>
      </c>
      <c r="F108" s="80">
        <v>6056.74</v>
      </c>
      <c r="G108" s="79" t="s">
        <v>76</v>
      </c>
      <c r="H108" s="49" t="str">
        <f t="shared" si="2"/>
        <v>B</v>
      </c>
      <c r="I108" s="48" t="str">
        <f t="shared" si="3"/>
        <v>The Commissioner &amp; Chief Constable are satisfied the spend represents VFM in accordance with the requirements of Category B</v>
      </c>
      <c r="J108" s="60"/>
      <c r="K108" s="60"/>
    </row>
    <row r="109" spans="1:11" x14ac:dyDescent="0.2">
      <c r="A109" s="56" t="s">
        <v>8</v>
      </c>
      <c r="B109" s="55" t="s">
        <v>9</v>
      </c>
      <c r="C109" s="81" t="s">
        <v>26</v>
      </c>
      <c r="D109" s="53">
        <v>7174778</v>
      </c>
      <c r="E109" s="52">
        <v>45488</v>
      </c>
      <c r="F109" s="80">
        <v>5922.130000000001</v>
      </c>
      <c r="G109" s="79" t="s">
        <v>76</v>
      </c>
      <c r="H109" s="49" t="str">
        <f t="shared" si="2"/>
        <v>B</v>
      </c>
      <c r="I109" s="48" t="str">
        <f t="shared" si="3"/>
        <v>The Commissioner &amp; Chief Constable are satisfied the spend represents VFM in accordance with the requirements of Category B</v>
      </c>
      <c r="J109" s="60"/>
      <c r="K109" s="60"/>
    </row>
    <row r="110" spans="1:11" x14ac:dyDescent="0.2">
      <c r="A110" s="56" t="s">
        <v>8</v>
      </c>
      <c r="B110" s="55" t="s">
        <v>9</v>
      </c>
      <c r="C110" s="81" t="s">
        <v>139</v>
      </c>
      <c r="D110" s="53">
        <v>7174662</v>
      </c>
      <c r="E110" s="52">
        <v>45483</v>
      </c>
      <c r="F110" s="80">
        <v>5750.44</v>
      </c>
      <c r="G110" s="79" t="s">
        <v>39</v>
      </c>
      <c r="H110" s="49" t="str">
        <f t="shared" si="2"/>
        <v>B</v>
      </c>
      <c r="I110" s="48" t="str">
        <f t="shared" si="3"/>
        <v>The Commissioner &amp; Chief Constable are satisfied the spend represents VFM in accordance with the requirements of Category B</v>
      </c>
      <c r="J110" s="60"/>
      <c r="K110" s="60"/>
    </row>
    <row r="111" spans="1:11" x14ac:dyDescent="0.2">
      <c r="A111" s="56" t="s">
        <v>8</v>
      </c>
      <c r="B111" s="55" t="s">
        <v>9</v>
      </c>
      <c r="C111" s="81" t="s">
        <v>161</v>
      </c>
      <c r="D111" s="53">
        <v>7175553</v>
      </c>
      <c r="E111" s="52">
        <v>45503</v>
      </c>
      <c r="F111" s="80">
        <v>5728.37</v>
      </c>
      <c r="G111" s="79" t="s">
        <v>390</v>
      </c>
      <c r="H111" s="49" t="str">
        <f t="shared" si="2"/>
        <v>B</v>
      </c>
      <c r="I111" s="48" t="str">
        <f t="shared" si="3"/>
        <v>The Commissioner &amp; Chief Constable are satisfied the spend represents VFM in accordance with the requirements of Category B</v>
      </c>
      <c r="J111" s="60"/>
      <c r="K111" s="60"/>
    </row>
    <row r="112" spans="1:11" x14ac:dyDescent="0.2">
      <c r="A112" s="56" t="s">
        <v>8</v>
      </c>
      <c r="B112" s="55" t="s">
        <v>9</v>
      </c>
      <c r="C112" s="81" t="s">
        <v>26</v>
      </c>
      <c r="D112" s="53">
        <v>7174780</v>
      </c>
      <c r="E112" s="52">
        <v>45488</v>
      </c>
      <c r="F112" s="80">
        <v>5712.31</v>
      </c>
      <c r="G112" s="79" t="s">
        <v>76</v>
      </c>
      <c r="H112" s="49" t="str">
        <f t="shared" si="2"/>
        <v>B</v>
      </c>
      <c r="I112" s="48" t="str">
        <f t="shared" si="3"/>
        <v>The Commissioner &amp; Chief Constable are satisfied the spend represents VFM in accordance with the requirements of Category B</v>
      </c>
      <c r="J112" s="60"/>
      <c r="K112" s="60"/>
    </row>
    <row r="113" spans="1:11" x14ac:dyDescent="0.2">
      <c r="A113" s="56" t="s">
        <v>8</v>
      </c>
      <c r="B113" s="55" t="s">
        <v>9</v>
      </c>
      <c r="C113" s="81" t="s">
        <v>806</v>
      </c>
      <c r="D113" s="53">
        <v>7175541</v>
      </c>
      <c r="E113" s="52">
        <v>45503</v>
      </c>
      <c r="F113" s="80">
        <v>5598</v>
      </c>
      <c r="G113" s="79" t="s">
        <v>131</v>
      </c>
      <c r="H113" s="49" t="str">
        <f t="shared" si="2"/>
        <v>B</v>
      </c>
      <c r="I113" s="48" t="str">
        <f t="shared" si="3"/>
        <v>The Commissioner &amp; Chief Constable are satisfied the spend represents VFM in accordance with the requirements of Category B</v>
      </c>
      <c r="J113" s="60"/>
      <c r="K113" s="60"/>
    </row>
    <row r="114" spans="1:11" x14ac:dyDescent="0.2">
      <c r="A114" s="56" t="s">
        <v>8</v>
      </c>
      <c r="B114" s="55" t="s">
        <v>9</v>
      </c>
      <c r="C114" s="81" t="s">
        <v>841</v>
      </c>
      <c r="D114" s="53">
        <v>7174714</v>
      </c>
      <c r="E114" s="52">
        <v>45483</v>
      </c>
      <c r="F114" s="80">
        <v>5388.5300000000007</v>
      </c>
      <c r="G114" s="79" t="s">
        <v>131</v>
      </c>
      <c r="H114" s="49" t="str">
        <f t="shared" si="2"/>
        <v>B</v>
      </c>
      <c r="I114" s="48" t="str">
        <f t="shared" si="3"/>
        <v>The Commissioner &amp; Chief Constable are satisfied the spend represents VFM in accordance with the requirements of Category B</v>
      </c>
      <c r="J114" s="60"/>
      <c r="K114" s="60"/>
    </row>
    <row r="115" spans="1:11" x14ac:dyDescent="0.2">
      <c r="A115" s="56" t="s">
        <v>8</v>
      </c>
      <c r="B115" s="55" t="s">
        <v>9</v>
      </c>
      <c r="C115" s="81" t="s">
        <v>142</v>
      </c>
      <c r="D115" s="53">
        <v>7174717</v>
      </c>
      <c r="E115" s="52">
        <v>45483</v>
      </c>
      <c r="F115" s="80">
        <v>5096</v>
      </c>
      <c r="G115" s="79" t="s">
        <v>143</v>
      </c>
      <c r="H115" s="49" t="str">
        <f t="shared" si="2"/>
        <v>B</v>
      </c>
      <c r="I115" s="48" t="str">
        <f t="shared" si="3"/>
        <v>The Commissioner &amp; Chief Constable are satisfied the spend represents VFM in accordance with the requirements of Category B</v>
      </c>
    </row>
    <row r="116" spans="1:11" x14ac:dyDescent="0.2">
      <c r="A116" s="56" t="s">
        <v>8</v>
      </c>
      <c r="B116" s="55" t="s">
        <v>9</v>
      </c>
      <c r="C116" s="81" t="s">
        <v>153</v>
      </c>
      <c r="D116" s="53">
        <v>7175320</v>
      </c>
      <c r="E116" s="52">
        <v>45497</v>
      </c>
      <c r="F116" s="80">
        <v>5012.25</v>
      </c>
      <c r="G116" s="79" t="s">
        <v>39</v>
      </c>
      <c r="H116" s="49" t="str">
        <f t="shared" si="2"/>
        <v>B</v>
      </c>
      <c r="I116" s="48" t="str">
        <f t="shared" si="3"/>
        <v>The Commissioner &amp; Chief Constable are satisfied the spend represents VFM in accordance with the requirements of Category B</v>
      </c>
    </row>
    <row r="117" spans="1:11" x14ac:dyDescent="0.2">
      <c r="A117" s="56" t="s">
        <v>8</v>
      </c>
      <c r="B117" s="55" t="s">
        <v>9</v>
      </c>
      <c r="C117" s="82" t="s">
        <v>448</v>
      </c>
      <c r="D117" s="53">
        <v>7175225</v>
      </c>
      <c r="E117" s="52">
        <v>45497</v>
      </c>
      <c r="F117" s="80">
        <v>5000</v>
      </c>
      <c r="G117" s="79" t="s">
        <v>27</v>
      </c>
      <c r="H117" s="49" t="str">
        <f t="shared" si="2"/>
        <v>B</v>
      </c>
      <c r="I117" s="48" t="str">
        <f t="shared" si="3"/>
        <v>The Commissioner &amp; Chief Constable are satisfied the spend represents VFM in accordance with the requirements of Category B</v>
      </c>
    </row>
    <row r="118" spans="1:11" x14ac:dyDescent="0.2">
      <c r="A118" s="56" t="s">
        <v>8</v>
      </c>
      <c r="B118" s="55" t="s">
        <v>9</v>
      </c>
      <c r="C118" s="81" t="s">
        <v>168</v>
      </c>
      <c r="D118" s="53">
        <v>3068165</v>
      </c>
      <c r="E118" s="52">
        <v>45488</v>
      </c>
      <c r="F118" s="80">
        <v>5000</v>
      </c>
      <c r="G118" s="79" t="s">
        <v>169</v>
      </c>
      <c r="H118" s="49" t="str">
        <f t="shared" si="2"/>
        <v>B</v>
      </c>
      <c r="I118" s="48" t="str">
        <f t="shared" si="3"/>
        <v>The Commissioner &amp; Chief Constable are satisfied the spend represents VFM in accordance with the requirements of Category B</v>
      </c>
    </row>
    <row r="119" spans="1:11" x14ac:dyDescent="0.2">
      <c r="A119" s="56" t="s">
        <v>8</v>
      </c>
      <c r="B119" s="55" t="s">
        <v>9</v>
      </c>
      <c r="C119" s="81" t="s">
        <v>168</v>
      </c>
      <c r="D119" s="53">
        <v>3068284</v>
      </c>
      <c r="E119" s="52">
        <v>45504</v>
      </c>
      <c r="F119" s="80">
        <v>5000</v>
      </c>
      <c r="G119" s="79" t="s">
        <v>169</v>
      </c>
      <c r="H119" s="49" t="str">
        <f t="shared" si="2"/>
        <v>B</v>
      </c>
      <c r="I119" s="48" t="str">
        <f t="shared" si="3"/>
        <v>The Commissioner &amp; Chief Constable are satisfied the spend represents VFM in accordance with the requirements of Category B</v>
      </c>
    </row>
    <row r="120" spans="1:11" x14ac:dyDescent="0.2">
      <c r="A120" s="56" t="s">
        <v>8</v>
      </c>
      <c r="B120" s="55" t="s">
        <v>9</v>
      </c>
      <c r="C120" s="81" t="s">
        <v>840</v>
      </c>
      <c r="D120" s="53">
        <v>7174987</v>
      </c>
      <c r="E120" s="52">
        <v>45498</v>
      </c>
      <c r="F120" s="80">
        <v>5000</v>
      </c>
      <c r="G120" s="79" t="s">
        <v>49</v>
      </c>
      <c r="H120" s="49" t="str">
        <f t="shared" si="2"/>
        <v>B</v>
      </c>
      <c r="I120" s="48" t="str">
        <f t="shared" si="3"/>
        <v>The Commissioner &amp; Chief Constable are satisfied the spend represents VFM in accordance with the requirements of Category B</v>
      </c>
    </row>
    <row r="121" spans="1:11" x14ac:dyDescent="0.2">
      <c r="A121" s="56" t="s">
        <v>8</v>
      </c>
      <c r="B121" s="55" t="s">
        <v>9</v>
      </c>
      <c r="C121" s="81" t="s">
        <v>166</v>
      </c>
      <c r="D121" s="53">
        <v>7174473</v>
      </c>
      <c r="E121" s="52">
        <v>45474</v>
      </c>
      <c r="F121" s="80">
        <v>5000</v>
      </c>
      <c r="G121" s="79" t="s">
        <v>27</v>
      </c>
      <c r="H121" s="49" t="str">
        <f t="shared" si="2"/>
        <v>B</v>
      </c>
      <c r="I121" s="48" t="str">
        <f t="shared" si="3"/>
        <v>The Commissioner &amp; Chief Constable are satisfied the spend represents VFM in accordance with the requirements of Category B</v>
      </c>
    </row>
    <row r="122" spans="1:11" x14ac:dyDescent="0.2">
      <c r="A122" s="56" t="s">
        <v>8</v>
      </c>
      <c r="B122" s="55" t="s">
        <v>9</v>
      </c>
      <c r="C122" s="81" t="s">
        <v>448</v>
      </c>
      <c r="D122" s="53">
        <v>7174248</v>
      </c>
      <c r="E122" s="52">
        <v>45474</v>
      </c>
      <c r="F122" s="80">
        <v>5000</v>
      </c>
      <c r="G122" s="79" t="s">
        <v>27</v>
      </c>
      <c r="H122" s="49" t="str">
        <f t="shared" si="2"/>
        <v>B</v>
      </c>
      <c r="I122" s="48" t="str">
        <f t="shared" si="3"/>
        <v>The Commissioner &amp; Chief Constable are satisfied the spend represents VFM in accordance with the requirements of Category B</v>
      </c>
    </row>
    <row r="123" spans="1:11" x14ac:dyDescent="0.2">
      <c r="A123" s="56" t="s">
        <v>8</v>
      </c>
      <c r="B123" s="55" t="s">
        <v>9</v>
      </c>
      <c r="C123" s="81" t="s">
        <v>415</v>
      </c>
      <c r="D123" s="53">
        <v>7174564</v>
      </c>
      <c r="E123" s="52">
        <v>45483</v>
      </c>
      <c r="F123" s="80">
        <v>4920</v>
      </c>
      <c r="G123" s="79" t="s">
        <v>91</v>
      </c>
      <c r="H123" s="49" t="str">
        <f t="shared" si="2"/>
        <v>B</v>
      </c>
      <c r="I123" s="48" t="str">
        <f t="shared" si="3"/>
        <v>The Commissioner &amp; Chief Constable are satisfied the spend represents VFM in accordance with the requirements of Category B</v>
      </c>
    </row>
    <row r="124" spans="1:11" x14ac:dyDescent="0.2">
      <c r="A124" s="56" t="s">
        <v>8</v>
      </c>
      <c r="B124" s="55" t="s">
        <v>9</v>
      </c>
      <c r="C124" s="81" t="s">
        <v>415</v>
      </c>
      <c r="D124" s="53">
        <v>7174565</v>
      </c>
      <c r="E124" s="52">
        <v>45483</v>
      </c>
      <c r="F124" s="80">
        <v>4850</v>
      </c>
      <c r="G124" s="79" t="s">
        <v>91</v>
      </c>
      <c r="H124" s="49" t="str">
        <f t="shared" si="2"/>
        <v>B</v>
      </c>
      <c r="I124" s="48" t="str">
        <f t="shared" si="3"/>
        <v>The Commissioner &amp; Chief Constable are satisfied the spend represents VFM in accordance with the requirements of Category B</v>
      </c>
    </row>
    <row r="125" spans="1:11" x14ac:dyDescent="0.2">
      <c r="A125" s="56" t="s">
        <v>8</v>
      </c>
      <c r="B125" s="55" t="s">
        <v>9</v>
      </c>
      <c r="C125" s="81" t="s">
        <v>183</v>
      </c>
      <c r="D125" s="53">
        <v>7175517</v>
      </c>
      <c r="E125" s="52">
        <v>45504</v>
      </c>
      <c r="F125" s="80">
        <v>4850</v>
      </c>
      <c r="G125" s="79" t="s">
        <v>22</v>
      </c>
      <c r="H125" s="49" t="str">
        <f t="shared" si="2"/>
        <v>B</v>
      </c>
      <c r="I125" s="48" t="str">
        <f t="shared" si="3"/>
        <v>The Commissioner &amp; Chief Constable are satisfied the spend represents VFM in accordance with the requirements of Category B</v>
      </c>
    </row>
    <row r="126" spans="1:11" x14ac:dyDescent="0.2">
      <c r="A126" s="56" t="s">
        <v>8</v>
      </c>
      <c r="B126" s="55" t="s">
        <v>9</v>
      </c>
      <c r="C126" s="81" t="s">
        <v>119</v>
      </c>
      <c r="D126" s="53">
        <v>7175143</v>
      </c>
      <c r="E126" s="52">
        <v>45490</v>
      </c>
      <c r="F126" s="80">
        <v>4715.1899999999996</v>
      </c>
      <c r="G126" s="79" t="s">
        <v>120</v>
      </c>
      <c r="H126" s="49" t="str">
        <f t="shared" si="2"/>
        <v>B</v>
      </c>
      <c r="I126" s="48" t="str">
        <f t="shared" si="3"/>
        <v>The Commissioner &amp; Chief Constable are satisfied the spend represents VFM in accordance with the requirements of Category B</v>
      </c>
    </row>
    <row r="127" spans="1:11" x14ac:dyDescent="0.2">
      <c r="A127" s="56" t="s">
        <v>8</v>
      </c>
      <c r="B127" s="55" t="s">
        <v>9</v>
      </c>
      <c r="C127" s="81" t="s">
        <v>33</v>
      </c>
      <c r="D127" s="53">
        <v>7174688</v>
      </c>
      <c r="E127" s="52">
        <v>45481</v>
      </c>
      <c r="F127" s="80">
        <v>4670.33</v>
      </c>
      <c r="G127" s="79" t="s">
        <v>58</v>
      </c>
      <c r="H127" s="49" t="str">
        <f t="shared" si="2"/>
        <v>B</v>
      </c>
      <c r="I127" s="48" t="str">
        <f t="shared" si="3"/>
        <v>The Commissioner &amp; Chief Constable are satisfied the spend represents VFM in accordance with the requirements of Category B</v>
      </c>
    </row>
    <row r="128" spans="1:11" x14ac:dyDescent="0.2">
      <c r="A128" s="56" t="s">
        <v>8</v>
      </c>
      <c r="B128" s="55" t="s">
        <v>9</v>
      </c>
      <c r="C128" s="81" t="s">
        <v>700</v>
      </c>
      <c r="D128" s="53">
        <v>7174613</v>
      </c>
      <c r="E128" s="52">
        <v>45476</v>
      </c>
      <c r="F128" s="80">
        <v>4650</v>
      </c>
      <c r="G128" s="79" t="s">
        <v>38</v>
      </c>
      <c r="H128" s="49" t="str">
        <f t="shared" si="2"/>
        <v>B</v>
      </c>
      <c r="I128" s="48" t="str">
        <f t="shared" si="3"/>
        <v>The Commissioner &amp; Chief Constable are satisfied the spend represents VFM in accordance with the requirements of Category B</v>
      </c>
    </row>
    <row r="129" spans="1:13" x14ac:dyDescent="0.2">
      <c r="A129" s="56" t="s">
        <v>8</v>
      </c>
      <c r="B129" s="55" t="s">
        <v>9</v>
      </c>
      <c r="C129" s="81" t="s">
        <v>10</v>
      </c>
      <c r="D129" s="53">
        <v>7175508</v>
      </c>
      <c r="E129" s="52">
        <v>45503</v>
      </c>
      <c r="F129" s="80">
        <v>4603.5</v>
      </c>
      <c r="G129" s="79" t="s">
        <v>22</v>
      </c>
      <c r="H129" s="49" t="str">
        <f t="shared" si="2"/>
        <v>B</v>
      </c>
      <c r="I129" s="48" t="str">
        <f t="shared" si="3"/>
        <v>The Commissioner &amp; Chief Constable are satisfied the spend represents VFM in accordance with the requirements of Category B</v>
      </c>
    </row>
    <row r="130" spans="1:13" x14ac:dyDescent="0.2">
      <c r="A130" s="56" t="s">
        <v>8</v>
      </c>
      <c r="B130" s="55" t="s">
        <v>9</v>
      </c>
      <c r="C130" s="81" t="s">
        <v>124</v>
      </c>
      <c r="D130" s="53">
        <v>7174750</v>
      </c>
      <c r="E130" s="52">
        <v>45484</v>
      </c>
      <c r="F130" s="80">
        <v>4470.8599999999997</v>
      </c>
      <c r="G130" s="79" t="s">
        <v>91</v>
      </c>
      <c r="H130" s="49" t="str">
        <f t="shared" ref="H130:H193" si="4">IF(F130&gt;25000,"C",IF(F130&gt;1000,"B","A"))</f>
        <v>B</v>
      </c>
      <c r="I130" s="48" t="str">
        <f t="shared" ref="I130:I193" si="5">VLOOKUP(H130,$L$2:$M$4,2,FALSE)</f>
        <v>The Commissioner &amp; Chief Constable are satisfied the spend represents VFM in accordance with the requirements of Category B</v>
      </c>
    </row>
    <row r="131" spans="1:13" x14ac:dyDescent="0.2">
      <c r="A131" s="56" t="s">
        <v>8</v>
      </c>
      <c r="B131" s="55" t="s">
        <v>9</v>
      </c>
      <c r="C131" s="82" t="s">
        <v>140</v>
      </c>
      <c r="D131" s="53">
        <v>7175603</v>
      </c>
      <c r="E131" s="52">
        <v>45504</v>
      </c>
      <c r="F131" s="80">
        <v>4409.3</v>
      </c>
      <c r="G131" s="79" t="s">
        <v>156</v>
      </c>
      <c r="H131" s="49" t="str">
        <f t="shared" si="4"/>
        <v>B</v>
      </c>
      <c r="I131" s="48" t="str">
        <f t="shared" si="5"/>
        <v>The Commissioner &amp; Chief Constable are satisfied the spend represents VFM in accordance with the requirements of Category B</v>
      </c>
    </row>
    <row r="132" spans="1:13" x14ac:dyDescent="0.2">
      <c r="A132" s="56" t="s">
        <v>8</v>
      </c>
      <c r="B132" s="55" t="s">
        <v>9</v>
      </c>
      <c r="C132" s="82" t="s">
        <v>103</v>
      </c>
      <c r="D132" s="53">
        <v>7174912</v>
      </c>
      <c r="E132" s="52">
        <v>45484</v>
      </c>
      <c r="F132" s="80">
        <v>4393</v>
      </c>
      <c r="G132" s="79" t="s">
        <v>91</v>
      </c>
      <c r="H132" s="49" t="str">
        <f t="shared" si="4"/>
        <v>B</v>
      </c>
      <c r="I132" s="48" t="str">
        <f t="shared" si="5"/>
        <v>The Commissioner &amp; Chief Constable are satisfied the spend represents VFM in accordance with the requirements of Category B</v>
      </c>
    </row>
    <row r="133" spans="1:13" x14ac:dyDescent="0.2">
      <c r="A133" s="56" t="s">
        <v>8</v>
      </c>
      <c r="B133" s="55" t="s">
        <v>9</v>
      </c>
      <c r="C133" s="81" t="s">
        <v>23</v>
      </c>
      <c r="D133" s="53">
        <v>7174808</v>
      </c>
      <c r="E133" s="52">
        <v>45503</v>
      </c>
      <c r="F133" s="80">
        <v>4352.05</v>
      </c>
      <c r="G133" s="79" t="s">
        <v>24</v>
      </c>
      <c r="H133" s="49" t="str">
        <f t="shared" si="4"/>
        <v>B</v>
      </c>
      <c r="I133" s="48" t="str">
        <f t="shared" si="5"/>
        <v>The Commissioner &amp; Chief Constable are satisfied the spend represents VFM in accordance with the requirements of Category B</v>
      </c>
    </row>
    <row r="134" spans="1:13" s="42" customFormat="1" x14ac:dyDescent="0.2">
      <c r="A134" s="56" t="s">
        <v>8</v>
      </c>
      <c r="B134" s="55" t="s">
        <v>9</v>
      </c>
      <c r="C134" s="81" t="s">
        <v>173</v>
      </c>
      <c r="D134" s="53">
        <v>7174895</v>
      </c>
      <c r="E134" s="52">
        <v>45484</v>
      </c>
      <c r="F134" s="80">
        <v>4183.67</v>
      </c>
      <c r="G134" s="79" t="s">
        <v>80</v>
      </c>
      <c r="H134" s="49" t="str">
        <f t="shared" si="4"/>
        <v>B</v>
      </c>
      <c r="I134" s="48" t="str">
        <f t="shared" si="5"/>
        <v>The Commissioner &amp; Chief Constable are satisfied the spend represents VFM in accordance with the requirements of Category B</v>
      </c>
      <c r="L134" s="41"/>
      <c r="M134" s="41"/>
    </row>
    <row r="135" spans="1:13" s="42" customFormat="1" x14ac:dyDescent="0.2">
      <c r="A135" s="56" t="s">
        <v>8</v>
      </c>
      <c r="B135" s="55" t="s">
        <v>9</v>
      </c>
      <c r="C135" s="81" t="s">
        <v>545</v>
      </c>
      <c r="D135" s="53">
        <v>7174562</v>
      </c>
      <c r="E135" s="52">
        <v>45490</v>
      </c>
      <c r="F135" s="80">
        <v>4100</v>
      </c>
      <c r="G135" s="79" t="s">
        <v>22</v>
      </c>
      <c r="H135" s="49" t="str">
        <f t="shared" si="4"/>
        <v>B</v>
      </c>
      <c r="I135" s="48" t="str">
        <f t="shared" si="5"/>
        <v>The Commissioner &amp; Chief Constable are satisfied the spend represents VFM in accordance with the requirements of Category B</v>
      </c>
      <c r="L135" s="41"/>
      <c r="M135" s="41"/>
    </row>
    <row r="136" spans="1:13" s="42" customFormat="1" x14ac:dyDescent="0.2">
      <c r="A136" s="56" t="s">
        <v>8</v>
      </c>
      <c r="B136" s="55" t="s">
        <v>9</v>
      </c>
      <c r="C136" s="81" t="s">
        <v>128</v>
      </c>
      <c r="D136" s="53">
        <v>7174465</v>
      </c>
      <c r="E136" s="52">
        <v>45474</v>
      </c>
      <c r="F136" s="80">
        <v>4037.38</v>
      </c>
      <c r="G136" s="79" t="s">
        <v>129</v>
      </c>
      <c r="H136" s="49" t="str">
        <f t="shared" si="4"/>
        <v>B</v>
      </c>
      <c r="I136" s="48" t="str">
        <f t="shared" si="5"/>
        <v>The Commissioner &amp; Chief Constable are satisfied the spend represents VFM in accordance with the requirements of Category B</v>
      </c>
      <c r="L136" s="41"/>
      <c r="M136" s="41"/>
    </row>
    <row r="137" spans="1:13" s="42" customFormat="1" x14ac:dyDescent="0.2">
      <c r="A137" s="56" t="s">
        <v>8</v>
      </c>
      <c r="B137" s="55" t="s">
        <v>9</v>
      </c>
      <c r="C137" s="81" t="s">
        <v>839</v>
      </c>
      <c r="D137" s="53">
        <v>7173138</v>
      </c>
      <c r="E137" s="52">
        <v>45485</v>
      </c>
      <c r="F137" s="80">
        <v>4000</v>
      </c>
      <c r="G137" s="79" t="s">
        <v>89</v>
      </c>
      <c r="H137" s="49" t="str">
        <f t="shared" si="4"/>
        <v>B</v>
      </c>
      <c r="I137" s="48" t="str">
        <f t="shared" si="5"/>
        <v>The Commissioner &amp; Chief Constable are satisfied the spend represents VFM in accordance with the requirements of Category B</v>
      </c>
      <c r="L137" s="41"/>
      <c r="M137" s="41"/>
    </row>
    <row r="138" spans="1:13" s="42" customFormat="1" x14ac:dyDescent="0.2">
      <c r="A138" s="56" t="s">
        <v>8</v>
      </c>
      <c r="B138" s="55" t="s">
        <v>9</v>
      </c>
      <c r="C138" s="82" t="s">
        <v>369</v>
      </c>
      <c r="D138" s="53">
        <v>7175270</v>
      </c>
      <c r="E138" s="52">
        <v>45495</v>
      </c>
      <c r="F138" s="80">
        <v>3990</v>
      </c>
      <c r="G138" s="79" t="s">
        <v>39</v>
      </c>
      <c r="H138" s="49" t="str">
        <f t="shared" si="4"/>
        <v>B</v>
      </c>
      <c r="I138" s="48" t="str">
        <f t="shared" si="5"/>
        <v>The Commissioner &amp; Chief Constable are satisfied the spend represents VFM in accordance with the requirements of Category B</v>
      </c>
      <c r="L138" s="41"/>
      <c r="M138" s="41"/>
    </row>
    <row r="139" spans="1:13" s="42" customFormat="1" x14ac:dyDescent="0.2">
      <c r="A139" s="56" t="s">
        <v>8</v>
      </c>
      <c r="B139" s="55" t="s">
        <v>9</v>
      </c>
      <c r="C139" s="81" t="s">
        <v>162</v>
      </c>
      <c r="D139" s="53">
        <v>7175184</v>
      </c>
      <c r="E139" s="52">
        <v>45502</v>
      </c>
      <c r="F139" s="80">
        <v>3925</v>
      </c>
      <c r="G139" s="79" t="s">
        <v>39</v>
      </c>
      <c r="H139" s="49" t="str">
        <f t="shared" si="4"/>
        <v>B</v>
      </c>
      <c r="I139" s="48" t="str">
        <f t="shared" si="5"/>
        <v>The Commissioner &amp; Chief Constable are satisfied the spend represents VFM in accordance with the requirements of Category B</v>
      </c>
      <c r="L139" s="41"/>
      <c r="M139" s="41"/>
    </row>
    <row r="140" spans="1:13" s="42" customFormat="1" x14ac:dyDescent="0.2">
      <c r="A140" s="56" t="s">
        <v>8</v>
      </c>
      <c r="B140" s="55" t="s">
        <v>9</v>
      </c>
      <c r="C140" s="81" t="s">
        <v>486</v>
      </c>
      <c r="D140" s="53">
        <v>7174366</v>
      </c>
      <c r="E140" s="52">
        <v>45476</v>
      </c>
      <c r="F140" s="80">
        <v>3905</v>
      </c>
      <c r="G140" s="79" t="s">
        <v>91</v>
      </c>
      <c r="H140" s="49" t="str">
        <f t="shared" si="4"/>
        <v>B</v>
      </c>
      <c r="I140" s="48" t="str">
        <f t="shared" si="5"/>
        <v>The Commissioner &amp; Chief Constable are satisfied the spend represents VFM in accordance with the requirements of Category B</v>
      </c>
      <c r="L140" s="41"/>
      <c r="M140" s="41"/>
    </row>
    <row r="141" spans="1:13" s="42" customFormat="1" x14ac:dyDescent="0.2">
      <c r="A141" s="56" t="s">
        <v>8</v>
      </c>
      <c r="B141" s="55" t="s">
        <v>9</v>
      </c>
      <c r="C141" s="81" t="s">
        <v>838</v>
      </c>
      <c r="D141" s="53">
        <v>7174905</v>
      </c>
      <c r="E141" s="52">
        <v>45484</v>
      </c>
      <c r="F141" s="80">
        <v>3840</v>
      </c>
      <c r="G141" s="79" t="s">
        <v>22</v>
      </c>
      <c r="H141" s="49" t="str">
        <f t="shared" si="4"/>
        <v>B</v>
      </c>
      <c r="I141" s="48" t="str">
        <f t="shared" si="5"/>
        <v>The Commissioner &amp; Chief Constable are satisfied the spend represents VFM in accordance with the requirements of Category B</v>
      </c>
      <c r="L141" s="41"/>
      <c r="M141" s="41"/>
    </row>
    <row r="142" spans="1:13" s="42" customFormat="1" x14ac:dyDescent="0.2">
      <c r="A142" s="56" t="s">
        <v>8</v>
      </c>
      <c r="B142" s="55" t="s">
        <v>9</v>
      </c>
      <c r="C142" s="81" t="s">
        <v>374</v>
      </c>
      <c r="D142" s="53">
        <v>7173611</v>
      </c>
      <c r="E142" s="52">
        <v>45495</v>
      </c>
      <c r="F142" s="80">
        <v>3750</v>
      </c>
      <c r="G142" s="79" t="s">
        <v>373</v>
      </c>
      <c r="H142" s="49" t="str">
        <f t="shared" si="4"/>
        <v>B</v>
      </c>
      <c r="I142" s="48" t="str">
        <f t="shared" si="5"/>
        <v>The Commissioner &amp; Chief Constable are satisfied the spend represents VFM in accordance with the requirements of Category B</v>
      </c>
      <c r="L142" s="41"/>
      <c r="M142" s="41"/>
    </row>
    <row r="143" spans="1:13" s="42" customFormat="1" x14ac:dyDescent="0.2">
      <c r="A143" s="56" t="s">
        <v>8</v>
      </c>
      <c r="B143" s="55" t="s">
        <v>9</v>
      </c>
      <c r="C143" s="81" t="s">
        <v>374</v>
      </c>
      <c r="D143" s="53">
        <v>7175175</v>
      </c>
      <c r="E143" s="52">
        <v>45495</v>
      </c>
      <c r="F143" s="80">
        <v>3750</v>
      </c>
      <c r="G143" s="79" t="s">
        <v>373</v>
      </c>
      <c r="H143" s="49" t="str">
        <f t="shared" si="4"/>
        <v>B</v>
      </c>
      <c r="I143" s="48" t="str">
        <f t="shared" si="5"/>
        <v>The Commissioner &amp; Chief Constable are satisfied the spend represents VFM in accordance with the requirements of Category B</v>
      </c>
      <c r="L143" s="41"/>
      <c r="M143" s="41"/>
    </row>
    <row r="144" spans="1:13" s="42" customFormat="1" x14ac:dyDescent="0.2">
      <c r="A144" s="56" t="s">
        <v>8</v>
      </c>
      <c r="B144" s="55" t="s">
        <v>9</v>
      </c>
      <c r="C144" s="81" t="s">
        <v>65</v>
      </c>
      <c r="D144" s="53">
        <v>7174872</v>
      </c>
      <c r="E144" s="52">
        <v>45488</v>
      </c>
      <c r="F144" s="80">
        <v>3655</v>
      </c>
      <c r="G144" s="79" t="s">
        <v>229</v>
      </c>
      <c r="H144" s="49" t="str">
        <f t="shared" si="4"/>
        <v>B</v>
      </c>
      <c r="I144" s="48" t="str">
        <f t="shared" si="5"/>
        <v>The Commissioner &amp; Chief Constable are satisfied the spend represents VFM in accordance with the requirements of Category B</v>
      </c>
      <c r="L144" s="41"/>
      <c r="M144" s="41"/>
    </row>
    <row r="145" spans="1:13" s="42" customFormat="1" x14ac:dyDescent="0.2">
      <c r="A145" s="56" t="s">
        <v>8</v>
      </c>
      <c r="B145" s="55" t="s">
        <v>9</v>
      </c>
      <c r="C145" s="81" t="s">
        <v>90</v>
      </c>
      <c r="D145" s="53">
        <v>7174263</v>
      </c>
      <c r="E145" s="52">
        <v>45474</v>
      </c>
      <c r="F145" s="80">
        <v>3642.52</v>
      </c>
      <c r="G145" s="79" t="s">
        <v>91</v>
      </c>
      <c r="H145" s="49" t="str">
        <f t="shared" si="4"/>
        <v>B</v>
      </c>
      <c r="I145" s="48" t="str">
        <f t="shared" si="5"/>
        <v>The Commissioner &amp; Chief Constable are satisfied the spend represents VFM in accordance with the requirements of Category B</v>
      </c>
      <c r="L145" s="41"/>
      <c r="M145" s="41"/>
    </row>
    <row r="146" spans="1:13" s="42" customFormat="1" x14ac:dyDescent="0.2">
      <c r="A146" s="56" t="s">
        <v>8</v>
      </c>
      <c r="B146" s="55" t="s">
        <v>9</v>
      </c>
      <c r="C146" s="82" t="s">
        <v>10</v>
      </c>
      <c r="D146" s="53">
        <v>7175093</v>
      </c>
      <c r="E146" s="52">
        <v>45503</v>
      </c>
      <c r="F146" s="80">
        <v>3622.3</v>
      </c>
      <c r="G146" s="79" t="s">
        <v>22</v>
      </c>
      <c r="H146" s="49" t="str">
        <f t="shared" si="4"/>
        <v>B</v>
      </c>
      <c r="I146" s="48" t="str">
        <f t="shared" si="5"/>
        <v>The Commissioner &amp; Chief Constable are satisfied the spend represents VFM in accordance with the requirements of Category B</v>
      </c>
      <c r="L146" s="41"/>
      <c r="M146" s="41"/>
    </row>
    <row r="147" spans="1:13" s="42" customFormat="1" x14ac:dyDescent="0.2">
      <c r="A147" s="56" t="s">
        <v>8</v>
      </c>
      <c r="B147" s="55" t="s">
        <v>9</v>
      </c>
      <c r="C147" s="81" t="s">
        <v>837</v>
      </c>
      <c r="D147" s="53">
        <v>7175496</v>
      </c>
      <c r="E147" s="52">
        <v>45503</v>
      </c>
      <c r="F147" s="80">
        <v>3600</v>
      </c>
      <c r="G147" s="79" t="s">
        <v>429</v>
      </c>
      <c r="H147" s="49" t="str">
        <f t="shared" si="4"/>
        <v>B</v>
      </c>
      <c r="I147" s="48" t="str">
        <f t="shared" si="5"/>
        <v>The Commissioner &amp; Chief Constable are satisfied the spend represents VFM in accordance with the requirements of Category B</v>
      </c>
      <c r="L147" s="41"/>
      <c r="M147" s="41"/>
    </row>
    <row r="148" spans="1:13" s="42" customFormat="1" x14ac:dyDescent="0.2">
      <c r="A148" s="56" t="s">
        <v>8</v>
      </c>
      <c r="B148" s="55" t="s">
        <v>9</v>
      </c>
      <c r="C148" s="81" t="s">
        <v>301</v>
      </c>
      <c r="D148" s="53">
        <v>7174713</v>
      </c>
      <c r="E148" s="52">
        <v>45481</v>
      </c>
      <c r="F148" s="80">
        <v>3597.42</v>
      </c>
      <c r="G148" s="79" t="s">
        <v>131</v>
      </c>
      <c r="H148" s="49" t="str">
        <f t="shared" si="4"/>
        <v>B</v>
      </c>
      <c r="I148" s="48" t="str">
        <f t="shared" si="5"/>
        <v>The Commissioner &amp; Chief Constable are satisfied the spend represents VFM in accordance with the requirements of Category B</v>
      </c>
      <c r="L148" s="41"/>
      <c r="M148" s="41"/>
    </row>
    <row r="149" spans="1:13" s="42" customFormat="1" x14ac:dyDescent="0.2">
      <c r="A149" s="56" t="s">
        <v>8</v>
      </c>
      <c r="B149" s="55" t="s">
        <v>9</v>
      </c>
      <c r="C149" s="82" t="s">
        <v>163</v>
      </c>
      <c r="D149" s="53">
        <v>7174760</v>
      </c>
      <c r="E149" s="52">
        <v>45481</v>
      </c>
      <c r="F149" s="80">
        <v>3437</v>
      </c>
      <c r="G149" s="79" t="s">
        <v>45</v>
      </c>
      <c r="H149" s="49" t="str">
        <f t="shared" si="4"/>
        <v>B</v>
      </c>
      <c r="I149" s="48" t="str">
        <f t="shared" si="5"/>
        <v>The Commissioner &amp; Chief Constable are satisfied the spend represents VFM in accordance with the requirements of Category B</v>
      </c>
      <c r="L149" s="41"/>
      <c r="M149" s="41"/>
    </row>
    <row r="150" spans="1:13" s="42" customFormat="1" x14ac:dyDescent="0.2">
      <c r="A150" s="56" t="s">
        <v>8</v>
      </c>
      <c r="B150" s="55" t="s">
        <v>9</v>
      </c>
      <c r="C150" s="82" t="s">
        <v>193</v>
      </c>
      <c r="D150" s="53">
        <v>7174734</v>
      </c>
      <c r="E150" s="52">
        <v>45481</v>
      </c>
      <c r="F150" s="83">
        <v>3329.33</v>
      </c>
      <c r="G150" s="79" t="s">
        <v>194</v>
      </c>
      <c r="H150" s="49" t="str">
        <f t="shared" si="4"/>
        <v>B</v>
      </c>
      <c r="I150" s="48" t="str">
        <f t="shared" si="5"/>
        <v>The Commissioner &amp; Chief Constable are satisfied the spend represents VFM in accordance with the requirements of Category B</v>
      </c>
      <c r="L150" s="41"/>
      <c r="M150" s="41"/>
    </row>
    <row r="151" spans="1:13" s="42" customFormat="1" x14ac:dyDescent="0.2">
      <c r="A151" s="56" t="s">
        <v>8</v>
      </c>
      <c r="B151" s="55" t="s">
        <v>9</v>
      </c>
      <c r="C151" s="81" t="s">
        <v>448</v>
      </c>
      <c r="D151" s="53">
        <v>7175226</v>
      </c>
      <c r="E151" s="52">
        <v>45497</v>
      </c>
      <c r="F151" s="83">
        <v>3325</v>
      </c>
      <c r="G151" s="79" t="s">
        <v>27</v>
      </c>
      <c r="H151" s="49" t="str">
        <f t="shared" si="4"/>
        <v>B</v>
      </c>
      <c r="I151" s="48" t="str">
        <f t="shared" si="5"/>
        <v>The Commissioner &amp; Chief Constable are satisfied the spend represents VFM in accordance with the requirements of Category B</v>
      </c>
      <c r="L151" s="41"/>
      <c r="M151" s="41"/>
    </row>
    <row r="152" spans="1:13" s="42" customFormat="1" x14ac:dyDescent="0.2">
      <c r="A152" s="56" t="s">
        <v>8</v>
      </c>
      <c r="B152" s="55" t="s">
        <v>9</v>
      </c>
      <c r="C152" s="81" t="s">
        <v>448</v>
      </c>
      <c r="D152" s="53">
        <v>7174247</v>
      </c>
      <c r="E152" s="52">
        <v>45474</v>
      </c>
      <c r="F152" s="83">
        <v>3325</v>
      </c>
      <c r="G152" s="79" t="s">
        <v>27</v>
      </c>
      <c r="H152" s="49" t="str">
        <f t="shared" si="4"/>
        <v>B</v>
      </c>
      <c r="I152" s="48" t="str">
        <f t="shared" si="5"/>
        <v>The Commissioner &amp; Chief Constable are satisfied the spend represents VFM in accordance with the requirements of Category B</v>
      </c>
      <c r="L152" s="41"/>
      <c r="M152" s="41"/>
    </row>
    <row r="153" spans="1:13" s="42" customFormat="1" x14ac:dyDescent="0.2">
      <c r="A153" s="56" t="s">
        <v>8</v>
      </c>
      <c r="B153" s="55" t="s">
        <v>9</v>
      </c>
      <c r="C153" s="81" t="s">
        <v>193</v>
      </c>
      <c r="D153" s="53">
        <v>7174728</v>
      </c>
      <c r="E153" s="52">
        <v>45481</v>
      </c>
      <c r="F153" s="80">
        <v>3321</v>
      </c>
      <c r="G153" s="79" t="s">
        <v>194</v>
      </c>
      <c r="H153" s="49" t="str">
        <f t="shared" si="4"/>
        <v>B</v>
      </c>
      <c r="I153" s="48" t="str">
        <f t="shared" si="5"/>
        <v>The Commissioner &amp; Chief Constable are satisfied the spend represents VFM in accordance with the requirements of Category B</v>
      </c>
      <c r="L153" s="41"/>
      <c r="M153" s="41"/>
    </row>
    <row r="154" spans="1:13" s="42" customFormat="1" x14ac:dyDescent="0.2">
      <c r="A154" s="56" t="s">
        <v>8</v>
      </c>
      <c r="B154" s="55" t="s">
        <v>9</v>
      </c>
      <c r="C154" s="81" t="s">
        <v>193</v>
      </c>
      <c r="D154" s="53">
        <v>7174732</v>
      </c>
      <c r="E154" s="52">
        <v>45481</v>
      </c>
      <c r="F154" s="80">
        <v>3321</v>
      </c>
      <c r="G154" s="79" t="s">
        <v>194</v>
      </c>
      <c r="H154" s="49" t="str">
        <f t="shared" si="4"/>
        <v>B</v>
      </c>
      <c r="I154" s="48" t="str">
        <f t="shared" si="5"/>
        <v>The Commissioner &amp; Chief Constable are satisfied the spend represents VFM in accordance with the requirements of Category B</v>
      </c>
      <c r="L154" s="41"/>
      <c r="M154" s="41"/>
    </row>
    <row r="155" spans="1:13" s="42" customFormat="1" x14ac:dyDescent="0.2">
      <c r="A155" s="56" t="s">
        <v>8</v>
      </c>
      <c r="B155" s="55" t="s">
        <v>9</v>
      </c>
      <c r="C155" s="81" t="s">
        <v>193</v>
      </c>
      <c r="D155" s="53">
        <v>7174555</v>
      </c>
      <c r="E155" s="52">
        <v>45474</v>
      </c>
      <c r="F155" s="80">
        <v>3321</v>
      </c>
      <c r="G155" s="79" t="s">
        <v>194</v>
      </c>
      <c r="H155" s="49" t="str">
        <f t="shared" si="4"/>
        <v>B</v>
      </c>
      <c r="I155" s="48" t="str">
        <f t="shared" si="5"/>
        <v>The Commissioner &amp; Chief Constable are satisfied the spend represents VFM in accordance with the requirements of Category B</v>
      </c>
      <c r="L155" s="41"/>
      <c r="M155" s="41"/>
    </row>
    <row r="156" spans="1:13" s="42" customFormat="1" x14ac:dyDescent="0.2">
      <c r="A156" s="56" t="s">
        <v>8</v>
      </c>
      <c r="B156" s="55" t="s">
        <v>9</v>
      </c>
      <c r="C156" s="81" t="s">
        <v>193</v>
      </c>
      <c r="D156" s="53">
        <v>7175110</v>
      </c>
      <c r="E156" s="52">
        <v>45490</v>
      </c>
      <c r="F156" s="80">
        <v>3321</v>
      </c>
      <c r="G156" s="79" t="s">
        <v>194</v>
      </c>
      <c r="H156" s="49" t="str">
        <f t="shared" si="4"/>
        <v>B</v>
      </c>
      <c r="I156" s="48" t="str">
        <f t="shared" si="5"/>
        <v>The Commissioner &amp; Chief Constable are satisfied the spend represents VFM in accordance with the requirements of Category B</v>
      </c>
      <c r="L156" s="41"/>
      <c r="M156" s="41"/>
    </row>
    <row r="157" spans="1:13" s="42" customFormat="1" x14ac:dyDescent="0.2">
      <c r="A157" s="56" t="s">
        <v>8</v>
      </c>
      <c r="B157" s="55" t="s">
        <v>9</v>
      </c>
      <c r="C157" s="81" t="s">
        <v>193</v>
      </c>
      <c r="D157" s="53">
        <v>7174733</v>
      </c>
      <c r="E157" s="52">
        <v>45481</v>
      </c>
      <c r="F157" s="80">
        <v>3321</v>
      </c>
      <c r="G157" s="79" t="s">
        <v>194</v>
      </c>
      <c r="H157" s="49" t="str">
        <f t="shared" si="4"/>
        <v>B</v>
      </c>
      <c r="I157" s="48" t="str">
        <f t="shared" si="5"/>
        <v>The Commissioner &amp; Chief Constable are satisfied the spend represents VFM in accordance with the requirements of Category B</v>
      </c>
      <c r="L157" s="41"/>
      <c r="M157" s="41"/>
    </row>
    <row r="158" spans="1:13" s="42" customFormat="1" x14ac:dyDescent="0.2">
      <c r="A158" s="56" t="s">
        <v>8</v>
      </c>
      <c r="B158" s="55" t="s">
        <v>9</v>
      </c>
      <c r="C158" s="81" t="s">
        <v>193</v>
      </c>
      <c r="D158" s="53">
        <v>7174731</v>
      </c>
      <c r="E158" s="52">
        <v>45481</v>
      </c>
      <c r="F158" s="80">
        <v>3321</v>
      </c>
      <c r="G158" s="79" t="s">
        <v>194</v>
      </c>
      <c r="H158" s="49" t="str">
        <f t="shared" si="4"/>
        <v>B</v>
      </c>
      <c r="I158" s="48" t="str">
        <f t="shared" si="5"/>
        <v>The Commissioner &amp; Chief Constable are satisfied the spend represents VFM in accordance with the requirements of Category B</v>
      </c>
      <c r="L158" s="41"/>
      <c r="M158" s="41"/>
    </row>
    <row r="159" spans="1:13" s="42" customFormat="1" x14ac:dyDescent="0.2">
      <c r="A159" s="56" t="s">
        <v>8</v>
      </c>
      <c r="B159" s="55" t="s">
        <v>9</v>
      </c>
      <c r="C159" s="81" t="s">
        <v>415</v>
      </c>
      <c r="D159" s="53">
        <v>7175071</v>
      </c>
      <c r="E159" s="52">
        <v>45489</v>
      </c>
      <c r="F159" s="80">
        <v>3200</v>
      </c>
      <c r="G159" s="79" t="s">
        <v>38</v>
      </c>
      <c r="H159" s="49" t="str">
        <f t="shared" si="4"/>
        <v>B</v>
      </c>
      <c r="I159" s="48" t="str">
        <f t="shared" si="5"/>
        <v>The Commissioner &amp; Chief Constable are satisfied the spend represents VFM in accordance with the requirements of Category B</v>
      </c>
      <c r="L159" s="41"/>
      <c r="M159" s="41"/>
    </row>
    <row r="160" spans="1:13" s="42" customFormat="1" x14ac:dyDescent="0.2">
      <c r="A160" s="56" t="s">
        <v>8</v>
      </c>
      <c r="B160" s="55" t="s">
        <v>9</v>
      </c>
      <c r="C160" s="81" t="s">
        <v>181</v>
      </c>
      <c r="D160" s="53">
        <v>7174162</v>
      </c>
      <c r="E160" s="52">
        <v>45503</v>
      </c>
      <c r="F160" s="80">
        <v>3177</v>
      </c>
      <c r="G160" s="79" t="s">
        <v>106</v>
      </c>
      <c r="H160" s="49" t="str">
        <f t="shared" si="4"/>
        <v>B</v>
      </c>
      <c r="I160" s="48" t="str">
        <f t="shared" si="5"/>
        <v>The Commissioner &amp; Chief Constable are satisfied the spend represents VFM in accordance with the requirements of Category B</v>
      </c>
      <c r="L160" s="41"/>
      <c r="M160" s="41"/>
    </row>
    <row r="161" spans="1:13" s="42" customFormat="1" x14ac:dyDescent="0.2">
      <c r="A161" s="56" t="s">
        <v>8</v>
      </c>
      <c r="B161" s="55" t="s">
        <v>9</v>
      </c>
      <c r="C161" s="82" t="s">
        <v>836</v>
      </c>
      <c r="D161" s="53">
        <v>7173896</v>
      </c>
      <c r="E161" s="52">
        <v>45475</v>
      </c>
      <c r="F161" s="80">
        <v>3144.06</v>
      </c>
      <c r="G161" s="79" t="s">
        <v>148</v>
      </c>
      <c r="H161" s="49" t="str">
        <f t="shared" si="4"/>
        <v>B</v>
      </c>
      <c r="I161" s="48" t="str">
        <f t="shared" si="5"/>
        <v>The Commissioner &amp; Chief Constable are satisfied the spend represents VFM in accordance with the requirements of Category B</v>
      </c>
      <c r="L161" s="41"/>
      <c r="M161" s="41"/>
    </row>
    <row r="162" spans="1:13" s="42" customFormat="1" x14ac:dyDescent="0.2">
      <c r="A162" s="56" t="s">
        <v>8</v>
      </c>
      <c r="B162" s="55" t="s">
        <v>9</v>
      </c>
      <c r="C162" s="81" t="s">
        <v>207</v>
      </c>
      <c r="D162" s="53">
        <v>7174611</v>
      </c>
      <c r="E162" s="52">
        <v>45480</v>
      </c>
      <c r="F162" s="80">
        <v>3141.82</v>
      </c>
      <c r="G162" s="79" t="s">
        <v>114</v>
      </c>
      <c r="H162" s="49" t="str">
        <f t="shared" si="4"/>
        <v>B</v>
      </c>
      <c r="I162" s="48" t="str">
        <f t="shared" si="5"/>
        <v>The Commissioner &amp; Chief Constable are satisfied the spend represents VFM in accordance with the requirements of Category B</v>
      </c>
      <c r="L162" s="41"/>
      <c r="M162" s="41"/>
    </row>
    <row r="163" spans="1:13" s="42" customFormat="1" x14ac:dyDescent="0.2">
      <c r="A163" s="56" t="s">
        <v>8</v>
      </c>
      <c r="B163" s="55" t="s">
        <v>9</v>
      </c>
      <c r="C163" s="81" t="s">
        <v>181</v>
      </c>
      <c r="D163" s="53">
        <v>7175039</v>
      </c>
      <c r="E163" s="52">
        <v>45498</v>
      </c>
      <c r="F163" s="80">
        <v>3081.5</v>
      </c>
      <c r="G163" s="79" t="s">
        <v>106</v>
      </c>
      <c r="H163" s="49" t="str">
        <f t="shared" si="4"/>
        <v>B</v>
      </c>
      <c r="I163" s="48" t="str">
        <f t="shared" si="5"/>
        <v>The Commissioner &amp; Chief Constable are satisfied the spend represents VFM in accordance with the requirements of Category B</v>
      </c>
      <c r="L163" s="41"/>
      <c r="M163" s="41"/>
    </row>
    <row r="164" spans="1:13" s="42" customFormat="1" x14ac:dyDescent="0.2">
      <c r="A164" s="56" t="s">
        <v>8</v>
      </c>
      <c r="B164" s="55" t="s">
        <v>9</v>
      </c>
      <c r="C164" s="81" t="s">
        <v>142</v>
      </c>
      <c r="D164" s="53">
        <v>7174944</v>
      </c>
      <c r="E164" s="52">
        <v>45488</v>
      </c>
      <c r="F164" s="80">
        <v>3074.2</v>
      </c>
      <c r="G164" s="79" t="s">
        <v>143</v>
      </c>
      <c r="H164" s="49" t="str">
        <f t="shared" si="4"/>
        <v>B</v>
      </c>
      <c r="I164" s="48" t="str">
        <f t="shared" si="5"/>
        <v>The Commissioner &amp; Chief Constable are satisfied the spend represents VFM in accordance with the requirements of Category B</v>
      </c>
      <c r="L164" s="41"/>
      <c r="M164" s="41"/>
    </row>
    <row r="165" spans="1:13" s="42" customFormat="1" x14ac:dyDescent="0.2">
      <c r="A165" s="56" t="s">
        <v>8</v>
      </c>
      <c r="B165" s="55" t="s">
        <v>9</v>
      </c>
      <c r="C165" s="81" t="s">
        <v>74</v>
      </c>
      <c r="D165" s="53">
        <v>7174518</v>
      </c>
      <c r="E165" s="52">
        <v>45503</v>
      </c>
      <c r="F165" s="80">
        <v>3070.32</v>
      </c>
      <c r="G165" s="79" t="s">
        <v>158</v>
      </c>
      <c r="H165" s="49" t="str">
        <f t="shared" si="4"/>
        <v>B</v>
      </c>
      <c r="I165" s="48" t="str">
        <f t="shared" si="5"/>
        <v>The Commissioner &amp; Chief Constable are satisfied the spend represents VFM in accordance with the requirements of Category B</v>
      </c>
      <c r="L165" s="41"/>
      <c r="M165" s="41"/>
    </row>
    <row r="166" spans="1:13" s="42" customFormat="1" x14ac:dyDescent="0.2">
      <c r="A166" s="56" t="s">
        <v>8</v>
      </c>
      <c r="B166" s="55" t="s">
        <v>9</v>
      </c>
      <c r="C166" s="81" t="s">
        <v>835</v>
      </c>
      <c r="D166" s="53">
        <v>7175165</v>
      </c>
      <c r="E166" s="52">
        <v>45490</v>
      </c>
      <c r="F166" s="80">
        <v>3000</v>
      </c>
      <c r="G166" s="79" t="s">
        <v>22</v>
      </c>
      <c r="H166" s="49" t="str">
        <f t="shared" si="4"/>
        <v>B</v>
      </c>
      <c r="I166" s="48" t="str">
        <f t="shared" si="5"/>
        <v>The Commissioner &amp; Chief Constable are satisfied the spend represents VFM in accordance with the requirements of Category B</v>
      </c>
      <c r="L166" s="41"/>
      <c r="M166" s="41"/>
    </row>
    <row r="167" spans="1:13" s="42" customFormat="1" x14ac:dyDescent="0.2">
      <c r="A167" s="56" t="s">
        <v>8</v>
      </c>
      <c r="B167" s="55" t="s">
        <v>9</v>
      </c>
      <c r="C167" s="81" t="s">
        <v>834</v>
      </c>
      <c r="D167" s="53">
        <v>7175430</v>
      </c>
      <c r="E167" s="52">
        <v>45503</v>
      </c>
      <c r="F167" s="80">
        <v>3000</v>
      </c>
      <c r="G167" s="79" t="s">
        <v>27</v>
      </c>
      <c r="H167" s="49" t="str">
        <f t="shared" si="4"/>
        <v>B</v>
      </c>
      <c r="I167" s="48" t="str">
        <f t="shared" si="5"/>
        <v>The Commissioner &amp; Chief Constable are satisfied the spend represents VFM in accordance with the requirements of Category B</v>
      </c>
      <c r="L167" s="41"/>
      <c r="M167" s="41"/>
    </row>
    <row r="168" spans="1:13" s="42" customFormat="1" x14ac:dyDescent="0.2">
      <c r="A168" s="56" t="s">
        <v>8</v>
      </c>
      <c r="B168" s="55" t="s">
        <v>9</v>
      </c>
      <c r="C168" s="81" t="s">
        <v>423</v>
      </c>
      <c r="D168" s="53">
        <v>7174683</v>
      </c>
      <c r="E168" s="52">
        <v>45488</v>
      </c>
      <c r="F168" s="80">
        <v>2976.3</v>
      </c>
      <c r="G168" s="79" t="s">
        <v>390</v>
      </c>
      <c r="H168" s="49" t="str">
        <f t="shared" si="4"/>
        <v>B</v>
      </c>
      <c r="I168" s="48" t="str">
        <f t="shared" si="5"/>
        <v>The Commissioner &amp; Chief Constable are satisfied the spend represents VFM in accordance with the requirements of Category B</v>
      </c>
      <c r="L168" s="41"/>
      <c r="M168" s="41"/>
    </row>
    <row r="169" spans="1:13" s="42" customFormat="1" x14ac:dyDescent="0.2">
      <c r="A169" s="56" t="s">
        <v>8</v>
      </c>
      <c r="B169" s="55" t="s">
        <v>9</v>
      </c>
      <c r="C169" s="81" t="s">
        <v>172</v>
      </c>
      <c r="D169" s="53">
        <v>7174062</v>
      </c>
      <c r="E169" s="52">
        <v>45474</v>
      </c>
      <c r="F169" s="80">
        <v>2941.66</v>
      </c>
      <c r="G169" s="79" t="s">
        <v>39</v>
      </c>
      <c r="H169" s="49" t="str">
        <f t="shared" si="4"/>
        <v>B</v>
      </c>
      <c r="I169" s="48" t="str">
        <f t="shared" si="5"/>
        <v>The Commissioner &amp; Chief Constable are satisfied the spend represents VFM in accordance with the requirements of Category B</v>
      </c>
      <c r="L169" s="41"/>
      <c r="M169" s="41"/>
    </row>
    <row r="170" spans="1:13" s="42" customFormat="1" x14ac:dyDescent="0.2">
      <c r="A170" s="56" t="s">
        <v>8</v>
      </c>
      <c r="B170" s="55" t="s">
        <v>9</v>
      </c>
      <c r="C170" s="81" t="s">
        <v>172</v>
      </c>
      <c r="D170" s="53">
        <v>7175292</v>
      </c>
      <c r="E170" s="52">
        <v>45496</v>
      </c>
      <c r="F170" s="80">
        <v>2941.66</v>
      </c>
      <c r="G170" s="79" t="s">
        <v>39</v>
      </c>
      <c r="H170" s="49" t="str">
        <f t="shared" si="4"/>
        <v>B</v>
      </c>
      <c r="I170" s="48" t="str">
        <f t="shared" si="5"/>
        <v>The Commissioner &amp; Chief Constable are satisfied the spend represents VFM in accordance with the requirements of Category B</v>
      </c>
      <c r="L170" s="41"/>
      <c r="M170" s="41"/>
    </row>
    <row r="171" spans="1:13" s="42" customFormat="1" x14ac:dyDescent="0.2">
      <c r="A171" s="56" t="s">
        <v>8</v>
      </c>
      <c r="B171" s="55" t="s">
        <v>9</v>
      </c>
      <c r="C171" s="81" t="s">
        <v>128</v>
      </c>
      <c r="D171" s="53">
        <v>7174850</v>
      </c>
      <c r="E171" s="52">
        <v>45488</v>
      </c>
      <c r="F171" s="80">
        <v>2835</v>
      </c>
      <c r="G171" s="79" t="s">
        <v>131</v>
      </c>
      <c r="H171" s="49" t="str">
        <f t="shared" si="4"/>
        <v>B</v>
      </c>
      <c r="I171" s="48" t="str">
        <f t="shared" si="5"/>
        <v>The Commissioner &amp; Chief Constable are satisfied the spend represents VFM in accordance with the requirements of Category B</v>
      </c>
      <c r="L171" s="41"/>
      <c r="M171" s="41"/>
    </row>
    <row r="172" spans="1:13" s="42" customFormat="1" x14ac:dyDescent="0.2">
      <c r="A172" s="56" t="s">
        <v>8</v>
      </c>
      <c r="B172" s="55" t="s">
        <v>9</v>
      </c>
      <c r="C172" s="81" t="s">
        <v>183</v>
      </c>
      <c r="D172" s="53">
        <v>7175094</v>
      </c>
      <c r="E172" s="52">
        <v>45496</v>
      </c>
      <c r="F172" s="80">
        <v>2826</v>
      </c>
      <c r="G172" s="79" t="s">
        <v>129</v>
      </c>
      <c r="H172" s="49" t="str">
        <f t="shared" si="4"/>
        <v>B</v>
      </c>
      <c r="I172" s="48" t="str">
        <f t="shared" si="5"/>
        <v>The Commissioner &amp; Chief Constable are satisfied the spend represents VFM in accordance with the requirements of Category B</v>
      </c>
      <c r="L172" s="41"/>
      <c r="M172" s="41"/>
    </row>
    <row r="173" spans="1:13" s="42" customFormat="1" x14ac:dyDescent="0.2">
      <c r="A173" s="56" t="s">
        <v>8</v>
      </c>
      <c r="B173" s="55" t="s">
        <v>9</v>
      </c>
      <c r="C173" s="81" t="s">
        <v>115</v>
      </c>
      <c r="D173" s="53">
        <v>7175168</v>
      </c>
      <c r="E173" s="52">
        <v>45498</v>
      </c>
      <c r="F173" s="80">
        <v>2767.71</v>
      </c>
      <c r="G173" s="79" t="s">
        <v>116</v>
      </c>
      <c r="H173" s="49" t="str">
        <f t="shared" si="4"/>
        <v>B</v>
      </c>
      <c r="I173" s="48" t="str">
        <f t="shared" si="5"/>
        <v>The Commissioner &amp; Chief Constable are satisfied the spend represents VFM in accordance with the requirements of Category B</v>
      </c>
      <c r="L173" s="41"/>
      <c r="M173" s="41"/>
    </row>
    <row r="174" spans="1:13" s="42" customFormat="1" x14ac:dyDescent="0.2">
      <c r="A174" s="56" t="s">
        <v>8</v>
      </c>
      <c r="B174" s="55" t="s">
        <v>9</v>
      </c>
      <c r="C174" s="81" t="s">
        <v>196</v>
      </c>
      <c r="D174" s="53">
        <v>7175506</v>
      </c>
      <c r="E174" s="52">
        <v>45503</v>
      </c>
      <c r="F174" s="80">
        <v>2712.7599999999998</v>
      </c>
      <c r="G174" s="79" t="s">
        <v>169</v>
      </c>
      <c r="H174" s="49" t="str">
        <f t="shared" si="4"/>
        <v>B</v>
      </c>
      <c r="I174" s="48" t="str">
        <f t="shared" si="5"/>
        <v>The Commissioner &amp; Chief Constable are satisfied the spend represents VFM in accordance with the requirements of Category B</v>
      </c>
      <c r="L174" s="41"/>
      <c r="M174" s="41"/>
    </row>
    <row r="175" spans="1:13" s="42" customFormat="1" x14ac:dyDescent="0.2">
      <c r="A175" s="56" t="s">
        <v>8</v>
      </c>
      <c r="B175" s="55" t="s">
        <v>9</v>
      </c>
      <c r="C175" s="81" t="s">
        <v>119</v>
      </c>
      <c r="D175" s="53">
        <v>7175144</v>
      </c>
      <c r="E175" s="52">
        <v>45490</v>
      </c>
      <c r="F175" s="80">
        <v>2711.97</v>
      </c>
      <c r="G175" s="79" t="s">
        <v>120</v>
      </c>
      <c r="H175" s="49" t="str">
        <f t="shared" si="4"/>
        <v>B</v>
      </c>
      <c r="I175" s="48" t="str">
        <f t="shared" si="5"/>
        <v>The Commissioner &amp; Chief Constable are satisfied the spend represents VFM in accordance with the requirements of Category B</v>
      </c>
      <c r="L175" s="41"/>
      <c r="M175" s="41"/>
    </row>
    <row r="176" spans="1:13" s="42" customFormat="1" x14ac:dyDescent="0.2">
      <c r="A176" s="56" t="s">
        <v>8</v>
      </c>
      <c r="B176" s="55" t="s">
        <v>9</v>
      </c>
      <c r="C176" s="81" t="s">
        <v>30</v>
      </c>
      <c r="D176" s="53">
        <v>7174585</v>
      </c>
      <c r="E176" s="52">
        <v>45475</v>
      </c>
      <c r="F176" s="80">
        <v>2672.99</v>
      </c>
      <c r="G176" s="79" t="s">
        <v>31</v>
      </c>
      <c r="H176" s="49" t="str">
        <f t="shared" si="4"/>
        <v>B</v>
      </c>
      <c r="I176" s="48" t="str">
        <f t="shared" si="5"/>
        <v>The Commissioner &amp; Chief Constable are satisfied the spend represents VFM in accordance with the requirements of Category B</v>
      </c>
      <c r="L176" s="41"/>
      <c r="M176" s="41"/>
    </row>
    <row r="177" spans="1:13" s="42" customFormat="1" x14ac:dyDescent="0.2">
      <c r="A177" s="56" t="s">
        <v>8</v>
      </c>
      <c r="B177" s="55" t="s">
        <v>9</v>
      </c>
      <c r="C177" s="81" t="s">
        <v>90</v>
      </c>
      <c r="D177" s="53">
        <v>7174917</v>
      </c>
      <c r="E177" s="52">
        <v>45484</v>
      </c>
      <c r="F177" s="80">
        <v>2671.36</v>
      </c>
      <c r="G177" s="79" t="s">
        <v>91</v>
      </c>
      <c r="H177" s="49" t="str">
        <f t="shared" si="4"/>
        <v>B</v>
      </c>
      <c r="I177" s="48" t="str">
        <f t="shared" si="5"/>
        <v>The Commissioner &amp; Chief Constable are satisfied the spend represents VFM in accordance with the requirements of Category B</v>
      </c>
      <c r="L177" s="41"/>
      <c r="M177" s="41"/>
    </row>
    <row r="178" spans="1:13" s="42" customFormat="1" x14ac:dyDescent="0.2">
      <c r="A178" s="56" t="s">
        <v>8</v>
      </c>
      <c r="B178" s="55" t="s">
        <v>9</v>
      </c>
      <c r="C178" s="81" t="s">
        <v>181</v>
      </c>
      <c r="D178" s="53">
        <v>7174165</v>
      </c>
      <c r="E178" s="52">
        <v>45490</v>
      </c>
      <c r="F178" s="80">
        <v>2669</v>
      </c>
      <c r="G178" s="79" t="s">
        <v>106</v>
      </c>
      <c r="H178" s="49" t="str">
        <f t="shared" si="4"/>
        <v>B</v>
      </c>
      <c r="I178" s="48" t="str">
        <f t="shared" si="5"/>
        <v>The Commissioner &amp; Chief Constable are satisfied the spend represents VFM in accordance with the requirements of Category B</v>
      </c>
      <c r="L178" s="41"/>
      <c r="M178" s="41"/>
    </row>
    <row r="179" spans="1:13" s="42" customFormat="1" x14ac:dyDescent="0.2">
      <c r="A179" s="56" t="s">
        <v>8</v>
      </c>
      <c r="B179" s="55" t="s">
        <v>9</v>
      </c>
      <c r="C179" s="81" t="s">
        <v>386</v>
      </c>
      <c r="D179" s="53">
        <v>7174846</v>
      </c>
      <c r="E179" s="52">
        <v>45483</v>
      </c>
      <c r="F179" s="80">
        <v>2600</v>
      </c>
      <c r="G179" s="79" t="s">
        <v>106</v>
      </c>
      <c r="H179" s="49" t="str">
        <f t="shared" si="4"/>
        <v>B</v>
      </c>
      <c r="I179" s="48" t="str">
        <f t="shared" si="5"/>
        <v>The Commissioner &amp; Chief Constable are satisfied the spend represents VFM in accordance with the requirements of Category B</v>
      </c>
      <c r="L179" s="41"/>
      <c r="M179" s="41"/>
    </row>
    <row r="180" spans="1:13" s="42" customFormat="1" x14ac:dyDescent="0.2">
      <c r="A180" s="56" t="s">
        <v>8</v>
      </c>
      <c r="B180" s="55" t="s">
        <v>9</v>
      </c>
      <c r="C180" s="81" t="s">
        <v>266</v>
      </c>
      <c r="D180" s="53">
        <v>7175164</v>
      </c>
      <c r="E180" s="52">
        <v>45491</v>
      </c>
      <c r="F180" s="80">
        <v>2551.42</v>
      </c>
      <c r="G180" s="79" t="s">
        <v>84</v>
      </c>
      <c r="H180" s="49" t="str">
        <f t="shared" si="4"/>
        <v>B</v>
      </c>
      <c r="I180" s="48" t="str">
        <f t="shared" si="5"/>
        <v>The Commissioner &amp; Chief Constable are satisfied the spend represents VFM in accordance with the requirements of Category B</v>
      </c>
      <c r="L180" s="41"/>
      <c r="M180" s="41"/>
    </row>
    <row r="181" spans="1:13" s="42" customFormat="1" x14ac:dyDescent="0.2">
      <c r="A181" s="56" t="s">
        <v>8</v>
      </c>
      <c r="B181" s="55" t="s">
        <v>9</v>
      </c>
      <c r="C181" s="81" t="s">
        <v>833</v>
      </c>
      <c r="D181" s="53">
        <v>7175382</v>
      </c>
      <c r="E181" s="52">
        <v>45498</v>
      </c>
      <c r="F181" s="80">
        <v>2500</v>
      </c>
      <c r="G181" s="79" t="s">
        <v>106</v>
      </c>
      <c r="H181" s="49" t="str">
        <f t="shared" si="4"/>
        <v>B</v>
      </c>
      <c r="I181" s="48" t="str">
        <f t="shared" si="5"/>
        <v>The Commissioner &amp; Chief Constable are satisfied the spend represents VFM in accordance with the requirements of Category B</v>
      </c>
      <c r="L181" s="41"/>
      <c r="M181" s="41"/>
    </row>
    <row r="182" spans="1:13" s="42" customFormat="1" x14ac:dyDescent="0.2">
      <c r="A182" s="56" t="s">
        <v>8</v>
      </c>
      <c r="B182" s="55" t="s">
        <v>9</v>
      </c>
      <c r="C182" s="81" t="s">
        <v>833</v>
      </c>
      <c r="D182" s="53">
        <v>7174359</v>
      </c>
      <c r="E182" s="52">
        <v>45496</v>
      </c>
      <c r="F182" s="80">
        <v>2500</v>
      </c>
      <c r="G182" s="79" t="s">
        <v>106</v>
      </c>
      <c r="H182" s="49" t="str">
        <f t="shared" si="4"/>
        <v>B</v>
      </c>
      <c r="I182" s="48" t="str">
        <f t="shared" si="5"/>
        <v>The Commissioner &amp; Chief Constable are satisfied the spend represents VFM in accordance with the requirements of Category B</v>
      </c>
      <c r="L182" s="41"/>
      <c r="M182" s="41"/>
    </row>
    <row r="183" spans="1:13" s="42" customFormat="1" x14ac:dyDescent="0.2">
      <c r="A183" s="56" t="s">
        <v>8</v>
      </c>
      <c r="B183" s="55" t="s">
        <v>9</v>
      </c>
      <c r="C183" s="81" t="s">
        <v>764</v>
      </c>
      <c r="D183" s="53">
        <v>7175431</v>
      </c>
      <c r="E183" s="52">
        <v>45503</v>
      </c>
      <c r="F183" s="80">
        <v>2500</v>
      </c>
      <c r="G183" s="79" t="s">
        <v>27</v>
      </c>
      <c r="H183" s="49" t="str">
        <f t="shared" si="4"/>
        <v>B</v>
      </c>
      <c r="I183" s="48" t="str">
        <f t="shared" si="5"/>
        <v>The Commissioner &amp; Chief Constable are satisfied the spend represents VFM in accordance with the requirements of Category B</v>
      </c>
      <c r="L183" s="41"/>
      <c r="M183" s="41"/>
    </row>
    <row r="184" spans="1:13" s="42" customFormat="1" x14ac:dyDescent="0.2">
      <c r="A184" s="56" t="s">
        <v>8</v>
      </c>
      <c r="B184" s="55" t="s">
        <v>9</v>
      </c>
      <c r="C184" s="81" t="s">
        <v>633</v>
      </c>
      <c r="D184" s="53">
        <v>7174606</v>
      </c>
      <c r="E184" s="52">
        <v>45483</v>
      </c>
      <c r="F184" s="80">
        <v>2488.87</v>
      </c>
      <c r="G184" s="79" t="s">
        <v>91</v>
      </c>
      <c r="H184" s="49" t="str">
        <f t="shared" si="4"/>
        <v>B</v>
      </c>
      <c r="I184" s="48" t="str">
        <f t="shared" si="5"/>
        <v>The Commissioner &amp; Chief Constable are satisfied the spend represents VFM in accordance with the requirements of Category B</v>
      </c>
      <c r="L184" s="41"/>
      <c r="M184" s="41"/>
    </row>
    <row r="185" spans="1:13" s="42" customFormat="1" x14ac:dyDescent="0.2">
      <c r="A185" s="56" t="s">
        <v>8</v>
      </c>
      <c r="B185" s="55" t="s">
        <v>9</v>
      </c>
      <c r="C185" s="81" t="s">
        <v>208</v>
      </c>
      <c r="D185" s="53">
        <v>7174847</v>
      </c>
      <c r="E185" s="52">
        <v>45488</v>
      </c>
      <c r="F185" s="80">
        <v>2485.08</v>
      </c>
      <c r="G185" s="79" t="s">
        <v>209</v>
      </c>
      <c r="H185" s="49" t="str">
        <f t="shared" si="4"/>
        <v>B</v>
      </c>
      <c r="I185" s="48" t="str">
        <f t="shared" si="5"/>
        <v>The Commissioner &amp; Chief Constable are satisfied the spend represents VFM in accordance with the requirements of Category B</v>
      </c>
      <c r="L185" s="41"/>
      <c r="M185" s="41"/>
    </row>
    <row r="186" spans="1:13" s="42" customFormat="1" x14ac:dyDescent="0.2">
      <c r="A186" s="56" t="s">
        <v>8</v>
      </c>
      <c r="B186" s="55" t="s">
        <v>9</v>
      </c>
      <c r="C186" s="81" t="s">
        <v>196</v>
      </c>
      <c r="D186" s="53">
        <v>7175022</v>
      </c>
      <c r="E186" s="52">
        <v>45503</v>
      </c>
      <c r="F186" s="80">
        <v>2478.04</v>
      </c>
      <c r="G186" s="79" t="s">
        <v>169</v>
      </c>
      <c r="H186" s="49" t="str">
        <f t="shared" si="4"/>
        <v>B</v>
      </c>
      <c r="I186" s="48" t="str">
        <f t="shared" si="5"/>
        <v>The Commissioner &amp; Chief Constable are satisfied the spend represents VFM in accordance with the requirements of Category B</v>
      </c>
      <c r="L186" s="41"/>
      <c r="M186" s="41"/>
    </row>
    <row r="187" spans="1:13" s="42" customFormat="1" x14ac:dyDescent="0.2">
      <c r="A187" s="56" t="s">
        <v>8</v>
      </c>
      <c r="B187" s="55" t="s">
        <v>9</v>
      </c>
      <c r="C187" s="81" t="s">
        <v>196</v>
      </c>
      <c r="D187" s="53">
        <v>7174809</v>
      </c>
      <c r="E187" s="52">
        <v>45482</v>
      </c>
      <c r="F187" s="80">
        <v>2467.63</v>
      </c>
      <c r="G187" s="79" t="s">
        <v>169</v>
      </c>
      <c r="H187" s="49" t="str">
        <f t="shared" si="4"/>
        <v>B</v>
      </c>
      <c r="I187" s="48" t="str">
        <f t="shared" si="5"/>
        <v>The Commissioner &amp; Chief Constable are satisfied the spend represents VFM in accordance with the requirements of Category B</v>
      </c>
      <c r="L187" s="41"/>
      <c r="M187" s="41"/>
    </row>
    <row r="188" spans="1:13" s="42" customFormat="1" x14ac:dyDescent="0.2">
      <c r="A188" s="56" t="s">
        <v>8</v>
      </c>
      <c r="B188" s="55" t="s">
        <v>9</v>
      </c>
      <c r="C188" s="81" t="s">
        <v>832</v>
      </c>
      <c r="D188" s="53">
        <v>7175091</v>
      </c>
      <c r="E188" s="52">
        <v>45490</v>
      </c>
      <c r="F188" s="80">
        <v>2440</v>
      </c>
      <c r="G188" s="79" t="s">
        <v>22</v>
      </c>
      <c r="H188" s="49" t="str">
        <f t="shared" si="4"/>
        <v>B</v>
      </c>
      <c r="I188" s="48" t="str">
        <f t="shared" si="5"/>
        <v>The Commissioner &amp; Chief Constable are satisfied the spend represents VFM in accordance with the requirements of Category B</v>
      </c>
      <c r="L188" s="41"/>
      <c r="M188" s="41"/>
    </row>
    <row r="189" spans="1:13" s="42" customFormat="1" x14ac:dyDescent="0.2">
      <c r="A189" s="56" t="s">
        <v>8</v>
      </c>
      <c r="B189" s="55" t="s">
        <v>9</v>
      </c>
      <c r="C189" s="81" t="s">
        <v>196</v>
      </c>
      <c r="D189" s="53">
        <v>7175246</v>
      </c>
      <c r="E189" s="52">
        <v>45503</v>
      </c>
      <c r="F189" s="80">
        <v>2439.8000000000002</v>
      </c>
      <c r="G189" s="79" t="s">
        <v>169</v>
      </c>
      <c r="H189" s="49" t="str">
        <f t="shared" si="4"/>
        <v>B</v>
      </c>
      <c r="I189" s="48" t="str">
        <f t="shared" si="5"/>
        <v>The Commissioner &amp; Chief Constable are satisfied the spend represents VFM in accordance with the requirements of Category B</v>
      </c>
      <c r="L189" s="41"/>
      <c r="M189" s="41"/>
    </row>
    <row r="190" spans="1:13" s="42" customFormat="1" x14ac:dyDescent="0.2">
      <c r="A190" s="56" t="s">
        <v>8</v>
      </c>
      <c r="B190" s="55" t="s">
        <v>9</v>
      </c>
      <c r="C190" s="81" t="s">
        <v>831</v>
      </c>
      <c r="D190" s="53">
        <v>7174658</v>
      </c>
      <c r="E190" s="52">
        <v>45481</v>
      </c>
      <c r="F190" s="80">
        <v>2428</v>
      </c>
      <c r="G190" s="79" t="s">
        <v>106</v>
      </c>
      <c r="H190" s="49" t="str">
        <f t="shared" si="4"/>
        <v>B</v>
      </c>
      <c r="I190" s="48" t="str">
        <f t="shared" si="5"/>
        <v>The Commissioner &amp; Chief Constable are satisfied the spend represents VFM in accordance with the requirements of Category B</v>
      </c>
      <c r="L190" s="41"/>
      <c r="M190" s="41"/>
    </row>
    <row r="191" spans="1:13" s="42" customFormat="1" x14ac:dyDescent="0.2">
      <c r="A191" s="56" t="s">
        <v>8</v>
      </c>
      <c r="B191" s="55" t="s">
        <v>9</v>
      </c>
      <c r="C191" s="81" t="s">
        <v>437</v>
      </c>
      <c r="D191" s="53">
        <v>7174861</v>
      </c>
      <c r="E191" s="52">
        <v>45483</v>
      </c>
      <c r="F191" s="80">
        <v>2325</v>
      </c>
      <c r="G191" s="79" t="s">
        <v>27</v>
      </c>
      <c r="H191" s="49" t="str">
        <f t="shared" si="4"/>
        <v>B</v>
      </c>
      <c r="I191" s="48" t="str">
        <f t="shared" si="5"/>
        <v>The Commissioner &amp; Chief Constable are satisfied the spend represents VFM in accordance with the requirements of Category B</v>
      </c>
      <c r="L191" s="41"/>
      <c r="M191" s="41"/>
    </row>
    <row r="192" spans="1:13" s="42" customFormat="1" x14ac:dyDescent="0.2">
      <c r="A192" s="56" t="s">
        <v>8</v>
      </c>
      <c r="B192" s="55" t="s">
        <v>9</v>
      </c>
      <c r="C192" s="81" t="s">
        <v>26</v>
      </c>
      <c r="D192" s="53">
        <v>7175181</v>
      </c>
      <c r="E192" s="52">
        <v>45492</v>
      </c>
      <c r="F192" s="80">
        <v>2250</v>
      </c>
      <c r="G192" s="79" t="s">
        <v>22</v>
      </c>
      <c r="H192" s="49" t="str">
        <f t="shared" si="4"/>
        <v>B</v>
      </c>
      <c r="I192" s="48" t="str">
        <f t="shared" si="5"/>
        <v>The Commissioner &amp; Chief Constable are satisfied the spend represents VFM in accordance with the requirements of Category B</v>
      </c>
      <c r="L192" s="41"/>
      <c r="M192" s="41"/>
    </row>
    <row r="193" spans="1:13" s="42" customFormat="1" x14ac:dyDescent="0.2">
      <c r="A193" s="56" t="s">
        <v>8</v>
      </c>
      <c r="B193" s="55" t="s">
        <v>9</v>
      </c>
      <c r="C193" s="81" t="s">
        <v>802</v>
      </c>
      <c r="D193" s="53">
        <v>7175154</v>
      </c>
      <c r="E193" s="52">
        <v>45495</v>
      </c>
      <c r="F193" s="80">
        <v>2191.62</v>
      </c>
      <c r="G193" s="79" t="s">
        <v>131</v>
      </c>
      <c r="H193" s="49" t="str">
        <f t="shared" si="4"/>
        <v>B</v>
      </c>
      <c r="I193" s="48" t="str">
        <f t="shared" si="5"/>
        <v>The Commissioner &amp; Chief Constable are satisfied the spend represents VFM in accordance with the requirements of Category B</v>
      </c>
      <c r="L193" s="41"/>
      <c r="M193" s="41"/>
    </row>
    <row r="194" spans="1:13" s="42" customFormat="1" x14ac:dyDescent="0.2">
      <c r="A194" s="56" t="s">
        <v>8</v>
      </c>
      <c r="B194" s="55" t="s">
        <v>9</v>
      </c>
      <c r="C194" s="81" t="s">
        <v>594</v>
      </c>
      <c r="D194" s="53">
        <v>7175067</v>
      </c>
      <c r="E194" s="52">
        <v>45489</v>
      </c>
      <c r="F194" s="80">
        <v>1640</v>
      </c>
      <c r="G194" s="79" t="s">
        <v>106</v>
      </c>
      <c r="H194" s="49" t="str">
        <f t="shared" ref="H194:H257" si="6">IF(F194&gt;25000,"C",IF(F194&gt;1000,"B","A"))</f>
        <v>B</v>
      </c>
      <c r="I194" s="48" t="str">
        <f t="shared" ref="I194:I257" si="7">VLOOKUP(H194,$L$2:$M$4,2,FALSE)</f>
        <v>The Commissioner &amp; Chief Constable are satisfied the spend represents VFM in accordance with the requirements of Category B</v>
      </c>
      <c r="L194" s="41"/>
      <c r="M194" s="41"/>
    </row>
    <row r="195" spans="1:13" s="42" customFormat="1" x14ac:dyDescent="0.2">
      <c r="A195" s="56" t="s">
        <v>8</v>
      </c>
      <c r="B195" s="55" t="s">
        <v>9</v>
      </c>
      <c r="C195" s="81" t="s">
        <v>594</v>
      </c>
      <c r="D195" s="53">
        <v>7175067</v>
      </c>
      <c r="E195" s="52">
        <v>45489</v>
      </c>
      <c r="F195" s="80">
        <v>520</v>
      </c>
      <c r="G195" s="79" t="s">
        <v>182</v>
      </c>
      <c r="H195" s="49" t="str">
        <f t="shared" si="6"/>
        <v>A</v>
      </c>
      <c r="I195" s="48" t="str">
        <f t="shared" si="7"/>
        <v>The Commissioner &amp; Chief Constable are satisfied the spend represents VFM in accordance with the requirements of Category A</v>
      </c>
      <c r="L195" s="41"/>
      <c r="M195" s="41"/>
    </row>
    <row r="196" spans="1:13" s="42" customFormat="1" x14ac:dyDescent="0.2">
      <c r="A196" s="56" t="s">
        <v>8</v>
      </c>
      <c r="B196" s="55" t="s">
        <v>9</v>
      </c>
      <c r="C196" s="81" t="s">
        <v>196</v>
      </c>
      <c r="D196" s="53">
        <v>7174510</v>
      </c>
      <c r="E196" s="52">
        <v>45475</v>
      </c>
      <c r="F196" s="80">
        <v>2141.17</v>
      </c>
      <c r="G196" s="79" t="s">
        <v>169</v>
      </c>
      <c r="H196" s="49" t="str">
        <f t="shared" si="6"/>
        <v>B</v>
      </c>
      <c r="I196" s="48" t="str">
        <f t="shared" si="7"/>
        <v>The Commissioner &amp; Chief Constable are satisfied the spend represents VFM in accordance with the requirements of Category B</v>
      </c>
      <c r="L196" s="41"/>
      <c r="M196" s="41"/>
    </row>
    <row r="197" spans="1:13" s="42" customFormat="1" x14ac:dyDescent="0.2">
      <c r="A197" s="56" t="s">
        <v>8</v>
      </c>
      <c r="B197" s="55" t="s">
        <v>9</v>
      </c>
      <c r="C197" s="81" t="s">
        <v>256</v>
      </c>
      <c r="D197" s="53">
        <v>7175012</v>
      </c>
      <c r="E197" s="52">
        <v>45491</v>
      </c>
      <c r="F197" s="80">
        <v>2135.02</v>
      </c>
      <c r="G197" s="79" t="s">
        <v>155</v>
      </c>
      <c r="H197" s="49" t="str">
        <f t="shared" si="6"/>
        <v>B</v>
      </c>
      <c r="I197" s="48" t="str">
        <f t="shared" si="7"/>
        <v>The Commissioner &amp; Chief Constable are satisfied the spend represents VFM in accordance with the requirements of Category B</v>
      </c>
      <c r="L197" s="41"/>
      <c r="M197" s="41"/>
    </row>
    <row r="198" spans="1:13" s="42" customFormat="1" x14ac:dyDescent="0.2">
      <c r="A198" s="56" t="s">
        <v>8</v>
      </c>
      <c r="B198" s="55" t="s">
        <v>9</v>
      </c>
      <c r="C198" s="81" t="s">
        <v>242</v>
      </c>
      <c r="D198" s="53">
        <v>7174200</v>
      </c>
      <c r="E198" s="52">
        <v>45502</v>
      </c>
      <c r="F198" s="80">
        <v>2122.4</v>
      </c>
      <c r="G198" s="79" t="s">
        <v>94</v>
      </c>
      <c r="H198" s="49" t="str">
        <f t="shared" si="6"/>
        <v>B</v>
      </c>
      <c r="I198" s="48" t="str">
        <f t="shared" si="7"/>
        <v>The Commissioner &amp; Chief Constable are satisfied the spend represents VFM in accordance with the requirements of Category B</v>
      </c>
      <c r="L198" s="41"/>
      <c r="M198" s="41"/>
    </row>
    <row r="199" spans="1:13" s="42" customFormat="1" x14ac:dyDescent="0.2">
      <c r="A199" s="56" t="s">
        <v>8</v>
      </c>
      <c r="B199" s="55" t="s">
        <v>9</v>
      </c>
      <c r="C199" s="81" t="s">
        <v>385</v>
      </c>
      <c r="D199" s="53">
        <v>7174806</v>
      </c>
      <c r="E199" s="52">
        <v>45483</v>
      </c>
      <c r="F199" s="80">
        <v>2089.77</v>
      </c>
      <c r="G199" s="79" t="s">
        <v>112</v>
      </c>
      <c r="H199" s="49" t="str">
        <f t="shared" si="6"/>
        <v>B</v>
      </c>
      <c r="I199" s="48" t="str">
        <f t="shared" si="7"/>
        <v>The Commissioner &amp; Chief Constable are satisfied the spend represents VFM in accordance with the requirements of Category B</v>
      </c>
      <c r="L199" s="41"/>
      <c r="M199" s="41"/>
    </row>
    <row r="200" spans="1:13" s="42" customFormat="1" x14ac:dyDescent="0.2">
      <c r="A200" s="56" t="s">
        <v>8</v>
      </c>
      <c r="B200" s="55" t="s">
        <v>9</v>
      </c>
      <c r="C200" s="81" t="s">
        <v>830</v>
      </c>
      <c r="D200" s="53">
        <v>7174514</v>
      </c>
      <c r="E200" s="52">
        <v>45482</v>
      </c>
      <c r="F200" s="80">
        <v>2051.58</v>
      </c>
      <c r="G200" s="79" t="s">
        <v>131</v>
      </c>
      <c r="H200" s="49" t="str">
        <f t="shared" si="6"/>
        <v>B</v>
      </c>
      <c r="I200" s="48" t="str">
        <f t="shared" si="7"/>
        <v>The Commissioner &amp; Chief Constable are satisfied the spend represents VFM in accordance with the requirements of Category B</v>
      </c>
      <c r="L200" s="41"/>
      <c r="M200" s="41"/>
    </row>
    <row r="201" spans="1:13" s="42" customFormat="1" x14ac:dyDescent="0.2">
      <c r="A201" s="56" t="s">
        <v>8</v>
      </c>
      <c r="B201" s="55" t="s">
        <v>9</v>
      </c>
      <c r="C201" s="81" t="s">
        <v>90</v>
      </c>
      <c r="D201" s="53">
        <v>7174261</v>
      </c>
      <c r="E201" s="52">
        <v>45474</v>
      </c>
      <c r="F201" s="83">
        <v>2042.76</v>
      </c>
      <c r="G201" s="79" t="s">
        <v>91</v>
      </c>
      <c r="H201" s="49" t="str">
        <f t="shared" si="6"/>
        <v>B</v>
      </c>
      <c r="I201" s="48" t="str">
        <f t="shared" si="7"/>
        <v>The Commissioner &amp; Chief Constable are satisfied the spend represents VFM in accordance with the requirements of Category B</v>
      </c>
      <c r="L201" s="41"/>
      <c r="M201" s="41"/>
    </row>
    <row r="202" spans="1:13" s="42" customFormat="1" x14ac:dyDescent="0.2">
      <c r="A202" s="56" t="s">
        <v>8</v>
      </c>
      <c r="B202" s="55" t="s">
        <v>9</v>
      </c>
      <c r="C202" s="81" t="s">
        <v>74</v>
      </c>
      <c r="D202" s="53">
        <v>7174262</v>
      </c>
      <c r="E202" s="52">
        <v>45475</v>
      </c>
      <c r="F202" s="80">
        <v>1999.75</v>
      </c>
      <c r="G202" s="84" t="s">
        <v>148</v>
      </c>
      <c r="H202" s="49" t="str">
        <f t="shared" si="6"/>
        <v>B</v>
      </c>
      <c r="I202" s="48" t="str">
        <f t="shared" si="7"/>
        <v>The Commissioner &amp; Chief Constable are satisfied the spend represents VFM in accordance with the requirements of Category B</v>
      </c>
      <c r="L202" s="41"/>
      <c r="M202" s="41"/>
    </row>
    <row r="203" spans="1:13" s="42" customFormat="1" x14ac:dyDescent="0.2">
      <c r="A203" s="56" t="s">
        <v>8</v>
      </c>
      <c r="B203" s="55" t="s">
        <v>9</v>
      </c>
      <c r="C203" s="81" t="s">
        <v>829</v>
      </c>
      <c r="D203" s="53">
        <v>7175300</v>
      </c>
      <c r="E203" s="52">
        <v>45498</v>
      </c>
      <c r="F203" s="80">
        <v>1995</v>
      </c>
      <c r="G203" s="79" t="s">
        <v>49</v>
      </c>
      <c r="H203" s="49" t="str">
        <f t="shared" si="6"/>
        <v>B</v>
      </c>
      <c r="I203" s="48" t="str">
        <f t="shared" si="7"/>
        <v>The Commissioner &amp; Chief Constable are satisfied the spend represents VFM in accordance with the requirements of Category B</v>
      </c>
      <c r="L203" s="41"/>
      <c r="M203" s="41"/>
    </row>
    <row r="204" spans="1:13" s="42" customFormat="1" x14ac:dyDescent="0.2">
      <c r="A204" s="56" t="s">
        <v>8</v>
      </c>
      <c r="B204" s="55" t="s">
        <v>9</v>
      </c>
      <c r="C204" s="81" t="s">
        <v>74</v>
      </c>
      <c r="D204" s="53">
        <v>7175439</v>
      </c>
      <c r="E204" s="52">
        <v>45504</v>
      </c>
      <c r="F204" s="80">
        <v>1976.5</v>
      </c>
      <c r="G204" s="79" t="s">
        <v>177</v>
      </c>
      <c r="H204" s="49" t="str">
        <f t="shared" si="6"/>
        <v>B</v>
      </c>
      <c r="I204" s="48" t="str">
        <f t="shared" si="7"/>
        <v>The Commissioner &amp; Chief Constable are satisfied the spend represents VFM in accordance with the requirements of Category B</v>
      </c>
      <c r="L204" s="41"/>
      <c r="M204" s="41"/>
    </row>
    <row r="205" spans="1:13" s="42" customFormat="1" x14ac:dyDescent="0.2">
      <c r="A205" s="56" t="s">
        <v>8</v>
      </c>
      <c r="B205" s="55" t="s">
        <v>9</v>
      </c>
      <c r="C205" s="81" t="s">
        <v>222</v>
      </c>
      <c r="D205" s="53">
        <v>7173776</v>
      </c>
      <c r="E205" s="52">
        <v>45490</v>
      </c>
      <c r="F205" s="83">
        <v>1948.6</v>
      </c>
      <c r="G205" s="79" t="s">
        <v>22</v>
      </c>
      <c r="H205" s="49" t="str">
        <f t="shared" si="6"/>
        <v>B</v>
      </c>
      <c r="I205" s="48" t="str">
        <f t="shared" si="7"/>
        <v>The Commissioner &amp; Chief Constable are satisfied the spend represents VFM in accordance with the requirements of Category B</v>
      </c>
      <c r="L205" s="41"/>
      <c r="M205" s="41"/>
    </row>
    <row r="206" spans="1:13" s="42" customFormat="1" x14ac:dyDescent="0.2">
      <c r="A206" s="56" t="s">
        <v>8</v>
      </c>
      <c r="B206" s="55" t="s">
        <v>9</v>
      </c>
      <c r="C206" s="81" t="s">
        <v>828</v>
      </c>
      <c r="D206" s="53">
        <v>7174328</v>
      </c>
      <c r="E206" s="52">
        <v>45476</v>
      </c>
      <c r="F206" s="80">
        <v>1932.5</v>
      </c>
      <c r="G206" s="79" t="s">
        <v>22</v>
      </c>
      <c r="H206" s="49" t="str">
        <f t="shared" si="6"/>
        <v>B</v>
      </c>
      <c r="I206" s="48" t="str">
        <f t="shared" si="7"/>
        <v>The Commissioner &amp; Chief Constable are satisfied the spend represents VFM in accordance with the requirements of Category B</v>
      </c>
      <c r="L206" s="41"/>
      <c r="M206" s="41"/>
    </row>
    <row r="207" spans="1:13" s="42" customFormat="1" x14ac:dyDescent="0.2">
      <c r="A207" s="56" t="s">
        <v>8</v>
      </c>
      <c r="B207" s="55" t="s">
        <v>9</v>
      </c>
      <c r="C207" s="81" t="s">
        <v>260</v>
      </c>
      <c r="D207" s="53">
        <v>7174879</v>
      </c>
      <c r="E207" s="52">
        <v>45483</v>
      </c>
      <c r="F207" s="80">
        <v>1922</v>
      </c>
      <c r="G207" s="79" t="s">
        <v>261</v>
      </c>
      <c r="H207" s="49" t="str">
        <f t="shared" si="6"/>
        <v>B</v>
      </c>
      <c r="I207" s="48" t="str">
        <f t="shared" si="7"/>
        <v>The Commissioner &amp; Chief Constable are satisfied the spend represents VFM in accordance with the requirements of Category B</v>
      </c>
      <c r="L207" s="41"/>
      <c r="M207" s="41"/>
    </row>
    <row r="208" spans="1:13" s="42" customFormat="1" x14ac:dyDescent="0.2">
      <c r="A208" s="56" t="s">
        <v>8</v>
      </c>
      <c r="B208" s="55" t="s">
        <v>9</v>
      </c>
      <c r="C208" s="81" t="s">
        <v>423</v>
      </c>
      <c r="D208" s="53">
        <v>7174684</v>
      </c>
      <c r="E208" s="52">
        <v>45488</v>
      </c>
      <c r="F208" s="80">
        <v>1920.94</v>
      </c>
      <c r="G208" s="79" t="s">
        <v>390</v>
      </c>
      <c r="H208" s="49" t="str">
        <f t="shared" si="6"/>
        <v>B</v>
      </c>
      <c r="I208" s="48" t="str">
        <f t="shared" si="7"/>
        <v>The Commissioner &amp; Chief Constable are satisfied the spend represents VFM in accordance with the requirements of Category B</v>
      </c>
      <c r="L208" s="41"/>
      <c r="M208" s="41"/>
    </row>
    <row r="209" spans="1:13" s="42" customFormat="1" x14ac:dyDescent="0.2">
      <c r="A209" s="56" t="s">
        <v>8</v>
      </c>
      <c r="B209" s="55" t="s">
        <v>9</v>
      </c>
      <c r="C209" s="81" t="s">
        <v>827</v>
      </c>
      <c r="D209" s="53">
        <v>7174576</v>
      </c>
      <c r="E209" s="52">
        <v>45476</v>
      </c>
      <c r="F209" s="80">
        <v>1900</v>
      </c>
      <c r="G209" s="79" t="s">
        <v>106</v>
      </c>
      <c r="H209" s="49" t="str">
        <f t="shared" si="6"/>
        <v>B</v>
      </c>
      <c r="I209" s="48" t="str">
        <f t="shared" si="7"/>
        <v>The Commissioner &amp; Chief Constable are satisfied the spend represents VFM in accordance with the requirements of Category B</v>
      </c>
      <c r="L209" s="41"/>
      <c r="M209" s="41"/>
    </row>
    <row r="210" spans="1:13" s="42" customFormat="1" x14ac:dyDescent="0.2">
      <c r="A210" s="56" t="s">
        <v>8</v>
      </c>
      <c r="B210" s="55" t="s">
        <v>9</v>
      </c>
      <c r="C210" s="81" t="s">
        <v>826</v>
      </c>
      <c r="D210" s="53">
        <v>7175329</v>
      </c>
      <c r="E210" s="52">
        <v>45497</v>
      </c>
      <c r="F210" s="80">
        <v>1896</v>
      </c>
      <c r="G210" s="79" t="s">
        <v>38</v>
      </c>
      <c r="H210" s="49" t="str">
        <f t="shared" si="6"/>
        <v>B</v>
      </c>
      <c r="I210" s="48" t="str">
        <f t="shared" si="7"/>
        <v>The Commissioner &amp; Chief Constable are satisfied the spend represents VFM in accordance with the requirements of Category B</v>
      </c>
      <c r="L210" s="41"/>
      <c r="M210" s="41"/>
    </row>
    <row r="211" spans="1:13" s="42" customFormat="1" x14ac:dyDescent="0.2">
      <c r="A211" s="56" t="s">
        <v>8</v>
      </c>
      <c r="B211" s="55" t="s">
        <v>9</v>
      </c>
      <c r="C211" s="81" t="s">
        <v>74</v>
      </c>
      <c r="D211" s="53">
        <v>7175438</v>
      </c>
      <c r="E211" s="52">
        <v>45499</v>
      </c>
      <c r="F211" s="80">
        <v>1872</v>
      </c>
      <c r="G211" s="79" t="s">
        <v>114</v>
      </c>
      <c r="H211" s="49" t="str">
        <f t="shared" si="6"/>
        <v>B</v>
      </c>
      <c r="I211" s="48" t="str">
        <f t="shared" si="7"/>
        <v>The Commissioner &amp; Chief Constable are satisfied the spend represents VFM in accordance with the requirements of Category B</v>
      </c>
      <c r="L211" s="41"/>
      <c r="M211" s="41"/>
    </row>
    <row r="212" spans="1:13" s="42" customFormat="1" x14ac:dyDescent="0.2">
      <c r="A212" s="56" t="s">
        <v>8</v>
      </c>
      <c r="B212" s="55" t="s">
        <v>9</v>
      </c>
      <c r="C212" s="81" t="s">
        <v>236</v>
      </c>
      <c r="D212" s="53">
        <v>7174341</v>
      </c>
      <c r="E212" s="52">
        <v>45481</v>
      </c>
      <c r="F212" s="80">
        <v>1850</v>
      </c>
      <c r="G212" s="79" t="s">
        <v>237</v>
      </c>
      <c r="H212" s="49" t="str">
        <f t="shared" si="6"/>
        <v>B</v>
      </c>
      <c r="I212" s="48" t="str">
        <f t="shared" si="7"/>
        <v>The Commissioner &amp; Chief Constable are satisfied the spend represents VFM in accordance with the requirements of Category B</v>
      </c>
      <c r="L212" s="41"/>
      <c r="M212" s="41"/>
    </row>
    <row r="213" spans="1:13" s="42" customFormat="1" x14ac:dyDescent="0.2">
      <c r="A213" s="56" t="s">
        <v>8</v>
      </c>
      <c r="B213" s="55" t="s">
        <v>9</v>
      </c>
      <c r="C213" s="81" t="s">
        <v>326</v>
      </c>
      <c r="D213" s="53">
        <v>7175278</v>
      </c>
      <c r="E213" s="52">
        <v>45498</v>
      </c>
      <c r="F213" s="80">
        <v>1846</v>
      </c>
      <c r="G213" s="79" t="s">
        <v>38</v>
      </c>
      <c r="H213" s="49" t="str">
        <f t="shared" si="6"/>
        <v>B</v>
      </c>
      <c r="I213" s="48" t="str">
        <f t="shared" si="7"/>
        <v>The Commissioner &amp; Chief Constable are satisfied the spend represents VFM in accordance with the requirements of Category B</v>
      </c>
      <c r="L213" s="41"/>
      <c r="M213" s="41"/>
    </row>
    <row r="214" spans="1:13" s="42" customFormat="1" x14ac:dyDescent="0.2">
      <c r="A214" s="56" t="s">
        <v>8</v>
      </c>
      <c r="B214" s="55" t="s">
        <v>9</v>
      </c>
      <c r="C214" s="81" t="s">
        <v>256</v>
      </c>
      <c r="D214" s="53">
        <v>7174751</v>
      </c>
      <c r="E214" s="52">
        <v>45492</v>
      </c>
      <c r="F214" s="80">
        <v>1836.15</v>
      </c>
      <c r="G214" s="79" t="s">
        <v>131</v>
      </c>
      <c r="H214" s="49" t="str">
        <f t="shared" si="6"/>
        <v>B</v>
      </c>
      <c r="I214" s="48" t="str">
        <f t="shared" si="7"/>
        <v>The Commissioner &amp; Chief Constable are satisfied the spend represents VFM in accordance with the requirements of Category B</v>
      </c>
      <c r="L214" s="41"/>
      <c r="M214" s="41"/>
    </row>
    <row r="215" spans="1:13" s="42" customFormat="1" x14ac:dyDescent="0.2">
      <c r="A215" s="56" t="s">
        <v>8</v>
      </c>
      <c r="B215" s="55" t="s">
        <v>9</v>
      </c>
      <c r="C215" s="81" t="s">
        <v>149</v>
      </c>
      <c r="D215" s="53">
        <v>7174859</v>
      </c>
      <c r="E215" s="52">
        <v>45488</v>
      </c>
      <c r="F215" s="80">
        <v>1823.31</v>
      </c>
      <c r="G215" s="79" t="s">
        <v>138</v>
      </c>
      <c r="H215" s="49" t="str">
        <f t="shared" si="6"/>
        <v>B</v>
      </c>
      <c r="I215" s="48" t="str">
        <f t="shared" si="7"/>
        <v>The Commissioner &amp; Chief Constable are satisfied the spend represents VFM in accordance with the requirements of Category B</v>
      </c>
      <c r="L215" s="41"/>
      <c r="M215" s="41"/>
    </row>
    <row r="216" spans="1:13" s="42" customFormat="1" x14ac:dyDescent="0.2">
      <c r="A216" s="56" t="s">
        <v>8</v>
      </c>
      <c r="B216" s="55" t="s">
        <v>9</v>
      </c>
      <c r="C216" s="81" t="s">
        <v>149</v>
      </c>
      <c r="D216" s="53">
        <v>7174569</v>
      </c>
      <c r="E216" s="52">
        <v>45478</v>
      </c>
      <c r="F216" s="80">
        <v>1812.74</v>
      </c>
      <c r="G216" s="79" t="s">
        <v>138</v>
      </c>
      <c r="H216" s="49" t="str">
        <f t="shared" si="6"/>
        <v>B</v>
      </c>
      <c r="I216" s="48" t="str">
        <f t="shared" si="7"/>
        <v>The Commissioner &amp; Chief Constable are satisfied the spend represents VFM in accordance with the requirements of Category B</v>
      </c>
      <c r="L216" s="41"/>
      <c r="M216" s="41"/>
    </row>
    <row r="217" spans="1:13" s="42" customFormat="1" x14ac:dyDescent="0.2">
      <c r="A217" s="56" t="s">
        <v>8</v>
      </c>
      <c r="B217" s="55" t="s">
        <v>9</v>
      </c>
      <c r="C217" s="81" t="s">
        <v>608</v>
      </c>
      <c r="D217" s="53">
        <v>7174753</v>
      </c>
      <c r="E217" s="52">
        <v>45489</v>
      </c>
      <c r="F217" s="80">
        <v>1750</v>
      </c>
      <c r="G217" s="79" t="s">
        <v>138</v>
      </c>
      <c r="H217" s="49" t="str">
        <f t="shared" si="6"/>
        <v>B</v>
      </c>
      <c r="I217" s="48" t="str">
        <f t="shared" si="7"/>
        <v>The Commissioner &amp; Chief Constable are satisfied the spend represents VFM in accordance with the requirements of Category B</v>
      </c>
      <c r="L217" s="41"/>
      <c r="M217" s="41"/>
    </row>
    <row r="218" spans="1:13" s="42" customFormat="1" x14ac:dyDescent="0.2">
      <c r="A218" s="56" t="s">
        <v>8</v>
      </c>
      <c r="B218" s="55" t="s">
        <v>9</v>
      </c>
      <c r="C218" s="81" t="s">
        <v>608</v>
      </c>
      <c r="D218" s="53">
        <v>7174480</v>
      </c>
      <c r="E218" s="52">
        <v>45475</v>
      </c>
      <c r="F218" s="80">
        <v>1750</v>
      </c>
      <c r="G218" s="79" t="s">
        <v>138</v>
      </c>
      <c r="H218" s="49" t="str">
        <f t="shared" si="6"/>
        <v>B</v>
      </c>
      <c r="I218" s="48" t="str">
        <f t="shared" si="7"/>
        <v>The Commissioner &amp; Chief Constable are satisfied the spend represents VFM in accordance with the requirements of Category B</v>
      </c>
      <c r="L218" s="41"/>
      <c r="M218" s="41"/>
    </row>
    <row r="219" spans="1:13" s="42" customFormat="1" x14ac:dyDescent="0.2">
      <c r="A219" s="56" t="s">
        <v>8</v>
      </c>
      <c r="B219" s="55" t="s">
        <v>9</v>
      </c>
      <c r="C219" s="81" t="s">
        <v>608</v>
      </c>
      <c r="D219" s="53">
        <v>7175050</v>
      </c>
      <c r="E219" s="52">
        <v>45489</v>
      </c>
      <c r="F219" s="80">
        <v>1750</v>
      </c>
      <c r="G219" s="79" t="s">
        <v>138</v>
      </c>
      <c r="H219" s="49" t="str">
        <f t="shared" si="6"/>
        <v>B</v>
      </c>
      <c r="I219" s="48" t="str">
        <f t="shared" si="7"/>
        <v>The Commissioner &amp; Chief Constable are satisfied the spend represents VFM in accordance with the requirements of Category B</v>
      </c>
      <c r="L219" s="41"/>
      <c r="M219" s="41"/>
    </row>
    <row r="220" spans="1:13" s="42" customFormat="1" x14ac:dyDescent="0.2">
      <c r="A220" s="56" t="s">
        <v>8</v>
      </c>
      <c r="B220" s="55" t="s">
        <v>9</v>
      </c>
      <c r="C220" s="81" t="s">
        <v>168</v>
      </c>
      <c r="D220" s="53">
        <v>7174818</v>
      </c>
      <c r="E220" s="52">
        <v>45484</v>
      </c>
      <c r="F220" s="80">
        <v>1734.8</v>
      </c>
      <c r="G220" s="79" t="s">
        <v>169</v>
      </c>
      <c r="H220" s="49" t="str">
        <f t="shared" si="6"/>
        <v>B</v>
      </c>
      <c r="I220" s="48" t="str">
        <f t="shared" si="7"/>
        <v>The Commissioner &amp; Chief Constable are satisfied the spend represents VFM in accordance with the requirements of Category B</v>
      </c>
      <c r="L220" s="41"/>
      <c r="M220" s="41"/>
    </row>
    <row r="221" spans="1:13" s="42" customFormat="1" x14ac:dyDescent="0.2">
      <c r="A221" s="56" t="s">
        <v>8</v>
      </c>
      <c r="B221" s="55" t="s">
        <v>9</v>
      </c>
      <c r="C221" s="81" t="s">
        <v>537</v>
      </c>
      <c r="D221" s="53">
        <v>7175214</v>
      </c>
      <c r="E221" s="52">
        <v>45498</v>
      </c>
      <c r="F221" s="80">
        <v>1717</v>
      </c>
      <c r="G221" s="79" t="s">
        <v>131</v>
      </c>
      <c r="H221" s="49" t="str">
        <f t="shared" si="6"/>
        <v>B</v>
      </c>
      <c r="I221" s="48" t="str">
        <f t="shared" si="7"/>
        <v>The Commissioner &amp; Chief Constable are satisfied the spend represents VFM in accordance with the requirements of Category B</v>
      </c>
      <c r="L221" s="41"/>
      <c r="M221" s="41"/>
    </row>
    <row r="222" spans="1:13" s="42" customFormat="1" x14ac:dyDescent="0.2">
      <c r="A222" s="56" t="s">
        <v>8</v>
      </c>
      <c r="B222" s="55" t="s">
        <v>9</v>
      </c>
      <c r="C222" s="81" t="s">
        <v>262</v>
      </c>
      <c r="D222" s="53">
        <v>7174563</v>
      </c>
      <c r="E222" s="52">
        <v>45476</v>
      </c>
      <c r="F222" s="80">
        <v>1702</v>
      </c>
      <c r="G222" s="79" t="s">
        <v>263</v>
      </c>
      <c r="H222" s="49" t="str">
        <f t="shared" si="6"/>
        <v>B</v>
      </c>
      <c r="I222" s="48" t="str">
        <f t="shared" si="7"/>
        <v>The Commissioner &amp; Chief Constable are satisfied the spend represents VFM in accordance with the requirements of Category B</v>
      </c>
      <c r="L222" s="41"/>
      <c r="M222" s="41"/>
    </row>
    <row r="223" spans="1:13" s="42" customFormat="1" x14ac:dyDescent="0.2">
      <c r="A223" s="56" t="s">
        <v>8</v>
      </c>
      <c r="B223" s="55" t="s">
        <v>9</v>
      </c>
      <c r="C223" s="81" t="s">
        <v>242</v>
      </c>
      <c r="D223" s="53">
        <v>7173869</v>
      </c>
      <c r="E223" s="52">
        <v>45478</v>
      </c>
      <c r="F223" s="80">
        <v>1697.92</v>
      </c>
      <c r="G223" s="79" t="s">
        <v>94</v>
      </c>
      <c r="H223" s="49" t="str">
        <f t="shared" si="6"/>
        <v>B</v>
      </c>
      <c r="I223" s="48" t="str">
        <f t="shared" si="7"/>
        <v>The Commissioner &amp; Chief Constable are satisfied the spend represents VFM in accordance with the requirements of Category B</v>
      </c>
      <c r="L223" s="41"/>
      <c r="M223" s="41"/>
    </row>
    <row r="224" spans="1:13" s="42" customFormat="1" x14ac:dyDescent="0.2">
      <c r="A224" s="56" t="s">
        <v>8</v>
      </c>
      <c r="B224" s="55" t="s">
        <v>9</v>
      </c>
      <c r="C224" s="81" t="s">
        <v>149</v>
      </c>
      <c r="D224" s="53">
        <v>7175333</v>
      </c>
      <c r="E224" s="52">
        <v>45503</v>
      </c>
      <c r="F224" s="80">
        <v>1684.1</v>
      </c>
      <c r="G224" s="79" t="s">
        <v>138</v>
      </c>
      <c r="H224" s="49" t="str">
        <f t="shared" si="6"/>
        <v>B</v>
      </c>
      <c r="I224" s="48" t="str">
        <f t="shared" si="7"/>
        <v>The Commissioner &amp; Chief Constable are satisfied the spend represents VFM in accordance with the requirements of Category B</v>
      </c>
      <c r="L224" s="41"/>
      <c r="M224" s="41"/>
    </row>
    <row r="225" spans="1:13" s="42" customFormat="1" x14ac:dyDescent="0.2">
      <c r="A225" s="56" t="s">
        <v>8</v>
      </c>
      <c r="B225" s="55" t="s">
        <v>9</v>
      </c>
      <c r="C225" s="81" t="s">
        <v>748</v>
      </c>
      <c r="D225" s="53">
        <v>7174175</v>
      </c>
      <c r="E225" s="52">
        <v>45484</v>
      </c>
      <c r="F225" s="80">
        <v>1674</v>
      </c>
      <c r="G225" s="79" t="s">
        <v>94</v>
      </c>
      <c r="H225" s="49" t="str">
        <f t="shared" si="6"/>
        <v>B</v>
      </c>
      <c r="I225" s="48" t="str">
        <f t="shared" si="7"/>
        <v>The Commissioner &amp; Chief Constable are satisfied the spend represents VFM in accordance with the requirements of Category B</v>
      </c>
      <c r="L225" s="41"/>
      <c r="M225" s="41"/>
    </row>
    <row r="226" spans="1:13" s="42" customFormat="1" x14ac:dyDescent="0.2">
      <c r="A226" s="56" t="s">
        <v>8</v>
      </c>
      <c r="B226" s="55" t="s">
        <v>9</v>
      </c>
      <c r="C226" s="81" t="s">
        <v>149</v>
      </c>
      <c r="D226" s="53">
        <v>7175569</v>
      </c>
      <c r="E226" s="52">
        <v>45503</v>
      </c>
      <c r="F226" s="80">
        <v>1660.24</v>
      </c>
      <c r="G226" s="79" t="s">
        <v>138</v>
      </c>
      <c r="H226" s="49" t="str">
        <f t="shared" si="6"/>
        <v>B</v>
      </c>
      <c r="I226" s="48" t="str">
        <f t="shared" si="7"/>
        <v>The Commissioner &amp; Chief Constable are satisfied the spend represents VFM in accordance with the requirements of Category B</v>
      </c>
      <c r="L226" s="41"/>
      <c r="M226" s="41"/>
    </row>
    <row r="227" spans="1:13" s="42" customFormat="1" x14ac:dyDescent="0.2">
      <c r="A227" s="56" t="s">
        <v>8</v>
      </c>
      <c r="B227" s="55" t="s">
        <v>9</v>
      </c>
      <c r="C227" s="81" t="s">
        <v>219</v>
      </c>
      <c r="D227" s="53">
        <v>7174498</v>
      </c>
      <c r="E227" s="52">
        <v>45481</v>
      </c>
      <c r="F227" s="80">
        <v>1645.4</v>
      </c>
      <c r="G227" s="79" t="s">
        <v>220</v>
      </c>
      <c r="H227" s="49" t="str">
        <f t="shared" si="6"/>
        <v>B</v>
      </c>
      <c r="I227" s="48" t="str">
        <f t="shared" si="7"/>
        <v>The Commissioner &amp; Chief Constable are satisfied the spend represents VFM in accordance with the requirements of Category B</v>
      </c>
      <c r="L227" s="41"/>
      <c r="M227" s="41"/>
    </row>
    <row r="228" spans="1:13" s="42" customFormat="1" x14ac:dyDescent="0.2">
      <c r="A228" s="56" t="s">
        <v>8</v>
      </c>
      <c r="B228" s="55" t="s">
        <v>9</v>
      </c>
      <c r="C228" s="81" t="s">
        <v>535</v>
      </c>
      <c r="D228" s="53">
        <v>7174258</v>
      </c>
      <c r="E228" s="52">
        <v>45474</v>
      </c>
      <c r="F228" s="80">
        <v>1645</v>
      </c>
      <c r="G228" s="79" t="s">
        <v>39</v>
      </c>
      <c r="H228" s="49" t="str">
        <f t="shared" si="6"/>
        <v>B</v>
      </c>
      <c r="I228" s="48" t="str">
        <f t="shared" si="7"/>
        <v>The Commissioner &amp; Chief Constable are satisfied the spend represents VFM in accordance with the requirements of Category B</v>
      </c>
      <c r="L228" s="41"/>
      <c r="M228" s="41"/>
    </row>
    <row r="229" spans="1:13" s="42" customFormat="1" x14ac:dyDescent="0.2">
      <c r="A229" s="56" t="s">
        <v>8</v>
      </c>
      <c r="B229" s="55" t="s">
        <v>9</v>
      </c>
      <c r="C229" s="82" t="s">
        <v>222</v>
      </c>
      <c r="D229" s="53">
        <v>7175149</v>
      </c>
      <c r="E229" s="52">
        <v>45495</v>
      </c>
      <c r="F229" s="80">
        <v>1619.55</v>
      </c>
      <c r="G229" s="79" t="s">
        <v>22</v>
      </c>
      <c r="H229" s="49" t="str">
        <f t="shared" si="6"/>
        <v>B</v>
      </c>
      <c r="I229" s="48" t="str">
        <f t="shared" si="7"/>
        <v>The Commissioner &amp; Chief Constable are satisfied the spend represents VFM in accordance with the requirements of Category B</v>
      </c>
      <c r="L229" s="41"/>
      <c r="M229" s="41"/>
    </row>
    <row r="230" spans="1:13" s="42" customFormat="1" x14ac:dyDescent="0.2">
      <c r="A230" s="56" t="s">
        <v>8</v>
      </c>
      <c r="B230" s="55" t="s">
        <v>9</v>
      </c>
      <c r="C230" s="81" t="s">
        <v>723</v>
      </c>
      <c r="D230" s="53">
        <v>7174957</v>
      </c>
      <c r="E230" s="52">
        <v>45488</v>
      </c>
      <c r="F230" s="80">
        <v>1606.5</v>
      </c>
      <c r="G230" s="79" t="s">
        <v>22</v>
      </c>
      <c r="H230" s="49" t="str">
        <f t="shared" si="6"/>
        <v>B</v>
      </c>
      <c r="I230" s="48" t="str">
        <f t="shared" si="7"/>
        <v>The Commissioner &amp; Chief Constable are satisfied the spend represents VFM in accordance with the requirements of Category B</v>
      </c>
      <c r="L230" s="41"/>
      <c r="M230" s="41"/>
    </row>
    <row r="231" spans="1:13" s="42" customFormat="1" x14ac:dyDescent="0.2">
      <c r="A231" s="56" t="s">
        <v>8</v>
      </c>
      <c r="B231" s="55" t="s">
        <v>9</v>
      </c>
      <c r="C231" s="81" t="s">
        <v>135</v>
      </c>
      <c r="D231" s="53">
        <v>7174309</v>
      </c>
      <c r="E231" s="52">
        <v>45481</v>
      </c>
      <c r="F231" s="83">
        <v>1596.7</v>
      </c>
      <c r="G231" s="79" t="s">
        <v>40</v>
      </c>
      <c r="H231" s="49" t="str">
        <f t="shared" si="6"/>
        <v>B</v>
      </c>
      <c r="I231" s="48" t="str">
        <f t="shared" si="7"/>
        <v>The Commissioner &amp; Chief Constable are satisfied the spend represents VFM in accordance with the requirements of Category B</v>
      </c>
      <c r="L231" s="41"/>
      <c r="M231" s="41"/>
    </row>
    <row r="232" spans="1:13" s="42" customFormat="1" x14ac:dyDescent="0.2">
      <c r="A232" s="56" t="s">
        <v>8</v>
      </c>
      <c r="B232" s="55" t="s">
        <v>9</v>
      </c>
      <c r="C232" s="81" t="s">
        <v>486</v>
      </c>
      <c r="D232" s="53">
        <v>7174886</v>
      </c>
      <c r="E232" s="52">
        <v>45484</v>
      </c>
      <c r="F232" s="80">
        <v>1596</v>
      </c>
      <c r="G232" s="79" t="s">
        <v>91</v>
      </c>
      <c r="H232" s="49" t="str">
        <f t="shared" si="6"/>
        <v>B</v>
      </c>
      <c r="I232" s="48" t="str">
        <f t="shared" si="7"/>
        <v>The Commissioner &amp; Chief Constable are satisfied the spend represents VFM in accordance with the requirements of Category B</v>
      </c>
      <c r="L232" s="41"/>
      <c r="M232" s="41"/>
    </row>
    <row r="233" spans="1:13" s="42" customFormat="1" x14ac:dyDescent="0.2">
      <c r="A233" s="56" t="s">
        <v>8</v>
      </c>
      <c r="B233" s="55" t="s">
        <v>9</v>
      </c>
      <c r="C233" s="81" t="s">
        <v>221</v>
      </c>
      <c r="D233" s="53">
        <v>7175176</v>
      </c>
      <c r="E233" s="52">
        <v>45492</v>
      </c>
      <c r="F233" s="80">
        <v>1595</v>
      </c>
      <c r="G233" s="79" t="s">
        <v>106</v>
      </c>
      <c r="H233" s="49" t="str">
        <f t="shared" si="6"/>
        <v>B</v>
      </c>
      <c r="I233" s="48" t="str">
        <f t="shared" si="7"/>
        <v>The Commissioner &amp; Chief Constable are satisfied the spend represents VFM in accordance with the requirements of Category B</v>
      </c>
      <c r="L233" s="41"/>
      <c r="M233" s="41"/>
    </row>
    <row r="234" spans="1:13" s="42" customFormat="1" x14ac:dyDescent="0.2">
      <c r="A234" s="56" t="s">
        <v>8</v>
      </c>
      <c r="B234" s="55" t="s">
        <v>9</v>
      </c>
      <c r="C234" s="81" t="s">
        <v>772</v>
      </c>
      <c r="D234" s="53">
        <v>7174106</v>
      </c>
      <c r="E234" s="52">
        <v>45499</v>
      </c>
      <c r="F234" s="80">
        <v>1595</v>
      </c>
      <c r="G234" s="79" t="s">
        <v>106</v>
      </c>
      <c r="H234" s="49" t="str">
        <f t="shared" si="6"/>
        <v>B</v>
      </c>
      <c r="I234" s="48" t="str">
        <f t="shared" si="7"/>
        <v>The Commissioner &amp; Chief Constable are satisfied the spend represents VFM in accordance with the requirements of Category B</v>
      </c>
      <c r="L234" s="41"/>
      <c r="M234" s="41"/>
    </row>
    <row r="235" spans="1:13" s="42" customFormat="1" x14ac:dyDescent="0.2">
      <c r="A235" s="56" t="s">
        <v>8</v>
      </c>
      <c r="B235" s="55" t="s">
        <v>9</v>
      </c>
      <c r="C235" s="81" t="s">
        <v>314</v>
      </c>
      <c r="D235" s="53">
        <v>7175098</v>
      </c>
      <c r="E235" s="52">
        <v>45499</v>
      </c>
      <c r="F235" s="80">
        <v>1581.91</v>
      </c>
      <c r="G235" s="79" t="s">
        <v>315</v>
      </c>
      <c r="H235" s="49" t="str">
        <f t="shared" si="6"/>
        <v>B</v>
      </c>
      <c r="I235" s="48" t="str">
        <f t="shared" si="7"/>
        <v>The Commissioner &amp; Chief Constable are satisfied the spend represents VFM in accordance with the requirements of Category B</v>
      </c>
      <c r="L235" s="41"/>
      <c r="M235" s="41"/>
    </row>
    <row r="236" spans="1:13" s="42" customFormat="1" x14ac:dyDescent="0.2">
      <c r="A236" s="56" t="s">
        <v>8</v>
      </c>
      <c r="B236" s="55" t="s">
        <v>9</v>
      </c>
      <c r="C236" s="81" t="s">
        <v>825</v>
      </c>
      <c r="D236" s="53">
        <v>7174715</v>
      </c>
      <c r="E236" s="52">
        <v>45481</v>
      </c>
      <c r="F236" s="80">
        <v>1581.32</v>
      </c>
      <c r="G236" s="79" t="s">
        <v>131</v>
      </c>
      <c r="H236" s="49" t="str">
        <f t="shared" si="6"/>
        <v>B</v>
      </c>
      <c r="I236" s="48" t="str">
        <f t="shared" si="7"/>
        <v>The Commissioner &amp; Chief Constable are satisfied the spend represents VFM in accordance with the requirements of Category B</v>
      </c>
      <c r="L236" s="41"/>
      <c r="M236" s="41"/>
    </row>
    <row r="237" spans="1:13" s="42" customFormat="1" x14ac:dyDescent="0.2">
      <c r="A237" s="56" t="s">
        <v>8</v>
      </c>
      <c r="B237" s="55" t="s">
        <v>9</v>
      </c>
      <c r="C237" s="81" t="s">
        <v>256</v>
      </c>
      <c r="D237" s="53">
        <v>7175334</v>
      </c>
      <c r="E237" s="52">
        <v>45498</v>
      </c>
      <c r="F237" s="80">
        <v>1568</v>
      </c>
      <c r="G237" s="79" t="s">
        <v>131</v>
      </c>
      <c r="H237" s="49" t="str">
        <f t="shared" si="6"/>
        <v>B</v>
      </c>
      <c r="I237" s="48" t="str">
        <f t="shared" si="7"/>
        <v>The Commissioner &amp; Chief Constable are satisfied the spend represents VFM in accordance with the requirements of Category B</v>
      </c>
      <c r="L237" s="41"/>
      <c r="M237" s="41"/>
    </row>
    <row r="238" spans="1:13" s="42" customFormat="1" x14ac:dyDescent="0.2">
      <c r="A238" s="56" t="s">
        <v>8</v>
      </c>
      <c r="B238" s="55" t="s">
        <v>9</v>
      </c>
      <c r="C238" s="81" t="s">
        <v>256</v>
      </c>
      <c r="D238" s="53">
        <v>7174224</v>
      </c>
      <c r="E238" s="52">
        <v>45481</v>
      </c>
      <c r="F238" s="80">
        <v>1568</v>
      </c>
      <c r="G238" s="79" t="s">
        <v>131</v>
      </c>
      <c r="H238" s="49" t="str">
        <f t="shared" si="6"/>
        <v>B</v>
      </c>
      <c r="I238" s="48" t="str">
        <f t="shared" si="7"/>
        <v>The Commissioner &amp; Chief Constable are satisfied the spend represents VFM in accordance with the requirements of Category B</v>
      </c>
      <c r="L238" s="41"/>
      <c r="M238" s="41"/>
    </row>
    <row r="239" spans="1:13" s="42" customFormat="1" x14ac:dyDescent="0.2">
      <c r="A239" s="56" t="s">
        <v>8</v>
      </c>
      <c r="B239" s="55" t="s">
        <v>9</v>
      </c>
      <c r="C239" s="81" t="s">
        <v>153</v>
      </c>
      <c r="D239" s="53">
        <v>7175461</v>
      </c>
      <c r="E239" s="52">
        <v>45502</v>
      </c>
      <c r="F239" s="80">
        <v>1555</v>
      </c>
      <c r="G239" s="79" t="s">
        <v>38</v>
      </c>
      <c r="H239" s="49" t="str">
        <f t="shared" si="6"/>
        <v>B</v>
      </c>
      <c r="I239" s="48" t="str">
        <f t="shared" si="7"/>
        <v>The Commissioner &amp; Chief Constable are satisfied the spend represents VFM in accordance with the requirements of Category B</v>
      </c>
      <c r="L239" s="41"/>
      <c r="M239" s="41"/>
    </row>
    <row r="240" spans="1:13" s="42" customFormat="1" x14ac:dyDescent="0.2">
      <c r="A240" s="56" t="s">
        <v>8</v>
      </c>
      <c r="B240" s="55" t="s">
        <v>9</v>
      </c>
      <c r="C240" s="81" t="s">
        <v>769</v>
      </c>
      <c r="D240" s="53">
        <v>7175075</v>
      </c>
      <c r="E240" s="52">
        <v>45489</v>
      </c>
      <c r="F240" s="80">
        <v>1540</v>
      </c>
      <c r="G240" s="79" t="s">
        <v>131</v>
      </c>
      <c r="H240" s="49" t="str">
        <f t="shared" si="6"/>
        <v>B</v>
      </c>
      <c r="I240" s="48" t="str">
        <f t="shared" si="7"/>
        <v>The Commissioner &amp; Chief Constable are satisfied the spend represents VFM in accordance with the requirements of Category B</v>
      </c>
      <c r="L240" s="41"/>
      <c r="M240" s="41"/>
    </row>
    <row r="241" spans="1:13" s="42" customFormat="1" x14ac:dyDescent="0.2">
      <c r="A241" s="56" t="s">
        <v>8</v>
      </c>
      <c r="B241" s="55" t="s">
        <v>9</v>
      </c>
      <c r="C241" s="81" t="s">
        <v>294</v>
      </c>
      <c r="D241" s="53">
        <v>7174385</v>
      </c>
      <c r="E241" s="52">
        <v>45475</v>
      </c>
      <c r="F241" s="80">
        <v>1538.6</v>
      </c>
      <c r="G241" s="79" t="s">
        <v>131</v>
      </c>
      <c r="H241" s="49" t="str">
        <f t="shared" si="6"/>
        <v>B</v>
      </c>
      <c r="I241" s="48" t="str">
        <f t="shared" si="7"/>
        <v>The Commissioner &amp; Chief Constable are satisfied the spend represents VFM in accordance with the requirements of Category B</v>
      </c>
      <c r="L241" s="41"/>
      <c r="M241" s="41"/>
    </row>
    <row r="242" spans="1:13" s="42" customFormat="1" x14ac:dyDescent="0.2">
      <c r="A242" s="56" t="s">
        <v>8</v>
      </c>
      <c r="B242" s="55" t="s">
        <v>9</v>
      </c>
      <c r="C242" s="81" t="s">
        <v>253</v>
      </c>
      <c r="D242" s="53">
        <v>7174571</v>
      </c>
      <c r="E242" s="52">
        <v>45476</v>
      </c>
      <c r="F242" s="80">
        <v>1519</v>
      </c>
      <c r="G242" s="79" t="s">
        <v>138</v>
      </c>
      <c r="H242" s="49" t="str">
        <f t="shared" si="6"/>
        <v>B</v>
      </c>
      <c r="I242" s="48" t="str">
        <f t="shared" si="7"/>
        <v>The Commissioner &amp; Chief Constable are satisfied the spend represents VFM in accordance with the requirements of Category B</v>
      </c>
      <c r="L242" s="41"/>
      <c r="M242" s="41"/>
    </row>
    <row r="243" spans="1:13" s="42" customFormat="1" x14ac:dyDescent="0.2">
      <c r="A243" s="56" t="s">
        <v>8</v>
      </c>
      <c r="B243" s="55" t="s">
        <v>9</v>
      </c>
      <c r="C243" s="81" t="s">
        <v>824</v>
      </c>
      <c r="D243" s="53">
        <v>7174476</v>
      </c>
      <c r="E243" s="52">
        <v>45474</v>
      </c>
      <c r="F243" s="80">
        <v>1500</v>
      </c>
      <c r="G243" s="79" t="s">
        <v>131</v>
      </c>
      <c r="H243" s="49" t="str">
        <f t="shared" si="6"/>
        <v>B</v>
      </c>
      <c r="I243" s="48" t="str">
        <f t="shared" si="7"/>
        <v>The Commissioner &amp; Chief Constable are satisfied the spend represents VFM in accordance with the requirements of Category B</v>
      </c>
      <c r="L243" s="41"/>
      <c r="M243" s="41"/>
    </row>
    <row r="244" spans="1:13" s="42" customFormat="1" x14ac:dyDescent="0.2">
      <c r="A244" s="56" t="s">
        <v>8</v>
      </c>
      <c r="B244" s="55" t="s">
        <v>9</v>
      </c>
      <c r="C244" s="81" t="s">
        <v>823</v>
      </c>
      <c r="D244" s="53">
        <v>7175169</v>
      </c>
      <c r="E244" s="52">
        <v>45491</v>
      </c>
      <c r="F244" s="80">
        <v>1500</v>
      </c>
      <c r="G244" s="79" t="s">
        <v>241</v>
      </c>
      <c r="H244" s="49" t="str">
        <f t="shared" si="6"/>
        <v>B</v>
      </c>
      <c r="I244" s="48" t="str">
        <f t="shared" si="7"/>
        <v>The Commissioner &amp; Chief Constable are satisfied the spend represents VFM in accordance with the requirements of Category B</v>
      </c>
      <c r="L244" s="41"/>
      <c r="M244" s="41"/>
    </row>
    <row r="245" spans="1:13" s="42" customFormat="1" x14ac:dyDescent="0.2">
      <c r="A245" s="56" t="s">
        <v>8</v>
      </c>
      <c r="B245" s="55" t="s">
        <v>9</v>
      </c>
      <c r="C245" s="82" t="s">
        <v>149</v>
      </c>
      <c r="D245" s="53">
        <v>7175121</v>
      </c>
      <c r="E245" s="52">
        <v>45492</v>
      </c>
      <c r="F245" s="80">
        <v>1486</v>
      </c>
      <c r="G245" s="79" t="s">
        <v>138</v>
      </c>
      <c r="H245" s="49" t="str">
        <f t="shared" si="6"/>
        <v>B</v>
      </c>
      <c r="I245" s="48" t="str">
        <f t="shared" si="7"/>
        <v>The Commissioner &amp; Chief Constable are satisfied the spend represents VFM in accordance with the requirements of Category B</v>
      </c>
      <c r="L245" s="41"/>
      <c r="M245" s="41"/>
    </row>
    <row r="246" spans="1:13" s="42" customFormat="1" x14ac:dyDescent="0.2">
      <c r="A246" s="56" t="s">
        <v>8</v>
      </c>
      <c r="B246" s="55" t="s">
        <v>9</v>
      </c>
      <c r="C246" s="81" t="s">
        <v>124</v>
      </c>
      <c r="D246" s="53">
        <v>7174008</v>
      </c>
      <c r="E246" s="52">
        <v>45478</v>
      </c>
      <c r="F246" s="80">
        <v>1484.63</v>
      </c>
      <c r="G246" s="79" t="s">
        <v>91</v>
      </c>
      <c r="H246" s="49" t="str">
        <f t="shared" si="6"/>
        <v>B</v>
      </c>
      <c r="I246" s="48" t="str">
        <f t="shared" si="7"/>
        <v>The Commissioner &amp; Chief Constable are satisfied the spend represents VFM in accordance with the requirements of Category B</v>
      </c>
      <c r="L246" s="41"/>
      <c r="M246" s="41"/>
    </row>
    <row r="247" spans="1:13" s="42" customFormat="1" x14ac:dyDescent="0.2">
      <c r="A247" s="56" t="s">
        <v>8</v>
      </c>
      <c r="B247" s="55" t="s">
        <v>9</v>
      </c>
      <c r="C247" s="81" t="s">
        <v>411</v>
      </c>
      <c r="D247" s="53">
        <v>7175527</v>
      </c>
      <c r="E247" s="52">
        <v>45503</v>
      </c>
      <c r="F247" s="80">
        <v>1470</v>
      </c>
      <c r="G247" s="79" t="s">
        <v>131</v>
      </c>
      <c r="H247" s="49" t="str">
        <f t="shared" si="6"/>
        <v>B</v>
      </c>
      <c r="I247" s="48" t="str">
        <f t="shared" si="7"/>
        <v>The Commissioner &amp; Chief Constable are satisfied the spend represents VFM in accordance with the requirements of Category B</v>
      </c>
      <c r="L247" s="41"/>
      <c r="M247" s="41"/>
    </row>
    <row r="248" spans="1:13" s="42" customFormat="1" x14ac:dyDescent="0.2">
      <c r="A248" s="56" t="s">
        <v>8</v>
      </c>
      <c r="B248" s="55" t="s">
        <v>9</v>
      </c>
      <c r="C248" s="81" t="s">
        <v>200</v>
      </c>
      <c r="D248" s="53">
        <v>7175542</v>
      </c>
      <c r="E248" s="52">
        <v>45504</v>
      </c>
      <c r="F248" s="80">
        <v>1460</v>
      </c>
      <c r="G248" s="79" t="s">
        <v>38</v>
      </c>
      <c r="H248" s="49" t="str">
        <f t="shared" si="6"/>
        <v>B</v>
      </c>
      <c r="I248" s="48" t="str">
        <f t="shared" si="7"/>
        <v>The Commissioner &amp; Chief Constable are satisfied the spend represents VFM in accordance with the requirements of Category B</v>
      </c>
      <c r="L248" s="41"/>
      <c r="M248" s="41"/>
    </row>
    <row r="249" spans="1:13" s="42" customFormat="1" x14ac:dyDescent="0.2">
      <c r="A249" s="56" t="s">
        <v>8</v>
      </c>
      <c r="B249" s="55" t="s">
        <v>9</v>
      </c>
      <c r="C249" s="81" t="s">
        <v>404</v>
      </c>
      <c r="D249" s="53">
        <v>7174112</v>
      </c>
      <c r="E249" s="52">
        <v>45492</v>
      </c>
      <c r="F249" s="80">
        <v>1459.52</v>
      </c>
      <c r="G249" s="79" t="s">
        <v>155</v>
      </c>
      <c r="H249" s="49" t="str">
        <f t="shared" si="6"/>
        <v>B</v>
      </c>
      <c r="I249" s="48" t="str">
        <f t="shared" si="7"/>
        <v>The Commissioner &amp; Chief Constable are satisfied the spend represents VFM in accordance with the requirements of Category B</v>
      </c>
      <c r="L249" s="41"/>
      <c r="M249" s="41"/>
    </row>
    <row r="250" spans="1:13" s="42" customFormat="1" x14ac:dyDescent="0.2">
      <c r="A250" s="56" t="s">
        <v>8</v>
      </c>
      <c r="B250" s="55" t="s">
        <v>9</v>
      </c>
      <c r="C250" s="81" t="s">
        <v>283</v>
      </c>
      <c r="D250" s="53">
        <v>7174589</v>
      </c>
      <c r="E250" s="52">
        <v>45481</v>
      </c>
      <c r="F250" s="80">
        <v>1452.14</v>
      </c>
      <c r="G250" s="79" t="s">
        <v>40</v>
      </c>
      <c r="H250" s="49" t="str">
        <f t="shared" si="6"/>
        <v>B</v>
      </c>
      <c r="I250" s="48" t="str">
        <f t="shared" si="7"/>
        <v>The Commissioner &amp; Chief Constable are satisfied the spend represents VFM in accordance with the requirements of Category B</v>
      </c>
      <c r="L250" s="41"/>
      <c r="M250" s="41"/>
    </row>
    <row r="251" spans="1:13" s="42" customFormat="1" x14ac:dyDescent="0.2">
      <c r="A251" s="56" t="s">
        <v>8</v>
      </c>
      <c r="B251" s="55" t="s">
        <v>9</v>
      </c>
      <c r="C251" s="81" t="s">
        <v>412</v>
      </c>
      <c r="D251" s="53">
        <v>7174723</v>
      </c>
      <c r="E251" s="52">
        <v>45483</v>
      </c>
      <c r="F251" s="80">
        <v>1430.88</v>
      </c>
      <c r="G251" s="79" t="s">
        <v>388</v>
      </c>
      <c r="H251" s="49" t="str">
        <f t="shared" si="6"/>
        <v>B</v>
      </c>
      <c r="I251" s="48" t="str">
        <f t="shared" si="7"/>
        <v>The Commissioner &amp; Chief Constable are satisfied the spend represents VFM in accordance with the requirements of Category B</v>
      </c>
      <c r="L251" s="41"/>
      <c r="M251" s="41"/>
    </row>
    <row r="252" spans="1:13" s="42" customFormat="1" x14ac:dyDescent="0.2">
      <c r="A252" s="56" t="s">
        <v>8</v>
      </c>
      <c r="B252" s="55" t="s">
        <v>9</v>
      </c>
      <c r="C252" s="81" t="s">
        <v>213</v>
      </c>
      <c r="D252" s="53">
        <v>7175406</v>
      </c>
      <c r="E252" s="52">
        <v>45499</v>
      </c>
      <c r="F252" s="80">
        <v>1428.5</v>
      </c>
      <c r="G252" s="79" t="s">
        <v>131</v>
      </c>
      <c r="H252" s="49" t="str">
        <f t="shared" si="6"/>
        <v>B</v>
      </c>
      <c r="I252" s="48" t="str">
        <f t="shared" si="7"/>
        <v>The Commissioner &amp; Chief Constable are satisfied the spend represents VFM in accordance with the requirements of Category B</v>
      </c>
      <c r="L252" s="41"/>
      <c r="M252" s="41"/>
    </row>
    <row r="253" spans="1:13" s="42" customFormat="1" x14ac:dyDescent="0.2">
      <c r="A253" s="56" t="s">
        <v>8</v>
      </c>
      <c r="B253" s="55" t="s">
        <v>9</v>
      </c>
      <c r="C253" s="81" t="s">
        <v>822</v>
      </c>
      <c r="D253" s="53">
        <v>7175265</v>
      </c>
      <c r="E253" s="52">
        <v>45495</v>
      </c>
      <c r="F253" s="80">
        <v>1400.79</v>
      </c>
      <c r="G253" s="79" t="s">
        <v>91</v>
      </c>
      <c r="H253" s="49" t="str">
        <f t="shared" si="6"/>
        <v>B</v>
      </c>
      <c r="I253" s="48" t="str">
        <f t="shared" si="7"/>
        <v>The Commissioner &amp; Chief Constable are satisfied the spend represents VFM in accordance with the requirements of Category B</v>
      </c>
      <c r="L253" s="41"/>
      <c r="M253" s="41"/>
    </row>
    <row r="254" spans="1:13" s="42" customFormat="1" x14ac:dyDescent="0.2">
      <c r="A254" s="56" t="s">
        <v>8</v>
      </c>
      <c r="B254" s="55" t="s">
        <v>9</v>
      </c>
      <c r="C254" s="81" t="s">
        <v>266</v>
      </c>
      <c r="D254" s="53">
        <v>7175052</v>
      </c>
      <c r="E254" s="52">
        <v>45489</v>
      </c>
      <c r="F254" s="80">
        <v>1396.83</v>
      </c>
      <c r="G254" s="79" t="s">
        <v>209</v>
      </c>
      <c r="H254" s="49" t="str">
        <f t="shared" si="6"/>
        <v>B</v>
      </c>
      <c r="I254" s="48" t="str">
        <f t="shared" si="7"/>
        <v>The Commissioner &amp; Chief Constable are satisfied the spend represents VFM in accordance with the requirements of Category B</v>
      </c>
      <c r="L254" s="41"/>
      <c r="M254" s="41"/>
    </row>
    <row r="255" spans="1:13" s="42" customFormat="1" x14ac:dyDescent="0.2">
      <c r="A255" s="56" t="s">
        <v>8</v>
      </c>
      <c r="B255" s="55" t="s">
        <v>9</v>
      </c>
      <c r="C255" s="81" t="s">
        <v>221</v>
      </c>
      <c r="D255" s="53">
        <v>7175038</v>
      </c>
      <c r="E255" s="52">
        <v>45489</v>
      </c>
      <c r="F255" s="80">
        <v>1395</v>
      </c>
      <c r="G255" s="79" t="s">
        <v>106</v>
      </c>
      <c r="H255" s="49" t="str">
        <f t="shared" si="6"/>
        <v>B</v>
      </c>
      <c r="I255" s="48" t="str">
        <f t="shared" si="7"/>
        <v>The Commissioner &amp; Chief Constable are satisfied the spend represents VFM in accordance with the requirements of Category B</v>
      </c>
      <c r="L255" s="41"/>
      <c r="M255" s="41"/>
    </row>
    <row r="256" spans="1:13" s="42" customFormat="1" x14ac:dyDescent="0.2">
      <c r="A256" s="56" t="s">
        <v>8</v>
      </c>
      <c r="B256" s="55" t="s">
        <v>9</v>
      </c>
      <c r="C256" s="81" t="s">
        <v>240</v>
      </c>
      <c r="D256" s="53">
        <v>7175364</v>
      </c>
      <c r="E256" s="52">
        <v>45497</v>
      </c>
      <c r="F256" s="80">
        <v>1383.2</v>
      </c>
      <c r="G256" s="79" t="s">
        <v>241</v>
      </c>
      <c r="H256" s="49" t="str">
        <f t="shared" si="6"/>
        <v>B</v>
      </c>
      <c r="I256" s="48" t="str">
        <f t="shared" si="7"/>
        <v>The Commissioner &amp; Chief Constable are satisfied the spend represents VFM in accordance with the requirements of Category B</v>
      </c>
      <c r="L256" s="41"/>
      <c r="M256" s="41"/>
    </row>
    <row r="257" spans="1:13" s="42" customFormat="1" x14ac:dyDescent="0.2">
      <c r="A257" s="56" t="s">
        <v>8</v>
      </c>
      <c r="B257" s="55" t="s">
        <v>9</v>
      </c>
      <c r="C257" s="81" t="s">
        <v>821</v>
      </c>
      <c r="D257" s="53">
        <v>7175536</v>
      </c>
      <c r="E257" s="52">
        <v>45503</v>
      </c>
      <c r="F257" s="80">
        <v>1370</v>
      </c>
      <c r="G257" s="79" t="s">
        <v>38</v>
      </c>
      <c r="H257" s="49" t="str">
        <f t="shared" si="6"/>
        <v>B</v>
      </c>
      <c r="I257" s="48" t="str">
        <f t="shared" si="7"/>
        <v>The Commissioner &amp; Chief Constable are satisfied the spend represents VFM in accordance with the requirements of Category B</v>
      </c>
      <c r="L257" s="41"/>
      <c r="M257" s="41"/>
    </row>
    <row r="258" spans="1:13" s="42" customFormat="1" x14ac:dyDescent="0.2">
      <c r="A258" s="56" t="s">
        <v>8</v>
      </c>
      <c r="B258" s="55" t="s">
        <v>9</v>
      </c>
      <c r="C258" s="81" t="s">
        <v>486</v>
      </c>
      <c r="D258" s="53">
        <v>7174596</v>
      </c>
      <c r="E258" s="52">
        <v>45483</v>
      </c>
      <c r="F258" s="80">
        <v>1365</v>
      </c>
      <c r="G258" s="79" t="s">
        <v>91</v>
      </c>
      <c r="H258" s="49" t="str">
        <f t="shared" ref="H258:H321" si="8">IF(F258&gt;25000,"C",IF(F258&gt;1000,"B","A"))</f>
        <v>B</v>
      </c>
      <c r="I258" s="48" t="str">
        <f t="shared" ref="I258:I321" si="9">VLOOKUP(H258,$L$2:$M$4,2,FALSE)</f>
        <v>The Commissioner &amp; Chief Constable are satisfied the spend represents VFM in accordance with the requirements of Category B</v>
      </c>
      <c r="L258" s="41"/>
      <c r="M258" s="41"/>
    </row>
    <row r="259" spans="1:13" s="42" customFormat="1" x14ac:dyDescent="0.2">
      <c r="A259" s="56" t="s">
        <v>8</v>
      </c>
      <c r="B259" s="55" t="s">
        <v>9</v>
      </c>
      <c r="C259" s="81" t="s">
        <v>74</v>
      </c>
      <c r="D259" s="53">
        <v>7175006</v>
      </c>
      <c r="E259" s="52">
        <v>45491</v>
      </c>
      <c r="F259" s="80">
        <v>1305.4100000000001</v>
      </c>
      <c r="G259" s="79" t="s">
        <v>345</v>
      </c>
      <c r="H259" s="49" t="str">
        <f t="shared" si="8"/>
        <v>B</v>
      </c>
      <c r="I259" s="48" t="str">
        <f t="shared" si="9"/>
        <v>The Commissioner &amp; Chief Constable are satisfied the spend represents VFM in accordance with the requirements of Category B</v>
      </c>
      <c r="L259" s="41"/>
      <c r="M259" s="41"/>
    </row>
    <row r="260" spans="1:13" s="42" customFormat="1" x14ac:dyDescent="0.2">
      <c r="A260" s="56" t="s">
        <v>8</v>
      </c>
      <c r="B260" s="55" t="s">
        <v>9</v>
      </c>
      <c r="C260" s="81" t="s">
        <v>74</v>
      </c>
      <c r="D260" s="53">
        <v>7175004</v>
      </c>
      <c r="E260" s="52">
        <v>45491</v>
      </c>
      <c r="F260" s="80">
        <v>1305.4100000000001</v>
      </c>
      <c r="G260" s="79" t="s">
        <v>345</v>
      </c>
      <c r="H260" s="49" t="str">
        <f t="shared" si="8"/>
        <v>B</v>
      </c>
      <c r="I260" s="48" t="str">
        <f t="shared" si="9"/>
        <v>The Commissioner &amp; Chief Constable are satisfied the spend represents VFM in accordance with the requirements of Category B</v>
      </c>
      <c r="L260" s="41"/>
      <c r="M260" s="41"/>
    </row>
    <row r="261" spans="1:13" s="42" customFormat="1" x14ac:dyDescent="0.2">
      <c r="A261" s="56" t="s">
        <v>8</v>
      </c>
      <c r="B261" s="55" t="s">
        <v>9</v>
      </c>
      <c r="C261" s="81" t="s">
        <v>74</v>
      </c>
      <c r="D261" s="53">
        <v>7175005</v>
      </c>
      <c r="E261" s="52">
        <v>45491</v>
      </c>
      <c r="F261" s="80">
        <v>1305.4100000000001</v>
      </c>
      <c r="G261" s="79" t="s">
        <v>345</v>
      </c>
      <c r="H261" s="49" t="str">
        <f t="shared" si="8"/>
        <v>B</v>
      </c>
      <c r="I261" s="48" t="str">
        <f t="shared" si="9"/>
        <v>The Commissioner &amp; Chief Constable are satisfied the spend represents VFM in accordance with the requirements of Category B</v>
      </c>
      <c r="L261" s="41"/>
      <c r="M261" s="41"/>
    </row>
    <row r="262" spans="1:13" s="42" customFormat="1" x14ac:dyDescent="0.2">
      <c r="A262" s="56" t="s">
        <v>8</v>
      </c>
      <c r="B262" s="55" t="s">
        <v>9</v>
      </c>
      <c r="C262" s="81" t="s">
        <v>820</v>
      </c>
      <c r="D262" s="53">
        <v>7174854</v>
      </c>
      <c r="E262" s="52">
        <v>45488</v>
      </c>
      <c r="F262" s="80">
        <v>1300.78</v>
      </c>
      <c r="G262" s="79" t="s">
        <v>345</v>
      </c>
      <c r="H262" s="49" t="str">
        <f t="shared" si="8"/>
        <v>B</v>
      </c>
      <c r="I262" s="48" t="str">
        <f t="shared" si="9"/>
        <v>The Commissioner &amp; Chief Constable are satisfied the spend represents VFM in accordance with the requirements of Category B</v>
      </c>
      <c r="L262" s="41"/>
      <c r="M262" s="41"/>
    </row>
    <row r="263" spans="1:13" s="42" customFormat="1" x14ac:dyDescent="0.2">
      <c r="A263" s="56" t="s">
        <v>8</v>
      </c>
      <c r="B263" s="55" t="s">
        <v>9</v>
      </c>
      <c r="C263" s="81" t="s">
        <v>624</v>
      </c>
      <c r="D263" s="53">
        <v>7172044</v>
      </c>
      <c r="E263" s="52">
        <v>45498</v>
      </c>
      <c r="F263" s="80">
        <v>1300</v>
      </c>
      <c r="G263" s="79" t="s">
        <v>106</v>
      </c>
      <c r="H263" s="49" t="str">
        <f t="shared" si="8"/>
        <v>B</v>
      </c>
      <c r="I263" s="48" t="str">
        <f t="shared" si="9"/>
        <v>The Commissioner &amp; Chief Constable are satisfied the spend represents VFM in accordance with the requirements of Category B</v>
      </c>
      <c r="L263" s="41"/>
      <c r="M263" s="41"/>
    </row>
    <row r="264" spans="1:13" s="42" customFormat="1" x14ac:dyDescent="0.2">
      <c r="A264" s="56" t="s">
        <v>8</v>
      </c>
      <c r="B264" s="55" t="s">
        <v>9</v>
      </c>
      <c r="C264" s="81" t="s">
        <v>710</v>
      </c>
      <c r="D264" s="53">
        <v>7175371</v>
      </c>
      <c r="E264" s="52">
        <v>45498</v>
      </c>
      <c r="F264" s="80">
        <v>1300</v>
      </c>
      <c r="G264" s="79" t="s">
        <v>131</v>
      </c>
      <c r="H264" s="49" t="str">
        <f t="shared" si="8"/>
        <v>B</v>
      </c>
      <c r="I264" s="48" t="str">
        <f t="shared" si="9"/>
        <v>The Commissioner &amp; Chief Constable are satisfied the spend represents VFM in accordance with the requirements of Category B</v>
      </c>
      <c r="L264" s="41"/>
      <c r="M264" s="41"/>
    </row>
    <row r="265" spans="1:13" s="42" customFormat="1" x14ac:dyDescent="0.2">
      <c r="A265" s="56" t="s">
        <v>8</v>
      </c>
      <c r="B265" s="55" t="s">
        <v>9</v>
      </c>
      <c r="C265" s="81" t="s">
        <v>691</v>
      </c>
      <c r="D265" s="53">
        <v>7174923</v>
      </c>
      <c r="E265" s="52">
        <v>45484</v>
      </c>
      <c r="F265" s="80">
        <v>1260</v>
      </c>
      <c r="G265" s="84" t="s">
        <v>138</v>
      </c>
      <c r="H265" s="49" t="str">
        <f t="shared" si="8"/>
        <v>B</v>
      </c>
      <c r="I265" s="48" t="str">
        <f t="shared" si="9"/>
        <v>The Commissioner &amp; Chief Constable are satisfied the spend represents VFM in accordance with the requirements of Category B</v>
      </c>
      <c r="L265" s="41"/>
      <c r="M265" s="41"/>
    </row>
    <row r="266" spans="1:13" s="42" customFormat="1" x14ac:dyDescent="0.2">
      <c r="A266" s="56" t="s">
        <v>8</v>
      </c>
      <c r="B266" s="55" t="s">
        <v>9</v>
      </c>
      <c r="C266" s="81" t="s">
        <v>691</v>
      </c>
      <c r="D266" s="53">
        <v>7175396</v>
      </c>
      <c r="E266" s="52">
        <v>45498</v>
      </c>
      <c r="F266" s="80">
        <v>1260</v>
      </c>
      <c r="G266" s="79" t="s">
        <v>138</v>
      </c>
      <c r="H266" s="49" t="str">
        <f t="shared" si="8"/>
        <v>B</v>
      </c>
      <c r="I266" s="48" t="str">
        <f t="shared" si="9"/>
        <v>The Commissioner &amp; Chief Constable are satisfied the spend represents VFM in accordance with the requirements of Category B</v>
      </c>
      <c r="L266" s="41"/>
      <c r="M266" s="41"/>
    </row>
    <row r="267" spans="1:13" s="42" customFormat="1" x14ac:dyDescent="0.2">
      <c r="A267" s="56" t="s">
        <v>8</v>
      </c>
      <c r="B267" s="55" t="s">
        <v>9</v>
      </c>
      <c r="C267" s="81" t="s">
        <v>691</v>
      </c>
      <c r="D267" s="53">
        <v>7174541</v>
      </c>
      <c r="E267" s="52">
        <v>45475</v>
      </c>
      <c r="F267" s="83">
        <v>1260</v>
      </c>
      <c r="G267" s="79" t="s">
        <v>138</v>
      </c>
      <c r="H267" s="49" t="str">
        <f t="shared" si="8"/>
        <v>B</v>
      </c>
      <c r="I267" s="48" t="str">
        <f t="shared" si="9"/>
        <v>The Commissioner &amp; Chief Constable are satisfied the spend represents VFM in accordance with the requirements of Category B</v>
      </c>
      <c r="L267" s="41"/>
      <c r="M267" s="41"/>
    </row>
    <row r="268" spans="1:13" s="42" customFormat="1" x14ac:dyDescent="0.2">
      <c r="A268" s="56" t="s">
        <v>8</v>
      </c>
      <c r="B268" s="55" t="s">
        <v>9</v>
      </c>
      <c r="C268" s="81" t="s">
        <v>637</v>
      </c>
      <c r="D268" s="53">
        <v>7174204</v>
      </c>
      <c r="E268" s="52">
        <v>45474</v>
      </c>
      <c r="F268" s="80">
        <v>1252</v>
      </c>
      <c r="G268" s="79" t="s">
        <v>38</v>
      </c>
      <c r="H268" s="49" t="str">
        <f t="shared" si="8"/>
        <v>B</v>
      </c>
      <c r="I268" s="48" t="str">
        <f t="shared" si="9"/>
        <v>The Commissioner &amp; Chief Constable are satisfied the spend represents VFM in accordance with the requirements of Category B</v>
      </c>
      <c r="L268" s="41"/>
      <c r="M268" s="41"/>
    </row>
    <row r="269" spans="1:13" s="42" customFormat="1" x14ac:dyDescent="0.2">
      <c r="A269" s="56" t="s">
        <v>8</v>
      </c>
      <c r="B269" s="55" t="s">
        <v>9</v>
      </c>
      <c r="C269" s="81" t="s">
        <v>119</v>
      </c>
      <c r="D269" s="53">
        <v>7175142</v>
      </c>
      <c r="E269" s="52">
        <v>45490</v>
      </c>
      <c r="F269" s="80">
        <v>1241.97</v>
      </c>
      <c r="G269" s="79" t="s">
        <v>120</v>
      </c>
      <c r="H269" s="49" t="str">
        <f t="shared" si="8"/>
        <v>B</v>
      </c>
      <c r="I269" s="48" t="str">
        <f t="shared" si="9"/>
        <v>The Commissioner &amp; Chief Constable are satisfied the spend represents VFM in accordance with the requirements of Category B</v>
      </c>
      <c r="L269" s="41"/>
      <c r="M269" s="41"/>
    </row>
    <row r="270" spans="1:13" s="42" customFormat="1" x14ac:dyDescent="0.2">
      <c r="A270" s="56" t="s">
        <v>8</v>
      </c>
      <c r="B270" s="55" t="s">
        <v>9</v>
      </c>
      <c r="C270" s="81" t="s">
        <v>691</v>
      </c>
      <c r="D270" s="53">
        <v>7174766</v>
      </c>
      <c r="E270" s="52">
        <v>45481</v>
      </c>
      <c r="F270" s="80">
        <v>1218</v>
      </c>
      <c r="G270" s="79" t="s">
        <v>138</v>
      </c>
      <c r="H270" s="49" t="str">
        <f t="shared" si="8"/>
        <v>B</v>
      </c>
      <c r="I270" s="48" t="str">
        <f t="shared" si="9"/>
        <v>The Commissioner &amp; Chief Constable are satisfied the spend represents VFM in accordance with the requirements of Category B</v>
      </c>
      <c r="L270" s="41"/>
      <c r="M270" s="41"/>
    </row>
    <row r="271" spans="1:13" s="42" customFormat="1" x14ac:dyDescent="0.2">
      <c r="A271" s="56" t="s">
        <v>8</v>
      </c>
      <c r="B271" s="55" t="s">
        <v>9</v>
      </c>
      <c r="C271" s="81" t="s">
        <v>341</v>
      </c>
      <c r="D271" s="53">
        <v>7175269</v>
      </c>
      <c r="E271" s="52">
        <v>45495</v>
      </c>
      <c r="F271" s="80">
        <v>1204.6500000000001</v>
      </c>
      <c r="G271" s="79" t="s">
        <v>94</v>
      </c>
      <c r="H271" s="49" t="str">
        <f t="shared" si="8"/>
        <v>B</v>
      </c>
      <c r="I271" s="48" t="str">
        <f t="shared" si="9"/>
        <v>The Commissioner &amp; Chief Constable are satisfied the spend represents VFM in accordance with the requirements of Category B</v>
      </c>
      <c r="L271" s="41"/>
      <c r="M271" s="41"/>
    </row>
    <row r="272" spans="1:13" s="42" customFormat="1" x14ac:dyDescent="0.2">
      <c r="A272" s="56" t="s">
        <v>8</v>
      </c>
      <c r="B272" s="55" t="s">
        <v>9</v>
      </c>
      <c r="C272" s="81" t="s">
        <v>217</v>
      </c>
      <c r="D272" s="53">
        <v>7174961</v>
      </c>
      <c r="E272" s="52">
        <v>45491</v>
      </c>
      <c r="F272" s="83">
        <v>1200</v>
      </c>
      <c r="G272" s="79" t="s">
        <v>84</v>
      </c>
      <c r="H272" s="49" t="str">
        <f t="shared" si="8"/>
        <v>B</v>
      </c>
      <c r="I272" s="48" t="str">
        <f t="shared" si="9"/>
        <v>The Commissioner &amp; Chief Constable are satisfied the spend represents VFM in accordance with the requirements of Category B</v>
      </c>
      <c r="L272" s="41"/>
      <c r="M272" s="41"/>
    </row>
    <row r="273" spans="1:13" s="42" customFormat="1" x14ac:dyDescent="0.2">
      <c r="A273" s="56" t="s">
        <v>8</v>
      </c>
      <c r="B273" s="55" t="s">
        <v>9</v>
      </c>
      <c r="C273" s="81" t="s">
        <v>807</v>
      </c>
      <c r="D273" s="53">
        <v>7175423</v>
      </c>
      <c r="E273" s="52">
        <v>45502</v>
      </c>
      <c r="F273" s="80">
        <v>1200</v>
      </c>
      <c r="G273" s="79" t="s">
        <v>106</v>
      </c>
      <c r="H273" s="49" t="str">
        <f t="shared" si="8"/>
        <v>B</v>
      </c>
      <c r="I273" s="48" t="str">
        <f t="shared" si="9"/>
        <v>The Commissioner &amp; Chief Constable are satisfied the spend represents VFM in accordance with the requirements of Category B</v>
      </c>
      <c r="L273" s="41"/>
      <c r="M273" s="41"/>
    </row>
    <row r="274" spans="1:13" s="42" customFormat="1" x14ac:dyDescent="0.2">
      <c r="A274" s="56" t="s">
        <v>8</v>
      </c>
      <c r="B274" s="55" t="s">
        <v>9</v>
      </c>
      <c r="C274" s="81" t="s">
        <v>245</v>
      </c>
      <c r="D274" s="53">
        <v>7174829</v>
      </c>
      <c r="E274" s="52">
        <v>45481</v>
      </c>
      <c r="F274" s="80">
        <v>1200</v>
      </c>
      <c r="G274" s="79" t="s">
        <v>106</v>
      </c>
      <c r="H274" s="49" t="str">
        <f t="shared" si="8"/>
        <v>B</v>
      </c>
      <c r="I274" s="48" t="str">
        <f t="shared" si="9"/>
        <v>The Commissioner &amp; Chief Constable are satisfied the spend represents VFM in accordance with the requirements of Category B</v>
      </c>
      <c r="L274" s="41"/>
      <c r="M274" s="41"/>
    </row>
    <row r="275" spans="1:13" s="42" customFormat="1" x14ac:dyDescent="0.2">
      <c r="A275" s="56" t="s">
        <v>8</v>
      </c>
      <c r="B275" s="55" t="s">
        <v>9</v>
      </c>
      <c r="C275" s="81" t="s">
        <v>281</v>
      </c>
      <c r="D275" s="53">
        <v>7174841</v>
      </c>
      <c r="E275" s="52">
        <v>45488</v>
      </c>
      <c r="F275" s="80">
        <v>1160.6500000000001</v>
      </c>
      <c r="G275" s="79" t="s">
        <v>209</v>
      </c>
      <c r="H275" s="49" t="str">
        <f t="shared" si="8"/>
        <v>B</v>
      </c>
      <c r="I275" s="48" t="str">
        <f t="shared" si="9"/>
        <v>The Commissioner &amp; Chief Constable are satisfied the spend represents VFM in accordance with the requirements of Category B</v>
      </c>
      <c r="L275" s="41"/>
      <c r="M275" s="41"/>
    </row>
    <row r="276" spans="1:13" s="42" customFormat="1" x14ac:dyDescent="0.2">
      <c r="A276" s="56" t="s">
        <v>8</v>
      </c>
      <c r="B276" s="55" t="s">
        <v>9</v>
      </c>
      <c r="C276" s="81" t="s">
        <v>202</v>
      </c>
      <c r="D276" s="53">
        <v>7175504</v>
      </c>
      <c r="E276" s="52">
        <v>45502</v>
      </c>
      <c r="F276" s="80">
        <v>1136</v>
      </c>
      <c r="G276" s="79" t="s">
        <v>203</v>
      </c>
      <c r="H276" s="49" t="str">
        <f t="shared" si="8"/>
        <v>B</v>
      </c>
      <c r="I276" s="48" t="str">
        <f t="shared" si="9"/>
        <v>The Commissioner &amp; Chief Constable are satisfied the spend represents VFM in accordance with the requirements of Category B</v>
      </c>
      <c r="L276" s="41"/>
      <c r="M276" s="41"/>
    </row>
    <row r="277" spans="1:13" s="42" customFormat="1" x14ac:dyDescent="0.2">
      <c r="A277" s="56" t="s">
        <v>8</v>
      </c>
      <c r="B277" s="55" t="s">
        <v>9</v>
      </c>
      <c r="C277" s="81" t="s">
        <v>260</v>
      </c>
      <c r="D277" s="53">
        <v>7175615</v>
      </c>
      <c r="E277" s="52">
        <v>45504</v>
      </c>
      <c r="F277" s="80">
        <v>1133.0899999999999</v>
      </c>
      <c r="G277" s="79" t="s">
        <v>261</v>
      </c>
      <c r="H277" s="49" t="str">
        <f t="shared" si="8"/>
        <v>B</v>
      </c>
      <c r="I277" s="48" t="str">
        <f t="shared" si="9"/>
        <v>The Commissioner &amp; Chief Constable are satisfied the spend represents VFM in accordance with the requirements of Category B</v>
      </c>
      <c r="L277" s="41"/>
      <c r="M277" s="41"/>
    </row>
    <row r="278" spans="1:13" s="42" customFormat="1" x14ac:dyDescent="0.2">
      <c r="A278" s="56" t="s">
        <v>8</v>
      </c>
      <c r="B278" s="55" t="s">
        <v>9</v>
      </c>
      <c r="C278" s="82" t="s">
        <v>195</v>
      </c>
      <c r="D278" s="53">
        <v>7174517</v>
      </c>
      <c r="E278" s="52">
        <v>45474</v>
      </c>
      <c r="F278" s="80">
        <v>1124.3</v>
      </c>
      <c r="G278" s="79" t="s">
        <v>22</v>
      </c>
      <c r="H278" s="49" t="str">
        <f t="shared" si="8"/>
        <v>B</v>
      </c>
      <c r="I278" s="48" t="str">
        <f t="shared" si="9"/>
        <v>The Commissioner &amp; Chief Constable are satisfied the spend represents VFM in accordance with the requirements of Category B</v>
      </c>
      <c r="L278" s="41"/>
      <c r="M278" s="41"/>
    </row>
    <row r="279" spans="1:13" s="42" customFormat="1" x14ac:dyDescent="0.2">
      <c r="A279" s="56" t="s">
        <v>8</v>
      </c>
      <c r="B279" s="55" t="s">
        <v>9</v>
      </c>
      <c r="C279" s="81" t="s">
        <v>819</v>
      </c>
      <c r="D279" s="53">
        <v>7174690</v>
      </c>
      <c r="E279" s="52">
        <v>45478</v>
      </c>
      <c r="F279" s="80">
        <v>1124</v>
      </c>
      <c r="G279" s="79" t="s">
        <v>319</v>
      </c>
      <c r="H279" s="49" t="str">
        <f t="shared" si="8"/>
        <v>B</v>
      </c>
      <c r="I279" s="48" t="str">
        <f t="shared" si="9"/>
        <v>The Commissioner &amp; Chief Constable are satisfied the spend represents VFM in accordance with the requirements of Category B</v>
      </c>
      <c r="L279" s="41"/>
      <c r="M279" s="41"/>
    </row>
    <row r="280" spans="1:13" s="42" customFormat="1" x14ac:dyDescent="0.2">
      <c r="A280" s="56" t="s">
        <v>8</v>
      </c>
      <c r="B280" s="55" t="s">
        <v>9</v>
      </c>
      <c r="C280" s="81" t="s">
        <v>818</v>
      </c>
      <c r="D280" s="53">
        <v>9035425</v>
      </c>
      <c r="E280" s="52">
        <v>45491</v>
      </c>
      <c r="F280" s="80">
        <v>1117</v>
      </c>
      <c r="G280" s="79" t="s">
        <v>22</v>
      </c>
      <c r="H280" s="49" t="str">
        <f t="shared" si="8"/>
        <v>B</v>
      </c>
      <c r="I280" s="48" t="str">
        <f t="shared" si="9"/>
        <v>The Commissioner &amp; Chief Constable are satisfied the spend represents VFM in accordance with the requirements of Category B</v>
      </c>
      <c r="L280" s="41"/>
      <c r="M280" s="41"/>
    </row>
    <row r="281" spans="1:13" s="42" customFormat="1" x14ac:dyDescent="0.2">
      <c r="A281" s="56" t="s">
        <v>8</v>
      </c>
      <c r="B281" s="55" t="s">
        <v>9</v>
      </c>
      <c r="C281" s="81" t="s">
        <v>292</v>
      </c>
      <c r="D281" s="53">
        <v>7174617</v>
      </c>
      <c r="E281" s="52">
        <v>45480</v>
      </c>
      <c r="F281" s="80">
        <v>1080</v>
      </c>
      <c r="G281" s="79" t="s">
        <v>84</v>
      </c>
      <c r="H281" s="49" t="str">
        <f t="shared" si="8"/>
        <v>B</v>
      </c>
      <c r="I281" s="48" t="str">
        <f t="shared" si="9"/>
        <v>The Commissioner &amp; Chief Constable are satisfied the spend represents VFM in accordance with the requirements of Category B</v>
      </c>
      <c r="L281" s="41"/>
      <c r="M281" s="41"/>
    </row>
    <row r="282" spans="1:13" s="42" customFormat="1" x14ac:dyDescent="0.2">
      <c r="A282" s="56" t="s">
        <v>8</v>
      </c>
      <c r="B282" s="55" t="s">
        <v>9</v>
      </c>
      <c r="C282" s="81" t="s">
        <v>419</v>
      </c>
      <c r="D282" s="53">
        <v>7175219</v>
      </c>
      <c r="E282" s="52">
        <v>45492</v>
      </c>
      <c r="F282" s="80">
        <v>1070</v>
      </c>
      <c r="G282" s="79" t="s">
        <v>22</v>
      </c>
      <c r="H282" s="49" t="str">
        <f t="shared" si="8"/>
        <v>B</v>
      </c>
      <c r="I282" s="48" t="str">
        <f t="shared" si="9"/>
        <v>The Commissioner &amp; Chief Constable are satisfied the spend represents VFM in accordance with the requirements of Category B</v>
      </c>
      <c r="L282" s="41"/>
      <c r="M282" s="41"/>
    </row>
    <row r="283" spans="1:13" s="42" customFormat="1" x14ac:dyDescent="0.2">
      <c r="A283" s="56" t="s">
        <v>8</v>
      </c>
      <c r="B283" s="55" t="s">
        <v>9</v>
      </c>
      <c r="C283" s="81" t="s">
        <v>419</v>
      </c>
      <c r="D283" s="53">
        <v>7174799</v>
      </c>
      <c r="E283" s="52">
        <v>45482</v>
      </c>
      <c r="F283" s="80">
        <v>1070</v>
      </c>
      <c r="G283" s="84" t="s">
        <v>22</v>
      </c>
      <c r="H283" s="49" t="str">
        <f t="shared" si="8"/>
        <v>B</v>
      </c>
      <c r="I283" s="48" t="str">
        <f t="shared" si="9"/>
        <v>The Commissioner &amp; Chief Constable are satisfied the spend represents VFM in accordance with the requirements of Category B</v>
      </c>
      <c r="L283" s="41"/>
      <c r="M283" s="41"/>
    </row>
    <row r="284" spans="1:13" s="42" customFormat="1" x14ac:dyDescent="0.2">
      <c r="A284" s="56" t="s">
        <v>8</v>
      </c>
      <c r="B284" s="55" t="s">
        <v>9</v>
      </c>
      <c r="C284" s="81" t="s">
        <v>256</v>
      </c>
      <c r="D284" s="53">
        <v>7174983</v>
      </c>
      <c r="E284" s="52">
        <v>45488</v>
      </c>
      <c r="F284" s="80">
        <v>1068.0999999999999</v>
      </c>
      <c r="G284" s="79" t="s">
        <v>131</v>
      </c>
      <c r="H284" s="49" t="str">
        <f t="shared" si="8"/>
        <v>B</v>
      </c>
      <c r="I284" s="48" t="str">
        <f t="shared" si="9"/>
        <v>The Commissioner &amp; Chief Constable are satisfied the spend represents VFM in accordance with the requirements of Category B</v>
      </c>
      <c r="L284" s="41"/>
      <c r="M284" s="41"/>
    </row>
    <row r="285" spans="1:13" s="42" customFormat="1" x14ac:dyDescent="0.2">
      <c r="A285" s="56" t="s">
        <v>8</v>
      </c>
      <c r="B285" s="55" t="s">
        <v>9</v>
      </c>
      <c r="C285" s="81" t="s">
        <v>260</v>
      </c>
      <c r="D285" s="53">
        <v>7174547</v>
      </c>
      <c r="E285" s="52">
        <v>45475</v>
      </c>
      <c r="F285" s="80">
        <v>1066.76</v>
      </c>
      <c r="G285" s="79" t="s">
        <v>261</v>
      </c>
      <c r="H285" s="49" t="str">
        <f t="shared" si="8"/>
        <v>B</v>
      </c>
      <c r="I285" s="48" t="str">
        <f t="shared" si="9"/>
        <v>The Commissioner &amp; Chief Constable are satisfied the spend represents VFM in accordance with the requirements of Category B</v>
      </c>
      <c r="L285" s="41"/>
      <c r="M285" s="41"/>
    </row>
    <row r="286" spans="1:13" s="42" customFormat="1" x14ac:dyDescent="0.2">
      <c r="A286" s="56" t="s">
        <v>8</v>
      </c>
      <c r="B286" s="55" t="s">
        <v>9</v>
      </c>
      <c r="C286" s="81" t="s">
        <v>93</v>
      </c>
      <c r="D286" s="53">
        <v>7175353</v>
      </c>
      <c r="E286" s="52">
        <v>45497</v>
      </c>
      <c r="F286" s="80">
        <v>1053</v>
      </c>
      <c r="G286" s="79" t="s">
        <v>94</v>
      </c>
      <c r="H286" s="49" t="str">
        <f t="shared" si="8"/>
        <v>B</v>
      </c>
      <c r="I286" s="48" t="str">
        <f t="shared" si="9"/>
        <v>The Commissioner &amp; Chief Constable are satisfied the spend represents VFM in accordance with the requirements of Category B</v>
      </c>
      <c r="L286" s="41"/>
      <c r="M286" s="41"/>
    </row>
    <row r="287" spans="1:13" s="42" customFormat="1" x14ac:dyDescent="0.2">
      <c r="A287" s="56" t="s">
        <v>8</v>
      </c>
      <c r="B287" s="55" t="s">
        <v>9</v>
      </c>
      <c r="C287" s="81" t="s">
        <v>817</v>
      </c>
      <c r="D287" s="53">
        <v>7175539</v>
      </c>
      <c r="E287" s="52">
        <v>45503</v>
      </c>
      <c r="F287" s="80">
        <v>1048.5</v>
      </c>
      <c r="G287" s="79" t="s">
        <v>138</v>
      </c>
      <c r="H287" s="49" t="str">
        <f t="shared" si="8"/>
        <v>B</v>
      </c>
      <c r="I287" s="48" t="str">
        <f t="shared" si="9"/>
        <v>The Commissioner &amp; Chief Constable are satisfied the spend represents VFM in accordance with the requirements of Category B</v>
      </c>
      <c r="L287" s="41"/>
      <c r="M287" s="41"/>
    </row>
    <row r="288" spans="1:13" s="42" customFormat="1" x14ac:dyDescent="0.2">
      <c r="A288" s="56" t="s">
        <v>8</v>
      </c>
      <c r="B288" s="55" t="s">
        <v>9</v>
      </c>
      <c r="C288" s="81" t="s">
        <v>816</v>
      </c>
      <c r="D288" s="53">
        <v>7175403</v>
      </c>
      <c r="E288" s="52">
        <v>45499</v>
      </c>
      <c r="F288" s="80">
        <v>1039</v>
      </c>
      <c r="G288" s="79" t="s">
        <v>38</v>
      </c>
      <c r="H288" s="49" t="str">
        <f t="shared" si="8"/>
        <v>B</v>
      </c>
      <c r="I288" s="48" t="str">
        <f t="shared" si="9"/>
        <v>The Commissioner &amp; Chief Constable are satisfied the spend represents VFM in accordance with the requirements of Category B</v>
      </c>
      <c r="L288" s="41"/>
      <c r="M288" s="41"/>
    </row>
    <row r="289" spans="1:13" s="42" customFormat="1" x14ac:dyDescent="0.2">
      <c r="A289" s="56" t="s">
        <v>8</v>
      </c>
      <c r="B289" s="55" t="s">
        <v>9</v>
      </c>
      <c r="C289" s="81" t="s">
        <v>289</v>
      </c>
      <c r="D289" s="53">
        <v>7175139</v>
      </c>
      <c r="E289" s="52">
        <v>45499</v>
      </c>
      <c r="F289" s="80">
        <v>1010.91</v>
      </c>
      <c r="G289" s="79" t="s">
        <v>131</v>
      </c>
      <c r="H289" s="49" t="str">
        <f t="shared" si="8"/>
        <v>B</v>
      </c>
      <c r="I289" s="48" t="str">
        <f t="shared" si="9"/>
        <v>The Commissioner &amp; Chief Constable are satisfied the spend represents VFM in accordance with the requirements of Category B</v>
      </c>
      <c r="L289" s="41"/>
      <c r="M289" s="41"/>
    </row>
    <row r="290" spans="1:13" s="42" customFormat="1" x14ac:dyDescent="0.2">
      <c r="A290" s="56" t="s">
        <v>8</v>
      </c>
      <c r="B290" s="55" t="s">
        <v>9</v>
      </c>
      <c r="C290" s="81" t="s">
        <v>260</v>
      </c>
      <c r="D290" s="53">
        <v>7175151</v>
      </c>
      <c r="E290" s="52">
        <v>45502</v>
      </c>
      <c r="F290" s="80">
        <v>1002.23</v>
      </c>
      <c r="G290" s="79" t="s">
        <v>261</v>
      </c>
      <c r="H290" s="49" t="str">
        <f t="shared" si="8"/>
        <v>B</v>
      </c>
      <c r="I290" s="48" t="str">
        <f t="shared" si="9"/>
        <v>The Commissioner &amp; Chief Constable are satisfied the spend represents VFM in accordance with the requirements of Category B</v>
      </c>
      <c r="L290" s="41"/>
      <c r="M290" s="41"/>
    </row>
    <row r="291" spans="1:13" s="42" customFormat="1" x14ac:dyDescent="0.2">
      <c r="A291" s="56" t="s">
        <v>8</v>
      </c>
      <c r="B291" s="55" t="s">
        <v>9</v>
      </c>
      <c r="C291" s="81" t="s">
        <v>136</v>
      </c>
      <c r="D291" s="53">
        <v>7173963</v>
      </c>
      <c r="E291" s="52">
        <v>45488</v>
      </c>
      <c r="F291" s="80">
        <v>1000</v>
      </c>
      <c r="G291" s="79" t="s">
        <v>15</v>
      </c>
      <c r="H291" s="49" t="str">
        <f t="shared" si="8"/>
        <v>A</v>
      </c>
      <c r="I291" s="48" t="str">
        <f t="shared" si="9"/>
        <v>The Commissioner &amp; Chief Constable are satisfied the spend represents VFM in accordance with the requirements of Category A</v>
      </c>
      <c r="L291" s="41"/>
      <c r="M291" s="41"/>
    </row>
    <row r="292" spans="1:13" s="42" customFormat="1" x14ac:dyDescent="0.2">
      <c r="A292" s="56" t="s">
        <v>8</v>
      </c>
      <c r="B292" s="55" t="s">
        <v>9</v>
      </c>
      <c r="C292" s="81" t="s">
        <v>74</v>
      </c>
      <c r="D292" s="53">
        <v>7175486</v>
      </c>
      <c r="E292" s="52">
        <v>45503</v>
      </c>
      <c r="F292" s="80">
        <v>991.44</v>
      </c>
      <c r="G292" s="79" t="s">
        <v>75</v>
      </c>
      <c r="H292" s="49" t="str">
        <f t="shared" si="8"/>
        <v>A</v>
      </c>
      <c r="I292" s="48" t="str">
        <f t="shared" si="9"/>
        <v>The Commissioner &amp; Chief Constable are satisfied the spend represents VFM in accordance with the requirements of Category A</v>
      </c>
      <c r="L292" s="41"/>
      <c r="M292" s="41"/>
    </row>
    <row r="293" spans="1:13" s="42" customFormat="1" x14ac:dyDescent="0.2">
      <c r="A293" s="56" t="s">
        <v>8</v>
      </c>
      <c r="B293" s="55" t="s">
        <v>9</v>
      </c>
      <c r="C293" s="81" t="s">
        <v>807</v>
      </c>
      <c r="D293" s="53">
        <v>7175510</v>
      </c>
      <c r="E293" s="52">
        <v>45502</v>
      </c>
      <c r="F293" s="80">
        <v>990</v>
      </c>
      <c r="G293" s="79" t="s">
        <v>106</v>
      </c>
      <c r="H293" s="49" t="str">
        <f t="shared" si="8"/>
        <v>A</v>
      </c>
      <c r="I293" s="48" t="str">
        <f t="shared" si="9"/>
        <v>The Commissioner &amp; Chief Constable are satisfied the spend represents VFM in accordance with the requirements of Category A</v>
      </c>
      <c r="L293" s="41"/>
      <c r="M293" s="41"/>
    </row>
    <row r="294" spans="1:13" s="42" customFormat="1" x14ac:dyDescent="0.2">
      <c r="A294" s="56" t="s">
        <v>8</v>
      </c>
      <c r="B294" s="55" t="s">
        <v>9</v>
      </c>
      <c r="C294" s="81" t="s">
        <v>815</v>
      </c>
      <c r="D294" s="53">
        <v>7175160</v>
      </c>
      <c r="E294" s="52">
        <v>45492</v>
      </c>
      <c r="F294" s="80">
        <v>989.5</v>
      </c>
      <c r="G294" s="79" t="s">
        <v>131</v>
      </c>
      <c r="H294" s="49" t="str">
        <f t="shared" si="8"/>
        <v>A</v>
      </c>
      <c r="I294" s="48" t="str">
        <f t="shared" si="9"/>
        <v>The Commissioner &amp; Chief Constable are satisfied the spend represents VFM in accordance with the requirements of Category A</v>
      </c>
      <c r="L294" s="41"/>
      <c r="M294" s="41"/>
    </row>
    <row r="295" spans="1:13" s="42" customFormat="1" x14ac:dyDescent="0.2">
      <c r="A295" s="56" t="s">
        <v>8</v>
      </c>
      <c r="B295" s="55" t="s">
        <v>9</v>
      </c>
      <c r="C295" s="81" t="s">
        <v>181</v>
      </c>
      <c r="D295" s="53">
        <v>7175028</v>
      </c>
      <c r="E295" s="52">
        <v>45488</v>
      </c>
      <c r="F295" s="80">
        <v>982.76</v>
      </c>
      <c r="G295" s="79" t="s">
        <v>98</v>
      </c>
      <c r="H295" s="49" t="str">
        <f t="shared" si="8"/>
        <v>A</v>
      </c>
      <c r="I295" s="48" t="str">
        <f t="shared" si="9"/>
        <v>The Commissioner &amp; Chief Constable are satisfied the spend represents VFM in accordance with the requirements of Category A</v>
      </c>
      <c r="L295" s="41"/>
      <c r="M295" s="41"/>
    </row>
    <row r="296" spans="1:13" s="42" customFormat="1" x14ac:dyDescent="0.2">
      <c r="A296" s="56" t="s">
        <v>8</v>
      </c>
      <c r="B296" s="55" t="s">
        <v>9</v>
      </c>
      <c r="C296" s="81" t="s">
        <v>124</v>
      </c>
      <c r="D296" s="53">
        <v>7175284</v>
      </c>
      <c r="E296" s="52">
        <v>45496</v>
      </c>
      <c r="F296" s="80">
        <v>982.65</v>
      </c>
      <c r="G296" s="79" t="s">
        <v>91</v>
      </c>
      <c r="H296" s="49" t="str">
        <f t="shared" si="8"/>
        <v>A</v>
      </c>
      <c r="I296" s="48" t="str">
        <f t="shared" si="9"/>
        <v>The Commissioner &amp; Chief Constable are satisfied the spend represents VFM in accordance with the requirements of Category A</v>
      </c>
      <c r="L296" s="41"/>
      <c r="M296" s="41"/>
    </row>
    <row r="297" spans="1:13" s="42" customFormat="1" x14ac:dyDescent="0.2">
      <c r="A297" s="56" t="s">
        <v>8</v>
      </c>
      <c r="B297" s="55" t="s">
        <v>9</v>
      </c>
      <c r="C297" s="81" t="s">
        <v>181</v>
      </c>
      <c r="D297" s="53">
        <v>7175033</v>
      </c>
      <c r="E297" s="52">
        <v>45488</v>
      </c>
      <c r="F297" s="80">
        <v>970.5</v>
      </c>
      <c r="G297" s="79" t="s">
        <v>106</v>
      </c>
      <c r="H297" s="49" t="str">
        <f t="shared" si="8"/>
        <v>A</v>
      </c>
      <c r="I297" s="48" t="str">
        <f t="shared" si="9"/>
        <v>The Commissioner &amp; Chief Constable are satisfied the spend represents VFM in accordance with the requirements of Category A</v>
      </c>
      <c r="L297" s="41"/>
      <c r="M297" s="41"/>
    </row>
    <row r="298" spans="1:13" s="42" customFormat="1" x14ac:dyDescent="0.2">
      <c r="A298" s="56" t="s">
        <v>8</v>
      </c>
      <c r="B298" s="55" t="s">
        <v>9</v>
      </c>
      <c r="C298" s="81" t="s">
        <v>103</v>
      </c>
      <c r="D298" s="53">
        <v>7174101</v>
      </c>
      <c r="E298" s="52">
        <v>45474</v>
      </c>
      <c r="F298" s="80">
        <v>965</v>
      </c>
      <c r="G298" s="79" t="s">
        <v>91</v>
      </c>
      <c r="H298" s="49" t="str">
        <f t="shared" si="8"/>
        <v>A</v>
      </c>
      <c r="I298" s="48" t="str">
        <f t="shared" si="9"/>
        <v>The Commissioner &amp; Chief Constable are satisfied the spend represents VFM in accordance with the requirements of Category A</v>
      </c>
      <c r="L298" s="41"/>
      <c r="M298" s="41"/>
    </row>
    <row r="299" spans="1:13" s="42" customFormat="1" x14ac:dyDescent="0.2">
      <c r="A299" s="56" t="s">
        <v>8</v>
      </c>
      <c r="B299" s="55" t="s">
        <v>9</v>
      </c>
      <c r="C299" s="81" t="s">
        <v>195</v>
      </c>
      <c r="D299" s="53">
        <v>7174496</v>
      </c>
      <c r="E299" s="52">
        <v>45477</v>
      </c>
      <c r="F299" s="80">
        <v>957.5</v>
      </c>
      <c r="G299" s="79" t="s">
        <v>22</v>
      </c>
      <c r="H299" s="49" t="str">
        <f t="shared" si="8"/>
        <v>A</v>
      </c>
      <c r="I299" s="48" t="str">
        <f t="shared" si="9"/>
        <v>The Commissioner &amp; Chief Constable are satisfied the spend represents VFM in accordance with the requirements of Category A</v>
      </c>
      <c r="L299" s="41"/>
      <c r="M299" s="41"/>
    </row>
    <row r="300" spans="1:13" s="42" customFormat="1" x14ac:dyDescent="0.2">
      <c r="A300" s="56" t="s">
        <v>8</v>
      </c>
      <c r="B300" s="55" t="s">
        <v>9</v>
      </c>
      <c r="C300" s="81" t="s">
        <v>107</v>
      </c>
      <c r="D300" s="53">
        <v>7174654</v>
      </c>
      <c r="E300" s="52">
        <v>45478</v>
      </c>
      <c r="F300" s="83">
        <v>957</v>
      </c>
      <c r="G300" s="79" t="s">
        <v>108</v>
      </c>
      <c r="H300" s="49" t="str">
        <f t="shared" si="8"/>
        <v>A</v>
      </c>
      <c r="I300" s="48" t="str">
        <f t="shared" si="9"/>
        <v>The Commissioner &amp; Chief Constable are satisfied the spend represents VFM in accordance with the requirements of Category A</v>
      </c>
      <c r="L300" s="41"/>
      <c r="M300" s="41"/>
    </row>
    <row r="301" spans="1:13" s="42" customFormat="1" x14ac:dyDescent="0.2">
      <c r="A301" s="56" t="s">
        <v>8</v>
      </c>
      <c r="B301" s="55" t="s">
        <v>9</v>
      </c>
      <c r="C301" s="81" t="s">
        <v>181</v>
      </c>
      <c r="D301" s="53">
        <v>7175062</v>
      </c>
      <c r="E301" s="52">
        <v>45489</v>
      </c>
      <c r="F301" s="80">
        <v>952</v>
      </c>
      <c r="G301" s="79" t="s">
        <v>106</v>
      </c>
      <c r="H301" s="49" t="str">
        <f t="shared" si="8"/>
        <v>A</v>
      </c>
      <c r="I301" s="48" t="str">
        <f t="shared" si="9"/>
        <v>The Commissioner &amp; Chief Constable are satisfied the spend represents VFM in accordance with the requirements of Category A</v>
      </c>
      <c r="L301" s="41"/>
      <c r="M301" s="41"/>
    </row>
    <row r="302" spans="1:13" s="42" customFormat="1" x14ac:dyDescent="0.2">
      <c r="A302" s="56" t="s">
        <v>8</v>
      </c>
      <c r="B302" s="55" t="s">
        <v>9</v>
      </c>
      <c r="C302" s="81" t="s">
        <v>195</v>
      </c>
      <c r="D302" s="53">
        <v>7174494</v>
      </c>
      <c r="E302" s="52">
        <v>45474</v>
      </c>
      <c r="F302" s="80">
        <v>924</v>
      </c>
      <c r="G302" s="79" t="s">
        <v>22</v>
      </c>
      <c r="H302" s="49" t="str">
        <f t="shared" si="8"/>
        <v>A</v>
      </c>
      <c r="I302" s="48" t="str">
        <f t="shared" si="9"/>
        <v>The Commissioner &amp; Chief Constable are satisfied the spend represents VFM in accordance with the requirements of Category A</v>
      </c>
      <c r="L302" s="41"/>
      <c r="M302" s="41"/>
    </row>
    <row r="303" spans="1:13" x14ac:dyDescent="0.2">
      <c r="A303" s="56" t="s">
        <v>8</v>
      </c>
      <c r="B303" s="55" t="s">
        <v>9</v>
      </c>
      <c r="C303" s="81" t="s">
        <v>256</v>
      </c>
      <c r="D303" s="53">
        <v>7174745</v>
      </c>
      <c r="E303" s="52">
        <v>45483</v>
      </c>
      <c r="F303" s="80">
        <v>920</v>
      </c>
      <c r="G303" s="79" t="s">
        <v>131</v>
      </c>
      <c r="H303" s="49" t="str">
        <f t="shared" si="8"/>
        <v>A</v>
      </c>
      <c r="I303" s="48" t="str">
        <f t="shared" si="9"/>
        <v>The Commissioner &amp; Chief Constable are satisfied the spend represents VFM in accordance with the requirements of Category A</v>
      </c>
    </row>
    <row r="304" spans="1:13" x14ac:dyDescent="0.2">
      <c r="A304" s="56" t="s">
        <v>8</v>
      </c>
      <c r="B304" s="55" t="s">
        <v>9</v>
      </c>
      <c r="C304" s="81" t="s">
        <v>302</v>
      </c>
      <c r="D304" s="53">
        <v>7174716</v>
      </c>
      <c r="E304" s="52">
        <v>45481</v>
      </c>
      <c r="F304" s="80">
        <v>911.78</v>
      </c>
      <c r="G304" s="79" t="s">
        <v>131</v>
      </c>
      <c r="H304" s="49" t="str">
        <f t="shared" si="8"/>
        <v>A</v>
      </c>
      <c r="I304" s="48" t="str">
        <f t="shared" si="9"/>
        <v>The Commissioner &amp; Chief Constable are satisfied the spend represents VFM in accordance with the requirements of Category A</v>
      </c>
    </row>
    <row r="305" spans="1:9" x14ac:dyDescent="0.2">
      <c r="A305" s="56" t="s">
        <v>8</v>
      </c>
      <c r="B305" s="55" t="s">
        <v>9</v>
      </c>
      <c r="C305" s="81" t="s">
        <v>260</v>
      </c>
      <c r="D305" s="53">
        <v>7175207</v>
      </c>
      <c r="E305" s="52">
        <v>45499</v>
      </c>
      <c r="F305" s="80">
        <v>902.16</v>
      </c>
      <c r="G305" s="79" t="s">
        <v>131</v>
      </c>
      <c r="H305" s="49" t="str">
        <f t="shared" si="8"/>
        <v>A</v>
      </c>
      <c r="I305" s="48" t="str">
        <f t="shared" si="9"/>
        <v>The Commissioner &amp; Chief Constable are satisfied the spend represents VFM in accordance with the requirements of Category A</v>
      </c>
    </row>
    <row r="306" spans="1:9" x14ac:dyDescent="0.2">
      <c r="A306" s="56" t="s">
        <v>8</v>
      </c>
      <c r="B306" s="55" t="s">
        <v>9</v>
      </c>
      <c r="C306" s="81" t="s">
        <v>199</v>
      </c>
      <c r="D306" s="53">
        <v>7175426</v>
      </c>
      <c r="E306" s="52">
        <v>45499</v>
      </c>
      <c r="F306" s="80">
        <v>901.95</v>
      </c>
      <c r="G306" s="79" t="s">
        <v>148</v>
      </c>
      <c r="H306" s="49" t="str">
        <f t="shared" si="8"/>
        <v>A</v>
      </c>
      <c r="I306" s="48" t="str">
        <f t="shared" si="9"/>
        <v>The Commissioner &amp; Chief Constable are satisfied the spend represents VFM in accordance with the requirements of Category A</v>
      </c>
    </row>
    <row r="307" spans="1:9" x14ac:dyDescent="0.2">
      <c r="A307" s="56" t="s">
        <v>8</v>
      </c>
      <c r="B307" s="55" t="s">
        <v>9</v>
      </c>
      <c r="C307" s="81" t="s">
        <v>172</v>
      </c>
      <c r="D307" s="53">
        <v>7174997</v>
      </c>
      <c r="E307" s="52">
        <v>45488</v>
      </c>
      <c r="F307" s="80">
        <v>900</v>
      </c>
      <c r="G307" s="79" t="s">
        <v>39</v>
      </c>
      <c r="H307" s="49" t="str">
        <f t="shared" si="8"/>
        <v>A</v>
      </c>
      <c r="I307" s="48" t="str">
        <f t="shared" si="9"/>
        <v>The Commissioner &amp; Chief Constable are satisfied the spend represents VFM in accordance with the requirements of Category A</v>
      </c>
    </row>
    <row r="308" spans="1:9" x14ac:dyDescent="0.2">
      <c r="A308" s="56" t="s">
        <v>8</v>
      </c>
      <c r="B308" s="55" t="s">
        <v>9</v>
      </c>
      <c r="C308" s="81" t="s">
        <v>814</v>
      </c>
      <c r="D308" s="53">
        <v>7174882</v>
      </c>
      <c r="E308" s="52">
        <v>45483</v>
      </c>
      <c r="F308" s="80">
        <v>900</v>
      </c>
      <c r="G308" s="79" t="s">
        <v>123</v>
      </c>
      <c r="H308" s="49" t="str">
        <f t="shared" si="8"/>
        <v>A</v>
      </c>
      <c r="I308" s="48" t="str">
        <f t="shared" si="9"/>
        <v>The Commissioner &amp; Chief Constable are satisfied the spend represents VFM in accordance with the requirements of Category A</v>
      </c>
    </row>
    <row r="309" spans="1:9" x14ac:dyDescent="0.2">
      <c r="A309" s="56" t="s">
        <v>8</v>
      </c>
      <c r="B309" s="55" t="s">
        <v>9</v>
      </c>
      <c r="C309" s="81" t="s">
        <v>222</v>
      </c>
      <c r="D309" s="53">
        <v>7175145</v>
      </c>
      <c r="E309" s="52">
        <v>45490</v>
      </c>
      <c r="F309" s="80">
        <v>900</v>
      </c>
      <c r="G309" s="79" t="s">
        <v>22</v>
      </c>
      <c r="H309" s="49" t="str">
        <f t="shared" si="8"/>
        <v>A</v>
      </c>
      <c r="I309" s="48" t="str">
        <f t="shared" si="9"/>
        <v>The Commissioner &amp; Chief Constable are satisfied the spend represents VFM in accordance with the requirements of Category A</v>
      </c>
    </row>
    <row r="310" spans="1:9" x14ac:dyDescent="0.2">
      <c r="A310" s="56" t="s">
        <v>8</v>
      </c>
      <c r="B310" s="55" t="s">
        <v>9</v>
      </c>
      <c r="C310" s="81" t="s">
        <v>300</v>
      </c>
      <c r="D310" s="53">
        <v>7174804</v>
      </c>
      <c r="E310" s="52">
        <v>45482</v>
      </c>
      <c r="F310" s="80">
        <v>900</v>
      </c>
      <c r="G310" s="79" t="s">
        <v>182</v>
      </c>
      <c r="H310" s="49" t="str">
        <f t="shared" si="8"/>
        <v>A</v>
      </c>
      <c r="I310" s="48" t="str">
        <f t="shared" si="9"/>
        <v>The Commissioner &amp; Chief Constable are satisfied the spend represents VFM in accordance with the requirements of Category A</v>
      </c>
    </row>
    <row r="311" spans="1:9" x14ac:dyDescent="0.2">
      <c r="A311" s="56" t="s">
        <v>8</v>
      </c>
      <c r="B311" s="55" t="s">
        <v>9</v>
      </c>
      <c r="C311" s="81" t="s">
        <v>813</v>
      </c>
      <c r="D311" s="53">
        <v>7175365</v>
      </c>
      <c r="E311" s="52">
        <v>45497</v>
      </c>
      <c r="F311" s="80">
        <v>898.75</v>
      </c>
      <c r="G311" s="79" t="s">
        <v>330</v>
      </c>
      <c r="H311" s="49" t="str">
        <f t="shared" si="8"/>
        <v>A</v>
      </c>
      <c r="I311" s="48" t="str">
        <f t="shared" si="9"/>
        <v>The Commissioner &amp; Chief Constable are satisfied the spend represents VFM in accordance with the requirements of Category A</v>
      </c>
    </row>
    <row r="312" spans="1:9" x14ac:dyDescent="0.2">
      <c r="A312" s="56" t="s">
        <v>8</v>
      </c>
      <c r="B312" s="55" t="s">
        <v>9</v>
      </c>
      <c r="C312" s="81" t="s">
        <v>385</v>
      </c>
      <c r="D312" s="53">
        <v>7174986</v>
      </c>
      <c r="E312" s="52">
        <v>45490</v>
      </c>
      <c r="F312" s="80">
        <v>886.74</v>
      </c>
      <c r="G312" s="79" t="s">
        <v>91</v>
      </c>
      <c r="H312" s="49" t="str">
        <f t="shared" si="8"/>
        <v>A</v>
      </c>
      <c r="I312" s="48" t="str">
        <f t="shared" si="9"/>
        <v>The Commissioner &amp; Chief Constable are satisfied the spend represents VFM in accordance with the requirements of Category A</v>
      </c>
    </row>
    <row r="313" spans="1:9" x14ac:dyDescent="0.2">
      <c r="A313" s="56" t="s">
        <v>8</v>
      </c>
      <c r="B313" s="55" t="s">
        <v>9</v>
      </c>
      <c r="C313" s="81" t="s">
        <v>187</v>
      </c>
      <c r="D313" s="53">
        <v>7174647</v>
      </c>
      <c r="E313" s="52">
        <v>45481</v>
      </c>
      <c r="F313" s="80">
        <v>881.19</v>
      </c>
      <c r="G313" s="79" t="s">
        <v>188</v>
      </c>
      <c r="H313" s="49" t="str">
        <f t="shared" si="8"/>
        <v>A</v>
      </c>
      <c r="I313" s="48" t="str">
        <f t="shared" si="9"/>
        <v>The Commissioner &amp; Chief Constable are satisfied the spend represents VFM in accordance with the requirements of Category A</v>
      </c>
    </row>
    <row r="314" spans="1:9" x14ac:dyDescent="0.2">
      <c r="A314" s="56" t="s">
        <v>8</v>
      </c>
      <c r="B314" s="55" t="s">
        <v>9</v>
      </c>
      <c r="C314" s="81" t="s">
        <v>415</v>
      </c>
      <c r="D314" s="53">
        <v>7175072</v>
      </c>
      <c r="E314" s="52">
        <v>45489</v>
      </c>
      <c r="F314" s="80">
        <v>880</v>
      </c>
      <c r="G314" s="79" t="s">
        <v>129</v>
      </c>
      <c r="H314" s="49" t="str">
        <f t="shared" si="8"/>
        <v>A</v>
      </c>
      <c r="I314" s="48" t="str">
        <f t="shared" si="9"/>
        <v>The Commissioner &amp; Chief Constable are satisfied the spend represents VFM in accordance with the requirements of Category A</v>
      </c>
    </row>
    <row r="315" spans="1:9" x14ac:dyDescent="0.2">
      <c r="A315" s="56" t="s">
        <v>8</v>
      </c>
      <c r="B315" s="55" t="s">
        <v>9</v>
      </c>
      <c r="C315" s="81" t="s">
        <v>256</v>
      </c>
      <c r="D315" s="53">
        <v>7174489</v>
      </c>
      <c r="E315" s="52">
        <v>45476</v>
      </c>
      <c r="F315" s="80">
        <v>875.2</v>
      </c>
      <c r="G315" s="79" t="s">
        <v>203</v>
      </c>
      <c r="H315" s="49" t="str">
        <f t="shared" si="8"/>
        <v>A</v>
      </c>
      <c r="I315" s="48" t="str">
        <f t="shared" si="9"/>
        <v>The Commissioner &amp; Chief Constable are satisfied the spend represents VFM in accordance with the requirements of Category A</v>
      </c>
    </row>
    <row r="316" spans="1:9" x14ac:dyDescent="0.2">
      <c r="A316" s="56" t="s">
        <v>8</v>
      </c>
      <c r="B316" s="55" t="s">
        <v>9</v>
      </c>
      <c r="C316" s="81" t="s">
        <v>201</v>
      </c>
      <c r="D316" s="53">
        <v>7175197</v>
      </c>
      <c r="E316" s="52">
        <v>45492</v>
      </c>
      <c r="F316" s="80">
        <v>868.9</v>
      </c>
      <c r="G316" s="79" t="s">
        <v>94</v>
      </c>
      <c r="H316" s="49" t="str">
        <f t="shared" si="8"/>
        <v>A</v>
      </c>
      <c r="I316" s="48" t="str">
        <f t="shared" si="9"/>
        <v>The Commissioner &amp; Chief Constable are satisfied the spend represents VFM in accordance with the requirements of Category A</v>
      </c>
    </row>
    <row r="317" spans="1:9" x14ac:dyDescent="0.2">
      <c r="A317" s="56" t="s">
        <v>8</v>
      </c>
      <c r="B317" s="55" t="s">
        <v>9</v>
      </c>
      <c r="C317" s="81" t="s">
        <v>162</v>
      </c>
      <c r="D317" s="53">
        <v>7175046</v>
      </c>
      <c r="E317" s="52">
        <v>45490</v>
      </c>
      <c r="F317" s="80">
        <v>868</v>
      </c>
      <c r="G317" s="79" t="s">
        <v>39</v>
      </c>
      <c r="H317" s="49" t="str">
        <f t="shared" si="8"/>
        <v>A</v>
      </c>
      <c r="I317" s="48" t="str">
        <f t="shared" si="9"/>
        <v>The Commissioner &amp; Chief Constable are satisfied the spend represents VFM in accordance with the requirements of Category A</v>
      </c>
    </row>
    <row r="318" spans="1:9" x14ac:dyDescent="0.2">
      <c r="A318" s="56" t="s">
        <v>8</v>
      </c>
      <c r="B318" s="55" t="s">
        <v>9</v>
      </c>
      <c r="C318" s="81" t="s">
        <v>124</v>
      </c>
      <c r="D318" s="53">
        <v>7174286</v>
      </c>
      <c r="E318" s="52">
        <v>45475</v>
      </c>
      <c r="F318" s="80">
        <v>866.83</v>
      </c>
      <c r="G318" s="79" t="s">
        <v>376</v>
      </c>
      <c r="H318" s="49" t="str">
        <f t="shared" si="8"/>
        <v>A</v>
      </c>
      <c r="I318" s="48" t="str">
        <f t="shared" si="9"/>
        <v>The Commissioner &amp; Chief Constable are satisfied the spend represents VFM in accordance with the requirements of Category A</v>
      </c>
    </row>
    <row r="319" spans="1:9" x14ac:dyDescent="0.2">
      <c r="A319" s="56" t="s">
        <v>8</v>
      </c>
      <c r="B319" s="55" t="s">
        <v>9</v>
      </c>
      <c r="C319" s="81" t="s">
        <v>812</v>
      </c>
      <c r="D319" s="53">
        <v>7175328</v>
      </c>
      <c r="E319" s="52">
        <v>45496</v>
      </c>
      <c r="F319" s="80">
        <v>859.63</v>
      </c>
      <c r="G319" s="79" t="s">
        <v>22</v>
      </c>
      <c r="H319" s="49" t="str">
        <f t="shared" si="8"/>
        <v>A</v>
      </c>
      <c r="I319" s="48" t="str">
        <f t="shared" si="9"/>
        <v>The Commissioner &amp; Chief Constable are satisfied the spend represents VFM in accordance with the requirements of Category A</v>
      </c>
    </row>
    <row r="320" spans="1:9" x14ac:dyDescent="0.2">
      <c r="A320" s="56" t="s">
        <v>8</v>
      </c>
      <c r="B320" s="55" t="s">
        <v>9</v>
      </c>
      <c r="C320" s="81" t="s">
        <v>181</v>
      </c>
      <c r="D320" s="53">
        <v>7173957</v>
      </c>
      <c r="E320" s="52">
        <v>45490</v>
      </c>
      <c r="F320" s="80">
        <v>859</v>
      </c>
      <c r="G320" s="79" t="s">
        <v>182</v>
      </c>
      <c r="H320" s="49" t="str">
        <f t="shared" si="8"/>
        <v>A</v>
      </c>
      <c r="I320" s="48" t="str">
        <f t="shared" si="9"/>
        <v>The Commissioner &amp; Chief Constable are satisfied the spend represents VFM in accordance with the requirements of Category A</v>
      </c>
    </row>
    <row r="321" spans="1:9" x14ac:dyDescent="0.2">
      <c r="A321" s="56" t="s">
        <v>8</v>
      </c>
      <c r="B321" s="55" t="s">
        <v>9</v>
      </c>
      <c r="C321" s="81" t="s">
        <v>181</v>
      </c>
      <c r="D321" s="53">
        <v>7175563</v>
      </c>
      <c r="E321" s="52">
        <v>45503</v>
      </c>
      <c r="F321" s="80">
        <v>850.68</v>
      </c>
      <c r="G321" s="79" t="s">
        <v>106</v>
      </c>
      <c r="H321" s="49" t="str">
        <f t="shared" si="8"/>
        <v>A</v>
      </c>
      <c r="I321" s="48" t="str">
        <f t="shared" si="9"/>
        <v>The Commissioner &amp; Chief Constable are satisfied the spend represents VFM in accordance with the requirements of Category A</v>
      </c>
    </row>
    <row r="322" spans="1:9" x14ac:dyDescent="0.2">
      <c r="A322" s="56" t="s">
        <v>8</v>
      </c>
      <c r="B322" s="55" t="s">
        <v>9</v>
      </c>
      <c r="C322" s="81" t="s">
        <v>130</v>
      </c>
      <c r="D322" s="53">
        <v>7174579</v>
      </c>
      <c r="E322" s="52">
        <v>45475</v>
      </c>
      <c r="F322" s="80">
        <v>850</v>
      </c>
      <c r="G322" s="79" t="s">
        <v>38</v>
      </c>
      <c r="H322" s="49" t="str">
        <f t="shared" ref="H322:H385" si="10">IF(F322&gt;25000,"C",IF(F322&gt;1000,"B","A"))</f>
        <v>A</v>
      </c>
      <c r="I322" s="48" t="str">
        <f t="shared" ref="I322:I385" si="11">VLOOKUP(H322,$L$2:$M$4,2,FALSE)</f>
        <v>The Commissioner &amp; Chief Constable are satisfied the spend represents VFM in accordance with the requirements of Category A</v>
      </c>
    </row>
    <row r="323" spans="1:9" x14ac:dyDescent="0.2">
      <c r="A323" s="56" t="s">
        <v>8</v>
      </c>
      <c r="B323" s="55" t="s">
        <v>9</v>
      </c>
      <c r="C323" s="81" t="s">
        <v>304</v>
      </c>
      <c r="D323" s="53">
        <v>7174573</v>
      </c>
      <c r="E323" s="52">
        <v>45489</v>
      </c>
      <c r="F323" s="80">
        <v>847.5</v>
      </c>
      <c r="G323" s="79" t="s">
        <v>155</v>
      </c>
      <c r="H323" s="49" t="str">
        <f t="shared" si="10"/>
        <v>A</v>
      </c>
      <c r="I323" s="48" t="str">
        <f t="shared" si="11"/>
        <v>The Commissioner &amp; Chief Constable are satisfied the spend represents VFM in accordance with the requirements of Category A</v>
      </c>
    </row>
    <row r="324" spans="1:9" x14ac:dyDescent="0.2">
      <c r="A324" s="56" t="s">
        <v>8</v>
      </c>
      <c r="B324" s="55" t="s">
        <v>9</v>
      </c>
      <c r="C324" s="81" t="s">
        <v>811</v>
      </c>
      <c r="D324" s="53">
        <v>3068151</v>
      </c>
      <c r="E324" s="52">
        <v>45482</v>
      </c>
      <c r="F324" s="80">
        <v>846.85</v>
      </c>
      <c r="G324" s="79" t="s">
        <v>131</v>
      </c>
      <c r="H324" s="49" t="str">
        <f t="shared" si="10"/>
        <v>A</v>
      </c>
      <c r="I324" s="48" t="str">
        <f t="shared" si="11"/>
        <v>The Commissioner &amp; Chief Constable are satisfied the spend represents VFM in accordance with the requirements of Category A</v>
      </c>
    </row>
    <row r="325" spans="1:9" x14ac:dyDescent="0.2">
      <c r="A325" s="56" t="s">
        <v>8</v>
      </c>
      <c r="B325" s="55" t="s">
        <v>9</v>
      </c>
      <c r="C325" s="81" t="s">
        <v>316</v>
      </c>
      <c r="D325" s="53">
        <v>7175568</v>
      </c>
      <c r="E325" s="52">
        <v>45503</v>
      </c>
      <c r="F325" s="80">
        <v>837</v>
      </c>
      <c r="G325" s="79" t="s">
        <v>241</v>
      </c>
      <c r="H325" s="49" t="str">
        <f t="shared" si="10"/>
        <v>A</v>
      </c>
      <c r="I325" s="48" t="str">
        <f t="shared" si="11"/>
        <v>The Commissioner &amp; Chief Constable are satisfied the spend represents VFM in accordance with the requirements of Category A</v>
      </c>
    </row>
    <row r="326" spans="1:9" x14ac:dyDescent="0.2">
      <c r="A326" s="56" t="s">
        <v>8</v>
      </c>
      <c r="B326" s="55" t="s">
        <v>9</v>
      </c>
      <c r="C326" s="81" t="s">
        <v>107</v>
      </c>
      <c r="D326" s="53">
        <v>7174667</v>
      </c>
      <c r="E326" s="52">
        <v>45478</v>
      </c>
      <c r="F326" s="80">
        <v>835.27</v>
      </c>
      <c r="G326" s="79" t="s">
        <v>108</v>
      </c>
      <c r="H326" s="49" t="str">
        <f t="shared" si="10"/>
        <v>A</v>
      </c>
      <c r="I326" s="48" t="str">
        <f t="shared" si="11"/>
        <v>The Commissioner &amp; Chief Constable are satisfied the spend represents VFM in accordance with the requirements of Category A</v>
      </c>
    </row>
    <row r="327" spans="1:9" x14ac:dyDescent="0.2">
      <c r="A327" s="56" t="s">
        <v>8</v>
      </c>
      <c r="B327" s="55" t="s">
        <v>9</v>
      </c>
      <c r="C327" s="81" t="s">
        <v>276</v>
      </c>
      <c r="D327" s="53">
        <v>7174673</v>
      </c>
      <c r="E327" s="52">
        <v>45481</v>
      </c>
      <c r="F327" s="80">
        <v>831.49</v>
      </c>
      <c r="G327" s="79" t="s">
        <v>40</v>
      </c>
      <c r="H327" s="49" t="str">
        <f t="shared" si="10"/>
        <v>A</v>
      </c>
      <c r="I327" s="48" t="str">
        <f t="shared" si="11"/>
        <v>The Commissioner &amp; Chief Constable are satisfied the spend represents VFM in accordance with the requirements of Category A</v>
      </c>
    </row>
    <row r="328" spans="1:9" x14ac:dyDescent="0.2">
      <c r="A328" s="56" t="s">
        <v>8</v>
      </c>
      <c r="B328" s="55" t="s">
        <v>9</v>
      </c>
      <c r="C328" s="81" t="s">
        <v>74</v>
      </c>
      <c r="D328" s="53">
        <v>7175490</v>
      </c>
      <c r="E328" s="52">
        <v>45502</v>
      </c>
      <c r="F328" s="80">
        <v>825.18</v>
      </c>
      <c r="G328" s="79" t="s">
        <v>75</v>
      </c>
      <c r="H328" s="49" t="str">
        <f t="shared" si="10"/>
        <v>A</v>
      </c>
      <c r="I328" s="48" t="str">
        <f t="shared" si="11"/>
        <v>The Commissioner &amp; Chief Constable are satisfied the spend represents VFM in accordance with the requirements of Category A</v>
      </c>
    </row>
    <row r="329" spans="1:9" x14ac:dyDescent="0.2">
      <c r="A329" s="56" t="s">
        <v>8</v>
      </c>
      <c r="B329" s="55" t="s">
        <v>9</v>
      </c>
      <c r="C329" s="81" t="s">
        <v>810</v>
      </c>
      <c r="D329" s="53">
        <v>7174931</v>
      </c>
      <c r="E329" s="52">
        <v>45490</v>
      </c>
      <c r="F329" s="80">
        <v>825</v>
      </c>
      <c r="G329" s="79" t="s">
        <v>106</v>
      </c>
      <c r="H329" s="49" t="str">
        <f t="shared" si="10"/>
        <v>A</v>
      </c>
      <c r="I329" s="48" t="str">
        <f t="shared" si="11"/>
        <v>The Commissioner &amp; Chief Constable are satisfied the spend represents VFM in accordance with the requirements of Category A</v>
      </c>
    </row>
    <row r="330" spans="1:9" x14ac:dyDescent="0.2">
      <c r="A330" s="56" t="s">
        <v>8</v>
      </c>
      <c r="B330" s="55" t="s">
        <v>9</v>
      </c>
      <c r="C330" s="81" t="s">
        <v>806</v>
      </c>
      <c r="D330" s="53">
        <v>7174421</v>
      </c>
      <c r="E330" s="52">
        <v>45474</v>
      </c>
      <c r="F330" s="80">
        <v>824</v>
      </c>
      <c r="G330" s="79" t="s">
        <v>203</v>
      </c>
      <c r="H330" s="49" t="str">
        <f t="shared" si="10"/>
        <v>A</v>
      </c>
      <c r="I330" s="48" t="str">
        <f t="shared" si="11"/>
        <v>The Commissioner &amp; Chief Constable are satisfied the spend represents VFM in accordance with the requirements of Category A</v>
      </c>
    </row>
    <row r="331" spans="1:9" x14ac:dyDescent="0.2">
      <c r="A331" s="56" t="s">
        <v>8</v>
      </c>
      <c r="B331" s="55" t="s">
        <v>9</v>
      </c>
      <c r="C331" s="81" t="s">
        <v>809</v>
      </c>
      <c r="D331" s="53">
        <v>3068069</v>
      </c>
      <c r="E331" s="52">
        <v>45474</v>
      </c>
      <c r="F331" s="80">
        <v>822.5</v>
      </c>
      <c r="G331" s="79" t="s">
        <v>729</v>
      </c>
      <c r="H331" s="49" t="str">
        <f t="shared" si="10"/>
        <v>A</v>
      </c>
      <c r="I331" s="48" t="str">
        <f t="shared" si="11"/>
        <v>The Commissioner &amp; Chief Constable are satisfied the spend represents VFM in accordance with the requirements of Category A</v>
      </c>
    </row>
    <row r="332" spans="1:9" x14ac:dyDescent="0.2">
      <c r="A332" s="56" t="s">
        <v>8</v>
      </c>
      <c r="B332" s="55" t="s">
        <v>9</v>
      </c>
      <c r="C332" s="81" t="s">
        <v>260</v>
      </c>
      <c r="D332" s="53">
        <v>7174548</v>
      </c>
      <c r="E332" s="52">
        <v>45474</v>
      </c>
      <c r="F332" s="80">
        <v>821.66</v>
      </c>
      <c r="G332" s="79" t="s">
        <v>261</v>
      </c>
      <c r="H332" s="49" t="str">
        <f t="shared" si="10"/>
        <v>A</v>
      </c>
      <c r="I332" s="48" t="str">
        <f t="shared" si="11"/>
        <v>The Commissioner &amp; Chief Constable are satisfied the spend represents VFM in accordance with the requirements of Category A</v>
      </c>
    </row>
    <row r="333" spans="1:9" x14ac:dyDescent="0.2">
      <c r="A333" s="56" t="s">
        <v>8</v>
      </c>
      <c r="B333" s="55" t="s">
        <v>9</v>
      </c>
      <c r="C333" s="81" t="s">
        <v>181</v>
      </c>
      <c r="D333" s="53">
        <v>7175010</v>
      </c>
      <c r="E333" s="52">
        <v>45489</v>
      </c>
      <c r="F333" s="80">
        <v>814</v>
      </c>
      <c r="G333" s="79" t="s">
        <v>106</v>
      </c>
      <c r="H333" s="49" t="str">
        <f t="shared" si="10"/>
        <v>A</v>
      </c>
      <c r="I333" s="48" t="str">
        <f t="shared" si="11"/>
        <v>The Commissioner &amp; Chief Constable are satisfied the spend represents VFM in accordance with the requirements of Category A</v>
      </c>
    </row>
    <row r="334" spans="1:9" x14ac:dyDescent="0.2">
      <c r="A334" s="56" t="s">
        <v>8</v>
      </c>
      <c r="B334" s="55" t="s">
        <v>9</v>
      </c>
      <c r="C334" s="81" t="s">
        <v>26</v>
      </c>
      <c r="D334" s="53">
        <v>7175074</v>
      </c>
      <c r="E334" s="52">
        <v>45489</v>
      </c>
      <c r="F334" s="80">
        <v>813.33</v>
      </c>
      <c r="G334" s="79" t="s">
        <v>712</v>
      </c>
      <c r="H334" s="49" t="str">
        <f t="shared" si="10"/>
        <v>A</v>
      </c>
      <c r="I334" s="48" t="str">
        <f t="shared" si="11"/>
        <v>The Commissioner &amp; Chief Constable are satisfied the spend represents VFM in accordance with the requirements of Category A</v>
      </c>
    </row>
    <row r="335" spans="1:9" x14ac:dyDescent="0.2">
      <c r="A335" s="56" t="s">
        <v>8</v>
      </c>
      <c r="B335" s="55" t="s">
        <v>9</v>
      </c>
      <c r="C335" s="81" t="s">
        <v>312</v>
      </c>
      <c r="D335" s="53">
        <v>7174973</v>
      </c>
      <c r="E335" s="52">
        <v>45485</v>
      </c>
      <c r="F335" s="80">
        <v>809</v>
      </c>
      <c r="G335" s="79" t="s">
        <v>151</v>
      </c>
      <c r="H335" s="49" t="str">
        <f t="shared" si="10"/>
        <v>A</v>
      </c>
      <c r="I335" s="48" t="str">
        <f t="shared" si="11"/>
        <v>The Commissioner &amp; Chief Constable are satisfied the spend represents VFM in accordance with the requirements of Category A</v>
      </c>
    </row>
    <row r="336" spans="1:9" x14ac:dyDescent="0.2">
      <c r="A336" s="56" t="s">
        <v>8</v>
      </c>
      <c r="B336" s="55" t="s">
        <v>9</v>
      </c>
      <c r="C336" s="81" t="s">
        <v>283</v>
      </c>
      <c r="D336" s="53">
        <v>7174581</v>
      </c>
      <c r="E336" s="52">
        <v>45481</v>
      </c>
      <c r="F336" s="80">
        <v>806.76</v>
      </c>
      <c r="G336" s="79" t="s">
        <v>40</v>
      </c>
      <c r="H336" s="49" t="str">
        <f t="shared" si="10"/>
        <v>A</v>
      </c>
      <c r="I336" s="48" t="str">
        <f t="shared" si="11"/>
        <v>The Commissioner &amp; Chief Constable are satisfied the spend represents VFM in accordance with the requirements of Category A</v>
      </c>
    </row>
    <row r="337" spans="1:9" x14ac:dyDescent="0.2">
      <c r="A337" s="56" t="s">
        <v>8</v>
      </c>
      <c r="B337" s="55" t="s">
        <v>9</v>
      </c>
      <c r="C337" s="81" t="s">
        <v>385</v>
      </c>
      <c r="D337" s="53">
        <v>7174803</v>
      </c>
      <c r="E337" s="52">
        <v>45483</v>
      </c>
      <c r="F337" s="80">
        <v>804.23</v>
      </c>
      <c r="G337" s="79" t="s">
        <v>112</v>
      </c>
      <c r="H337" s="49" t="str">
        <f t="shared" si="10"/>
        <v>A</v>
      </c>
      <c r="I337" s="48" t="str">
        <f t="shared" si="11"/>
        <v>The Commissioner &amp; Chief Constable are satisfied the spend represents VFM in accordance with the requirements of Category A</v>
      </c>
    </row>
    <row r="338" spans="1:9" x14ac:dyDescent="0.2">
      <c r="A338" s="56" t="s">
        <v>8</v>
      </c>
      <c r="B338" s="55" t="s">
        <v>9</v>
      </c>
      <c r="C338" s="81" t="s">
        <v>808</v>
      </c>
      <c r="D338" s="53">
        <v>7174582</v>
      </c>
      <c r="E338" s="52">
        <v>45476</v>
      </c>
      <c r="F338" s="80">
        <v>800</v>
      </c>
      <c r="G338" s="79" t="s">
        <v>194</v>
      </c>
      <c r="H338" s="49" t="str">
        <f t="shared" si="10"/>
        <v>A</v>
      </c>
      <c r="I338" s="48" t="str">
        <f t="shared" si="11"/>
        <v>The Commissioner &amp; Chief Constable are satisfied the spend represents VFM in accordance with the requirements of Category A</v>
      </c>
    </row>
    <row r="339" spans="1:9" x14ac:dyDescent="0.2">
      <c r="A339" s="56" t="s">
        <v>8</v>
      </c>
      <c r="B339" s="55" t="s">
        <v>9</v>
      </c>
      <c r="C339" s="81" t="s">
        <v>772</v>
      </c>
      <c r="D339" s="53">
        <v>7174063</v>
      </c>
      <c r="E339" s="52">
        <v>45490</v>
      </c>
      <c r="F339" s="80">
        <v>800</v>
      </c>
      <c r="G339" s="79" t="s">
        <v>106</v>
      </c>
      <c r="H339" s="49" t="str">
        <f t="shared" si="10"/>
        <v>A</v>
      </c>
      <c r="I339" s="48" t="str">
        <f t="shared" si="11"/>
        <v>The Commissioner &amp; Chief Constable are satisfied the spend represents VFM in accordance with the requirements of Category A</v>
      </c>
    </row>
    <row r="340" spans="1:9" x14ac:dyDescent="0.2">
      <c r="A340" s="56" t="s">
        <v>8</v>
      </c>
      <c r="B340" s="55" t="s">
        <v>9</v>
      </c>
      <c r="C340" s="81" t="s">
        <v>424</v>
      </c>
      <c r="D340" s="53">
        <v>7175035</v>
      </c>
      <c r="E340" s="52">
        <v>45498</v>
      </c>
      <c r="F340" s="80">
        <v>794</v>
      </c>
      <c r="G340" s="79" t="s">
        <v>131</v>
      </c>
      <c r="H340" s="49" t="str">
        <f t="shared" si="10"/>
        <v>A</v>
      </c>
      <c r="I340" s="48" t="str">
        <f t="shared" si="11"/>
        <v>The Commissioner &amp; Chief Constable are satisfied the spend represents VFM in accordance with the requirements of Category A</v>
      </c>
    </row>
    <row r="341" spans="1:9" x14ac:dyDescent="0.2">
      <c r="A341" s="56" t="s">
        <v>8</v>
      </c>
      <c r="B341" s="55" t="s">
        <v>9</v>
      </c>
      <c r="C341" s="81" t="s">
        <v>317</v>
      </c>
      <c r="D341" s="53">
        <v>7174180</v>
      </c>
      <c r="E341" s="52">
        <v>45481</v>
      </c>
      <c r="F341" s="80">
        <v>782.86</v>
      </c>
      <c r="G341" s="79" t="s">
        <v>102</v>
      </c>
      <c r="H341" s="49" t="str">
        <f t="shared" si="10"/>
        <v>A</v>
      </c>
      <c r="I341" s="48" t="str">
        <f t="shared" si="11"/>
        <v>The Commissioner &amp; Chief Constable are satisfied the spend represents VFM in accordance with the requirements of Category A</v>
      </c>
    </row>
    <row r="342" spans="1:9" x14ac:dyDescent="0.2">
      <c r="A342" s="56" t="s">
        <v>8</v>
      </c>
      <c r="B342" s="55" t="s">
        <v>9</v>
      </c>
      <c r="C342" s="82" t="s">
        <v>701</v>
      </c>
      <c r="D342" s="53">
        <v>7175295</v>
      </c>
      <c r="E342" s="52">
        <v>45496</v>
      </c>
      <c r="F342" s="80">
        <v>776.4</v>
      </c>
      <c r="G342" s="79" t="s">
        <v>131</v>
      </c>
      <c r="H342" s="49" t="str">
        <f t="shared" si="10"/>
        <v>A</v>
      </c>
      <c r="I342" s="48" t="str">
        <f t="shared" si="11"/>
        <v>The Commissioner &amp; Chief Constable are satisfied the spend represents VFM in accordance with the requirements of Category A</v>
      </c>
    </row>
    <row r="343" spans="1:9" x14ac:dyDescent="0.2">
      <c r="A343" s="56" t="s">
        <v>8</v>
      </c>
      <c r="B343" s="55" t="s">
        <v>9</v>
      </c>
      <c r="C343" s="81" t="s">
        <v>181</v>
      </c>
      <c r="D343" s="53">
        <v>7175031</v>
      </c>
      <c r="E343" s="52">
        <v>45488</v>
      </c>
      <c r="F343" s="83">
        <v>767.88</v>
      </c>
      <c r="G343" s="79" t="s">
        <v>98</v>
      </c>
      <c r="H343" s="49" t="str">
        <f t="shared" si="10"/>
        <v>A</v>
      </c>
      <c r="I343" s="48" t="str">
        <f t="shared" si="11"/>
        <v>The Commissioner &amp; Chief Constable are satisfied the spend represents VFM in accordance with the requirements of Category A</v>
      </c>
    </row>
    <row r="344" spans="1:9" x14ac:dyDescent="0.2">
      <c r="A344" s="56" t="s">
        <v>8</v>
      </c>
      <c r="B344" s="55" t="s">
        <v>9</v>
      </c>
      <c r="C344" s="81" t="s">
        <v>334</v>
      </c>
      <c r="D344" s="53">
        <v>7174727</v>
      </c>
      <c r="E344" s="52">
        <v>45483</v>
      </c>
      <c r="F344" s="80">
        <v>765</v>
      </c>
      <c r="G344" s="79" t="s">
        <v>91</v>
      </c>
      <c r="H344" s="49" t="str">
        <f t="shared" si="10"/>
        <v>A</v>
      </c>
      <c r="I344" s="48" t="str">
        <f t="shared" si="11"/>
        <v>The Commissioner &amp; Chief Constable are satisfied the spend represents VFM in accordance with the requirements of Category A</v>
      </c>
    </row>
    <row r="345" spans="1:9" x14ac:dyDescent="0.2">
      <c r="A345" s="56" t="s">
        <v>8</v>
      </c>
      <c r="B345" s="55" t="s">
        <v>9</v>
      </c>
      <c r="C345" s="81" t="s">
        <v>807</v>
      </c>
      <c r="D345" s="53">
        <v>7174942</v>
      </c>
      <c r="E345" s="52">
        <v>45485</v>
      </c>
      <c r="F345" s="80">
        <v>760</v>
      </c>
      <c r="G345" s="79" t="s">
        <v>363</v>
      </c>
      <c r="H345" s="49" t="str">
        <f t="shared" si="10"/>
        <v>A</v>
      </c>
      <c r="I345" s="48" t="str">
        <f t="shared" si="11"/>
        <v>The Commissioner &amp; Chief Constable are satisfied the spend represents VFM in accordance with the requirements of Category A</v>
      </c>
    </row>
    <row r="346" spans="1:9" x14ac:dyDescent="0.2">
      <c r="A346" s="56" t="s">
        <v>8</v>
      </c>
      <c r="B346" s="55" t="s">
        <v>9</v>
      </c>
      <c r="C346" s="81" t="s">
        <v>514</v>
      </c>
      <c r="D346" s="53">
        <v>7174604</v>
      </c>
      <c r="E346" s="52">
        <v>45481</v>
      </c>
      <c r="F346" s="80">
        <v>752.7</v>
      </c>
      <c r="G346" s="79" t="s">
        <v>151</v>
      </c>
      <c r="H346" s="49" t="str">
        <f t="shared" si="10"/>
        <v>A</v>
      </c>
      <c r="I346" s="48" t="str">
        <f t="shared" si="11"/>
        <v>The Commissioner &amp; Chief Constable are satisfied the spend represents VFM in accordance with the requirements of Category A</v>
      </c>
    </row>
    <row r="347" spans="1:9" x14ac:dyDescent="0.2">
      <c r="A347" s="56" t="s">
        <v>8</v>
      </c>
      <c r="B347" s="55" t="s">
        <v>9</v>
      </c>
      <c r="C347" s="81" t="s">
        <v>222</v>
      </c>
      <c r="D347" s="53">
        <v>7175146</v>
      </c>
      <c r="E347" s="52">
        <v>45497</v>
      </c>
      <c r="F347" s="80">
        <v>749</v>
      </c>
      <c r="G347" s="79" t="s">
        <v>259</v>
      </c>
      <c r="H347" s="49" t="str">
        <f t="shared" si="10"/>
        <v>A</v>
      </c>
      <c r="I347" s="48" t="str">
        <f t="shared" si="11"/>
        <v>The Commissioner &amp; Chief Constable are satisfied the spend represents VFM in accordance with the requirements of Category A</v>
      </c>
    </row>
    <row r="348" spans="1:9" x14ac:dyDescent="0.2">
      <c r="A348" s="56" t="s">
        <v>8</v>
      </c>
      <c r="B348" s="55" t="s">
        <v>9</v>
      </c>
      <c r="C348" s="81" t="s">
        <v>202</v>
      </c>
      <c r="D348" s="53">
        <v>7174681</v>
      </c>
      <c r="E348" s="52">
        <v>45483</v>
      </c>
      <c r="F348" s="80">
        <v>741.55</v>
      </c>
      <c r="G348" s="79" t="s">
        <v>203</v>
      </c>
      <c r="H348" s="49" t="str">
        <f t="shared" si="10"/>
        <v>A</v>
      </c>
      <c r="I348" s="48" t="str">
        <f t="shared" si="11"/>
        <v>The Commissioner &amp; Chief Constable are satisfied the spend represents VFM in accordance with the requirements of Category A</v>
      </c>
    </row>
    <row r="349" spans="1:9" x14ac:dyDescent="0.2">
      <c r="A349" s="56" t="s">
        <v>8</v>
      </c>
      <c r="B349" s="55" t="s">
        <v>9</v>
      </c>
      <c r="C349" s="81" t="s">
        <v>411</v>
      </c>
      <c r="D349" s="53">
        <v>7175032</v>
      </c>
      <c r="E349" s="52">
        <v>45488</v>
      </c>
      <c r="F349" s="80">
        <v>741.05</v>
      </c>
      <c r="G349" s="79" t="s">
        <v>156</v>
      </c>
      <c r="H349" s="49" t="str">
        <f t="shared" si="10"/>
        <v>A</v>
      </c>
      <c r="I349" s="48" t="str">
        <f t="shared" si="11"/>
        <v>The Commissioner &amp; Chief Constable are satisfied the spend represents VFM in accordance with the requirements of Category A</v>
      </c>
    </row>
    <row r="350" spans="1:9" x14ac:dyDescent="0.2">
      <c r="A350" s="56" t="s">
        <v>8</v>
      </c>
      <c r="B350" s="55" t="s">
        <v>9</v>
      </c>
      <c r="C350" s="81" t="s">
        <v>658</v>
      </c>
      <c r="D350" s="53">
        <v>7174481</v>
      </c>
      <c r="E350" s="52">
        <v>45474</v>
      </c>
      <c r="F350" s="80">
        <v>738</v>
      </c>
      <c r="G350" s="79" t="s">
        <v>131</v>
      </c>
      <c r="H350" s="49" t="str">
        <f t="shared" si="10"/>
        <v>A</v>
      </c>
      <c r="I350" s="48" t="str">
        <f t="shared" si="11"/>
        <v>The Commissioner &amp; Chief Constable are satisfied the spend represents VFM in accordance with the requirements of Category A</v>
      </c>
    </row>
    <row r="351" spans="1:9" x14ac:dyDescent="0.2">
      <c r="A351" s="56" t="s">
        <v>8</v>
      </c>
      <c r="B351" s="55" t="s">
        <v>9</v>
      </c>
      <c r="C351" s="81" t="s">
        <v>234</v>
      </c>
      <c r="D351" s="53">
        <v>7174371</v>
      </c>
      <c r="E351" s="52">
        <v>45489</v>
      </c>
      <c r="F351" s="80">
        <v>732.9</v>
      </c>
      <c r="G351" s="79" t="s">
        <v>42</v>
      </c>
      <c r="H351" s="49" t="str">
        <f t="shared" si="10"/>
        <v>A</v>
      </c>
      <c r="I351" s="48" t="str">
        <f t="shared" si="11"/>
        <v>The Commissioner &amp; Chief Constable are satisfied the spend represents VFM in accordance with the requirements of Category A</v>
      </c>
    </row>
    <row r="352" spans="1:9" x14ac:dyDescent="0.2">
      <c r="A352" s="56" t="s">
        <v>8</v>
      </c>
      <c r="B352" s="55" t="s">
        <v>9</v>
      </c>
      <c r="C352" s="81" t="s">
        <v>10</v>
      </c>
      <c r="D352" s="53">
        <v>7174530</v>
      </c>
      <c r="E352" s="52">
        <v>45474</v>
      </c>
      <c r="F352" s="80">
        <v>715</v>
      </c>
      <c r="G352" s="79" t="s">
        <v>22</v>
      </c>
      <c r="H352" s="49" t="str">
        <f t="shared" si="10"/>
        <v>A</v>
      </c>
      <c r="I352" s="48" t="str">
        <f t="shared" si="11"/>
        <v>The Commissioner &amp; Chief Constable are satisfied the spend represents VFM in accordance with the requirements of Category A</v>
      </c>
    </row>
    <row r="353" spans="1:9" x14ac:dyDescent="0.2">
      <c r="A353" s="56" t="s">
        <v>8</v>
      </c>
      <c r="B353" s="55" t="s">
        <v>9</v>
      </c>
      <c r="C353" s="81" t="s">
        <v>124</v>
      </c>
      <c r="D353" s="53">
        <v>7174593</v>
      </c>
      <c r="E353" s="52">
        <v>45475</v>
      </c>
      <c r="F353" s="80">
        <v>708.84</v>
      </c>
      <c r="G353" s="79" t="s">
        <v>91</v>
      </c>
      <c r="H353" s="49" t="str">
        <f t="shared" si="10"/>
        <v>A</v>
      </c>
      <c r="I353" s="48" t="str">
        <f t="shared" si="11"/>
        <v>The Commissioner &amp; Chief Constable are satisfied the spend represents VFM in accordance with the requirements of Category A</v>
      </c>
    </row>
    <row r="354" spans="1:9" x14ac:dyDescent="0.2">
      <c r="A354" s="56" t="s">
        <v>8</v>
      </c>
      <c r="B354" s="55" t="s">
        <v>9</v>
      </c>
      <c r="C354" s="81" t="s">
        <v>256</v>
      </c>
      <c r="D354" s="53">
        <v>7174743</v>
      </c>
      <c r="E354" s="52">
        <v>45483</v>
      </c>
      <c r="F354" s="80">
        <v>706.03</v>
      </c>
      <c r="G354" s="79" t="s">
        <v>203</v>
      </c>
      <c r="H354" s="49" t="str">
        <f t="shared" si="10"/>
        <v>A</v>
      </c>
      <c r="I354" s="48" t="str">
        <f t="shared" si="11"/>
        <v>The Commissioner &amp; Chief Constable are satisfied the spend represents VFM in accordance with the requirements of Category A</v>
      </c>
    </row>
    <row r="355" spans="1:9" x14ac:dyDescent="0.2">
      <c r="A355" s="56" t="s">
        <v>8</v>
      </c>
      <c r="B355" s="55" t="s">
        <v>9</v>
      </c>
      <c r="C355" s="81" t="s">
        <v>256</v>
      </c>
      <c r="D355" s="53">
        <v>7175515</v>
      </c>
      <c r="E355" s="52">
        <v>45502</v>
      </c>
      <c r="F355" s="80">
        <v>695.5</v>
      </c>
      <c r="G355" s="79" t="s">
        <v>155</v>
      </c>
      <c r="H355" s="49" t="str">
        <f t="shared" si="10"/>
        <v>A</v>
      </c>
      <c r="I355" s="48" t="str">
        <f t="shared" si="11"/>
        <v>The Commissioner &amp; Chief Constable are satisfied the spend represents VFM in accordance with the requirements of Category A</v>
      </c>
    </row>
    <row r="356" spans="1:9" x14ac:dyDescent="0.2">
      <c r="A356" s="56" t="s">
        <v>8</v>
      </c>
      <c r="B356" s="55" t="s">
        <v>9</v>
      </c>
      <c r="C356" s="81" t="s">
        <v>277</v>
      </c>
      <c r="D356" s="53">
        <v>7174706</v>
      </c>
      <c r="E356" s="52">
        <v>45503</v>
      </c>
      <c r="F356" s="80">
        <v>685</v>
      </c>
      <c r="G356" s="79" t="s">
        <v>131</v>
      </c>
      <c r="H356" s="49" t="str">
        <f t="shared" si="10"/>
        <v>A</v>
      </c>
      <c r="I356" s="48" t="str">
        <f t="shared" si="11"/>
        <v>The Commissioner &amp; Chief Constable are satisfied the spend represents VFM in accordance with the requirements of Category A</v>
      </c>
    </row>
    <row r="357" spans="1:9" x14ac:dyDescent="0.2">
      <c r="A357" s="56" t="s">
        <v>8</v>
      </c>
      <c r="B357" s="55" t="s">
        <v>9</v>
      </c>
      <c r="C357" s="81" t="s">
        <v>806</v>
      </c>
      <c r="D357" s="53">
        <v>7174612</v>
      </c>
      <c r="E357" s="52">
        <v>45476</v>
      </c>
      <c r="F357" s="80">
        <v>678</v>
      </c>
      <c r="G357" s="79" t="s">
        <v>131</v>
      </c>
      <c r="H357" s="49" t="str">
        <f t="shared" si="10"/>
        <v>A</v>
      </c>
      <c r="I357" s="48" t="str">
        <f t="shared" si="11"/>
        <v>The Commissioner &amp; Chief Constable are satisfied the spend represents VFM in accordance with the requirements of Category A</v>
      </c>
    </row>
    <row r="358" spans="1:9" x14ac:dyDescent="0.2">
      <c r="A358" s="56" t="s">
        <v>8</v>
      </c>
      <c r="B358" s="55" t="s">
        <v>9</v>
      </c>
      <c r="C358" s="81" t="s">
        <v>328</v>
      </c>
      <c r="D358" s="53">
        <v>7174501</v>
      </c>
      <c r="E358" s="52">
        <v>45474</v>
      </c>
      <c r="F358" s="80">
        <v>675</v>
      </c>
      <c r="G358" s="79" t="s">
        <v>131</v>
      </c>
      <c r="H358" s="49" t="str">
        <f t="shared" si="10"/>
        <v>A</v>
      </c>
      <c r="I358" s="48" t="str">
        <f t="shared" si="11"/>
        <v>The Commissioner &amp; Chief Constable are satisfied the spend represents VFM in accordance with the requirements of Category A</v>
      </c>
    </row>
    <row r="359" spans="1:9" x14ac:dyDescent="0.2">
      <c r="A359" s="56" t="s">
        <v>8</v>
      </c>
      <c r="B359" s="55" t="s">
        <v>9</v>
      </c>
      <c r="C359" s="81" t="s">
        <v>531</v>
      </c>
      <c r="D359" s="53">
        <v>7174925</v>
      </c>
      <c r="E359" s="52">
        <v>45488</v>
      </c>
      <c r="F359" s="80">
        <v>669.99</v>
      </c>
      <c r="G359" s="79" t="s">
        <v>390</v>
      </c>
      <c r="H359" s="49" t="str">
        <f t="shared" si="10"/>
        <v>A</v>
      </c>
      <c r="I359" s="48" t="str">
        <f t="shared" si="11"/>
        <v>The Commissioner &amp; Chief Constable are satisfied the spend represents VFM in accordance with the requirements of Category A</v>
      </c>
    </row>
    <row r="360" spans="1:9" x14ac:dyDescent="0.2">
      <c r="A360" s="56" t="s">
        <v>8</v>
      </c>
      <c r="B360" s="55" t="s">
        <v>9</v>
      </c>
      <c r="C360" s="81" t="s">
        <v>533</v>
      </c>
      <c r="D360" s="53">
        <v>7174353</v>
      </c>
      <c r="E360" s="52">
        <v>45475</v>
      </c>
      <c r="F360" s="80">
        <v>665.96</v>
      </c>
      <c r="G360" s="79" t="s">
        <v>53</v>
      </c>
      <c r="H360" s="49" t="str">
        <f t="shared" si="10"/>
        <v>A</v>
      </c>
      <c r="I360" s="48" t="str">
        <f t="shared" si="11"/>
        <v>The Commissioner &amp; Chief Constable are satisfied the spend represents VFM in accordance with the requirements of Category A</v>
      </c>
    </row>
    <row r="361" spans="1:9" x14ac:dyDescent="0.2">
      <c r="A361" s="56" t="s">
        <v>8</v>
      </c>
      <c r="B361" s="55" t="s">
        <v>9</v>
      </c>
      <c r="C361" s="81" t="s">
        <v>219</v>
      </c>
      <c r="D361" s="53">
        <v>7174499</v>
      </c>
      <c r="E361" s="52">
        <v>45481</v>
      </c>
      <c r="F361" s="80">
        <v>653.4</v>
      </c>
      <c r="G361" s="79" t="s">
        <v>220</v>
      </c>
      <c r="H361" s="49" t="str">
        <f t="shared" si="10"/>
        <v>A</v>
      </c>
      <c r="I361" s="48" t="str">
        <f t="shared" si="11"/>
        <v>The Commissioner &amp; Chief Constable are satisfied the spend represents VFM in accordance with the requirements of Category A</v>
      </c>
    </row>
    <row r="362" spans="1:9" x14ac:dyDescent="0.2">
      <c r="A362" s="56" t="s">
        <v>8</v>
      </c>
      <c r="B362" s="55" t="s">
        <v>9</v>
      </c>
      <c r="C362" s="81" t="s">
        <v>400</v>
      </c>
      <c r="D362" s="53">
        <v>7175206</v>
      </c>
      <c r="E362" s="52">
        <v>45492</v>
      </c>
      <c r="F362" s="80">
        <v>651</v>
      </c>
      <c r="G362" s="79" t="s">
        <v>298</v>
      </c>
      <c r="H362" s="49" t="str">
        <f t="shared" si="10"/>
        <v>A</v>
      </c>
      <c r="I362" s="48" t="str">
        <f t="shared" si="11"/>
        <v>The Commissioner &amp; Chief Constable are satisfied the spend represents VFM in accordance with the requirements of Category A</v>
      </c>
    </row>
    <row r="363" spans="1:9" x14ac:dyDescent="0.2">
      <c r="A363" s="56" t="s">
        <v>8</v>
      </c>
      <c r="B363" s="55" t="s">
        <v>9</v>
      </c>
      <c r="C363" s="81" t="s">
        <v>256</v>
      </c>
      <c r="D363" s="53">
        <v>7175018</v>
      </c>
      <c r="E363" s="52">
        <v>45488</v>
      </c>
      <c r="F363" s="80">
        <v>644.35</v>
      </c>
      <c r="G363" s="79" t="s">
        <v>155</v>
      </c>
      <c r="H363" s="49" t="str">
        <f t="shared" si="10"/>
        <v>A</v>
      </c>
      <c r="I363" s="48" t="str">
        <f t="shared" si="11"/>
        <v>The Commissioner &amp; Chief Constable are satisfied the spend represents VFM in accordance with the requirements of Category A</v>
      </c>
    </row>
    <row r="364" spans="1:9" x14ac:dyDescent="0.2">
      <c r="A364" s="56" t="s">
        <v>8</v>
      </c>
      <c r="B364" s="55" t="s">
        <v>9</v>
      </c>
      <c r="C364" s="81" t="s">
        <v>124</v>
      </c>
      <c r="D364" s="53">
        <v>7175497</v>
      </c>
      <c r="E364" s="52">
        <v>45502</v>
      </c>
      <c r="F364" s="80">
        <v>636.83000000000004</v>
      </c>
      <c r="G364" s="79" t="s">
        <v>376</v>
      </c>
      <c r="H364" s="49" t="str">
        <f t="shared" si="10"/>
        <v>A</v>
      </c>
      <c r="I364" s="48" t="str">
        <f t="shared" si="11"/>
        <v>The Commissioner &amp; Chief Constable are satisfied the spend represents VFM in accordance with the requirements of Category A</v>
      </c>
    </row>
    <row r="365" spans="1:9" x14ac:dyDescent="0.2">
      <c r="A365" s="56" t="s">
        <v>8</v>
      </c>
      <c r="B365" s="55" t="s">
        <v>9</v>
      </c>
      <c r="C365" s="81" t="s">
        <v>153</v>
      </c>
      <c r="D365" s="53">
        <v>7175463</v>
      </c>
      <c r="E365" s="52">
        <v>45502</v>
      </c>
      <c r="F365" s="80">
        <v>634.53</v>
      </c>
      <c r="G365" s="79" t="s">
        <v>39</v>
      </c>
      <c r="H365" s="49" t="str">
        <f t="shared" si="10"/>
        <v>A</v>
      </c>
      <c r="I365" s="48" t="str">
        <f t="shared" si="11"/>
        <v>The Commissioner &amp; Chief Constable are satisfied the spend represents VFM in accordance with the requirements of Category A</v>
      </c>
    </row>
    <row r="366" spans="1:9" x14ac:dyDescent="0.2">
      <c r="A366" s="56" t="s">
        <v>8</v>
      </c>
      <c r="B366" s="55" t="s">
        <v>9</v>
      </c>
      <c r="C366" s="81" t="s">
        <v>187</v>
      </c>
      <c r="D366" s="53">
        <v>7174645</v>
      </c>
      <c r="E366" s="52">
        <v>45481</v>
      </c>
      <c r="F366" s="80">
        <v>632.91999999999996</v>
      </c>
      <c r="G366" s="79" t="s">
        <v>188</v>
      </c>
      <c r="H366" s="49" t="str">
        <f t="shared" si="10"/>
        <v>A</v>
      </c>
      <c r="I366" s="48" t="str">
        <f t="shared" si="11"/>
        <v>The Commissioner &amp; Chief Constable are satisfied the spend represents VFM in accordance with the requirements of Category A</v>
      </c>
    </row>
    <row r="367" spans="1:9" x14ac:dyDescent="0.2">
      <c r="A367" s="56" t="s">
        <v>8</v>
      </c>
      <c r="B367" s="55" t="s">
        <v>9</v>
      </c>
      <c r="C367" s="81" t="s">
        <v>113</v>
      </c>
      <c r="D367" s="53">
        <v>7174849</v>
      </c>
      <c r="E367" s="52">
        <v>45482</v>
      </c>
      <c r="F367" s="80">
        <v>629</v>
      </c>
      <c r="G367" s="79" t="s">
        <v>75</v>
      </c>
      <c r="H367" s="49" t="str">
        <f t="shared" si="10"/>
        <v>A</v>
      </c>
      <c r="I367" s="48" t="str">
        <f t="shared" si="11"/>
        <v>The Commissioner &amp; Chief Constable are satisfied the spend represents VFM in accordance with the requirements of Category A</v>
      </c>
    </row>
    <row r="368" spans="1:9" x14ac:dyDescent="0.2">
      <c r="A368" s="56" t="s">
        <v>8</v>
      </c>
      <c r="B368" s="55" t="s">
        <v>9</v>
      </c>
      <c r="C368" s="81" t="s">
        <v>256</v>
      </c>
      <c r="D368" s="53">
        <v>7175013</v>
      </c>
      <c r="E368" s="52">
        <v>45503</v>
      </c>
      <c r="F368" s="80">
        <v>624.51</v>
      </c>
      <c r="G368" s="79" t="s">
        <v>155</v>
      </c>
      <c r="H368" s="49" t="str">
        <f t="shared" si="10"/>
        <v>A</v>
      </c>
      <c r="I368" s="48" t="str">
        <f t="shared" si="11"/>
        <v>The Commissioner &amp; Chief Constable are satisfied the spend represents VFM in accordance with the requirements of Category A</v>
      </c>
    </row>
    <row r="369" spans="1:13" x14ac:dyDescent="0.2">
      <c r="A369" s="56" t="s">
        <v>8</v>
      </c>
      <c r="B369" s="55" t="s">
        <v>9</v>
      </c>
      <c r="C369" s="81" t="s">
        <v>393</v>
      </c>
      <c r="D369" s="53">
        <v>7175330</v>
      </c>
      <c r="E369" s="52">
        <v>45497</v>
      </c>
      <c r="F369" s="80">
        <v>620.58000000000004</v>
      </c>
      <c r="G369" s="79" t="s">
        <v>392</v>
      </c>
      <c r="H369" s="49" t="str">
        <f t="shared" si="10"/>
        <v>A</v>
      </c>
      <c r="I369" s="48" t="str">
        <f t="shared" si="11"/>
        <v>The Commissioner &amp; Chief Constable are satisfied the spend represents VFM in accordance with the requirements of Category A</v>
      </c>
    </row>
    <row r="370" spans="1:13" x14ac:dyDescent="0.2">
      <c r="A370" s="56" t="s">
        <v>8</v>
      </c>
      <c r="B370" s="55" t="s">
        <v>9</v>
      </c>
      <c r="C370" s="81" t="s">
        <v>26</v>
      </c>
      <c r="D370" s="53">
        <v>7174756</v>
      </c>
      <c r="E370" s="52">
        <v>45488</v>
      </c>
      <c r="F370" s="80">
        <v>615.34</v>
      </c>
      <c r="G370" s="79" t="s">
        <v>76</v>
      </c>
      <c r="H370" s="49" t="str">
        <f t="shared" si="10"/>
        <v>A</v>
      </c>
      <c r="I370" s="48" t="str">
        <f t="shared" si="11"/>
        <v>The Commissioner &amp; Chief Constable are satisfied the spend represents VFM in accordance with the requirements of Category A</v>
      </c>
    </row>
    <row r="371" spans="1:13" x14ac:dyDescent="0.2">
      <c r="A371" s="56" t="s">
        <v>8</v>
      </c>
      <c r="B371" s="55" t="s">
        <v>9</v>
      </c>
      <c r="C371" s="81" t="s">
        <v>213</v>
      </c>
      <c r="D371" s="53">
        <v>7175407</v>
      </c>
      <c r="E371" s="52">
        <v>45498</v>
      </c>
      <c r="F371" s="80">
        <v>607</v>
      </c>
      <c r="G371" s="79" t="s">
        <v>98</v>
      </c>
      <c r="H371" s="49" t="str">
        <f t="shared" si="10"/>
        <v>A</v>
      </c>
      <c r="I371" s="48" t="str">
        <f t="shared" si="11"/>
        <v>The Commissioner &amp; Chief Constable are satisfied the spend represents VFM in accordance with the requirements of Category A</v>
      </c>
    </row>
    <row r="372" spans="1:13" x14ac:dyDescent="0.2">
      <c r="A372" s="56" t="s">
        <v>8</v>
      </c>
      <c r="B372" s="55" t="s">
        <v>9</v>
      </c>
      <c r="C372" s="81" t="s">
        <v>805</v>
      </c>
      <c r="D372" s="53">
        <v>7174330</v>
      </c>
      <c r="E372" s="52">
        <v>45481</v>
      </c>
      <c r="F372" s="80">
        <v>594</v>
      </c>
      <c r="G372" s="79" t="s">
        <v>330</v>
      </c>
      <c r="H372" s="49" t="str">
        <f t="shared" si="10"/>
        <v>A</v>
      </c>
      <c r="I372" s="48" t="str">
        <f t="shared" si="11"/>
        <v>The Commissioner &amp; Chief Constable are satisfied the spend represents VFM in accordance with the requirements of Category A</v>
      </c>
    </row>
    <row r="373" spans="1:13" x14ac:dyDescent="0.2">
      <c r="A373" s="56" t="s">
        <v>8</v>
      </c>
      <c r="B373" s="55" t="s">
        <v>9</v>
      </c>
      <c r="C373" s="81" t="s">
        <v>501</v>
      </c>
      <c r="D373" s="53">
        <v>7174677</v>
      </c>
      <c r="E373" s="52">
        <v>45478</v>
      </c>
      <c r="F373" s="80">
        <v>591.91999999999996</v>
      </c>
      <c r="G373" s="79" t="s">
        <v>94</v>
      </c>
      <c r="H373" s="49" t="str">
        <f t="shared" si="10"/>
        <v>A</v>
      </c>
      <c r="I373" s="48" t="str">
        <f t="shared" si="11"/>
        <v>The Commissioner &amp; Chief Constable are satisfied the spend represents VFM in accordance with the requirements of Category A</v>
      </c>
    </row>
    <row r="374" spans="1:13" x14ac:dyDescent="0.2">
      <c r="A374" s="56" t="s">
        <v>8</v>
      </c>
      <c r="B374" s="55" t="s">
        <v>9</v>
      </c>
      <c r="C374" s="81" t="s">
        <v>433</v>
      </c>
      <c r="D374" s="53">
        <v>7175239</v>
      </c>
      <c r="E374" s="52">
        <v>45492</v>
      </c>
      <c r="F374" s="80">
        <v>589.71</v>
      </c>
      <c r="G374" s="79" t="s">
        <v>94</v>
      </c>
      <c r="H374" s="49" t="str">
        <f t="shared" si="10"/>
        <v>A</v>
      </c>
      <c r="I374" s="48" t="str">
        <f t="shared" si="11"/>
        <v>The Commissioner &amp; Chief Constable are satisfied the spend represents VFM in accordance with the requirements of Category A</v>
      </c>
    </row>
    <row r="375" spans="1:13" x14ac:dyDescent="0.2">
      <c r="A375" s="56" t="s">
        <v>8</v>
      </c>
      <c r="B375" s="55" t="s">
        <v>9</v>
      </c>
      <c r="C375" s="81" t="s">
        <v>502</v>
      </c>
      <c r="D375" s="53">
        <v>7175425</v>
      </c>
      <c r="E375" s="52">
        <v>45498</v>
      </c>
      <c r="F375" s="80">
        <v>588.79999999999995</v>
      </c>
      <c r="G375" s="79" t="s">
        <v>38</v>
      </c>
      <c r="H375" s="49" t="str">
        <f t="shared" si="10"/>
        <v>A</v>
      </c>
      <c r="I375" s="48" t="str">
        <f t="shared" si="11"/>
        <v>The Commissioner &amp; Chief Constable are satisfied the spend represents VFM in accordance with the requirements of Category A</v>
      </c>
    </row>
    <row r="376" spans="1:13" x14ac:dyDescent="0.2">
      <c r="A376" s="56" t="s">
        <v>8</v>
      </c>
      <c r="B376" s="55" t="s">
        <v>9</v>
      </c>
      <c r="C376" s="81" t="s">
        <v>113</v>
      </c>
      <c r="D376" s="53">
        <v>7175025</v>
      </c>
      <c r="E376" s="52">
        <v>45488</v>
      </c>
      <c r="F376" s="80">
        <v>588.23</v>
      </c>
      <c r="G376" s="79" t="s">
        <v>114</v>
      </c>
      <c r="H376" s="49" t="str">
        <f t="shared" si="10"/>
        <v>A</v>
      </c>
      <c r="I376" s="48" t="str">
        <f t="shared" si="11"/>
        <v>The Commissioner &amp; Chief Constable are satisfied the spend represents VFM in accordance with the requirements of Category A</v>
      </c>
    </row>
    <row r="377" spans="1:13" x14ac:dyDescent="0.2">
      <c r="A377" s="56" t="s">
        <v>8</v>
      </c>
      <c r="B377" s="55" t="s">
        <v>9</v>
      </c>
      <c r="C377" s="81" t="s">
        <v>805</v>
      </c>
      <c r="D377" s="53">
        <v>7174676</v>
      </c>
      <c r="E377" s="52">
        <v>45481</v>
      </c>
      <c r="F377" s="80">
        <v>584.1</v>
      </c>
      <c r="G377" s="79" t="s">
        <v>330</v>
      </c>
      <c r="H377" s="49" t="str">
        <f t="shared" si="10"/>
        <v>A</v>
      </c>
      <c r="I377" s="48" t="str">
        <f t="shared" si="11"/>
        <v>The Commissioner &amp; Chief Constable are satisfied the spend represents VFM in accordance with the requirements of Category A</v>
      </c>
    </row>
    <row r="378" spans="1:13" s="42" customFormat="1" x14ac:dyDescent="0.2">
      <c r="A378" s="56" t="s">
        <v>8</v>
      </c>
      <c r="B378" s="55" t="s">
        <v>9</v>
      </c>
      <c r="C378" s="81" t="s">
        <v>595</v>
      </c>
      <c r="D378" s="53">
        <v>7174413</v>
      </c>
      <c r="E378" s="52">
        <v>45490</v>
      </c>
      <c r="F378" s="80">
        <v>580.1</v>
      </c>
      <c r="G378" s="79" t="s">
        <v>106</v>
      </c>
      <c r="H378" s="49" t="str">
        <f t="shared" si="10"/>
        <v>A</v>
      </c>
      <c r="I378" s="48" t="str">
        <f t="shared" si="11"/>
        <v>The Commissioner &amp; Chief Constable are satisfied the spend represents VFM in accordance with the requirements of Category A</v>
      </c>
      <c r="L378" s="41"/>
      <c r="M378" s="41"/>
    </row>
    <row r="379" spans="1:13" s="42" customFormat="1" x14ac:dyDescent="0.2">
      <c r="A379" s="56" t="s">
        <v>8</v>
      </c>
      <c r="B379" s="55" t="s">
        <v>9</v>
      </c>
      <c r="C379" s="81" t="s">
        <v>418</v>
      </c>
      <c r="D379" s="53">
        <v>7175156</v>
      </c>
      <c r="E379" s="52">
        <v>45492</v>
      </c>
      <c r="F379" s="80">
        <v>579.6</v>
      </c>
      <c r="G379" s="79" t="s">
        <v>155</v>
      </c>
      <c r="H379" s="49" t="str">
        <f t="shared" si="10"/>
        <v>A</v>
      </c>
      <c r="I379" s="48" t="str">
        <f t="shared" si="11"/>
        <v>The Commissioner &amp; Chief Constable are satisfied the spend represents VFM in accordance with the requirements of Category A</v>
      </c>
      <c r="L379" s="41"/>
      <c r="M379" s="41"/>
    </row>
    <row r="380" spans="1:13" s="42" customFormat="1" x14ac:dyDescent="0.2">
      <c r="A380" s="56" t="s">
        <v>8</v>
      </c>
      <c r="B380" s="55" t="s">
        <v>9</v>
      </c>
      <c r="C380" s="81" t="s">
        <v>256</v>
      </c>
      <c r="D380" s="53">
        <v>7174980</v>
      </c>
      <c r="E380" s="52">
        <v>45488</v>
      </c>
      <c r="F380" s="80">
        <v>578.76</v>
      </c>
      <c r="G380" s="79" t="s">
        <v>155</v>
      </c>
      <c r="H380" s="49" t="str">
        <f t="shared" si="10"/>
        <v>A</v>
      </c>
      <c r="I380" s="48" t="str">
        <f t="shared" si="11"/>
        <v>The Commissioner &amp; Chief Constable are satisfied the spend represents VFM in accordance with the requirements of Category A</v>
      </c>
      <c r="L380" s="41"/>
      <c r="M380" s="41"/>
    </row>
    <row r="381" spans="1:13" s="42" customFormat="1" x14ac:dyDescent="0.2">
      <c r="A381" s="56" t="s">
        <v>8</v>
      </c>
      <c r="B381" s="55" t="s">
        <v>9</v>
      </c>
      <c r="C381" s="81" t="s">
        <v>393</v>
      </c>
      <c r="D381" s="53">
        <v>7175574</v>
      </c>
      <c r="E381" s="52">
        <v>45504</v>
      </c>
      <c r="F381" s="80">
        <v>573.08000000000004</v>
      </c>
      <c r="G381" s="79" t="s">
        <v>392</v>
      </c>
      <c r="H381" s="49" t="str">
        <f t="shared" si="10"/>
        <v>A</v>
      </c>
      <c r="I381" s="48" t="str">
        <f t="shared" si="11"/>
        <v>The Commissioner &amp; Chief Constable are satisfied the spend represents VFM in accordance with the requirements of Category A</v>
      </c>
      <c r="L381" s="41"/>
      <c r="M381" s="41"/>
    </row>
    <row r="382" spans="1:13" s="42" customFormat="1" x14ac:dyDescent="0.2">
      <c r="A382" s="56" t="s">
        <v>8</v>
      </c>
      <c r="B382" s="55" t="s">
        <v>9</v>
      </c>
      <c r="C382" s="81" t="s">
        <v>202</v>
      </c>
      <c r="D382" s="53">
        <v>7175397</v>
      </c>
      <c r="E382" s="52">
        <v>45498</v>
      </c>
      <c r="F382" s="80">
        <v>568</v>
      </c>
      <c r="G382" s="79" t="s">
        <v>203</v>
      </c>
      <c r="H382" s="49" t="str">
        <f t="shared" si="10"/>
        <v>A</v>
      </c>
      <c r="I382" s="48" t="str">
        <f t="shared" si="11"/>
        <v>The Commissioner &amp; Chief Constable are satisfied the spend represents VFM in accordance with the requirements of Category A</v>
      </c>
      <c r="L382" s="41"/>
      <c r="M382" s="41"/>
    </row>
    <row r="383" spans="1:13" s="42" customFormat="1" x14ac:dyDescent="0.2">
      <c r="A383" s="56" t="s">
        <v>8</v>
      </c>
      <c r="B383" s="55" t="s">
        <v>9</v>
      </c>
      <c r="C383" s="81" t="s">
        <v>202</v>
      </c>
      <c r="D383" s="53">
        <v>7175202</v>
      </c>
      <c r="E383" s="52">
        <v>45491</v>
      </c>
      <c r="F383" s="80">
        <v>568</v>
      </c>
      <c r="G383" s="79" t="s">
        <v>203</v>
      </c>
      <c r="H383" s="49" t="str">
        <f t="shared" si="10"/>
        <v>A</v>
      </c>
      <c r="I383" s="48" t="str">
        <f t="shared" si="11"/>
        <v>The Commissioner &amp; Chief Constable are satisfied the spend represents VFM in accordance with the requirements of Category A</v>
      </c>
      <c r="L383" s="41"/>
      <c r="M383" s="41"/>
    </row>
    <row r="384" spans="1:13" s="42" customFormat="1" x14ac:dyDescent="0.2">
      <c r="A384" s="56" t="s">
        <v>8</v>
      </c>
      <c r="B384" s="55" t="s">
        <v>9</v>
      </c>
      <c r="C384" s="81" t="s">
        <v>736</v>
      </c>
      <c r="D384" s="53">
        <v>7174700</v>
      </c>
      <c r="E384" s="52">
        <v>45478</v>
      </c>
      <c r="F384" s="80">
        <v>566.66999999999996</v>
      </c>
      <c r="G384" s="79" t="s">
        <v>729</v>
      </c>
      <c r="H384" s="49" t="str">
        <f t="shared" si="10"/>
        <v>A</v>
      </c>
      <c r="I384" s="48" t="str">
        <f t="shared" si="11"/>
        <v>The Commissioner &amp; Chief Constable are satisfied the spend represents VFM in accordance with the requirements of Category A</v>
      </c>
      <c r="L384" s="41"/>
      <c r="M384" s="41"/>
    </row>
    <row r="385" spans="1:13" s="42" customFormat="1" x14ac:dyDescent="0.2">
      <c r="A385" s="56" t="s">
        <v>8</v>
      </c>
      <c r="B385" s="55" t="s">
        <v>9</v>
      </c>
      <c r="C385" s="81" t="s">
        <v>804</v>
      </c>
      <c r="D385" s="53">
        <v>7174675</v>
      </c>
      <c r="E385" s="52">
        <v>45478</v>
      </c>
      <c r="F385" s="80">
        <v>560</v>
      </c>
      <c r="G385" s="79" t="s">
        <v>319</v>
      </c>
      <c r="H385" s="49" t="str">
        <f t="shared" si="10"/>
        <v>A</v>
      </c>
      <c r="I385" s="48" t="str">
        <f t="shared" si="11"/>
        <v>The Commissioner &amp; Chief Constable are satisfied the spend represents VFM in accordance with the requirements of Category A</v>
      </c>
      <c r="L385" s="41"/>
      <c r="M385" s="41"/>
    </row>
    <row r="386" spans="1:13" s="42" customFormat="1" x14ac:dyDescent="0.2">
      <c r="A386" s="56" t="s">
        <v>8</v>
      </c>
      <c r="B386" s="55" t="s">
        <v>9</v>
      </c>
      <c r="C386" s="81" t="s">
        <v>260</v>
      </c>
      <c r="D386" s="53">
        <v>7175137</v>
      </c>
      <c r="E386" s="52">
        <v>45490</v>
      </c>
      <c r="F386" s="80">
        <v>555.36</v>
      </c>
      <c r="G386" s="79" t="s">
        <v>131</v>
      </c>
      <c r="H386" s="49" t="str">
        <f t="shared" ref="H386:H449" si="12">IF(F386&gt;25000,"C",IF(F386&gt;1000,"B","A"))</f>
        <v>A</v>
      </c>
      <c r="I386" s="48" t="str">
        <f t="shared" ref="I386:I449" si="13">VLOOKUP(H386,$L$2:$M$4,2,FALSE)</f>
        <v>The Commissioner &amp; Chief Constable are satisfied the spend represents VFM in accordance with the requirements of Category A</v>
      </c>
      <c r="L386" s="41"/>
      <c r="M386" s="41"/>
    </row>
    <row r="387" spans="1:13" s="42" customFormat="1" x14ac:dyDescent="0.2">
      <c r="A387" s="56" t="s">
        <v>8</v>
      </c>
      <c r="B387" s="55" t="s">
        <v>9</v>
      </c>
      <c r="C387" s="81" t="s">
        <v>333</v>
      </c>
      <c r="D387" s="53">
        <v>7174587</v>
      </c>
      <c r="E387" s="52">
        <v>45475</v>
      </c>
      <c r="F387" s="80">
        <v>550</v>
      </c>
      <c r="G387" s="79" t="s">
        <v>91</v>
      </c>
      <c r="H387" s="49" t="str">
        <f t="shared" si="12"/>
        <v>A</v>
      </c>
      <c r="I387" s="48" t="str">
        <f t="shared" si="13"/>
        <v>The Commissioner &amp; Chief Constable are satisfied the spend represents VFM in accordance with the requirements of Category A</v>
      </c>
      <c r="L387" s="41"/>
      <c r="M387" s="41"/>
    </row>
    <row r="388" spans="1:13" s="42" customFormat="1" x14ac:dyDescent="0.2">
      <c r="A388" s="56" t="s">
        <v>8</v>
      </c>
      <c r="B388" s="55" t="s">
        <v>9</v>
      </c>
      <c r="C388" s="81" t="s">
        <v>252</v>
      </c>
      <c r="D388" s="53">
        <v>7174577</v>
      </c>
      <c r="E388" s="52">
        <v>45475</v>
      </c>
      <c r="F388" s="80">
        <v>546</v>
      </c>
      <c r="G388" s="79" t="s">
        <v>148</v>
      </c>
      <c r="H388" s="49" t="str">
        <f t="shared" si="12"/>
        <v>A</v>
      </c>
      <c r="I388" s="48" t="str">
        <f t="shared" si="13"/>
        <v>The Commissioner &amp; Chief Constable are satisfied the spend represents VFM in accordance with the requirements of Category A</v>
      </c>
      <c r="L388" s="41"/>
      <c r="M388" s="41"/>
    </row>
    <row r="389" spans="1:13" s="42" customFormat="1" x14ac:dyDescent="0.2">
      <c r="A389" s="56" t="s">
        <v>8</v>
      </c>
      <c r="B389" s="55" t="s">
        <v>9</v>
      </c>
      <c r="C389" s="81" t="s">
        <v>803</v>
      </c>
      <c r="D389" s="53">
        <v>7175272</v>
      </c>
      <c r="E389" s="52">
        <v>45495</v>
      </c>
      <c r="F389" s="80">
        <v>545.46</v>
      </c>
      <c r="G389" s="79" t="s">
        <v>131</v>
      </c>
      <c r="H389" s="49" t="str">
        <f t="shared" si="12"/>
        <v>A</v>
      </c>
      <c r="I389" s="48" t="str">
        <f t="shared" si="13"/>
        <v>The Commissioner &amp; Chief Constable are satisfied the spend represents VFM in accordance with the requirements of Category A</v>
      </c>
      <c r="L389" s="41"/>
      <c r="M389" s="41"/>
    </row>
    <row r="390" spans="1:13" s="42" customFormat="1" x14ac:dyDescent="0.2">
      <c r="A390" s="56" t="s">
        <v>8</v>
      </c>
      <c r="B390" s="55" t="s">
        <v>9</v>
      </c>
      <c r="C390" s="81" t="s">
        <v>292</v>
      </c>
      <c r="D390" s="53">
        <v>7174819</v>
      </c>
      <c r="E390" s="52">
        <v>45488</v>
      </c>
      <c r="F390" s="80">
        <v>541.66</v>
      </c>
      <c r="G390" s="79" t="s">
        <v>84</v>
      </c>
      <c r="H390" s="49" t="str">
        <f t="shared" si="12"/>
        <v>A</v>
      </c>
      <c r="I390" s="48" t="str">
        <f t="shared" si="13"/>
        <v>The Commissioner &amp; Chief Constable are satisfied the spend represents VFM in accordance with the requirements of Category A</v>
      </c>
      <c r="L390" s="41"/>
      <c r="M390" s="41"/>
    </row>
    <row r="391" spans="1:13" s="42" customFormat="1" x14ac:dyDescent="0.2">
      <c r="A391" s="56" t="s">
        <v>8</v>
      </c>
      <c r="B391" s="55" t="s">
        <v>9</v>
      </c>
      <c r="C391" s="81" t="s">
        <v>74</v>
      </c>
      <c r="D391" s="53">
        <v>7175000</v>
      </c>
      <c r="E391" s="52">
        <v>45491</v>
      </c>
      <c r="F391" s="80">
        <v>535.87</v>
      </c>
      <c r="G391" s="79" t="s">
        <v>345</v>
      </c>
      <c r="H391" s="49" t="str">
        <f t="shared" si="12"/>
        <v>A</v>
      </c>
      <c r="I391" s="48" t="str">
        <f t="shared" si="13"/>
        <v>The Commissioner &amp; Chief Constable are satisfied the spend represents VFM in accordance with the requirements of Category A</v>
      </c>
      <c r="L391" s="41"/>
      <c r="M391" s="41"/>
    </row>
    <row r="392" spans="1:13" x14ac:dyDescent="0.2">
      <c r="A392" s="56" t="s">
        <v>8</v>
      </c>
      <c r="B392" s="55" t="s">
        <v>9</v>
      </c>
      <c r="C392" s="81" t="s">
        <v>419</v>
      </c>
      <c r="D392" s="53">
        <v>7174711</v>
      </c>
      <c r="E392" s="52">
        <v>45482</v>
      </c>
      <c r="F392" s="80">
        <v>535</v>
      </c>
      <c r="G392" s="79" t="s">
        <v>22</v>
      </c>
      <c r="H392" s="49" t="str">
        <f t="shared" si="12"/>
        <v>A</v>
      </c>
      <c r="I392" s="48" t="str">
        <f t="shared" si="13"/>
        <v>The Commissioner &amp; Chief Constable are satisfied the spend represents VFM in accordance with the requirements of Category A</v>
      </c>
    </row>
    <row r="393" spans="1:13" x14ac:dyDescent="0.2">
      <c r="A393" s="56" t="s">
        <v>8</v>
      </c>
      <c r="B393" s="55" t="s">
        <v>9</v>
      </c>
      <c r="C393" s="81" t="s">
        <v>802</v>
      </c>
      <c r="D393" s="53">
        <v>7175154</v>
      </c>
      <c r="E393" s="52">
        <v>45495</v>
      </c>
      <c r="F393" s="80">
        <v>529.99</v>
      </c>
      <c r="G393" s="79" t="s">
        <v>131</v>
      </c>
      <c r="H393" s="49" t="str">
        <f t="shared" si="12"/>
        <v>A</v>
      </c>
      <c r="I393" s="48" t="str">
        <f t="shared" si="13"/>
        <v>The Commissioner &amp; Chief Constable are satisfied the spend represents VFM in accordance with the requirements of Category A</v>
      </c>
    </row>
    <row r="394" spans="1:13" x14ac:dyDescent="0.2">
      <c r="A394" s="56" t="s">
        <v>8</v>
      </c>
      <c r="B394" s="55" t="s">
        <v>9</v>
      </c>
      <c r="C394" s="81" t="s">
        <v>256</v>
      </c>
      <c r="D394" s="53">
        <v>7175340</v>
      </c>
      <c r="E394" s="52">
        <v>45497</v>
      </c>
      <c r="F394" s="80">
        <v>527.25</v>
      </c>
      <c r="G394" s="79" t="s">
        <v>131</v>
      </c>
      <c r="H394" s="49" t="str">
        <f t="shared" si="12"/>
        <v>A</v>
      </c>
      <c r="I394" s="48" t="str">
        <f t="shared" si="13"/>
        <v>The Commissioner &amp; Chief Constable are satisfied the spend represents VFM in accordance with the requirements of Category A</v>
      </c>
    </row>
    <row r="395" spans="1:13" x14ac:dyDescent="0.2">
      <c r="A395" s="56" t="s">
        <v>8</v>
      </c>
      <c r="B395" s="55" t="s">
        <v>9</v>
      </c>
      <c r="C395" s="81" t="s">
        <v>260</v>
      </c>
      <c r="D395" s="53">
        <v>7174947</v>
      </c>
      <c r="E395" s="52">
        <v>45485</v>
      </c>
      <c r="F395" s="80">
        <v>522.1</v>
      </c>
      <c r="G395" s="79" t="s">
        <v>261</v>
      </c>
      <c r="H395" s="49" t="str">
        <f t="shared" si="12"/>
        <v>A</v>
      </c>
      <c r="I395" s="48" t="str">
        <f t="shared" si="13"/>
        <v>The Commissioner &amp; Chief Constable are satisfied the spend represents VFM in accordance with the requirements of Category A</v>
      </c>
    </row>
    <row r="396" spans="1:13" x14ac:dyDescent="0.2">
      <c r="A396" s="56" t="s">
        <v>8</v>
      </c>
      <c r="B396" s="55" t="s">
        <v>9</v>
      </c>
      <c r="C396" s="81" t="s">
        <v>222</v>
      </c>
      <c r="D396" s="53">
        <v>7175148</v>
      </c>
      <c r="E396" s="52">
        <v>45497</v>
      </c>
      <c r="F396" s="80">
        <v>522</v>
      </c>
      <c r="G396" s="79" t="s">
        <v>22</v>
      </c>
      <c r="H396" s="49" t="str">
        <f t="shared" si="12"/>
        <v>A</v>
      </c>
      <c r="I396" s="48" t="str">
        <f t="shared" si="13"/>
        <v>The Commissioner &amp; Chief Constable are satisfied the spend represents VFM in accordance with the requirements of Category A</v>
      </c>
    </row>
    <row r="397" spans="1:13" x14ac:dyDescent="0.2">
      <c r="A397" s="56" t="s">
        <v>8</v>
      </c>
      <c r="B397" s="55" t="s">
        <v>9</v>
      </c>
      <c r="C397" s="81" t="s">
        <v>74</v>
      </c>
      <c r="D397" s="53">
        <v>7174993</v>
      </c>
      <c r="E397" s="52">
        <v>45488</v>
      </c>
      <c r="F397" s="80">
        <v>518.34</v>
      </c>
      <c r="G397" s="79" t="s">
        <v>345</v>
      </c>
      <c r="H397" s="49" t="str">
        <f t="shared" si="12"/>
        <v>A</v>
      </c>
      <c r="I397" s="48" t="str">
        <f t="shared" si="13"/>
        <v>The Commissioner &amp; Chief Constable are satisfied the spend represents VFM in accordance with the requirements of Category A</v>
      </c>
    </row>
    <row r="398" spans="1:13" x14ac:dyDescent="0.2">
      <c r="A398" s="56" t="s">
        <v>8</v>
      </c>
      <c r="B398" s="55" t="s">
        <v>9</v>
      </c>
      <c r="C398" s="81" t="s">
        <v>74</v>
      </c>
      <c r="D398" s="53">
        <v>7174991</v>
      </c>
      <c r="E398" s="52">
        <v>45491</v>
      </c>
      <c r="F398" s="80">
        <v>518.34</v>
      </c>
      <c r="G398" s="79" t="s">
        <v>345</v>
      </c>
      <c r="H398" s="49" t="str">
        <f t="shared" si="12"/>
        <v>A</v>
      </c>
      <c r="I398" s="48" t="str">
        <f t="shared" si="13"/>
        <v>The Commissioner &amp; Chief Constable are satisfied the spend represents VFM in accordance with the requirements of Category A</v>
      </c>
    </row>
    <row r="399" spans="1:13" x14ac:dyDescent="0.2">
      <c r="A399" s="56" t="s">
        <v>8</v>
      </c>
      <c r="B399" s="55" t="s">
        <v>9</v>
      </c>
      <c r="C399" s="81" t="s">
        <v>366</v>
      </c>
      <c r="D399" s="53">
        <v>7174794</v>
      </c>
      <c r="E399" s="52">
        <v>45482</v>
      </c>
      <c r="F399" s="80">
        <v>508.2</v>
      </c>
      <c r="G399" s="79" t="s">
        <v>155</v>
      </c>
      <c r="H399" s="49" t="str">
        <f t="shared" si="12"/>
        <v>A</v>
      </c>
      <c r="I399" s="48" t="str">
        <f t="shared" si="13"/>
        <v>The Commissioner &amp; Chief Constable are satisfied the spend represents VFM in accordance with the requirements of Category A</v>
      </c>
    </row>
    <row r="400" spans="1:13" x14ac:dyDescent="0.2">
      <c r="A400" s="56" t="s">
        <v>8</v>
      </c>
      <c r="B400" s="55" t="s">
        <v>9</v>
      </c>
      <c r="C400" s="81" t="s">
        <v>289</v>
      </c>
      <c r="D400" s="53">
        <v>7175140</v>
      </c>
      <c r="E400" s="52">
        <v>45490</v>
      </c>
      <c r="F400" s="80">
        <v>505.3</v>
      </c>
      <c r="G400" s="79" t="s">
        <v>177</v>
      </c>
      <c r="H400" s="49" t="str">
        <f t="shared" si="12"/>
        <v>A</v>
      </c>
      <c r="I400" s="48" t="str">
        <f t="shared" si="13"/>
        <v>The Commissioner &amp; Chief Constable are satisfied the spend represents VFM in accordance with the requirements of Category A</v>
      </c>
    </row>
    <row r="401" spans="1:13" x14ac:dyDescent="0.2">
      <c r="A401" s="56" t="s">
        <v>8</v>
      </c>
      <c r="B401" s="55" t="s">
        <v>9</v>
      </c>
      <c r="C401" s="81" t="s">
        <v>501</v>
      </c>
      <c r="D401" s="53">
        <v>7175318</v>
      </c>
      <c r="E401" s="52">
        <v>45496</v>
      </c>
      <c r="F401" s="80">
        <v>501.49</v>
      </c>
      <c r="G401" s="79" t="s">
        <v>94</v>
      </c>
      <c r="H401" s="49" t="str">
        <f t="shared" si="12"/>
        <v>A</v>
      </c>
      <c r="I401" s="48" t="str">
        <f t="shared" si="13"/>
        <v>The Commissioner &amp; Chief Constable are satisfied the spend represents VFM in accordance with the requirements of Category A</v>
      </c>
    </row>
    <row r="402" spans="1:13" x14ac:dyDescent="0.2">
      <c r="A402" s="56" t="s">
        <v>8</v>
      </c>
      <c r="B402" s="55" t="s">
        <v>9</v>
      </c>
      <c r="C402" s="81" t="s">
        <v>393</v>
      </c>
      <c r="D402" s="53">
        <v>7175575</v>
      </c>
      <c r="E402" s="52">
        <v>45504</v>
      </c>
      <c r="F402" s="80">
        <v>-620.58000000000004</v>
      </c>
      <c r="G402" s="79" t="s">
        <v>392</v>
      </c>
      <c r="H402" s="49" t="str">
        <f t="shared" si="12"/>
        <v>A</v>
      </c>
      <c r="I402" s="48" t="str">
        <f t="shared" si="13"/>
        <v>The Commissioner &amp; Chief Constable are satisfied the spend represents VFM in accordance with the requirements of Category A</v>
      </c>
    </row>
    <row r="403" spans="1:13" s="42" customFormat="1" x14ac:dyDescent="0.2">
      <c r="A403" s="56" t="s">
        <v>8</v>
      </c>
      <c r="B403" s="55" t="s">
        <v>9</v>
      </c>
      <c r="C403" s="81" t="s">
        <v>103</v>
      </c>
      <c r="D403" s="53">
        <v>7174689</v>
      </c>
      <c r="E403" s="52">
        <v>45483</v>
      </c>
      <c r="F403" s="80">
        <v>-965</v>
      </c>
      <c r="G403" s="79" t="s">
        <v>91</v>
      </c>
      <c r="H403" s="49" t="str">
        <f t="shared" si="12"/>
        <v>A</v>
      </c>
      <c r="I403" s="48" t="str">
        <f t="shared" si="13"/>
        <v>The Commissioner &amp; Chief Constable are satisfied the spend represents VFM in accordance with the requirements of Category A</v>
      </c>
      <c r="L403" s="41"/>
      <c r="M403" s="41"/>
    </row>
    <row r="404" spans="1:13" s="42" customFormat="1" x14ac:dyDescent="0.2">
      <c r="A404" s="56" t="s">
        <v>8</v>
      </c>
      <c r="B404" s="55" t="s">
        <v>9</v>
      </c>
      <c r="C404" s="81" t="s">
        <v>74</v>
      </c>
      <c r="D404" s="53">
        <v>3068164</v>
      </c>
      <c r="E404" s="52">
        <v>45488</v>
      </c>
      <c r="F404" s="80">
        <v>-1199.57</v>
      </c>
      <c r="G404" s="79" t="s">
        <v>131</v>
      </c>
      <c r="H404" s="49" t="str">
        <f t="shared" si="12"/>
        <v>A</v>
      </c>
      <c r="I404" s="48" t="str">
        <f t="shared" si="13"/>
        <v>The Commissioner &amp; Chief Constable are satisfied the spend represents VFM in accordance with the requirements of Category A</v>
      </c>
      <c r="L404" s="41"/>
      <c r="M404" s="41"/>
    </row>
    <row r="405" spans="1:13" s="42" customFormat="1" x14ac:dyDescent="0.2">
      <c r="A405" s="56" t="s">
        <v>8</v>
      </c>
      <c r="B405" s="55" t="s">
        <v>9</v>
      </c>
      <c r="C405" s="82" t="s">
        <v>193</v>
      </c>
      <c r="D405" s="53">
        <v>7174556</v>
      </c>
      <c r="E405" s="52">
        <v>45474</v>
      </c>
      <c r="F405" s="80">
        <v>-3321</v>
      </c>
      <c r="G405" s="79" t="s">
        <v>194</v>
      </c>
      <c r="H405" s="49" t="str">
        <f t="shared" si="12"/>
        <v>A</v>
      </c>
      <c r="I405" s="48" t="str">
        <f t="shared" si="13"/>
        <v>The Commissioner &amp; Chief Constable are satisfied the spend represents VFM in accordance with the requirements of Category A</v>
      </c>
      <c r="L405" s="41"/>
      <c r="M405" s="41"/>
    </row>
    <row r="406" spans="1:13" s="42" customFormat="1" x14ac:dyDescent="0.2">
      <c r="A406" s="56" t="s">
        <v>8</v>
      </c>
      <c r="B406" s="55" t="s">
        <v>9</v>
      </c>
      <c r="C406" s="81"/>
      <c r="D406" s="53"/>
      <c r="E406" s="52"/>
      <c r="F406" s="80"/>
      <c r="G406" s="79"/>
      <c r="H406" s="49" t="str">
        <f t="shared" si="12"/>
        <v>A</v>
      </c>
      <c r="I406" s="48" t="str">
        <f t="shared" si="13"/>
        <v>The Commissioner &amp; Chief Constable are satisfied the spend represents VFM in accordance with the requirements of Category A</v>
      </c>
      <c r="L406" s="41"/>
      <c r="M406" s="41"/>
    </row>
    <row r="407" spans="1:13" s="42" customFormat="1" x14ac:dyDescent="0.2">
      <c r="A407" s="56" t="s">
        <v>8</v>
      </c>
      <c r="B407" s="55" t="s">
        <v>9</v>
      </c>
      <c r="C407" s="81"/>
      <c r="D407" s="53"/>
      <c r="E407" s="52"/>
      <c r="F407" s="80"/>
      <c r="G407" s="79"/>
      <c r="H407" s="49" t="str">
        <f t="shared" si="12"/>
        <v>A</v>
      </c>
      <c r="I407" s="48" t="str">
        <f t="shared" si="13"/>
        <v>The Commissioner &amp; Chief Constable are satisfied the spend represents VFM in accordance with the requirements of Category A</v>
      </c>
      <c r="L407" s="41"/>
      <c r="M407" s="41"/>
    </row>
    <row r="408" spans="1:13" s="42" customFormat="1" x14ac:dyDescent="0.2">
      <c r="A408" s="56" t="s">
        <v>8</v>
      </c>
      <c r="B408" s="55" t="s">
        <v>9</v>
      </c>
      <c r="C408" s="81"/>
      <c r="D408" s="53"/>
      <c r="E408" s="52"/>
      <c r="F408" s="80"/>
      <c r="G408" s="79"/>
      <c r="H408" s="49" t="str">
        <f t="shared" si="12"/>
        <v>A</v>
      </c>
      <c r="I408" s="48" t="str">
        <f t="shared" si="13"/>
        <v>The Commissioner &amp; Chief Constable are satisfied the spend represents VFM in accordance with the requirements of Category A</v>
      </c>
      <c r="L408" s="41"/>
      <c r="M408" s="41"/>
    </row>
    <row r="409" spans="1:13" s="42" customFormat="1" x14ac:dyDescent="0.2">
      <c r="A409" s="56" t="s">
        <v>8</v>
      </c>
      <c r="B409" s="55" t="s">
        <v>9</v>
      </c>
      <c r="C409" s="81"/>
      <c r="D409" s="53"/>
      <c r="E409" s="52"/>
      <c r="F409" s="80"/>
      <c r="G409" s="79"/>
      <c r="H409" s="49" t="str">
        <f t="shared" si="12"/>
        <v>A</v>
      </c>
      <c r="I409" s="48" t="str">
        <f t="shared" si="13"/>
        <v>The Commissioner &amp; Chief Constable are satisfied the spend represents VFM in accordance with the requirements of Category A</v>
      </c>
      <c r="L409" s="41"/>
      <c r="M409" s="41"/>
    </row>
    <row r="410" spans="1:13" s="42" customFormat="1" x14ac:dyDescent="0.2">
      <c r="A410" s="56" t="s">
        <v>8</v>
      </c>
      <c r="B410" s="55" t="s">
        <v>9</v>
      </c>
      <c r="C410" s="81"/>
      <c r="D410" s="53"/>
      <c r="E410" s="52"/>
      <c r="F410" s="80"/>
      <c r="G410" s="79"/>
      <c r="H410" s="49" t="str">
        <f t="shared" si="12"/>
        <v>A</v>
      </c>
      <c r="I410" s="48" t="str">
        <f t="shared" si="13"/>
        <v>The Commissioner &amp; Chief Constable are satisfied the spend represents VFM in accordance with the requirements of Category A</v>
      </c>
      <c r="L410" s="41"/>
      <c r="M410" s="41"/>
    </row>
    <row r="411" spans="1:13" s="42" customFormat="1" x14ac:dyDescent="0.2">
      <c r="A411" s="56" t="s">
        <v>8</v>
      </c>
      <c r="B411" s="55" t="s">
        <v>9</v>
      </c>
      <c r="C411" s="81"/>
      <c r="D411" s="53"/>
      <c r="E411" s="52"/>
      <c r="F411" s="80"/>
      <c r="G411" s="79"/>
      <c r="H411" s="49" t="str">
        <f t="shared" si="12"/>
        <v>A</v>
      </c>
      <c r="I411" s="48" t="str">
        <f t="shared" si="13"/>
        <v>The Commissioner &amp; Chief Constable are satisfied the spend represents VFM in accordance with the requirements of Category A</v>
      </c>
      <c r="L411" s="41"/>
      <c r="M411" s="41"/>
    </row>
    <row r="412" spans="1:13" s="42" customFormat="1" x14ac:dyDescent="0.2">
      <c r="A412" s="56" t="s">
        <v>8</v>
      </c>
      <c r="B412" s="55" t="s">
        <v>9</v>
      </c>
      <c r="C412" s="82"/>
      <c r="D412" s="53"/>
      <c r="E412" s="52"/>
      <c r="F412" s="80"/>
      <c r="G412" s="79"/>
      <c r="H412" s="49" t="str">
        <f t="shared" si="12"/>
        <v>A</v>
      </c>
      <c r="I412" s="48" t="str">
        <f t="shared" si="13"/>
        <v>The Commissioner &amp; Chief Constable are satisfied the spend represents VFM in accordance with the requirements of Category A</v>
      </c>
      <c r="L412" s="41"/>
      <c r="M412" s="41"/>
    </row>
    <row r="413" spans="1:13" s="42" customFormat="1" x14ac:dyDescent="0.2">
      <c r="A413" s="56" t="s">
        <v>8</v>
      </c>
      <c r="B413" s="55" t="s">
        <v>9</v>
      </c>
      <c r="C413" s="81"/>
      <c r="D413" s="53"/>
      <c r="E413" s="52"/>
      <c r="F413" s="80"/>
      <c r="G413" s="79"/>
      <c r="H413" s="49" t="str">
        <f t="shared" si="12"/>
        <v>A</v>
      </c>
      <c r="I413" s="48" t="str">
        <f t="shared" si="13"/>
        <v>The Commissioner &amp; Chief Constable are satisfied the spend represents VFM in accordance with the requirements of Category A</v>
      </c>
      <c r="L413" s="41"/>
      <c r="M413" s="41"/>
    </row>
    <row r="414" spans="1:13" s="42" customFormat="1" x14ac:dyDescent="0.2">
      <c r="A414" s="56" t="s">
        <v>8</v>
      </c>
      <c r="B414" s="55" t="s">
        <v>9</v>
      </c>
      <c r="C414" s="81"/>
      <c r="D414" s="53"/>
      <c r="E414" s="52"/>
      <c r="F414" s="80"/>
      <c r="G414" s="79"/>
      <c r="H414" s="49" t="str">
        <f t="shared" si="12"/>
        <v>A</v>
      </c>
      <c r="I414" s="48" t="str">
        <f t="shared" si="13"/>
        <v>The Commissioner &amp; Chief Constable are satisfied the spend represents VFM in accordance with the requirements of Category A</v>
      </c>
      <c r="L414" s="41"/>
      <c r="M414" s="41"/>
    </row>
    <row r="415" spans="1:13" s="42" customFormat="1" x14ac:dyDescent="0.2">
      <c r="A415" s="56" t="s">
        <v>8</v>
      </c>
      <c r="B415" s="55" t="s">
        <v>9</v>
      </c>
      <c r="C415" s="81"/>
      <c r="D415" s="53"/>
      <c r="E415" s="52"/>
      <c r="F415" s="80"/>
      <c r="G415" s="79"/>
      <c r="H415" s="49" t="str">
        <f t="shared" si="12"/>
        <v>A</v>
      </c>
      <c r="I415" s="48" t="str">
        <f t="shared" si="13"/>
        <v>The Commissioner &amp; Chief Constable are satisfied the spend represents VFM in accordance with the requirements of Category A</v>
      </c>
      <c r="L415" s="41"/>
      <c r="M415" s="41"/>
    </row>
    <row r="416" spans="1:13" s="42" customFormat="1" x14ac:dyDescent="0.2">
      <c r="A416" s="56" t="s">
        <v>8</v>
      </c>
      <c r="B416" s="55" t="s">
        <v>9</v>
      </c>
      <c r="C416" s="81"/>
      <c r="D416" s="53"/>
      <c r="E416" s="52"/>
      <c r="F416" s="80"/>
      <c r="G416" s="79"/>
      <c r="H416" s="49" t="str">
        <f t="shared" si="12"/>
        <v>A</v>
      </c>
      <c r="I416" s="48" t="str">
        <f t="shared" si="13"/>
        <v>The Commissioner &amp; Chief Constable are satisfied the spend represents VFM in accordance with the requirements of Category A</v>
      </c>
      <c r="L416" s="41"/>
      <c r="M416" s="41"/>
    </row>
    <row r="417" spans="1:13" s="42" customFormat="1" x14ac:dyDescent="0.2">
      <c r="A417" s="56" t="s">
        <v>8</v>
      </c>
      <c r="B417" s="55" t="s">
        <v>9</v>
      </c>
      <c r="C417" s="81"/>
      <c r="D417" s="53"/>
      <c r="E417" s="52"/>
      <c r="F417" s="80"/>
      <c r="G417" s="79"/>
      <c r="H417" s="49" t="str">
        <f t="shared" si="12"/>
        <v>A</v>
      </c>
      <c r="I417" s="48" t="str">
        <f t="shared" si="13"/>
        <v>The Commissioner &amp; Chief Constable are satisfied the spend represents VFM in accordance with the requirements of Category A</v>
      </c>
      <c r="L417" s="41"/>
      <c r="M417" s="41"/>
    </row>
    <row r="418" spans="1:13" s="42" customFormat="1" x14ac:dyDescent="0.2">
      <c r="A418" s="56" t="s">
        <v>8</v>
      </c>
      <c r="B418" s="55" t="s">
        <v>9</v>
      </c>
      <c r="C418" s="81"/>
      <c r="D418" s="53"/>
      <c r="E418" s="52"/>
      <c r="F418" s="80"/>
      <c r="G418" s="79"/>
      <c r="H418" s="49" t="str">
        <f t="shared" si="12"/>
        <v>A</v>
      </c>
      <c r="I418" s="48" t="str">
        <f t="shared" si="13"/>
        <v>The Commissioner &amp; Chief Constable are satisfied the spend represents VFM in accordance with the requirements of Category A</v>
      </c>
      <c r="L418" s="41"/>
      <c r="M418" s="41"/>
    </row>
    <row r="419" spans="1:13" s="42" customFormat="1" x14ac:dyDescent="0.2">
      <c r="A419" s="56" t="s">
        <v>8</v>
      </c>
      <c r="B419" s="55" t="s">
        <v>9</v>
      </c>
      <c r="C419" s="81"/>
      <c r="D419" s="53"/>
      <c r="E419" s="52"/>
      <c r="F419" s="80"/>
      <c r="G419" s="79"/>
      <c r="H419" s="49" t="str">
        <f t="shared" si="12"/>
        <v>A</v>
      </c>
      <c r="I419" s="48" t="str">
        <f t="shared" si="13"/>
        <v>The Commissioner &amp; Chief Constable are satisfied the spend represents VFM in accordance with the requirements of Category A</v>
      </c>
      <c r="L419" s="41"/>
      <c r="M419" s="41"/>
    </row>
    <row r="420" spans="1:13" s="42" customFormat="1" x14ac:dyDescent="0.2">
      <c r="A420" s="56" t="s">
        <v>8</v>
      </c>
      <c r="B420" s="55" t="s">
        <v>9</v>
      </c>
      <c r="C420" s="81"/>
      <c r="D420" s="53"/>
      <c r="E420" s="52"/>
      <c r="F420" s="80"/>
      <c r="G420" s="79"/>
      <c r="H420" s="49" t="str">
        <f t="shared" si="12"/>
        <v>A</v>
      </c>
      <c r="I420" s="48" t="str">
        <f t="shared" si="13"/>
        <v>The Commissioner &amp; Chief Constable are satisfied the spend represents VFM in accordance with the requirements of Category A</v>
      </c>
      <c r="L420" s="41"/>
      <c r="M420" s="41"/>
    </row>
    <row r="421" spans="1:13" s="42" customFormat="1" x14ac:dyDescent="0.2">
      <c r="A421" s="56" t="s">
        <v>8</v>
      </c>
      <c r="B421" s="55" t="s">
        <v>9</v>
      </c>
      <c r="C421" s="81"/>
      <c r="D421" s="53"/>
      <c r="E421" s="52"/>
      <c r="F421" s="80"/>
      <c r="G421" s="79"/>
      <c r="H421" s="49" t="str">
        <f t="shared" si="12"/>
        <v>A</v>
      </c>
      <c r="I421" s="48" t="str">
        <f t="shared" si="13"/>
        <v>The Commissioner &amp; Chief Constable are satisfied the spend represents VFM in accordance with the requirements of Category A</v>
      </c>
      <c r="L421" s="41"/>
      <c r="M421" s="41"/>
    </row>
    <row r="422" spans="1:13" s="42" customFormat="1" x14ac:dyDescent="0.2">
      <c r="A422" s="56" t="s">
        <v>8</v>
      </c>
      <c r="B422" s="55" t="s">
        <v>9</v>
      </c>
      <c r="C422" s="81"/>
      <c r="D422" s="53"/>
      <c r="E422" s="52"/>
      <c r="F422" s="80"/>
      <c r="G422" s="79"/>
      <c r="H422" s="49" t="str">
        <f t="shared" si="12"/>
        <v>A</v>
      </c>
      <c r="I422" s="48" t="str">
        <f t="shared" si="13"/>
        <v>The Commissioner &amp; Chief Constable are satisfied the spend represents VFM in accordance with the requirements of Category A</v>
      </c>
      <c r="L422" s="41"/>
      <c r="M422" s="41"/>
    </row>
    <row r="423" spans="1:13" s="42" customFormat="1" x14ac:dyDescent="0.2">
      <c r="A423" s="56" t="s">
        <v>8</v>
      </c>
      <c r="B423" s="55" t="s">
        <v>9</v>
      </c>
      <c r="C423" s="81"/>
      <c r="D423" s="53"/>
      <c r="E423" s="52"/>
      <c r="F423" s="80"/>
      <c r="G423" s="79"/>
      <c r="H423" s="49" t="str">
        <f t="shared" si="12"/>
        <v>A</v>
      </c>
      <c r="I423" s="48" t="str">
        <f t="shared" si="13"/>
        <v>The Commissioner &amp; Chief Constable are satisfied the spend represents VFM in accordance with the requirements of Category A</v>
      </c>
      <c r="L423" s="41"/>
      <c r="M423" s="41"/>
    </row>
    <row r="424" spans="1:13" s="42" customFormat="1" x14ac:dyDescent="0.2">
      <c r="A424" s="56" t="s">
        <v>8</v>
      </c>
      <c r="B424" s="55" t="s">
        <v>9</v>
      </c>
      <c r="C424" s="81"/>
      <c r="D424" s="53"/>
      <c r="E424" s="52"/>
      <c r="F424" s="80"/>
      <c r="G424" s="79"/>
      <c r="H424" s="49" t="str">
        <f t="shared" si="12"/>
        <v>A</v>
      </c>
      <c r="I424" s="48" t="str">
        <f t="shared" si="13"/>
        <v>The Commissioner &amp; Chief Constable are satisfied the spend represents VFM in accordance with the requirements of Category A</v>
      </c>
      <c r="L424" s="41"/>
      <c r="M424" s="41"/>
    </row>
    <row r="425" spans="1:13" s="42" customFormat="1" x14ac:dyDescent="0.2">
      <c r="A425" s="56" t="s">
        <v>8</v>
      </c>
      <c r="B425" s="55" t="s">
        <v>9</v>
      </c>
      <c r="C425" s="81"/>
      <c r="D425" s="53"/>
      <c r="E425" s="52"/>
      <c r="F425" s="80"/>
      <c r="G425" s="79"/>
      <c r="H425" s="49" t="str">
        <f t="shared" si="12"/>
        <v>A</v>
      </c>
      <c r="I425" s="48" t="str">
        <f t="shared" si="13"/>
        <v>The Commissioner &amp; Chief Constable are satisfied the spend represents VFM in accordance with the requirements of Category A</v>
      </c>
      <c r="L425" s="41"/>
      <c r="M425" s="41"/>
    </row>
    <row r="426" spans="1:13" s="42" customFormat="1" x14ac:dyDescent="0.2">
      <c r="A426" s="56" t="s">
        <v>8</v>
      </c>
      <c r="B426" s="55" t="s">
        <v>9</v>
      </c>
      <c r="C426" s="81"/>
      <c r="D426" s="53"/>
      <c r="E426" s="52"/>
      <c r="F426" s="80"/>
      <c r="G426" s="79"/>
      <c r="H426" s="49" t="str">
        <f t="shared" si="12"/>
        <v>A</v>
      </c>
      <c r="I426" s="48" t="str">
        <f t="shared" si="13"/>
        <v>The Commissioner &amp; Chief Constable are satisfied the spend represents VFM in accordance with the requirements of Category A</v>
      </c>
      <c r="L426" s="41"/>
      <c r="M426" s="41"/>
    </row>
    <row r="427" spans="1:13" s="42" customFormat="1" x14ac:dyDescent="0.2">
      <c r="A427" s="56" t="s">
        <v>8</v>
      </c>
      <c r="B427" s="55" t="s">
        <v>9</v>
      </c>
      <c r="C427" s="81"/>
      <c r="D427" s="53"/>
      <c r="E427" s="52"/>
      <c r="F427" s="80"/>
      <c r="G427" s="79"/>
      <c r="H427" s="49" t="str">
        <f t="shared" si="12"/>
        <v>A</v>
      </c>
      <c r="I427" s="48" t="str">
        <f t="shared" si="13"/>
        <v>The Commissioner &amp; Chief Constable are satisfied the spend represents VFM in accordance with the requirements of Category A</v>
      </c>
      <c r="L427" s="41"/>
      <c r="M427" s="41"/>
    </row>
    <row r="428" spans="1:13" s="42" customFormat="1" x14ac:dyDescent="0.2">
      <c r="A428" s="56" t="s">
        <v>8</v>
      </c>
      <c r="B428" s="55" t="s">
        <v>9</v>
      </c>
      <c r="C428" s="81"/>
      <c r="D428" s="53"/>
      <c r="E428" s="52"/>
      <c r="F428" s="80"/>
      <c r="G428" s="79"/>
      <c r="H428" s="49" t="str">
        <f t="shared" si="12"/>
        <v>A</v>
      </c>
      <c r="I428" s="48" t="str">
        <f t="shared" si="13"/>
        <v>The Commissioner &amp; Chief Constable are satisfied the spend represents VFM in accordance with the requirements of Category A</v>
      </c>
      <c r="L428" s="41"/>
      <c r="M428" s="41"/>
    </row>
    <row r="429" spans="1:13" s="42" customFormat="1" x14ac:dyDescent="0.2">
      <c r="A429" s="56" t="s">
        <v>8</v>
      </c>
      <c r="B429" s="55" t="s">
        <v>9</v>
      </c>
      <c r="C429" s="81"/>
      <c r="D429" s="53"/>
      <c r="E429" s="52"/>
      <c r="F429" s="80"/>
      <c r="G429" s="79"/>
      <c r="H429" s="49" t="str">
        <f t="shared" si="12"/>
        <v>A</v>
      </c>
      <c r="I429" s="48" t="str">
        <f t="shared" si="13"/>
        <v>The Commissioner &amp; Chief Constable are satisfied the spend represents VFM in accordance with the requirements of Category A</v>
      </c>
      <c r="L429" s="41"/>
      <c r="M429" s="41"/>
    </row>
    <row r="430" spans="1:13" s="42" customFormat="1" x14ac:dyDescent="0.2">
      <c r="A430" s="56" t="s">
        <v>8</v>
      </c>
      <c r="B430" s="55" t="s">
        <v>9</v>
      </c>
      <c r="C430" s="81"/>
      <c r="D430" s="53"/>
      <c r="E430" s="52"/>
      <c r="F430" s="80"/>
      <c r="G430" s="79"/>
      <c r="H430" s="49" t="str">
        <f t="shared" si="12"/>
        <v>A</v>
      </c>
      <c r="I430" s="48" t="str">
        <f t="shared" si="13"/>
        <v>The Commissioner &amp; Chief Constable are satisfied the spend represents VFM in accordance with the requirements of Category A</v>
      </c>
      <c r="L430" s="41"/>
      <c r="M430" s="41"/>
    </row>
    <row r="431" spans="1:13" s="42" customFormat="1" x14ac:dyDescent="0.2">
      <c r="A431" s="56" t="s">
        <v>8</v>
      </c>
      <c r="B431" s="55" t="s">
        <v>9</v>
      </c>
      <c r="C431" s="81"/>
      <c r="D431" s="53"/>
      <c r="E431" s="52"/>
      <c r="F431" s="80"/>
      <c r="G431" s="79"/>
      <c r="H431" s="49" t="str">
        <f t="shared" si="12"/>
        <v>A</v>
      </c>
      <c r="I431" s="48" t="str">
        <f t="shared" si="13"/>
        <v>The Commissioner &amp; Chief Constable are satisfied the spend represents VFM in accordance with the requirements of Category A</v>
      </c>
      <c r="L431" s="41"/>
      <c r="M431" s="41"/>
    </row>
    <row r="432" spans="1:13" s="42" customFormat="1" x14ac:dyDescent="0.2">
      <c r="A432" s="56" t="s">
        <v>8</v>
      </c>
      <c r="B432" s="55" t="s">
        <v>9</v>
      </c>
      <c r="C432" s="81"/>
      <c r="D432" s="53"/>
      <c r="E432" s="52"/>
      <c r="F432" s="80"/>
      <c r="G432" s="79"/>
      <c r="H432" s="49" t="str">
        <f t="shared" si="12"/>
        <v>A</v>
      </c>
      <c r="I432" s="48" t="str">
        <f t="shared" si="13"/>
        <v>The Commissioner &amp; Chief Constable are satisfied the spend represents VFM in accordance with the requirements of Category A</v>
      </c>
      <c r="L432" s="41"/>
      <c r="M432" s="41"/>
    </row>
    <row r="433" spans="1:13" s="42" customFormat="1" x14ac:dyDescent="0.2">
      <c r="A433" s="56" t="s">
        <v>8</v>
      </c>
      <c r="B433" s="55" t="s">
        <v>9</v>
      </c>
      <c r="C433" s="81"/>
      <c r="D433" s="53"/>
      <c r="E433" s="52"/>
      <c r="F433" s="80"/>
      <c r="G433" s="79"/>
      <c r="H433" s="49" t="str">
        <f t="shared" si="12"/>
        <v>A</v>
      </c>
      <c r="I433" s="48" t="str">
        <f t="shared" si="13"/>
        <v>The Commissioner &amp; Chief Constable are satisfied the spend represents VFM in accordance with the requirements of Category A</v>
      </c>
      <c r="L433" s="41"/>
      <c r="M433" s="41"/>
    </row>
    <row r="434" spans="1:13" s="42" customFormat="1" x14ac:dyDescent="0.2">
      <c r="A434" s="56" t="s">
        <v>8</v>
      </c>
      <c r="B434" s="55" t="s">
        <v>9</v>
      </c>
      <c r="C434" s="81"/>
      <c r="D434" s="53"/>
      <c r="E434" s="52"/>
      <c r="F434" s="80"/>
      <c r="G434" s="79"/>
      <c r="H434" s="49" t="str">
        <f t="shared" si="12"/>
        <v>A</v>
      </c>
      <c r="I434" s="48" t="str">
        <f t="shared" si="13"/>
        <v>The Commissioner &amp; Chief Constable are satisfied the spend represents VFM in accordance with the requirements of Category A</v>
      </c>
      <c r="L434" s="41"/>
      <c r="M434" s="41"/>
    </row>
    <row r="435" spans="1:13" s="42" customFormat="1" x14ac:dyDescent="0.2">
      <c r="A435" s="56" t="s">
        <v>8</v>
      </c>
      <c r="B435" s="55" t="s">
        <v>9</v>
      </c>
      <c r="C435" s="81"/>
      <c r="D435" s="53"/>
      <c r="E435" s="52"/>
      <c r="F435" s="80"/>
      <c r="G435" s="79"/>
      <c r="H435" s="49" t="str">
        <f t="shared" si="12"/>
        <v>A</v>
      </c>
      <c r="I435" s="48" t="str">
        <f t="shared" si="13"/>
        <v>The Commissioner &amp; Chief Constable are satisfied the spend represents VFM in accordance with the requirements of Category A</v>
      </c>
      <c r="L435" s="41"/>
      <c r="M435" s="41"/>
    </row>
    <row r="436" spans="1:13" s="42" customFormat="1" x14ac:dyDescent="0.2">
      <c r="A436" s="56" t="s">
        <v>8</v>
      </c>
      <c r="B436" s="55" t="s">
        <v>9</v>
      </c>
      <c r="C436" s="81"/>
      <c r="D436" s="53"/>
      <c r="E436" s="52"/>
      <c r="F436" s="80"/>
      <c r="G436" s="79"/>
      <c r="H436" s="49" t="str">
        <f t="shared" si="12"/>
        <v>A</v>
      </c>
      <c r="I436" s="48" t="str">
        <f t="shared" si="13"/>
        <v>The Commissioner &amp; Chief Constable are satisfied the spend represents VFM in accordance with the requirements of Category A</v>
      </c>
      <c r="L436" s="41"/>
      <c r="M436" s="41"/>
    </row>
    <row r="437" spans="1:13" s="42" customFormat="1" x14ac:dyDescent="0.2">
      <c r="A437" s="56" t="s">
        <v>8</v>
      </c>
      <c r="B437" s="55" t="s">
        <v>9</v>
      </c>
      <c r="C437" s="81"/>
      <c r="D437" s="53"/>
      <c r="E437" s="52"/>
      <c r="F437" s="80"/>
      <c r="G437" s="79"/>
      <c r="H437" s="49" t="str">
        <f t="shared" si="12"/>
        <v>A</v>
      </c>
      <c r="I437" s="48" t="str">
        <f t="shared" si="13"/>
        <v>The Commissioner &amp; Chief Constable are satisfied the spend represents VFM in accordance with the requirements of Category A</v>
      </c>
      <c r="L437" s="41"/>
      <c r="M437" s="41"/>
    </row>
    <row r="438" spans="1:13" s="42" customFormat="1" x14ac:dyDescent="0.2">
      <c r="A438" s="56" t="s">
        <v>8</v>
      </c>
      <c r="B438" s="55" t="s">
        <v>9</v>
      </c>
      <c r="C438" s="81"/>
      <c r="D438" s="53"/>
      <c r="E438" s="52"/>
      <c r="F438" s="80"/>
      <c r="G438" s="79"/>
      <c r="H438" s="49" t="str">
        <f t="shared" si="12"/>
        <v>A</v>
      </c>
      <c r="I438" s="48" t="str">
        <f t="shared" si="13"/>
        <v>The Commissioner &amp; Chief Constable are satisfied the spend represents VFM in accordance with the requirements of Category A</v>
      </c>
      <c r="L438" s="41"/>
      <c r="M438" s="41"/>
    </row>
    <row r="439" spans="1:13" s="42" customFormat="1" x14ac:dyDescent="0.2">
      <c r="A439" s="56" t="s">
        <v>8</v>
      </c>
      <c r="B439" s="55" t="s">
        <v>9</v>
      </c>
      <c r="C439" s="81"/>
      <c r="D439" s="53"/>
      <c r="E439" s="52"/>
      <c r="F439" s="80"/>
      <c r="G439" s="79"/>
      <c r="H439" s="49" t="str">
        <f t="shared" si="12"/>
        <v>A</v>
      </c>
      <c r="I439" s="48" t="str">
        <f t="shared" si="13"/>
        <v>The Commissioner &amp; Chief Constable are satisfied the spend represents VFM in accordance with the requirements of Category A</v>
      </c>
      <c r="L439" s="41"/>
      <c r="M439" s="41"/>
    </row>
    <row r="440" spans="1:13" s="42" customFormat="1" x14ac:dyDescent="0.2">
      <c r="A440" s="56" t="s">
        <v>8</v>
      </c>
      <c r="B440" s="55" t="s">
        <v>9</v>
      </c>
      <c r="C440" s="81"/>
      <c r="D440" s="53"/>
      <c r="E440" s="52"/>
      <c r="F440" s="80"/>
      <c r="G440" s="79"/>
      <c r="H440" s="49" t="str">
        <f t="shared" si="12"/>
        <v>A</v>
      </c>
      <c r="I440" s="48" t="str">
        <f t="shared" si="13"/>
        <v>The Commissioner &amp; Chief Constable are satisfied the spend represents VFM in accordance with the requirements of Category A</v>
      </c>
      <c r="L440" s="41"/>
      <c r="M440" s="41"/>
    </row>
    <row r="441" spans="1:13" s="42" customFormat="1" x14ac:dyDescent="0.2">
      <c r="A441" s="56" t="s">
        <v>8</v>
      </c>
      <c r="B441" s="55" t="s">
        <v>9</v>
      </c>
      <c r="C441" s="81"/>
      <c r="D441" s="53"/>
      <c r="E441" s="52"/>
      <c r="F441" s="80"/>
      <c r="G441" s="79"/>
      <c r="H441" s="49" t="str">
        <f t="shared" si="12"/>
        <v>A</v>
      </c>
      <c r="I441" s="48" t="str">
        <f t="shared" si="13"/>
        <v>The Commissioner &amp; Chief Constable are satisfied the spend represents VFM in accordance with the requirements of Category A</v>
      </c>
      <c r="L441" s="41"/>
      <c r="M441" s="41"/>
    </row>
    <row r="442" spans="1:13" s="42" customFormat="1" x14ac:dyDescent="0.2">
      <c r="A442" s="56" t="s">
        <v>8</v>
      </c>
      <c r="B442" s="55" t="s">
        <v>9</v>
      </c>
      <c r="C442" s="81"/>
      <c r="D442" s="53"/>
      <c r="E442" s="52"/>
      <c r="F442" s="80"/>
      <c r="G442" s="79"/>
      <c r="H442" s="49" t="str">
        <f t="shared" si="12"/>
        <v>A</v>
      </c>
      <c r="I442" s="48" t="str">
        <f t="shared" si="13"/>
        <v>The Commissioner &amp; Chief Constable are satisfied the spend represents VFM in accordance with the requirements of Category A</v>
      </c>
      <c r="L442" s="41"/>
      <c r="M442" s="41"/>
    </row>
    <row r="443" spans="1:13" s="42" customFormat="1" x14ac:dyDescent="0.2">
      <c r="A443" s="56" t="s">
        <v>8</v>
      </c>
      <c r="B443" s="55" t="s">
        <v>9</v>
      </c>
      <c r="C443" s="81"/>
      <c r="D443" s="53"/>
      <c r="E443" s="52"/>
      <c r="F443" s="80"/>
      <c r="G443" s="79"/>
      <c r="H443" s="49" t="str">
        <f t="shared" si="12"/>
        <v>A</v>
      </c>
      <c r="I443" s="48" t="str">
        <f t="shared" si="13"/>
        <v>The Commissioner &amp; Chief Constable are satisfied the spend represents VFM in accordance with the requirements of Category A</v>
      </c>
      <c r="L443" s="41"/>
      <c r="M443" s="41"/>
    </row>
    <row r="444" spans="1:13" s="42" customFormat="1" x14ac:dyDescent="0.2">
      <c r="A444" s="56" t="s">
        <v>8</v>
      </c>
      <c r="B444" s="55" t="s">
        <v>9</v>
      </c>
      <c r="C444" s="81"/>
      <c r="D444" s="53"/>
      <c r="E444" s="52"/>
      <c r="F444" s="80"/>
      <c r="G444" s="79"/>
      <c r="H444" s="49" t="str">
        <f t="shared" si="12"/>
        <v>A</v>
      </c>
      <c r="I444" s="48" t="str">
        <f t="shared" si="13"/>
        <v>The Commissioner &amp; Chief Constable are satisfied the spend represents VFM in accordance with the requirements of Category A</v>
      </c>
      <c r="L444" s="41"/>
      <c r="M444" s="41"/>
    </row>
    <row r="445" spans="1:13" s="42" customFormat="1" x14ac:dyDescent="0.2">
      <c r="A445" s="56" t="s">
        <v>8</v>
      </c>
      <c r="B445" s="55" t="s">
        <v>9</v>
      </c>
      <c r="C445" s="81"/>
      <c r="D445" s="53"/>
      <c r="E445" s="52"/>
      <c r="F445" s="80"/>
      <c r="G445" s="79"/>
      <c r="H445" s="49" t="str">
        <f t="shared" si="12"/>
        <v>A</v>
      </c>
      <c r="I445" s="48" t="str">
        <f t="shared" si="13"/>
        <v>The Commissioner &amp; Chief Constable are satisfied the spend represents VFM in accordance with the requirements of Category A</v>
      </c>
      <c r="L445" s="41"/>
      <c r="M445" s="41"/>
    </row>
    <row r="446" spans="1:13" s="42" customFormat="1" x14ac:dyDescent="0.2">
      <c r="A446" s="56" t="s">
        <v>8</v>
      </c>
      <c r="B446" s="55" t="s">
        <v>9</v>
      </c>
      <c r="C446" s="81"/>
      <c r="D446" s="53"/>
      <c r="E446" s="52"/>
      <c r="F446" s="80"/>
      <c r="G446" s="79"/>
      <c r="H446" s="49" t="str">
        <f t="shared" si="12"/>
        <v>A</v>
      </c>
      <c r="I446" s="48" t="str">
        <f t="shared" si="13"/>
        <v>The Commissioner &amp; Chief Constable are satisfied the spend represents VFM in accordance with the requirements of Category A</v>
      </c>
      <c r="L446" s="41"/>
      <c r="M446" s="41"/>
    </row>
    <row r="447" spans="1:13" s="42" customFormat="1" x14ac:dyDescent="0.2">
      <c r="A447" s="56" t="s">
        <v>8</v>
      </c>
      <c r="B447" s="55" t="s">
        <v>9</v>
      </c>
      <c r="C447" s="81"/>
      <c r="D447" s="53"/>
      <c r="E447" s="52"/>
      <c r="F447" s="80"/>
      <c r="G447" s="79"/>
      <c r="H447" s="49" t="str">
        <f t="shared" si="12"/>
        <v>A</v>
      </c>
      <c r="I447" s="48" t="str">
        <f t="shared" si="13"/>
        <v>The Commissioner &amp; Chief Constable are satisfied the spend represents VFM in accordance with the requirements of Category A</v>
      </c>
      <c r="L447" s="41"/>
      <c r="M447" s="41"/>
    </row>
    <row r="448" spans="1:13" s="42" customFormat="1" x14ac:dyDescent="0.2">
      <c r="A448" s="56" t="s">
        <v>8</v>
      </c>
      <c r="B448" s="55" t="s">
        <v>9</v>
      </c>
      <c r="C448" s="81"/>
      <c r="D448" s="53"/>
      <c r="E448" s="52"/>
      <c r="F448" s="80"/>
      <c r="G448" s="79"/>
      <c r="H448" s="49" t="str">
        <f t="shared" si="12"/>
        <v>A</v>
      </c>
      <c r="I448" s="48" t="str">
        <f t="shared" si="13"/>
        <v>The Commissioner &amp; Chief Constable are satisfied the spend represents VFM in accordance with the requirements of Category A</v>
      </c>
      <c r="L448" s="41"/>
      <c r="M448" s="41"/>
    </row>
    <row r="449" spans="1:13" s="42" customFormat="1" x14ac:dyDescent="0.2">
      <c r="A449" s="56" t="s">
        <v>8</v>
      </c>
      <c r="B449" s="55" t="s">
        <v>9</v>
      </c>
      <c r="C449" s="81"/>
      <c r="D449" s="53"/>
      <c r="E449" s="52"/>
      <c r="F449" s="80"/>
      <c r="G449" s="79"/>
      <c r="H449" s="49" t="str">
        <f t="shared" si="12"/>
        <v>A</v>
      </c>
      <c r="I449" s="48" t="str">
        <f t="shared" si="13"/>
        <v>The Commissioner &amp; Chief Constable are satisfied the spend represents VFM in accordance with the requirements of Category A</v>
      </c>
      <c r="L449" s="41"/>
      <c r="M449" s="41"/>
    </row>
    <row r="450" spans="1:13" x14ac:dyDescent="0.2">
      <c r="A450" s="56" t="s">
        <v>8</v>
      </c>
      <c r="B450" s="55" t="s">
        <v>9</v>
      </c>
      <c r="C450" s="81"/>
      <c r="D450" s="53"/>
      <c r="E450" s="52"/>
      <c r="F450" s="80"/>
      <c r="G450" s="79"/>
      <c r="H450" s="49" t="str">
        <f t="shared" ref="H450:H514" si="14">IF(F450&gt;25000,"C",IF(F450&gt;1000,"B","A"))</f>
        <v>A</v>
      </c>
      <c r="I450" s="48" t="str">
        <f t="shared" ref="I450:I513" si="15">VLOOKUP(H450,$L$2:$M$4,2,FALSE)</f>
        <v>The Commissioner &amp; Chief Constable are satisfied the spend represents VFM in accordance with the requirements of Category A</v>
      </c>
    </row>
    <row r="451" spans="1:13" x14ac:dyDescent="0.2">
      <c r="A451" s="56" t="s">
        <v>8</v>
      </c>
      <c r="B451" s="55" t="s">
        <v>9</v>
      </c>
      <c r="C451" s="81"/>
      <c r="D451" s="53"/>
      <c r="E451" s="52"/>
      <c r="F451" s="80"/>
      <c r="G451" s="79"/>
      <c r="H451" s="49" t="str">
        <f t="shared" si="14"/>
        <v>A</v>
      </c>
      <c r="I451" s="48" t="str">
        <f t="shared" si="15"/>
        <v>The Commissioner &amp; Chief Constable are satisfied the spend represents VFM in accordance with the requirements of Category A</v>
      </c>
    </row>
    <row r="452" spans="1:13" x14ac:dyDescent="0.2">
      <c r="A452" s="56" t="s">
        <v>8</v>
      </c>
      <c r="B452" s="55" t="s">
        <v>9</v>
      </c>
      <c r="C452" s="81"/>
      <c r="D452" s="53"/>
      <c r="E452" s="52"/>
      <c r="F452" s="80"/>
      <c r="G452" s="79"/>
      <c r="H452" s="49" t="str">
        <f t="shared" si="14"/>
        <v>A</v>
      </c>
      <c r="I452" s="48" t="str">
        <f t="shared" si="15"/>
        <v>The Commissioner &amp; Chief Constable are satisfied the spend represents VFM in accordance with the requirements of Category A</v>
      </c>
    </row>
    <row r="453" spans="1:13" x14ac:dyDescent="0.2">
      <c r="A453" s="56" t="s">
        <v>8</v>
      </c>
      <c r="B453" s="55" t="s">
        <v>9</v>
      </c>
      <c r="C453" s="81"/>
      <c r="D453" s="53"/>
      <c r="E453" s="52"/>
      <c r="F453" s="80"/>
      <c r="G453" s="79"/>
      <c r="H453" s="49" t="str">
        <f t="shared" si="14"/>
        <v>A</v>
      </c>
      <c r="I453" s="48" t="str">
        <f t="shared" si="15"/>
        <v>The Commissioner &amp; Chief Constable are satisfied the spend represents VFM in accordance with the requirements of Category A</v>
      </c>
    </row>
    <row r="454" spans="1:13" x14ac:dyDescent="0.2">
      <c r="A454" s="56" t="s">
        <v>8</v>
      </c>
      <c r="B454" s="55" t="s">
        <v>9</v>
      </c>
      <c r="C454" s="81"/>
      <c r="D454" s="53"/>
      <c r="E454" s="52"/>
      <c r="F454" s="80"/>
      <c r="G454" s="79"/>
      <c r="H454" s="49" t="str">
        <f t="shared" si="14"/>
        <v>A</v>
      </c>
      <c r="I454" s="48" t="str">
        <f t="shared" si="15"/>
        <v>The Commissioner &amp; Chief Constable are satisfied the spend represents VFM in accordance with the requirements of Category A</v>
      </c>
    </row>
    <row r="455" spans="1:13" x14ac:dyDescent="0.2">
      <c r="A455" s="56" t="s">
        <v>8</v>
      </c>
      <c r="B455" s="55" t="s">
        <v>9</v>
      </c>
      <c r="C455" s="81"/>
      <c r="D455" s="53"/>
      <c r="E455" s="52"/>
      <c r="F455" s="80"/>
      <c r="G455" s="79"/>
      <c r="H455" s="49" t="str">
        <f t="shared" si="14"/>
        <v>A</v>
      </c>
      <c r="I455" s="48" t="str">
        <f t="shared" si="15"/>
        <v>The Commissioner &amp; Chief Constable are satisfied the spend represents VFM in accordance with the requirements of Category A</v>
      </c>
    </row>
    <row r="456" spans="1:13" x14ac:dyDescent="0.2">
      <c r="A456" s="56" t="s">
        <v>8</v>
      </c>
      <c r="B456" s="55" t="s">
        <v>9</v>
      </c>
      <c r="C456" s="81"/>
      <c r="D456" s="53"/>
      <c r="E456" s="52"/>
      <c r="F456" s="80"/>
      <c r="G456" s="79"/>
      <c r="H456" s="49" t="str">
        <f t="shared" si="14"/>
        <v>A</v>
      </c>
      <c r="I456" s="48" t="str">
        <f t="shared" si="15"/>
        <v>The Commissioner &amp; Chief Constable are satisfied the spend represents VFM in accordance with the requirements of Category A</v>
      </c>
    </row>
    <row r="457" spans="1:13" x14ac:dyDescent="0.2">
      <c r="A457" s="56" t="s">
        <v>8</v>
      </c>
      <c r="B457" s="55" t="s">
        <v>9</v>
      </c>
      <c r="C457" s="81"/>
      <c r="D457" s="53"/>
      <c r="E457" s="52"/>
      <c r="F457" s="80"/>
      <c r="G457" s="79"/>
      <c r="H457" s="49" t="str">
        <f t="shared" si="14"/>
        <v>A</v>
      </c>
      <c r="I457" s="48" t="str">
        <f t="shared" si="15"/>
        <v>The Commissioner &amp; Chief Constable are satisfied the spend represents VFM in accordance with the requirements of Category A</v>
      </c>
    </row>
    <row r="458" spans="1:13" x14ac:dyDescent="0.2">
      <c r="A458" s="56" t="s">
        <v>8</v>
      </c>
      <c r="B458" s="55" t="s">
        <v>9</v>
      </c>
      <c r="C458" s="81"/>
      <c r="D458" s="53"/>
      <c r="E458" s="52"/>
      <c r="F458" s="80"/>
      <c r="G458" s="79"/>
      <c r="H458" s="49" t="str">
        <f t="shared" si="14"/>
        <v>A</v>
      </c>
      <c r="I458" s="48" t="str">
        <f t="shared" si="15"/>
        <v>The Commissioner &amp; Chief Constable are satisfied the spend represents VFM in accordance with the requirements of Category A</v>
      </c>
    </row>
    <row r="459" spans="1:13" x14ac:dyDescent="0.2">
      <c r="A459" s="56" t="s">
        <v>8</v>
      </c>
      <c r="B459" s="55" t="s">
        <v>9</v>
      </c>
      <c r="C459" s="81"/>
      <c r="D459" s="53"/>
      <c r="E459" s="52"/>
      <c r="F459" s="80"/>
      <c r="G459" s="79"/>
      <c r="H459" s="49" t="str">
        <f t="shared" si="14"/>
        <v>A</v>
      </c>
      <c r="I459" s="48" t="str">
        <f t="shared" si="15"/>
        <v>The Commissioner &amp; Chief Constable are satisfied the spend represents VFM in accordance with the requirements of Category A</v>
      </c>
    </row>
    <row r="460" spans="1:13" x14ac:dyDescent="0.2">
      <c r="A460" s="56" t="s">
        <v>8</v>
      </c>
      <c r="B460" s="55" t="s">
        <v>9</v>
      </c>
      <c r="C460" s="81"/>
      <c r="D460" s="53"/>
      <c r="E460" s="52"/>
      <c r="F460" s="80"/>
      <c r="G460" s="79"/>
      <c r="H460" s="49" t="str">
        <f t="shared" si="14"/>
        <v>A</v>
      </c>
      <c r="I460" s="48" t="str">
        <f t="shared" si="15"/>
        <v>The Commissioner &amp; Chief Constable are satisfied the spend represents VFM in accordance with the requirements of Category A</v>
      </c>
    </row>
    <row r="461" spans="1:13" x14ac:dyDescent="0.2">
      <c r="A461" s="56" t="s">
        <v>8</v>
      </c>
      <c r="B461" s="55" t="s">
        <v>9</v>
      </c>
      <c r="C461" s="81"/>
      <c r="D461" s="53"/>
      <c r="E461" s="52"/>
      <c r="F461" s="80"/>
      <c r="G461" s="79"/>
      <c r="H461" s="49" t="str">
        <f t="shared" si="14"/>
        <v>A</v>
      </c>
      <c r="I461" s="48" t="str">
        <f t="shared" si="15"/>
        <v>The Commissioner &amp; Chief Constable are satisfied the spend represents VFM in accordance with the requirements of Category A</v>
      </c>
    </row>
    <row r="462" spans="1:13" x14ac:dyDescent="0.2">
      <c r="A462" s="56" t="s">
        <v>8</v>
      </c>
      <c r="B462" s="55" t="s">
        <v>9</v>
      </c>
      <c r="C462" s="81"/>
      <c r="D462" s="53"/>
      <c r="E462" s="52"/>
      <c r="F462" s="80"/>
      <c r="G462" s="79"/>
      <c r="H462" s="49" t="str">
        <f t="shared" si="14"/>
        <v>A</v>
      </c>
      <c r="I462" s="48" t="str">
        <f t="shared" si="15"/>
        <v>The Commissioner &amp; Chief Constable are satisfied the spend represents VFM in accordance with the requirements of Category A</v>
      </c>
    </row>
    <row r="463" spans="1:13" x14ac:dyDescent="0.2">
      <c r="A463" s="56" t="s">
        <v>8</v>
      </c>
      <c r="B463" s="55" t="s">
        <v>9</v>
      </c>
      <c r="C463" s="81"/>
      <c r="D463" s="53"/>
      <c r="E463" s="52"/>
      <c r="F463" s="80"/>
      <c r="G463" s="79"/>
      <c r="H463" s="49" t="str">
        <f t="shared" si="14"/>
        <v>A</v>
      </c>
      <c r="I463" s="48" t="str">
        <f t="shared" si="15"/>
        <v>The Commissioner &amp; Chief Constable are satisfied the spend represents VFM in accordance with the requirements of Category A</v>
      </c>
    </row>
    <row r="464" spans="1:13" x14ac:dyDescent="0.2">
      <c r="A464" s="56" t="s">
        <v>8</v>
      </c>
      <c r="B464" s="55" t="s">
        <v>9</v>
      </c>
      <c r="C464" s="81"/>
      <c r="D464" s="53"/>
      <c r="E464" s="52"/>
      <c r="F464" s="80"/>
      <c r="G464" s="79"/>
      <c r="H464" s="49" t="str">
        <f t="shared" si="14"/>
        <v>A</v>
      </c>
      <c r="I464" s="48" t="str">
        <f t="shared" si="15"/>
        <v>The Commissioner &amp; Chief Constable are satisfied the spend represents VFM in accordance with the requirements of Category A</v>
      </c>
    </row>
    <row r="465" spans="1:9" x14ac:dyDescent="0.2">
      <c r="A465" s="56" t="s">
        <v>8</v>
      </c>
      <c r="B465" s="55" t="s">
        <v>9</v>
      </c>
      <c r="C465" s="81"/>
      <c r="D465" s="53"/>
      <c r="E465" s="52"/>
      <c r="F465" s="80"/>
      <c r="G465" s="79"/>
      <c r="H465" s="49" t="str">
        <f t="shared" si="14"/>
        <v>A</v>
      </c>
      <c r="I465" s="48" t="str">
        <f t="shared" si="15"/>
        <v>The Commissioner &amp; Chief Constable are satisfied the spend represents VFM in accordance with the requirements of Category A</v>
      </c>
    </row>
    <row r="466" spans="1:9" x14ac:dyDescent="0.2">
      <c r="A466" s="56" t="s">
        <v>8</v>
      </c>
      <c r="B466" s="55" t="s">
        <v>9</v>
      </c>
      <c r="C466" s="81"/>
      <c r="D466" s="53"/>
      <c r="E466" s="52"/>
      <c r="F466" s="80"/>
      <c r="G466" s="79"/>
      <c r="H466" s="49" t="str">
        <f t="shared" si="14"/>
        <v>A</v>
      </c>
      <c r="I466" s="48" t="str">
        <f t="shared" si="15"/>
        <v>The Commissioner &amp; Chief Constable are satisfied the spend represents VFM in accordance with the requirements of Category A</v>
      </c>
    </row>
    <row r="467" spans="1:9" x14ac:dyDescent="0.2">
      <c r="A467" s="56" t="s">
        <v>8</v>
      </c>
      <c r="B467" s="55" t="s">
        <v>9</v>
      </c>
      <c r="C467" s="81"/>
      <c r="D467" s="53"/>
      <c r="E467" s="52"/>
      <c r="F467" s="80"/>
      <c r="G467" s="79"/>
      <c r="H467" s="49" t="str">
        <f t="shared" si="14"/>
        <v>A</v>
      </c>
      <c r="I467" s="48" t="str">
        <f t="shared" si="15"/>
        <v>The Commissioner &amp; Chief Constable are satisfied the spend represents VFM in accordance with the requirements of Category A</v>
      </c>
    </row>
    <row r="468" spans="1:9" x14ac:dyDescent="0.2">
      <c r="A468" s="56" t="s">
        <v>8</v>
      </c>
      <c r="B468" s="55" t="s">
        <v>9</v>
      </c>
      <c r="C468" s="81"/>
      <c r="D468" s="53"/>
      <c r="E468" s="52"/>
      <c r="F468" s="80"/>
      <c r="G468" s="79"/>
      <c r="H468" s="49" t="str">
        <f t="shared" si="14"/>
        <v>A</v>
      </c>
      <c r="I468" s="48" t="str">
        <f t="shared" si="15"/>
        <v>The Commissioner &amp; Chief Constable are satisfied the spend represents VFM in accordance with the requirements of Category A</v>
      </c>
    </row>
    <row r="469" spans="1:9" x14ac:dyDescent="0.2">
      <c r="A469" s="56" t="s">
        <v>8</v>
      </c>
      <c r="B469" s="55" t="s">
        <v>9</v>
      </c>
      <c r="C469" s="81"/>
      <c r="D469" s="53"/>
      <c r="E469" s="52"/>
      <c r="F469" s="80"/>
      <c r="G469" s="79"/>
      <c r="H469" s="49" t="str">
        <f t="shared" si="14"/>
        <v>A</v>
      </c>
      <c r="I469" s="48" t="str">
        <f t="shared" si="15"/>
        <v>The Commissioner &amp; Chief Constable are satisfied the spend represents VFM in accordance with the requirements of Category A</v>
      </c>
    </row>
    <row r="470" spans="1:9" x14ac:dyDescent="0.2">
      <c r="A470" s="56" t="s">
        <v>8</v>
      </c>
      <c r="B470" s="55" t="s">
        <v>9</v>
      </c>
      <c r="C470" s="81"/>
      <c r="D470" s="53"/>
      <c r="E470" s="52"/>
      <c r="F470" s="80"/>
      <c r="G470" s="79"/>
      <c r="H470" s="49" t="str">
        <f t="shared" si="14"/>
        <v>A</v>
      </c>
      <c r="I470" s="48" t="str">
        <f t="shared" si="15"/>
        <v>The Commissioner &amp; Chief Constable are satisfied the spend represents VFM in accordance with the requirements of Category A</v>
      </c>
    </row>
    <row r="471" spans="1:9" x14ac:dyDescent="0.2">
      <c r="A471" s="56" t="s">
        <v>8</v>
      </c>
      <c r="B471" s="55" t="s">
        <v>9</v>
      </c>
      <c r="C471" s="81"/>
      <c r="D471" s="53"/>
      <c r="E471" s="52"/>
      <c r="F471" s="80"/>
      <c r="G471" s="79"/>
      <c r="H471" s="49" t="str">
        <f t="shared" si="14"/>
        <v>A</v>
      </c>
      <c r="I471" s="48" t="str">
        <f t="shared" si="15"/>
        <v>The Commissioner &amp; Chief Constable are satisfied the spend represents VFM in accordance with the requirements of Category A</v>
      </c>
    </row>
    <row r="472" spans="1:9" x14ac:dyDescent="0.2">
      <c r="A472" s="56" t="s">
        <v>8</v>
      </c>
      <c r="B472" s="55" t="s">
        <v>9</v>
      </c>
      <c r="C472" s="81"/>
      <c r="D472" s="53"/>
      <c r="E472" s="52"/>
      <c r="F472" s="80"/>
      <c r="G472" s="79"/>
      <c r="H472" s="49" t="str">
        <f t="shared" si="14"/>
        <v>A</v>
      </c>
      <c r="I472" s="48" t="str">
        <f t="shared" si="15"/>
        <v>The Commissioner &amp; Chief Constable are satisfied the spend represents VFM in accordance with the requirements of Category A</v>
      </c>
    </row>
    <row r="473" spans="1:9" x14ac:dyDescent="0.2">
      <c r="A473" s="56" t="s">
        <v>8</v>
      </c>
      <c r="B473" s="55" t="s">
        <v>9</v>
      </c>
      <c r="C473" s="81"/>
      <c r="D473" s="53"/>
      <c r="E473" s="52"/>
      <c r="F473" s="80"/>
      <c r="G473" s="79"/>
      <c r="H473" s="49" t="str">
        <f t="shared" si="14"/>
        <v>A</v>
      </c>
      <c r="I473" s="48" t="str">
        <f t="shared" si="15"/>
        <v>The Commissioner &amp; Chief Constable are satisfied the spend represents VFM in accordance with the requirements of Category A</v>
      </c>
    </row>
    <row r="474" spans="1:9" x14ac:dyDescent="0.2">
      <c r="A474" s="56" t="s">
        <v>8</v>
      </c>
      <c r="B474" s="55" t="s">
        <v>9</v>
      </c>
      <c r="C474" s="81"/>
      <c r="D474" s="53"/>
      <c r="E474" s="52"/>
      <c r="F474" s="80"/>
      <c r="G474" s="79"/>
      <c r="H474" s="49" t="str">
        <f t="shared" si="14"/>
        <v>A</v>
      </c>
      <c r="I474" s="48" t="str">
        <f t="shared" si="15"/>
        <v>The Commissioner &amp; Chief Constable are satisfied the spend represents VFM in accordance with the requirements of Category A</v>
      </c>
    </row>
    <row r="475" spans="1:9" x14ac:dyDescent="0.2">
      <c r="A475" s="56" t="s">
        <v>8</v>
      </c>
      <c r="B475" s="55" t="s">
        <v>9</v>
      </c>
      <c r="C475" s="81"/>
      <c r="D475" s="53"/>
      <c r="E475" s="52"/>
      <c r="F475" s="80"/>
      <c r="G475" s="79"/>
      <c r="H475" s="49" t="str">
        <f t="shared" si="14"/>
        <v>A</v>
      </c>
      <c r="I475" s="48" t="str">
        <f t="shared" si="15"/>
        <v>The Commissioner &amp; Chief Constable are satisfied the spend represents VFM in accordance with the requirements of Category A</v>
      </c>
    </row>
    <row r="476" spans="1:9" x14ac:dyDescent="0.2">
      <c r="A476" s="56" t="s">
        <v>8</v>
      </c>
      <c r="B476" s="55" t="s">
        <v>9</v>
      </c>
      <c r="C476" s="81"/>
      <c r="D476" s="53"/>
      <c r="E476" s="52"/>
      <c r="F476" s="80"/>
      <c r="G476" s="79"/>
      <c r="H476" s="49" t="str">
        <f t="shared" si="14"/>
        <v>A</v>
      </c>
      <c r="I476" s="48" t="str">
        <f t="shared" si="15"/>
        <v>The Commissioner &amp; Chief Constable are satisfied the spend represents VFM in accordance with the requirements of Category A</v>
      </c>
    </row>
    <row r="477" spans="1:9" x14ac:dyDescent="0.2">
      <c r="A477" s="56" t="s">
        <v>8</v>
      </c>
      <c r="B477" s="55" t="s">
        <v>9</v>
      </c>
      <c r="C477" s="81"/>
      <c r="D477" s="53"/>
      <c r="E477" s="52"/>
      <c r="F477" s="80"/>
      <c r="G477" s="79"/>
      <c r="H477" s="49" t="str">
        <f t="shared" si="14"/>
        <v>A</v>
      </c>
      <c r="I477" s="48" t="str">
        <f t="shared" si="15"/>
        <v>The Commissioner &amp; Chief Constable are satisfied the spend represents VFM in accordance with the requirements of Category A</v>
      </c>
    </row>
    <row r="478" spans="1:9" x14ac:dyDescent="0.2">
      <c r="A478" s="56" t="s">
        <v>8</v>
      </c>
      <c r="B478" s="55" t="s">
        <v>9</v>
      </c>
      <c r="C478" s="81"/>
      <c r="D478" s="53"/>
      <c r="E478" s="52"/>
      <c r="F478" s="80"/>
      <c r="G478" s="79"/>
      <c r="H478" s="49" t="str">
        <f t="shared" si="14"/>
        <v>A</v>
      </c>
      <c r="I478" s="48" t="str">
        <f t="shared" si="15"/>
        <v>The Commissioner &amp; Chief Constable are satisfied the spend represents VFM in accordance with the requirements of Category A</v>
      </c>
    </row>
    <row r="479" spans="1:9" x14ac:dyDescent="0.2">
      <c r="A479" s="56" t="s">
        <v>8</v>
      </c>
      <c r="B479" s="55" t="s">
        <v>9</v>
      </c>
      <c r="C479" s="81"/>
      <c r="D479" s="53"/>
      <c r="E479" s="52"/>
      <c r="F479" s="80"/>
      <c r="G479" s="79"/>
      <c r="H479" s="49" t="str">
        <f t="shared" si="14"/>
        <v>A</v>
      </c>
      <c r="I479" s="48" t="str">
        <f t="shared" si="15"/>
        <v>The Commissioner &amp; Chief Constable are satisfied the spend represents VFM in accordance with the requirements of Category A</v>
      </c>
    </row>
    <row r="480" spans="1:9" x14ac:dyDescent="0.2">
      <c r="A480" s="56" t="s">
        <v>8</v>
      </c>
      <c r="B480" s="55" t="s">
        <v>9</v>
      </c>
      <c r="C480" s="81"/>
      <c r="D480" s="53"/>
      <c r="E480" s="52"/>
      <c r="F480" s="80"/>
      <c r="G480" s="79"/>
      <c r="H480" s="49" t="str">
        <f t="shared" si="14"/>
        <v>A</v>
      </c>
      <c r="I480" s="48" t="str">
        <f t="shared" si="15"/>
        <v>The Commissioner &amp; Chief Constable are satisfied the spend represents VFM in accordance with the requirements of Category A</v>
      </c>
    </row>
    <row r="481" spans="1:9" x14ac:dyDescent="0.2">
      <c r="A481" s="56" t="s">
        <v>8</v>
      </c>
      <c r="B481" s="55" t="s">
        <v>9</v>
      </c>
      <c r="C481" s="81"/>
      <c r="D481" s="53"/>
      <c r="E481" s="52"/>
      <c r="F481" s="80"/>
      <c r="G481" s="79"/>
      <c r="H481" s="49" t="str">
        <f t="shared" si="14"/>
        <v>A</v>
      </c>
      <c r="I481" s="48" t="str">
        <f t="shared" si="15"/>
        <v>The Commissioner &amp; Chief Constable are satisfied the spend represents VFM in accordance with the requirements of Category A</v>
      </c>
    </row>
    <row r="482" spans="1:9" x14ac:dyDescent="0.2">
      <c r="A482" s="56" t="s">
        <v>8</v>
      </c>
      <c r="B482" s="55" t="s">
        <v>9</v>
      </c>
      <c r="C482" s="81"/>
      <c r="D482" s="53"/>
      <c r="E482" s="52"/>
      <c r="F482" s="80"/>
      <c r="G482" s="79"/>
      <c r="H482" s="49" t="str">
        <f t="shared" si="14"/>
        <v>A</v>
      </c>
      <c r="I482" s="48" t="str">
        <f t="shared" si="15"/>
        <v>The Commissioner &amp; Chief Constable are satisfied the spend represents VFM in accordance with the requirements of Category A</v>
      </c>
    </row>
    <row r="483" spans="1:9" x14ac:dyDescent="0.2">
      <c r="A483" s="56" t="s">
        <v>8</v>
      </c>
      <c r="B483" s="55" t="s">
        <v>9</v>
      </c>
      <c r="C483" s="81"/>
      <c r="D483" s="53"/>
      <c r="E483" s="52"/>
      <c r="F483" s="80"/>
      <c r="G483" s="79"/>
      <c r="H483" s="49" t="str">
        <f t="shared" si="14"/>
        <v>A</v>
      </c>
      <c r="I483" s="48" t="str">
        <f t="shared" si="15"/>
        <v>The Commissioner &amp; Chief Constable are satisfied the spend represents VFM in accordance with the requirements of Category A</v>
      </c>
    </row>
    <row r="484" spans="1:9" x14ac:dyDescent="0.2">
      <c r="A484" s="56" t="s">
        <v>8</v>
      </c>
      <c r="B484" s="55" t="s">
        <v>9</v>
      </c>
      <c r="C484" s="81"/>
      <c r="D484" s="53"/>
      <c r="E484" s="52"/>
      <c r="F484" s="80"/>
      <c r="G484" s="79"/>
      <c r="H484" s="49" t="str">
        <f t="shared" si="14"/>
        <v>A</v>
      </c>
      <c r="I484" s="48" t="str">
        <f t="shared" si="15"/>
        <v>The Commissioner &amp; Chief Constable are satisfied the spend represents VFM in accordance with the requirements of Category A</v>
      </c>
    </row>
    <row r="485" spans="1:9" x14ac:dyDescent="0.2">
      <c r="A485" s="56" t="s">
        <v>8</v>
      </c>
      <c r="B485" s="55" t="s">
        <v>9</v>
      </c>
      <c r="C485" s="81"/>
      <c r="D485" s="53"/>
      <c r="E485" s="52"/>
      <c r="F485" s="80"/>
      <c r="G485" s="79"/>
      <c r="H485" s="49" t="str">
        <f t="shared" si="14"/>
        <v>A</v>
      </c>
      <c r="I485" s="48" t="str">
        <f t="shared" si="15"/>
        <v>The Commissioner &amp; Chief Constable are satisfied the spend represents VFM in accordance with the requirements of Category A</v>
      </c>
    </row>
    <row r="486" spans="1:9" x14ac:dyDescent="0.2">
      <c r="A486" s="56" t="s">
        <v>8</v>
      </c>
      <c r="B486" s="55" t="s">
        <v>9</v>
      </c>
      <c r="C486" s="81"/>
      <c r="D486" s="53"/>
      <c r="E486" s="52"/>
      <c r="F486" s="80"/>
      <c r="G486" s="79"/>
      <c r="H486" s="49" t="str">
        <f t="shared" si="14"/>
        <v>A</v>
      </c>
      <c r="I486" s="48" t="str">
        <f t="shared" si="15"/>
        <v>The Commissioner &amp; Chief Constable are satisfied the spend represents VFM in accordance with the requirements of Category A</v>
      </c>
    </row>
    <row r="487" spans="1:9" x14ac:dyDescent="0.2">
      <c r="A487" s="56" t="s">
        <v>8</v>
      </c>
      <c r="B487" s="55" t="s">
        <v>9</v>
      </c>
      <c r="C487" s="81"/>
      <c r="D487" s="53"/>
      <c r="E487" s="52"/>
      <c r="F487" s="80"/>
      <c r="G487" s="79"/>
      <c r="H487" s="49" t="str">
        <f t="shared" si="14"/>
        <v>A</v>
      </c>
      <c r="I487" s="48" t="str">
        <f t="shared" si="15"/>
        <v>The Commissioner &amp; Chief Constable are satisfied the spend represents VFM in accordance with the requirements of Category A</v>
      </c>
    </row>
    <row r="488" spans="1:9" x14ac:dyDescent="0.2">
      <c r="A488" s="56" t="s">
        <v>8</v>
      </c>
      <c r="B488" s="55" t="s">
        <v>9</v>
      </c>
      <c r="C488" s="81"/>
      <c r="D488" s="53"/>
      <c r="E488" s="52"/>
      <c r="F488" s="80"/>
      <c r="G488" s="79"/>
      <c r="H488" s="49" t="str">
        <f t="shared" si="14"/>
        <v>A</v>
      </c>
      <c r="I488" s="48" t="str">
        <f t="shared" si="15"/>
        <v>The Commissioner &amp; Chief Constable are satisfied the spend represents VFM in accordance with the requirements of Category A</v>
      </c>
    </row>
    <row r="489" spans="1:9" x14ac:dyDescent="0.2">
      <c r="A489" s="56" t="s">
        <v>8</v>
      </c>
      <c r="B489" s="55" t="s">
        <v>9</v>
      </c>
      <c r="C489" s="81"/>
      <c r="D489" s="53"/>
      <c r="E489" s="52"/>
      <c r="F489" s="80"/>
      <c r="G489" s="79"/>
      <c r="H489" s="49" t="str">
        <f t="shared" si="14"/>
        <v>A</v>
      </c>
      <c r="I489" s="48" t="str">
        <f t="shared" si="15"/>
        <v>The Commissioner &amp; Chief Constable are satisfied the spend represents VFM in accordance with the requirements of Category A</v>
      </c>
    </row>
    <row r="490" spans="1:9" x14ac:dyDescent="0.2">
      <c r="A490" s="56" t="s">
        <v>8</v>
      </c>
      <c r="B490" s="55" t="s">
        <v>9</v>
      </c>
      <c r="C490" s="81"/>
      <c r="D490" s="53"/>
      <c r="E490" s="52"/>
      <c r="F490" s="80"/>
      <c r="G490" s="79"/>
      <c r="H490" s="49" t="str">
        <f t="shared" si="14"/>
        <v>A</v>
      </c>
      <c r="I490" s="48" t="str">
        <f t="shared" si="15"/>
        <v>The Commissioner &amp; Chief Constable are satisfied the spend represents VFM in accordance with the requirements of Category A</v>
      </c>
    </row>
    <row r="491" spans="1:9" x14ac:dyDescent="0.2">
      <c r="A491" s="56" t="s">
        <v>8</v>
      </c>
      <c r="B491" s="55" t="s">
        <v>9</v>
      </c>
      <c r="C491" s="81"/>
      <c r="D491" s="53"/>
      <c r="E491" s="52"/>
      <c r="F491" s="80"/>
      <c r="G491" s="79"/>
      <c r="H491" s="49" t="str">
        <f t="shared" si="14"/>
        <v>A</v>
      </c>
      <c r="I491" s="48" t="str">
        <f t="shared" si="15"/>
        <v>The Commissioner &amp; Chief Constable are satisfied the spend represents VFM in accordance with the requirements of Category A</v>
      </c>
    </row>
    <row r="492" spans="1:9" x14ac:dyDescent="0.2">
      <c r="A492" s="56" t="s">
        <v>8</v>
      </c>
      <c r="B492" s="55" t="s">
        <v>9</v>
      </c>
      <c r="C492" s="81"/>
      <c r="D492" s="53"/>
      <c r="E492" s="52"/>
      <c r="F492" s="80"/>
      <c r="G492" s="79"/>
      <c r="H492" s="49" t="str">
        <f t="shared" si="14"/>
        <v>A</v>
      </c>
      <c r="I492" s="48" t="str">
        <f t="shared" si="15"/>
        <v>The Commissioner &amp; Chief Constable are satisfied the spend represents VFM in accordance with the requirements of Category A</v>
      </c>
    </row>
    <row r="493" spans="1:9" x14ac:dyDescent="0.2">
      <c r="A493" s="56" t="s">
        <v>8</v>
      </c>
      <c r="B493" s="55" t="s">
        <v>9</v>
      </c>
      <c r="C493" s="81"/>
      <c r="D493" s="53"/>
      <c r="E493" s="52"/>
      <c r="F493" s="80"/>
      <c r="G493" s="79"/>
      <c r="H493" s="49" t="str">
        <f t="shared" si="14"/>
        <v>A</v>
      </c>
      <c r="I493" s="48" t="str">
        <f t="shared" si="15"/>
        <v>The Commissioner &amp; Chief Constable are satisfied the spend represents VFM in accordance with the requirements of Category A</v>
      </c>
    </row>
    <row r="494" spans="1:9" x14ac:dyDescent="0.2">
      <c r="A494" s="56" t="s">
        <v>8</v>
      </c>
      <c r="B494" s="55" t="s">
        <v>9</v>
      </c>
      <c r="C494" s="81"/>
      <c r="D494" s="53"/>
      <c r="E494" s="52"/>
      <c r="F494" s="80"/>
      <c r="G494" s="79"/>
      <c r="H494" s="49" t="str">
        <f t="shared" si="14"/>
        <v>A</v>
      </c>
      <c r="I494" s="48" t="str">
        <f t="shared" si="15"/>
        <v>The Commissioner &amp; Chief Constable are satisfied the spend represents VFM in accordance with the requirements of Category A</v>
      </c>
    </row>
    <row r="495" spans="1:9" x14ac:dyDescent="0.2">
      <c r="A495" s="56" t="s">
        <v>8</v>
      </c>
      <c r="B495" s="55" t="s">
        <v>9</v>
      </c>
      <c r="C495" s="81"/>
      <c r="D495" s="53"/>
      <c r="E495" s="52"/>
      <c r="F495" s="80"/>
      <c r="G495" s="79"/>
      <c r="H495" s="49" t="str">
        <f t="shared" si="14"/>
        <v>A</v>
      </c>
      <c r="I495" s="48" t="str">
        <f t="shared" si="15"/>
        <v>The Commissioner &amp; Chief Constable are satisfied the spend represents VFM in accordance with the requirements of Category A</v>
      </c>
    </row>
    <row r="496" spans="1:9" x14ac:dyDescent="0.2">
      <c r="A496" s="56" t="s">
        <v>8</v>
      </c>
      <c r="B496" s="55" t="s">
        <v>9</v>
      </c>
      <c r="C496" s="81"/>
      <c r="D496" s="53"/>
      <c r="E496" s="52"/>
      <c r="F496" s="80"/>
      <c r="G496" s="79"/>
      <c r="H496" s="49" t="str">
        <f t="shared" si="14"/>
        <v>A</v>
      </c>
      <c r="I496" s="48" t="str">
        <f t="shared" si="15"/>
        <v>The Commissioner &amp; Chief Constable are satisfied the spend represents VFM in accordance with the requirements of Category A</v>
      </c>
    </row>
    <row r="497" spans="1:9" x14ac:dyDescent="0.2">
      <c r="A497" s="56" t="s">
        <v>8</v>
      </c>
      <c r="B497" s="55" t="s">
        <v>9</v>
      </c>
      <c r="C497" s="81"/>
      <c r="D497" s="53"/>
      <c r="E497" s="52"/>
      <c r="F497" s="80"/>
      <c r="G497" s="79"/>
      <c r="H497" s="49" t="str">
        <f t="shared" si="14"/>
        <v>A</v>
      </c>
      <c r="I497" s="48" t="str">
        <f t="shared" si="15"/>
        <v>The Commissioner &amp; Chief Constable are satisfied the spend represents VFM in accordance with the requirements of Category A</v>
      </c>
    </row>
    <row r="498" spans="1:9" x14ac:dyDescent="0.2">
      <c r="A498" s="56" t="s">
        <v>8</v>
      </c>
      <c r="B498" s="55" t="s">
        <v>9</v>
      </c>
      <c r="C498" s="81"/>
      <c r="D498" s="53"/>
      <c r="E498" s="52"/>
      <c r="F498" s="80"/>
      <c r="G498" s="79"/>
      <c r="H498" s="49" t="str">
        <f t="shared" si="14"/>
        <v>A</v>
      </c>
      <c r="I498" s="48" t="str">
        <f t="shared" si="15"/>
        <v>The Commissioner &amp; Chief Constable are satisfied the spend represents VFM in accordance with the requirements of Category A</v>
      </c>
    </row>
    <row r="499" spans="1:9" x14ac:dyDescent="0.2">
      <c r="A499" s="56" t="s">
        <v>8</v>
      </c>
      <c r="B499" s="55" t="s">
        <v>9</v>
      </c>
      <c r="C499" s="81"/>
      <c r="D499" s="53"/>
      <c r="E499" s="52"/>
      <c r="F499" s="80"/>
      <c r="G499" s="79"/>
      <c r="H499" s="49" t="str">
        <f t="shared" si="14"/>
        <v>A</v>
      </c>
      <c r="I499" s="48" t="str">
        <f t="shared" si="15"/>
        <v>The Commissioner &amp; Chief Constable are satisfied the spend represents VFM in accordance with the requirements of Category A</v>
      </c>
    </row>
    <row r="500" spans="1:9" x14ac:dyDescent="0.2">
      <c r="A500" s="56" t="s">
        <v>8</v>
      </c>
      <c r="B500" s="55" t="s">
        <v>9</v>
      </c>
      <c r="C500" s="81"/>
      <c r="D500" s="53"/>
      <c r="E500" s="52"/>
      <c r="F500" s="80"/>
      <c r="G500" s="79"/>
      <c r="H500" s="49" t="str">
        <f t="shared" si="14"/>
        <v>A</v>
      </c>
      <c r="I500" s="48" t="str">
        <f t="shared" si="15"/>
        <v>The Commissioner &amp; Chief Constable are satisfied the spend represents VFM in accordance with the requirements of Category A</v>
      </c>
    </row>
    <row r="501" spans="1:9" x14ac:dyDescent="0.2">
      <c r="A501" s="56" t="s">
        <v>8</v>
      </c>
      <c r="B501" s="55" t="s">
        <v>9</v>
      </c>
      <c r="C501" s="81"/>
      <c r="D501" s="53"/>
      <c r="E501" s="52"/>
      <c r="F501" s="80"/>
      <c r="G501" s="79"/>
      <c r="H501" s="49" t="str">
        <f t="shared" si="14"/>
        <v>A</v>
      </c>
      <c r="I501" s="48" t="str">
        <f t="shared" si="15"/>
        <v>The Commissioner &amp; Chief Constable are satisfied the spend represents VFM in accordance with the requirements of Category A</v>
      </c>
    </row>
    <row r="502" spans="1:9" x14ac:dyDescent="0.2">
      <c r="A502" s="56" t="s">
        <v>8</v>
      </c>
      <c r="B502" s="55" t="s">
        <v>9</v>
      </c>
      <c r="C502" s="81"/>
      <c r="D502" s="53"/>
      <c r="E502" s="52"/>
      <c r="F502" s="80"/>
      <c r="G502" s="79"/>
      <c r="H502" s="49" t="str">
        <f t="shared" si="14"/>
        <v>A</v>
      </c>
      <c r="I502" s="48" t="str">
        <f t="shared" si="15"/>
        <v>The Commissioner &amp; Chief Constable are satisfied the spend represents VFM in accordance with the requirements of Category A</v>
      </c>
    </row>
    <row r="503" spans="1:9" x14ac:dyDescent="0.2">
      <c r="A503" s="56" t="s">
        <v>8</v>
      </c>
      <c r="B503" s="55" t="s">
        <v>9</v>
      </c>
      <c r="C503" s="81"/>
      <c r="D503" s="53"/>
      <c r="E503" s="52"/>
      <c r="F503" s="80"/>
      <c r="G503" s="79"/>
      <c r="H503" s="49" t="str">
        <f t="shared" si="14"/>
        <v>A</v>
      </c>
      <c r="I503" s="48" t="str">
        <f t="shared" si="15"/>
        <v>The Commissioner &amp; Chief Constable are satisfied the spend represents VFM in accordance with the requirements of Category A</v>
      </c>
    </row>
    <row r="504" spans="1:9" x14ac:dyDescent="0.2">
      <c r="A504" s="56" t="s">
        <v>8</v>
      </c>
      <c r="B504" s="55" t="s">
        <v>9</v>
      </c>
      <c r="C504" s="81"/>
      <c r="D504" s="53"/>
      <c r="E504" s="52"/>
      <c r="F504" s="80"/>
      <c r="G504" s="79"/>
      <c r="H504" s="49" t="str">
        <f t="shared" si="14"/>
        <v>A</v>
      </c>
      <c r="I504" s="48" t="str">
        <f t="shared" si="15"/>
        <v>The Commissioner &amp; Chief Constable are satisfied the spend represents VFM in accordance with the requirements of Category A</v>
      </c>
    </row>
    <row r="505" spans="1:9" x14ac:dyDescent="0.2">
      <c r="A505" s="56" t="s">
        <v>8</v>
      </c>
      <c r="B505" s="55" t="s">
        <v>9</v>
      </c>
      <c r="C505" s="81"/>
      <c r="D505" s="53"/>
      <c r="E505" s="52"/>
      <c r="F505" s="80"/>
      <c r="G505" s="79"/>
      <c r="H505" s="49" t="str">
        <f t="shared" si="14"/>
        <v>A</v>
      </c>
      <c r="I505" s="48" t="str">
        <f t="shared" si="15"/>
        <v>The Commissioner &amp; Chief Constable are satisfied the spend represents VFM in accordance with the requirements of Category A</v>
      </c>
    </row>
    <row r="506" spans="1:9" x14ac:dyDescent="0.2">
      <c r="A506" s="56" t="s">
        <v>8</v>
      </c>
      <c r="B506" s="55" t="s">
        <v>9</v>
      </c>
      <c r="C506" s="81"/>
      <c r="D506" s="53"/>
      <c r="E506" s="52"/>
      <c r="F506" s="80"/>
      <c r="G506" s="79"/>
      <c r="H506" s="49" t="str">
        <f t="shared" si="14"/>
        <v>A</v>
      </c>
      <c r="I506" s="48" t="str">
        <f t="shared" si="15"/>
        <v>The Commissioner &amp; Chief Constable are satisfied the spend represents VFM in accordance with the requirements of Category A</v>
      </c>
    </row>
    <row r="507" spans="1:9" x14ac:dyDescent="0.2">
      <c r="A507" s="56" t="s">
        <v>8</v>
      </c>
      <c r="B507" s="55" t="s">
        <v>9</v>
      </c>
      <c r="C507" s="81"/>
      <c r="D507" s="53"/>
      <c r="E507" s="52"/>
      <c r="F507" s="80"/>
      <c r="G507" s="79"/>
      <c r="H507" s="49" t="str">
        <f t="shared" si="14"/>
        <v>A</v>
      </c>
      <c r="I507" s="48" t="str">
        <f t="shared" si="15"/>
        <v>The Commissioner &amp; Chief Constable are satisfied the spend represents VFM in accordance with the requirements of Category A</v>
      </c>
    </row>
    <row r="508" spans="1:9" x14ac:dyDescent="0.2">
      <c r="A508" s="56" t="s">
        <v>8</v>
      </c>
      <c r="B508" s="55" t="s">
        <v>9</v>
      </c>
      <c r="C508" s="81"/>
      <c r="D508" s="53"/>
      <c r="E508" s="52"/>
      <c r="F508" s="80"/>
      <c r="G508" s="79"/>
      <c r="H508" s="49" t="str">
        <f t="shared" si="14"/>
        <v>A</v>
      </c>
      <c r="I508" s="48" t="str">
        <f t="shared" si="15"/>
        <v>The Commissioner &amp; Chief Constable are satisfied the spend represents VFM in accordance with the requirements of Category A</v>
      </c>
    </row>
    <row r="509" spans="1:9" x14ac:dyDescent="0.2">
      <c r="A509" s="56" t="s">
        <v>8</v>
      </c>
      <c r="B509" s="55" t="s">
        <v>9</v>
      </c>
      <c r="C509" s="81"/>
      <c r="D509" s="53"/>
      <c r="E509" s="52"/>
      <c r="F509" s="80"/>
      <c r="G509" s="79"/>
      <c r="H509" s="49" t="str">
        <f t="shared" si="14"/>
        <v>A</v>
      </c>
      <c r="I509" s="48" t="str">
        <f t="shared" si="15"/>
        <v>The Commissioner &amp; Chief Constable are satisfied the spend represents VFM in accordance with the requirements of Category A</v>
      </c>
    </row>
    <row r="510" spans="1:9" x14ac:dyDescent="0.2">
      <c r="A510" s="56" t="s">
        <v>8</v>
      </c>
      <c r="B510" s="55" t="s">
        <v>9</v>
      </c>
      <c r="C510" s="81"/>
      <c r="D510" s="53"/>
      <c r="E510" s="52"/>
      <c r="F510" s="80"/>
      <c r="G510" s="79"/>
      <c r="H510" s="49" t="str">
        <f t="shared" si="14"/>
        <v>A</v>
      </c>
      <c r="I510" s="48" t="str">
        <f t="shared" si="15"/>
        <v>The Commissioner &amp; Chief Constable are satisfied the spend represents VFM in accordance with the requirements of Category A</v>
      </c>
    </row>
    <row r="511" spans="1:9" x14ac:dyDescent="0.2">
      <c r="A511" s="56" t="s">
        <v>8</v>
      </c>
      <c r="B511" s="55" t="s">
        <v>9</v>
      </c>
      <c r="C511" s="81"/>
      <c r="D511" s="53"/>
      <c r="E511" s="52"/>
      <c r="F511" s="80"/>
      <c r="G511" s="79"/>
      <c r="H511" s="49" t="str">
        <f t="shared" si="14"/>
        <v>A</v>
      </c>
      <c r="I511" s="48" t="str">
        <f t="shared" si="15"/>
        <v>The Commissioner &amp; Chief Constable are satisfied the spend represents VFM in accordance with the requirements of Category A</v>
      </c>
    </row>
    <row r="512" spans="1:9" x14ac:dyDescent="0.2">
      <c r="A512" s="56" t="s">
        <v>8</v>
      </c>
      <c r="B512" s="55" t="s">
        <v>9</v>
      </c>
      <c r="C512" s="81"/>
      <c r="D512" s="53"/>
      <c r="E512" s="52"/>
      <c r="F512" s="80"/>
      <c r="G512" s="79"/>
      <c r="H512" s="49" t="str">
        <f t="shared" si="14"/>
        <v>A</v>
      </c>
      <c r="I512" s="48" t="str">
        <f t="shared" si="15"/>
        <v>The Commissioner &amp; Chief Constable are satisfied the spend represents VFM in accordance with the requirements of Category A</v>
      </c>
    </row>
    <row r="513" spans="1:9" x14ac:dyDescent="0.2">
      <c r="A513" s="56" t="s">
        <v>8</v>
      </c>
      <c r="B513" s="55" t="s">
        <v>9</v>
      </c>
      <c r="C513" s="81"/>
      <c r="D513" s="53"/>
      <c r="E513" s="52"/>
      <c r="F513" s="80"/>
      <c r="G513" s="79"/>
      <c r="H513" s="49" t="str">
        <f t="shared" si="14"/>
        <v>A</v>
      </c>
      <c r="I513" s="48" t="str">
        <f t="shared" si="15"/>
        <v>The Commissioner &amp; Chief Constable are satisfied the spend represents VFM in accordance with the requirements of Category A</v>
      </c>
    </row>
    <row r="514" spans="1:9" x14ac:dyDescent="0.2">
      <c r="A514" s="56" t="s">
        <v>8</v>
      </c>
      <c r="B514" s="55" t="s">
        <v>9</v>
      </c>
      <c r="C514" s="81"/>
      <c r="D514" s="53"/>
      <c r="E514" s="52"/>
      <c r="F514" s="80"/>
      <c r="G514" s="79"/>
      <c r="H514" s="49" t="str">
        <f t="shared" si="14"/>
        <v>A</v>
      </c>
      <c r="I514" s="48" t="str">
        <f t="shared" ref="I514" si="16">VLOOKUP(H514,$L$2:$M$4,2,FALSE)</f>
        <v>The Commissioner &amp; Chief Constable are satisfied the spend represents VFM in accordance with the requirements of Category A</v>
      </c>
    </row>
  </sheetData>
  <autoFilter ref="A1:M514" xr:uid="{BE9E9534-A0E5-4AD3-828F-595631460A30}"/>
  <pageMargins left="0.39370078740157483" right="0.39370078740157483" top="0.47244094488188981" bottom="0.39370078740157483" header="0.23622047244094491" footer="0.23622047244094491"/>
  <pageSetup paperSize="9" scale="75" fitToHeight="0" orientation="landscape" r:id="rId1"/>
  <headerFooter alignWithMargins="0">
    <oddHeader>&amp;C&amp;"Arial,Bold Italic"&amp;11&amp;U&amp;A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E5C7-353D-4BA9-AC1D-A4C5FD838C6C}">
  <dimension ref="A1:M514"/>
  <sheetViews>
    <sheetView workbookViewId="0">
      <selection activeCell="A366" sqref="A366:XFD366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20" style="71" customWidth="1"/>
    <col min="5" max="5" width="10.28515625" style="22" customWidth="1"/>
    <col min="6" max="6" width="11.140625" style="23" bestFit="1" customWidth="1"/>
    <col min="7" max="7" width="38.85546875" style="20" bestFit="1" customWidth="1"/>
    <col min="8" max="8" width="11.7109375" style="24" bestFit="1" customWidth="1"/>
    <col min="9" max="9" width="93.42578125" style="20" bestFit="1" customWidth="1"/>
    <col min="10" max="10" width="1.7109375" style="20" customWidth="1"/>
    <col min="11" max="11" width="16.140625" style="20" bestFit="1" customWidth="1"/>
    <col min="12" max="13" width="5.7109375" style="17" hidden="1" customWidth="1"/>
    <col min="14" max="14" width="5.7109375" style="17" bestFit="1" customWidth="1"/>
    <col min="15" max="16384" width="9.140625" style="17"/>
  </cols>
  <sheetData>
    <row r="1" spans="1:13" s="8" customFormat="1" ht="32.25" thickBot="1" x14ac:dyDescent="0.3">
      <c r="A1" s="1" t="s">
        <v>0</v>
      </c>
      <c r="B1" s="2" t="s">
        <v>1</v>
      </c>
      <c r="C1" s="3"/>
      <c r="D1" s="78"/>
      <c r="E1" s="4"/>
      <c r="F1" s="5"/>
      <c r="G1" s="6"/>
      <c r="H1" s="6" t="s">
        <v>6</v>
      </c>
      <c r="I1" s="7" t="s">
        <v>7</v>
      </c>
      <c r="K1" s="9"/>
    </row>
    <row r="2" spans="1:13" x14ac:dyDescent="0.2">
      <c r="A2" s="10" t="s">
        <v>8</v>
      </c>
      <c r="B2" s="11" t="s">
        <v>9</v>
      </c>
      <c r="C2" s="75" t="s">
        <v>48</v>
      </c>
      <c r="D2" s="86">
        <v>7175649</v>
      </c>
      <c r="E2" s="85">
        <v>45509</v>
      </c>
      <c r="F2" s="12">
        <v>3589042.81</v>
      </c>
      <c r="G2" s="13" t="s">
        <v>58</v>
      </c>
      <c r="H2" s="14" t="str">
        <f t="shared" ref="H2:H65" si="0">IF(F2&gt;25000,"C",IF(F2&gt;1000,"B","A"))</f>
        <v>C</v>
      </c>
      <c r="I2" s="15" t="str">
        <f t="shared" ref="I2:I65" si="1">VLOOKUP(H2,$L$2:$M$4,2,FALSE)</f>
        <v>The Commissioner &amp; Chief Constable are satisfied the spend represents VFM in accordance with the requirements of Category C</v>
      </c>
      <c r="J2" s="16"/>
      <c r="K2" s="16"/>
      <c r="L2" s="17" t="s">
        <v>12</v>
      </c>
      <c r="M2" s="15" t="s">
        <v>13</v>
      </c>
    </row>
    <row r="3" spans="1:13" x14ac:dyDescent="0.2">
      <c r="A3" s="10" t="s">
        <v>8</v>
      </c>
      <c r="B3" s="11" t="s">
        <v>9</v>
      </c>
      <c r="C3" s="75" t="s">
        <v>10</v>
      </c>
      <c r="D3" s="86">
        <v>7175824</v>
      </c>
      <c r="E3" s="85">
        <v>45518</v>
      </c>
      <c r="F3" s="12">
        <v>386471.24</v>
      </c>
      <c r="G3" s="13" t="s">
        <v>11</v>
      </c>
      <c r="H3" s="14" t="str">
        <f t="shared" si="0"/>
        <v>C</v>
      </c>
      <c r="I3" s="15" t="str">
        <f t="shared" si="1"/>
        <v>The Commissioner &amp; Chief Constable are satisfied the spend represents VFM in accordance with the requirements of Category C</v>
      </c>
      <c r="J3" s="16"/>
      <c r="K3" s="16"/>
      <c r="L3" s="17" t="s">
        <v>16</v>
      </c>
      <c r="M3" s="15" t="s">
        <v>17</v>
      </c>
    </row>
    <row r="4" spans="1:13" x14ac:dyDescent="0.2">
      <c r="A4" s="10" t="s">
        <v>8</v>
      </c>
      <c r="B4" s="11" t="s">
        <v>9</v>
      </c>
      <c r="C4" s="75" t="s">
        <v>639</v>
      </c>
      <c r="D4" s="86">
        <v>7176272</v>
      </c>
      <c r="E4" s="85">
        <v>45527</v>
      </c>
      <c r="F4" s="12">
        <v>376740</v>
      </c>
      <c r="G4" s="13" t="s">
        <v>37</v>
      </c>
      <c r="H4" s="14" t="str">
        <f t="shared" si="0"/>
        <v>C</v>
      </c>
      <c r="I4" s="15" t="str">
        <f t="shared" si="1"/>
        <v>The Commissioner &amp; Chief Constable are satisfied the spend represents VFM in accordance with the requirements of Category C</v>
      </c>
      <c r="J4" s="16"/>
      <c r="K4" s="16"/>
      <c r="L4" s="17" t="s">
        <v>20</v>
      </c>
      <c r="M4" s="15" t="s">
        <v>21</v>
      </c>
    </row>
    <row r="5" spans="1:13" x14ac:dyDescent="0.2">
      <c r="A5" s="10" t="s">
        <v>8</v>
      </c>
      <c r="B5" s="11" t="s">
        <v>9</v>
      </c>
      <c r="C5" s="75" t="s">
        <v>48</v>
      </c>
      <c r="D5" s="86">
        <v>7175375</v>
      </c>
      <c r="E5" s="85">
        <v>45505</v>
      </c>
      <c r="F5" s="12">
        <v>364273.29</v>
      </c>
      <c r="G5" s="13" t="s">
        <v>58</v>
      </c>
      <c r="H5" s="14" t="str">
        <f t="shared" si="0"/>
        <v>C</v>
      </c>
      <c r="I5" s="15" t="str">
        <f t="shared" si="1"/>
        <v>The Commissioner &amp; Chief Constable are satisfied the spend represents VFM in accordance with the requirements of Category C</v>
      </c>
      <c r="J5" s="16"/>
      <c r="K5" s="16"/>
    </row>
    <row r="6" spans="1:13" x14ac:dyDescent="0.2">
      <c r="A6" s="10" t="s">
        <v>8</v>
      </c>
      <c r="B6" s="11" t="s">
        <v>9</v>
      </c>
      <c r="C6" s="75" t="s">
        <v>48</v>
      </c>
      <c r="D6" s="86">
        <v>7175375</v>
      </c>
      <c r="E6" s="85">
        <v>45505</v>
      </c>
      <c r="F6" s="12">
        <v>2646.81</v>
      </c>
      <c r="G6" s="13" t="s">
        <v>131</v>
      </c>
      <c r="H6" s="14" t="str">
        <f t="shared" si="0"/>
        <v>B</v>
      </c>
      <c r="I6" s="15" t="str">
        <f t="shared" si="1"/>
        <v>The Commissioner &amp; Chief Constable are satisfied the spend represents VFM in accordance with the requirements of Category B</v>
      </c>
      <c r="J6" s="16"/>
      <c r="K6" s="16"/>
    </row>
    <row r="7" spans="1:13" x14ac:dyDescent="0.2">
      <c r="A7" s="10" t="s">
        <v>8</v>
      </c>
      <c r="B7" s="11" t="s">
        <v>9</v>
      </c>
      <c r="C7" s="77" t="s">
        <v>18</v>
      </c>
      <c r="D7" s="86">
        <v>9035797</v>
      </c>
      <c r="E7" s="85">
        <v>45527</v>
      </c>
      <c r="F7" s="12">
        <v>325665.08</v>
      </c>
      <c r="G7" s="13" t="s">
        <v>19</v>
      </c>
      <c r="H7" s="14" t="str">
        <f t="shared" si="0"/>
        <v>C</v>
      </c>
      <c r="I7" s="15" t="str">
        <f t="shared" si="1"/>
        <v>The Commissioner &amp; Chief Constable are satisfied the spend represents VFM in accordance with the requirements of Category C</v>
      </c>
      <c r="J7" s="16"/>
      <c r="K7" s="16"/>
    </row>
    <row r="8" spans="1:13" x14ac:dyDescent="0.2">
      <c r="A8" s="10" t="s">
        <v>8</v>
      </c>
      <c r="B8" s="11" t="s">
        <v>9</v>
      </c>
      <c r="C8" s="75" t="s">
        <v>842</v>
      </c>
      <c r="D8" s="86">
        <v>7176583</v>
      </c>
      <c r="E8" s="85">
        <v>45534</v>
      </c>
      <c r="F8" s="12">
        <v>301323.55</v>
      </c>
      <c r="G8" s="13" t="s">
        <v>185</v>
      </c>
      <c r="H8" s="14" t="str">
        <f t="shared" si="0"/>
        <v>C</v>
      </c>
      <c r="I8" s="15" t="str">
        <f t="shared" si="1"/>
        <v>The Commissioner &amp; Chief Constable are satisfied the spend represents VFM in accordance with the requirements of Category C</v>
      </c>
      <c r="J8" s="16"/>
      <c r="K8" s="16"/>
    </row>
    <row r="9" spans="1:13" x14ac:dyDescent="0.2">
      <c r="A9" s="10" t="s">
        <v>8</v>
      </c>
      <c r="B9" s="11" t="s">
        <v>9</v>
      </c>
      <c r="C9" s="77" t="s">
        <v>265</v>
      </c>
      <c r="D9" s="86">
        <v>7175449</v>
      </c>
      <c r="E9" s="85">
        <v>45516</v>
      </c>
      <c r="F9" s="12">
        <v>292901.92</v>
      </c>
      <c r="G9" s="13" t="s">
        <v>133</v>
      </c>
      <c r="H9" s="14" t="str">
        <f t="shared" si="0"/>
        <v>C</v>
      </c>
      <c r="I9" s="15" t="str">
        <f t="shared" si="1"/>
        <v>The Commissioner &amp; Chief Constable are satisfied the spend represents VFM in accordance with the requirements of Category C</v>
      </c>
      <c r="J9" s="16"/>
      <c r="K9" s="16"/>
    </row>
    <row r="10" spans="1:13" x14ac:dyDescent="0.2">
      <c r="A10" s="10" t="s">
        <v>8</v>
      </c>
      <c r="B10" s="11" t="s">
        <v>9</v>
      </c>
      <c r="C10" s="75" t="s">
        <v>51</v>
      </c>
      <c r="D10" s="86">
        <v>7175935</v>
      </c>
      <c r="E10" s="85">
        <v>45519</v>
      </c>
      <c r="F10" s="12">
        <v>241041.49</v>
      </c>
      <c r="G10" s="13" t="s">
        <v>15</v>
      </c>
      <c r="H10" s="14" t="str">
        <f t="shared" si="0"/>
        <v>C</v>
      </c>
      <c r="I10" s="15" t="str">
        <f t="shared" si="1"/>
        <v>The Commissioner &amp; Chief Constable are satisfied the spend represents VFM in accordance with the requirements of Category C</v>
      </c>
      <c r="J10" s="16"/>
      <c r="K10" s="16"/>
    </row>
    <row r="11" spans="1:13" x14ac:dyDescent="0.2">
      <c r="A11" s="10" t="s">
        <v>8</v>
      </c>
      <c r="B11" s="11" t="s">
        <v>9</v>
      </c>
      <c r="C11" s="75" t="s">
        <v>639</v>
      </c>
      <c r="D11" s="86">
        <v>7176282</v>
      </c>
      <c r="E11" s="85">
        <v>45531</v>
      </c>
      <c r="F11" s="18">
        <v>197925</v>
      </c>
      <c r="G11" s="13" t="s">
        <v>37</v>
      </c>
      <c r="H11" s="14" t="str">
        <f t="shared" si="0"/>
        <v>C</v>
      </c>
      <c r="I11" s="15" t="str">
        <f t="shared" si="1"/>
        <v>The Commissioner &amp; Chief Constable are satisfied the spend represents VFM in accordance with the requirements of Category C</v>
      </c>
      <c r="J11" s="16"/>
      <c r="K11" s="16"/>
    </row>
    <row r="12" spans="1:13" x14ac:dyDescent="0.2">
      <c r="A12" s="10" t="s">
        <v>8</v>
      </c>
      <c r="B12" s="11" t="s">
        <v>9</v>
      </c>
      <c r="C12" s="75" t="s">
        <v>170</v>
      </c>
      <c r="D12" s="86">
        <v>7176246</v>
      </c>
      <c r="E12" s="85">
        <v>45527</v>
      </c>
      <c r="F12" s="12">
        <v>180180</v>
      </c>
      <c r="G12" s="19" t="s">
        <v>37</v>
      </c>
      <c r="H12" s="14" t="str">
        <f t="shared" si="0"/>
        <v>C</v>
      </c>
      <c r="I12" s="15" t="str">
        <f t="shared" si="1"/>
        <v>The Commissioner &amp; Chief Constable are satisfied the spend represents VFM in accordance with the requirements of Category C</v>
      </c>
      <c r="J12" s="16"/>
      <c r="K12" s="16"/>
    </row>
    <row r="13" spans="1:13" x14ac:dyDescent="0.2">
      <c r="A13" s="10" t="s">
        <v>8</v>
      </c>
      <c r="B13" s="11" t="s">
        <v>9</v>
      </c>
      <c r="C13" s="77" t="s">
        <v>876</v>
      </c>
      <c r="D13" s="86">
        <v>7176024</v>
      </c>
      <c r="E13" s="85">
        <v>45517</v>
      </c>
      <c r="F13" s="18">
        <v>178337.81</v>
      </c>
      <c r="G13" s="13" t="s">
        <v>22</v>
      </c>
      <c r="H13" s="14" t="str">
        <f t="shared" si="0"/>
        <v>C</v>
      </c>
      <c r="I13" s="15" t="str">
        <f t="shared" si="1"/>
        <v>The Commissioner &amp; Chief Constable are satisfied the spend represents VFM in accordance with the requirements of Category C</v>
      </c>
      <c r="J13" s="16"/>
      <c r="K13" s="16"/>
    </row>
    <row r="14" spans="1:13" x14ac:dyDescent="0.2">
      <c r="A14" s="10" t="s">
        <v>8</v>
      </c>
      <c r="B14" s="11" t="s">
        <v>9</v>
      </c>
      <c r="C14" s="75" t="s">
        <v>876</v>
      </c>
      <c r="D14" s="86">
        <v>7175556</v>
      </c>
      <c r="E14" s="85">
        <v>45509</v>
      </c>
      <c r="F14" s="18">
        <v>171928.74</v>
      </c>
      <c r="G14" s="13" t="s">
        <v>22</v>
      </c>
      <c r="H14" s="14" t="str">
        <f t="shared" si="0"/>
        <v>C</v>
      </c>
      <c r="I14" s="15" t="str">
        <f t="shared" si="1"/>
        <v>The Commissioner &amp; Chief Constable are satisfied the spend represents VFM in accordance with the requirements of Category C</v>
      </c>
      <c r="J14" s="16"/>
      <c r="K14" s="16"/>
    </row>
    <row r="15" spans="1:13" x14ac:dyDescent="0.2">
      <c r="A15" s="10" t="s">
        <v>8</v>
      </c>
      <c r="B15" s="11" t="s">
        <v>9</v>
      </c>
      <c r="C15" s="75" t="s">
        <v>876</v>
      </c>
      <c r="D15" s="86">
        <v>7176147</v>
      </c>
      <c r="E15" s="85">
        <v>45519</v>
      </c>
      <c r="F15" s="18">
        <v>160754.67000000001</v>
      </c>
      <c r="G15" s="19" t="s">
        <v>22</v>
      </c>
      <c r="H15" s="14" t="str">
        <f t="shared" si="0"/>
        <v>C</v>
      </c>
      <c r="I15" s="15" t="str">
        <f t="shared" si="1"/>
        <v>The Commissioner &amp; Chief Constable are satisfied the spend represents VFM in accordance with the requirements of Category C</v>
      </c>
      <c r="J15" s="16"/>
      <c r="K15" s="16"/>
    </row>
    <row r="16" spans="1:13" x14ac:dyDescent="0.2">
      <c r="A16" s="10" t="s">
        <v>8</v>
      </c>
      <c r="B16" s="11" t="s">
        <v>9</v>
      </c>
      <c r="C16" s="75" t="s">
        <v>352</v>
      </c>
      <c r="D16" s="86">
        <v>7175422</v>
      </c>
      <c r="E16" s="85">
        <v>45516</v>
      </c>
      <c r="F16" s="18">
        <v>143846.25</v>
      </c>
      <c r="G16" s="13" t="s">
        <v>494</v>
      </c>
      <c r="H16" s="14" t="str">
        <f t="shared" si="0"/>
        <v>C</v>
      </c>
      <c r="I16" s="15" t="str">
        <f t="shared" si="1"/>
        <v>The Commissioner &amp; Chief Constable are satisfied the spend represents VFM in accordance with the requirements of Category C</v>
      </c>
      <c r="J16" s="16"/>
      <c r="K16" s="16"/>
    </row>
    <row r="17" spans="1:11" x14ac:dyDescent="0.2">
      <c r="A17" s="10" t="s">
        <v>8</v>
      </c>
      <c r="B17" s="11" t="s">
        <v>9</v>
      </c>
      <c r="C17" s="77" t="s">
        <v>639</v>
      </c>
      <c r="D17" s="86">
        <v>7176270</v>
      </c>
      <c r="E17" s="85">
        <v>45527</v>
      </c>
      <c r="F17" s="18">
        <v>123942</v>
      </c>
      <c r="G17" s="13" t="s">
        <v>37</v>
      </c>
      <c r="H17" s="14" t="str">
        <f t="shared" si="0"/>
        <v>C</v>
      </c>
      <c r="I17" s="15" t="str">
        <f t="shared" si="1"/>
        <v>The Commissioner &amp; Chief Constable are satisfied the spend represents VFM in accordance with the requirements of Category C</v>
      </c>
      <c r="J17" s="16"/>
      <c r="K17" s="16"/>
    </row>
    <row r="18" spans="1:11" x14ac:dyDescent="0.2">
      <c r="A18" s="10" t="s">
        <v>8</v>
      </c>
      <c r="B18" s="11" t="s">
        <v>9</v>
      </c>
      <c r="C18" s="75" t="s">
        <v>23</v>
      </c>
      <c r="D18" s="86">
        <v>7176345</v>
      </c>
      <c r="E18" s="85">
        <v>45532</v>
      </c>
      <c r="F18" s="18">
        <v>113324.27</v>
      </c>
      <c r="G18" s="13" t="s">
        <v>24</v>
      </c>
      <c r="H18" s="14" t="str">
        <f t="shared" si="0"/>
        <v>C</v>
      </c>
      <c r="I18" s="15" t="str">
        <f t="shared" si="1"/>
        <v>The Commissioner &amp; Chief Constable are satisfied the spend represents VFM in accordance with the requirements of Category C</v>
      </c>
      <c r="J18" s="16"/>
      <c r="K18" s="16"/>
    </row>
    <row r="19" spans="1:11" x14ac:dyDescent="0.2">
      <c r="A19" s="10" t="s">
        <v>8</v>
      </c>
      <c r="B19" s="11" t="s">
        <v>9</v>
      </c>
      <c r="C19" s="77" t="s">
        <v>497</v>
      </c>
      <c r="D19" s="86">
        <v>7176290</v>
      </c>
      <c r="E19" s="85">
        <v>45531</v>
      </c>
      <c r="F19" s="18">
        <v>111930</v>
      </c>
      <c r="G19" s="13" t="s">
        <v>37</v>
      </c>
      <c r="H19" s="14" t="str">
        <f t="shared" si="0"/>
        <v>C</v>
      </c>
      <c r="I19" s="15" t="str">
        <f t="shared" si="1"/>
        <v>The Commissioner &amp; Chief Constable are satisfied the spend represents VFM in accordance with the requirements of Category C</v>
      </c>
      <c r="J19" s="16"/>
      <c r="K19" s="16"/>
    </row>
    <row r="20" spans="1:11" x14ac:dyDescent="0.2">
      <c r="A20" s="10" t="s">
        <v>8</v>
      </c>
      <c r="B20" s="11" t="s">
        <v>9</v>
      </c>
      <c r="C20" s="75" t="s">
        <v>30</v>
      </c>
      <c r="D20" s="86">
        <v>7175798</v>
      </c>
      <c r="E20" s="85">
        <v>45509</v>
      </c>
      <c r="F20" s="18">
        <v>103498.49</v>
      </c>
      <c r="G20" s="13" t="s">
        <v>31</v>
      </c>
      <c r="H20" s="14" t="str">
        <f t="shared" si="0"/>
        <v>C</v>
      </c>
      <c r="I20" s="15" t="str">
        <f t="shared" si="1"/>
        <v>The Commissioner &amp; Chief Constable are satisfied the spend represents VFM in accordance with the requirements of Category C</v>
      </c>
      <c r="J20" s="16"/>
      <c r="K20" s="16"/>
    </row>
    <row r="21" spans="1:11" x14ac:dyDescent="0.2">
      <c r="A21" s="10" t="s">
        <v>8</v>
      </c>
      <c r="B21" s="11" t="s">
        <v>9</v>
      </c>
      <c r="C21" s="77" t="s">
        <v>30</v>
      </c>
      <c r="D21" s="86">
        <v>7175798</v>
      </c>
      <c r="E21" s="85">
        <v>45509</v>
      </c>
      <c r="F21" s="18">
        <v>12.84</v>
      </c>
      <c r="G21" s="13" t="s">
        <v>32</v>
      </c>
      <c r="H21" s="14" t="str">
        <f t="shared" si="0"/>
        <v>A</v>
      </c>
      <c r="I21" s="15" t="str">
        <f t="shared" si="1"/>
        <v>The Commissioner &amp; Chief Constable are satisfied the spend represents VFM in accordance with the requirements of Category A</v>
      </c>
      <c r="J21" s="16"/>
      <c r="K21" s="16"/>
    </row>
    <row r="22" spans="1:11" x14ac:dyDescent="0.2">
      <c r="A22" s="10" t="s">
        <v>8</v>
      </c>
      <c r="B22" s="11" t="s">
        <v>9</v>
      </c>
      <c r="C22" s="75" t="s">
        <v>415</v>
      </c>
      <c r="D22" s="86">
        <v>7176145</v>
      </c>
      <c r="E22" s="85">
        <v>45532</v>
      </c>
      <c r="F22" s="18">
        <v>99522.41</v>
      </c>
      <c r="G22" s="13" t="s">
        <v>164</v>
      </c>
      <c r="H22" s="14" t="str">
        <f t="shared" si="0"/>
        <v>C</v>
      </c>
      <c r="I22" s="15" t="str">
        <f t="shared" si="1"/>
        <v>The Commissioner &amp; Chief Constable are satisfied the spend represents VFM in accordance with the requirements of Category C</v>
      </c>
      <c r="J22" s="16"/>
      <c r="K22" s="16"/>
    </row>
    <row r="23" spans="1:11" x14ac:dyDescent="0.2">
      <c r="A23" s="10" t="s">
        <v>8</v>
      </c>
      <c r="B23" s="11" t="s">
        <v>9</v>
      </c>
      <c r="C23" s="75" t="s">
        <v>48</v>
      </c>
      <c r="D23" s="86">
        <v>7175658</v>
      </c>
      <c r="E23" s="85">
        <v>45509</v>
      </c>
      <c r="F23" s="12">
        <v>84802</v>
      </c>
      <c r="G23" s="13" t="s">
        <v>58</v>
      </c>
      <c r="H23" s="14" t="str">
        <f t="shared" si="0"/>
        <v>C</v>
      </c>
      <c r="I23" s="15" t="str">
        <f t="shared" si="1"/>
        <v>The Commissioner &amp; Chief Constable are satisfied the spend represents VFM in accordance with the requirements of Category C</v>
      </c>
      <c r="J23" s="16"/>
      <c r="K23" s="16"/>
    </row>
    <row r="24" spans="1:11" x14ac:dyDescent="0.2">
      <c r="A24" s="10" t="s">
        <v>8</v>
      </c>
      <c r="B24" s="11" t="s">
        <v>9</v>
      </c>
      <c r="C24" s="75" t="s">
        <v>639</v>
      </c>
      <c r="D24" s="86">
        <v>7176279</v>
      </c>
      <c r="E24" s="85">
        <v>45531</v>
      </c>
      <c r="F24" s="12">
        <v>83538</v>
      </c>
      <c r="G24" s="13" t="s">
        <v>37</v>
      </c>
      <c r="H24" s="14" t="str">
        <f t="shared" si="0"/>
        <v>C</v>
      </c>
      <c r="I24" s="15" t="str">
        <f t="shared" si="1"/>
        <v>The Commissioner &amp; Chief Constable are satisfied the spend represents VFM in accordance with the requirements of Category C</v>
      </c>
      <c r="J24" s="16"/>
      <c r="K24" s="16"/>
    </row>
    <row r="25" spans="1:11" x14ac:dyDescent="0.2">
      <c r="A25" s="10" t="s">
        <v>8</v>
      </c>
      <c r="B25" s="11" t="s">
        <v>9</v>
      </c>
      <c r="C25" s="77" t="s">
        <v>46</v>
      </c>
      <c r="D25" s="86">
        <v>7175684</v>
      </c>
      <c r="E25" s="85">
        <v>45506</v>
      </c>
      <c r="F25" s="12">
        <v>80949.009999999995</v>
      </c>
      <c r="G25" s="13" t="s">
        <v>47</v>
      </c>
      <c r="H25" s="14" t="str">
        <f t="shared" si="0"/>
        <v>C</v>
      </c>
      <c r="I25" s="15" t="str">
        <f t="shared" si="1"/>
        <v>The Commissioner &amp; Chief Constable are satisfied the spend represents VFM in accordance with the requirements of Category C</v>
      </c>
      <c r="J25" s="16"/>
      <c r="K25" s="16"/>
    </row>
    <row r="26" spans="1:11" x14ac:dyDescent="0.2">
      <c r="A26" s="10" t="s">
        <v>8</v>
      </c>
      <c r="B26" s="11" t="s">
        <v>9</v>
      </c>
      <c r="C26" s="75" t="s">
        <v>74</v>
      </c>
      <c r="D26" s="86">
        <v>7175653</v>
      </c>
      <c r="E26" s="85">
        <v>45510</v>
      </c>
      <c r="F26" s="12">
        <v>69140.960000000006</v>
      </c>
      <c r="G26" s="13" t="s">
        <v>75</v>
      </c>
      <c r="H26" s="14" t="str">
        <f t="shared" si="0"/>
        <v>C</v>
      </c>
      <c r="I26" s="15" t="str">
        <f t="shared" si="1"/>
        <v>The Commissioner &amp; Chief Constable are satisfied the spend represents VFM in accordance with the requirements of Category C</v>
      </c>
      <c r="J26" s="16"/>
      <c r="K26" s="16"/>
    </row>
    <row r="27" spans="1:11" x14ac:dyDescent="0.2">
      <c r="A27" s="10" t="s">
        <v>8</v>
      </c>
      <c r="B27" s="11" t="s">
        <v>9</v>
      </c>
      <c r="C27" s="75" t="s">
        <v>74</v>
      </c>
      <c r="D27" s="86">
        <v>7175614</v>
      </c>
      <c r="E27" s="85">
        <v>45512</v>
      </c>
      <c r="F27" s="12">
        <v>69042.33</v>
      </c>
      <c r="G27" s="13" t="s">
        <v>75</v>
      </c>
      <c r="H27" s="14" t="str">
        <f t="shared" si="0"/>
        <v>C</v>
      </c>
      <c r="I27" s="15" t="str">
        <f t="shared" si="1"/>
        <v>The Commissioner &amp; Chief Constable are satisfied the spend represents VFM in accordance with the requirements of Category C</v>
      </c>
      <c r="J27" s="16"/>
      <c r="K27" s="16"/>
    </row>
    <row r="28" spans="1:11" x14ac:dyDescent="0.2">
      <c r="A28" s="10" t="s">
        <v>8</v>
      </c>
      <c r="B28" s="11" t="s">
        <v>9</v>
      </c>
      <c r="C28" s="75" t="s">
        <v>44</v>
      </c>
      <c r="D28" s="86">
        <v>7175820</v>
      </c>
      <c r="E28" s="85">
        <v>45510</v>
      </c>
      <c r="F28" s="12">
        <v>68071</v>
      </c>
      <c r="G28" s="13" t="s">
        <v>45</v>
      </c>
      <c r="H28" s="14" t="str">
        <f t="shared" si="0"/>
        <v>C</v>
      </c>
      <c r="I28" s="15" t="str">
        <f t="shared" si="1"/>
        <v>The Commissioner &amp; Chief Constable are satisfied the spend represents VFM in accordance with the requirements of Category C</v>
      </c>
      <c r="J28" s="16"/>
      <c r="K28" s="16"/>
    </row>
    <row r="29" spans="1:11" x14ac:dyDescent="0.2">
      <c r="A29" s="10" t="s">
        <v>8</v>
      </c>
      <c r="B29" s="11" t="s">
        <v>9</v>
      </c>
      <c r="C29" s="75" t="s">
        <v>26</v>
      </c>
      <c r="D29" s="86">
        <v>7175940</v>
      </c>
      <c r="E29" s="85">
        <v>45512</v>
      </c>
      <c r="F29" s="12">
        <v>67426.16</v>
      </c>
      <c r="G29" s="13" t="s">
        <v>53</v>
      </c>
      <c r="H29" s="14" t="str">
        <f t="shared" si="0"/>
        <v>C</v>
      </c>
      <c r="I29" s="15" t="str">
        <f t="shared" si="1"/>
        <v>The Commissioner &amp; Chief Constable are satisfied the spend represents VFM in accordance with the requirements of Category C</v>
      </c>
      <c r="J29" s="16"/>
      <c r="K29" s="16"/>
    </row>
    <row r="30" spans="1:11" x14ac:dyDescent="0.2">
      <c r="A30" s="10" t="s">
        <v>8</v>
      </c>
      <c r="B30" s="11" t="s">
        <v>9</v>
      </c>
      <c r="C30" s="75" t="s">
        <v>448</v>
      </c>
      <c r="D30" s="86">
        <v>7176169</v>
      </c>
      <c r="E30" s="85">
        <v>45524</v>
      </c>
      <c r="F30" s="12">
        <v>67390</v>
      </c>
      <c r="G30" s="19" t="s">
        <v>27</v>
      </c>
      <c r="H30" s="14" t="str">
        <f t="shared" si="0"/>
        <v>C</v>
      </c>
      <c r="I30" s="15" t="str">
        <f t="shared" si="1"/>
        <v>The Commissioner &amp; Chief Constable are satisfied the spend represents VFM in accordance with the requirements of Category C</v>
      </c>
      <c r="J30" s="16"/>
      <c r="K30" s="16"/>
    </row>
    <row r="31" spans="1:11" x14ac:dyDescent="0.2">
      <c r="A31" s="10" t="s">
        <v>8</v>
      </c>
      <c r="B31" s="11" t="s">
        <v>9</v>
      </c>
      <c r="C31" s="75" t="s">
        <v>33</v>
      </c>
      <c r="D31" s="86">
        <v>7175954</v>
      </c>
      <c r="E31" s="85">
        <v>45517</v>
      </c>
      <c r="F31" s="12">
        <v>64683.23</v>
      </c>
      <c r="G31" s="19" t="s">
        <v>664</v>
      </c>
      <c r="H31" s="14" t="str">
        <f t="shared" si="0"/>
        <v>C</v>
      </c>
      <c r="I31" s="15" t="str">
        <f t="shared" si="1"/>
        <v>The Commissioner &amp; Chief Constable are satisfied the spend represents VFM in accordance with the requirements of Category C</v>
      </c>
      <c r="J31" s="16"/>
      <c r="K31" s="16"/>
    </row>
    <row r="32" spans="1:11" x14ac:dyDescent="0.2">
      <c r="A32" s="10" t="s">
        <v>8</v>
      </c>
      <c r="B32" s="11" t="s">
        <v>9</v>
      </c>
      <c r="C32" s="75" t="s">
        <v>350</v>
      </c>
      <c r="D32" s="86">
        <v>7176080</v>
      </c>
      <c r="E32" s="85">
        <v>45524</v>
      </c>
      <c r="F32" s="12">
        <v>51732.75</v>
      </c>
      <c r="G32" s="19" t="s">
        <v>102</v>
      </c>
      <c r="H32" s="14" t="str">
        <f t="shared" si="0"/>
        <v>C</v>
      </c>
      <c r="I32" s="15" t="str">
        <f t="shared" si="1"/>
        <v>The Commissioner &amp; Chief Constable are satisfied the spend represents VFM in accordance with the requirements of Category C</v>
      </c>
      <c r="J32" s="16"/>
      <c r="K32" s="16"/>
    </row>
    <row r="33" spans="1:11" x14ac:dyDescent="0.2">
      <c r="A33" s="10" t="s">
        <v>8</v>
      </c>
      <c r="B33" s="11" t="s">
        <v>9</v>
      </c>
      <c r="C33" s="75" t="s">
        <v>52</v>
      </c>
      <c r="D33" s="86">
        <v>7175821</v>
      </c>
      <c r="E33" s="85">
        <v>45510</v>
      </c>
      <c r="F33" s="12">
        <v>51378</v>
      </c>
      <c r="G33" s="19" t="s">
        <v>45</v>
      </c>
      <c r="H33" s="14" t="str">
        <f t="shared" si="0"/>
        <v>C</v>
      </c>
      <c r="I33" s="15" t="str">
        <f t="shared" si="1"/>
        <v>The Commissioner &amp; Chief Constable are satisfied the spend represents VFM in accordance with the requirements of Category C</v>
      </c>
      <c r="J33" s="16"/>
      <c r="K33" s="16"/>
    </row>
    <row r="34" spans="1:11" x14ac:dyDescent="0.2">
      <c r="A34" s="10" t="s">
        <v>8</v>
      </c>
      <c r="B34" s="11" t="s">
        <v>9</v>
      </c>
      <c r="C34" s="75" t="s">
        <v>800</v>
      </c>
      <c r="D34" s="86">
        <v>7176264</v>
      </c>
      <c r="E34" s="85">
        <v>45527</v>
      </c>
      <c r="F34" s="12">
        <v>50778</v>
      </c>
      <c r="G34" s="19" t="s">
        <v>37</v>
      </c>
      <c r="H34" s="14" t="str">
        <f t="shared" si="0"/>
        <v>C</v>
      </c>
      <c r="I34" s="15" t="str">
        <f t="shared" si="1"/>
        <v>The Commissioner &amp; Chief Constable are satisfied the spend represents VFM in accordance with the requirements of Category C</v>
      </c>
      <c r="J34" s="16"/>
      <c r="K34" s="16"/>
    </row>
    <row r="35" spans="1:11" x14ac:dyDescent="0.2">
      <c r="A35" s="10" t="s">
        <v>8</v>
      </c>
      <c r="B35" s="11" t="s">
        <v>9</v>
      </c>
      <c r="C35" s="77" t="s">
        <v>26</v>
      </c>
      <c r="D35" s="86">
        <v>7175909</v>
      </c>
      <c r="E35" s="85">
        <v>45512</v>
      </c>
      <c r="F35" s="12">
        <v>50415.43</v>
      </c>
      <c r="G35" s="19" t="s">
        <v>88</v>
      </c>
      <c r="H35" s="14" t="str">
        <f t="shared" si="0"/>
        <v>C</v>
      </c>
      <c r="I35" s="15" t="str">
        <f t="shared" si="1"/>
        <v>The Commissioner &amp; Chief Constable are satisfied the spend represents VFM in accordance with the requirements of Category C</v>
      </c>
      <c r="J35" s="16"/>
      <c r="K35" s="16"/>
    </row>
    <row r="36" spans="1:11" x14ac:dyDescent="0.2">
      <c r="A36" s="10" t="s">
        <v>8</v>
      </c>
      <c r="B36" s="11" t="s">
        <v>9</v>
      </c>
      <c r="C36" s="75" t="s">
        <v>415</v>
      </c>
      <c r="D36" s="86">
        <v>7175708</v>
      </c>
      <c r="E36" s="85">
        <v>45509</v>
      </c>
      <c r="F36" s="12">
        <v>43170</v>
      </c>
      <c r="G36" s="19" t="s">
        <v>164</v>
      </c>
      <c r="H36" s="14" t="str">
        <f t="shared" si="0"/>
        <v>C</v>
      </c>
      <c r="I36" s="15" t="str">
        <f t="shared" si="1"/>
        <v>The Commissioner &amp; Chief Constable are satisfied the spend represents VFM in accordance with the requirements of Category C</v>
      </c>
      <c r="J36" s="16"/>
      <c r="K36" s="16"/>
    </row>
    <row r="37" spans="1:11" x14ac:dyDescent="0.2">
      <c r="A37" s="10" t="s">
        <v>8</v>
      </c>
      <c r="B37" s="11" t="s">
        <v>9</v>
      </c>
      <c r="C37" s="75" t="s">
        <v>65</v>
      </c>
      <c r="D37" s="86">
        <v>7176327</v>
      </c>
      <c r="E37" s="85">
        <v>45524</v>
      </c>
      <c r="F37" s="12">
        <v>41170.85</v>
      </c>
      <c r="G37" s="19" t="s">
        <v>66</v>
      </c>
      <c r="H37" s="14" t="str">
        <f t="shared" si="0"/>
        <v>C</v>
      </c>
      <c r="I37" s="15" t="str">
        <f t="shared" si="1"/>
        <v>The Commissioner &amp; Chief Constable are satisfied the spend represents VFM in accordance with the requirements of Category C</v>
      </c>
      <c r="J37" s="16"/>
      <c r="K37" s="16"/>
    </row>
    <row r="38" spans="1:11" x14ac:dyDescent="0.2">
      <c r="A38" s="10" t="s">
        <v>8</v>
      </c>
      <c r="B38" s="11" t="s">
        <v>9</v>
      </c>
      <c r="C38" s="75" t="s">
        <v>586</v>
      </c>
      <c r="D38" s="86">
        <v>7175738</v>
      </c>
      <c r="E38" s="85">
        <v>45509</v>
      </c>
      <c r="F38" s="12">
        <v>40354.79</v>
      </c>
      <c r="G38" s="19" t="s">
        <v>62</v>
      </c>
      <c r="H38" s="14" t="str">
        <f t="shared" si="0"/>
        <v>C</v>
      </c>
      <c r="I38" s="15" t="str">
        <f t="shared" si="1"/>
        <v>The Commissioner &amp; Chief Constable are satisfied the spend represents VFM in accordance with the requirements of Category C</v>
      </c>
      <c r="J38" s="16"/>
      <c r="K38" s="16"/>
    </row>
    <row r="39" spans="1:11" x14ac:dyDescent="0.2">
      <c r="A39" s="10" t="s">
        <v>8</v>
      </c>
      <c r="B39" s="11" t="s">
        <v>9</v>
      </c>
      <c r="C39" s="75" t="s">
        <v>586</v>
      </c>
      <c r="D39" s="86">
        <v>7175738</v>
      </c>
      <c r="E39" s="85">
        <v>45509</v>
      </c>
      <c r="F39" s="18">
        <v>55</v>
      </c>
      <c r="G39" s="13" t="s">
        <v>63</v>
      </c>
      <c r="H39" s="14" t="str">
        <f t="shared" si="0"/>
        <v>A</v>
      </c>
      <c r="I39" s="15" t="str">
        <f t="shared" si="1"/>
        <v>The Commissioner &amp; Chief Constable are satisfied the spend represents VFM in accordance with the requirements of Category A</v>
      </c>
      <c r="J39" s="16"/>
      <c r="K39" s="16"/>
    </row>
    <row r="40" spans="1:11" x14ac:dyDescent="0.2">
      <c r="A40" s="10" t="s">
        <v>8</v>
      </c>
      <c r="B40" s="11" t="s">
        <v>9</v>
      </c>
      <c r="C40" s="75" t="s">
        <v>48</v>
      </c>
      <c r="D40" s="86">
        <v>7175552</v>
      </c>
      <c r="E40" s="85">
        <v>45533</v>
      </c>
      <c r="F40" s="12">
        <v>40068</v>
      </c>
      <c r="G40" s="13" t="s">
        <v>58</v>
      </c>
      <c r="H40" s="14" t="str">
        <f t="shared" si="0"/>
        <v>C</v>
      </c>
      <c r="I40" s="15" t="str">
        <f t="shared" si="1"/>
        <v>The Commissioner &amp; Chief Constable are satisfied the spend represents VFM in accordance with the requirements of Category C</v>
      </c>
      <c r="J40" s="16"/>
      <c r="K40" s="16"/>
    </row>
    <row r="41" spans="1:11" x14ac:dyDescent="0.2">
      <c r="A41" s="10" t="s">
        <v>8</v>
      </c>
      <c r="B41" s="11" t="s">
        <v>9</v>
      </c>
      <c r="C41" s="75" t="s">
        <v>589</v>
      </c>
      <c r="D41" s="86">
        <v>7175933</v>
      </c>
      <c r="E41" s="85">
        <v>45512</v>
      </c>
      <c r="F41" s="12">
        <v>35983.480000000003</v>
      </c>
      <c r="G41" s="13" t="s">
        <v>62</v>
      </c>
      <c r="H41" s="14" t="str">
        <f t="shared" si="0"/>
        <v>C</v>
      </c>
      <c r="I41" s="15" t="str">
        <f t="shared" si="1"/>
        <v>The Commissioner &amp; Chief Constable are satisfied the spend represents VFM in accordance with the requirements of Category C</v>
      </c>
      <c r="J41" s="16"/>
      <c r="K41" s="16"/>
    </row>
    <row r="42" spans="1:11" x14ac:dyDescent="0.2">
      <c r="A42" s="10" t="s">
        <v>8</v>
      </c>
      <c r="B42" s="11" t="s">
        <v>9</v>
      </c>
      <c r="C42" s="75" t="s">
        <v>589</v>
      </c>
      <c r="D42" s="86">
        <v>7175933</v>
      </c>
      <c r="E42" s="85">
        <v>45512</v>
      </c>
      <c r="F42" s="12">
        <v>55</v>
      </c>
      <c r="G42" s="13" t="s">
        <v>63</v>
      </c>
      <c r="H42" s="14" t="str">
        <f t="shared" si="0"/>
        <v>A</v>
      </c>
      <c r="I42" s="15" t="str">
        <f t="shared" si="1"/>
        <v>The Commissioner &amp; Chief Constable are satisfied the spend represents VFM in accordance with the requirements of Category A</v>
      </c>
      <c r="J42" s="16"/>
      <c r="K42" s="16"/>
    </row>
    <row r="43" spans="1:11" x14ac:dyDescent="0.2">
      <c r="A43" s="10" t="s">
        <v>8</v>
      </c>
      <c r="B43" s="11" t="s">
        <v>9</v>
      </c>
      <c r="C43" s="75" t="s">
        <v>448</v>
      </c>
      <c r="D43" s="86">
        <v>7176455</v>
      </c>
      <c r="E43" s="85">
        <v>45531</v>
      </c>
      <c r="F43" s="12">
        <v>33733.75</v>
      </c>
      <c r="G43" s="13" t="s">
        <v>27</v>
      </c>
      <c r="H43" s="14" t="str">
        <f t="shared" si="0"/>
        <v>C</v>
      </c>
      <c r="I43" s="15" t="str">
        <f t="shared" si="1"/>
        <v>The Commissioner &amp; Chief Constable are satisfied the spend represents VFM in accordance with the requirements of Category C</v>
      </c>
      <c r="J43" s="16"/>
      <c r="K43" s="16"/>
    </row>
    <row r="44" spans="1:11" x14ac:dyDescent="0.2">
      <c r="A44" s="10" t="s">
        <v>8</v>
      </c>
      <c r="B44" s="11" t="s">
        <v>9</v>
      </c>
      <c r="C44" s="75" t="s">
        <v>497</v>
      </c>
      <c r="D44" s="86">
        <v>7176292</v>
      </c>
      <c r="E44" s="85">
        <v>45531</v>
      </c>
      <c r="F44" s="12">
        <v>33033</v>
      </c>
      <c r="G44" s="13" t="s">
        <v>37</v>
      </c>
      <c r="H44" s="14" t="str">
        <f t="shared" si="0"/>
        <v>C</v>
      </c>
      <c r="I44" s="15" t="str">
        <f t="shared" si="1"/>
        <v>The Commissioner &amp; Chief Constable are satisfied the spend represents VFM in accordance with the requirements of Category C</v>
      </c>
      <c r="J44" s="16"/>
      <c r="K44" s="16"/>
    </row>
    <row r="45" spans="1:11" x14ac:dyDescent="0.2">
      <c r="A45" s="10" t="s">
        <v>8</v>
      </c>
      <c r="B45" s="11" t="s">
        <v>9</v>
      </c>
      <c r="C45" s="75" t="s">
        <v>639</v>
      </c>
      <c r="D45" s="86">
        <v>7176267</v>
      </c>
      <c r="E45" s="85">
        <v>45527</v>
      </c>
      <c r="F45" s="12">
        <v>31941</v>
      </c>
      <c r="G45" s="13" t="s">
        <v>37</v>
      </c>
      <c r="H45" s="14" t="str">
        <f t="shared" si="0"/>
        <v>C</v>
      </c>
      <c r="I45" s="15" t="str">
        <f t="shared" si="1"/>
        <v>The Commissioner &amp; Chief Constable are satisfied the spend represents VFM in accordance with the requirements of Category C</v>
      </c>
      <c r="J45" s="16"/>
      <c r="K45" s="16"/>
    </row>
    <row r="46" spans="1:11" x14ac:dyDescent="0.2">
      <c r="A46" s="10" t="s">
        <v>8</v>
      </c>
      <c r="B46" s="11" t="s">
        <v>9</v>
      </c>
      <c r="C46" s="75" t="s">
        <v>236</v>
      </c>
      <c r="D46" s="86">
        <v>7175638</v>
      </c>
      <c r="E46" s="85">
        <v>45511</v>
      </c>
      <c r="F46" s="12">
        <v>30030</v>
      </c>
      <c r="G46" s="13" t="s">
        <v>177</v>
      </c>
      <c r="H46" s="14" t="str">
        <f t="shared" si="0"/>
        <v>C</v>
      </c>
      <c r="I46" s="15" t="str">
        <f t="shared" si="1"/>
        <v>The Commissioner &amp; Chief Constable are satisfied the spend represents VFM in accordance with the requirements of Category C</v>
      </c>
      <c r="J46" s="16"/>
      <c r="K46" s="16"/>
    </row>
    <row r="47" spans="1:11" x14ac:dyDescent="0.2">
      <c r="A47" s="10" t="s">
        <v>8</v>
      </c>
      <c r="B47" s="11" t="s">
        <v>9</v>
      </c>
      <c r="C47" s="75" t="s">
        <v>488</v>
      </c>
      <c r="D47" s="86">
        <v>3068343</v>
      </c>
      <c r="E47" s="85">
        <v>45513</v>
      </c>
      <c r="F47" s="12">
        <v>28851.08</v>
      </c>
      <c r="G47" s="13" t="s">
        <v>579</v>
      </c>
      <c r="H47" s="14" t="str">
        <f t="shared" si="0"/>
        <v>C</v>
      </c>
      <c r="I47" s="15" t="str">
        <f t="shared" si="1"/>
        <v>The Commissioner &amp; Chief Constable are satisfied the spend represents VFM in accordance with the requirements of Category C</v>
      </c>
      <c r="J47" s="16"/>
      <c r="K47" s="16"/>
    </row>
    <row r="48" spans="1:11" x14ac:dyDescent="0.2">
      <c r="A48" s="10" t="s">
        <v>8</v>
      </c>
      <c r="B48" s="11" t="s">
        <v>9</v>
      </c>
      <c r="C48" s="75" t="s">
        <v>639</v>
      </c>
      <c r="D48" s="86">
        <v>7176257</v>
      </c>
      <c r="E48" s="85">
        <v>45527</v>
      </c>
      <c r="F48" s="12">
        <v>28665</v>
      </c>
      <c r="G48" s="13" t="s">
        <v>37</v>
      </c>
      <c r="H48" s="14" t="str">
        <f t="shared" si="0"/>
        <v>C</v>
      </c>
      <c r="I48" s="15" t="str">
        <f t="shared" si="1"/>
        <v>The Commissioner &amp; Chief Constable are satisfied the spend represents VFM in accordance with the requirements of Category C</v>
      </c>
      <c r="J48" s="16"/>
      <c r="K48" s="16"/>
    </row>
    <row r="49" spans="1:11" x14ac:dyDescent="0.2">
      <c r="A49" s="10" t="s">
        <v>8</v>
      </c>
      <c r="B49" s="11" t="s">
        <v>9</v>
      </c>
      <c r="C49" s="75" t="s">
        <v>497</v>
      </c>
      <c r="D49" s="86">
        <v>7176291</v>
      </c>
      <c r="E49" s="85">
        <v>45531</v>
      </c>
      <c r="F49" s="12">
        <v>28119</v>
      </c>
      <c r="G49" s="13" t="s">
        <v>37</v>
      </c>
      <c r="H49" s="14" t="str">
        <f t="shared" si="0"/>
        <v>C</v>
      </c>
      <c r="I49" s="15" t="str">
        <f t="shared" si="1"/>
        <v>The Commissioner &amp; Chief Constable are satisfied the spend represents VFM in accordance with the requirements of Category C</v>
      </c>
      <c r="J49" s="16"/>
      <c r="K49" s="16"/>
    </row>
    <row r="50" spans="1:11" x14ac:dyDescent="0.2">
      <c r="A50" s="10" t="s">
        <v>8</v>
      </c>
      <c r="B50" s="11" t="s">
        <v>9</v>
      </c>
      <c r="C50" s="75" t="s">
        <v>649</v>
      </c>
      <c r="D50" s="86">
        <v>7176256</v>
      </c>
      <c r="E50" s="85">
        <v>45527</v>
      </c>
      <c r="F50" s="12">
        <v>27846</v>
      </c>
      <c r="G50" s="13" t="s">
        <v>37</v>
      </c>
      <c r="H50" s="14" t="str">
        <f t="shared" si="0"/>
        <v>C</v>
      </c>
      <c r="I50" s="15" t="str">
        <f t="shared" si="1"/>
        <v>The Commissioner &amp; Chief Constable are satisfied the spend represents VFM in accordance with the requirements of Category C</v>
      </c>
      <c r="J50" s="16"/>
      <c r="K50" s="16"/>
    </row>
    <row r="51" spans="1:11" x14ac:dyDescent="0.2">
      <c r="A51" s="10" t="s">
        <v>8</v>
      </c>
      <c r="B51" s="11" t="s">
        <v>9</v>
      </c>
      <c r="C51" s="75" t="s">
        <v>72</v>
      </c>
      <c r="D51" s="86">
        <v>7175674</v>
      </c>
      <c r="E51" s="85">
        <v>45506</v>
      </c>
      <c r="F51" s="12">
        <v>26981.13</v>
      </c>
      <c r="G51" s="13" t="s">
        <v>27</v>
      </c>
      <c r="H51" s="14" t="str">
        <f t="shared" si="0"/>
        <v>C</v>
      </c>
      <c r="I51" s="15" t="str">
        <f t="shared" si="1"/>
        <v>The Commissioner &amp; Chief Constable are satisfied the spend represents VFM in accordance with the requirements of Category C</v>
      </c>
      <c r="J51" s="16"/>
      <c r="K51" s="16"/>
    </row>
    <row r="52" spans="1:11" x14ac:dyDescent="0.2">
      <c r="A52" s="10" t="s">
        <v>8</v>
      </c>
      <c r="B52" s="11" t="s">
        <v>9</v>
      </c>
      <c r="C52" s="75" t="s">
        <v>48</v>
      </c>
      <c r="D52" s="86">
        <v>7176475</v>
      </c>
      <c r="E52" s="85">
        <v>45532</v>
      </c>
      <c r="F52" s="12">
        <v>26625.59</v>
      </c>
      <c r="G52" s="13" t="s">
        <v>58</v>
      </c>
      <c r="H52" s="14" t="str">
        <f t="shared" si="0"/>
        <v>C</v>
      </c>
      <c r="I52" s="15" t="str">
        <f t="shared" si="1"/>
        <v>The Commissioner &amp; Chief Constable are satisfied the spend represents VFM in accordance with the requirements of Category C</v>
      </c>
      <c r="J52" s="16"/>
      <c r="K52" s="16"/>
    </row>
    <row r="53" spans="1:11" x14ac:dyDescent="0.2">
      <c r="A53" s="10" t="s">
        <v>8</v>
      </c>
      <c r="B53" s="11" t="s">
        <v>9</v>
      </c>
      <c r="C53" s="75" t="s">
        <v>77</v>
      </c>
      <c r="D53" s="86">
        <v>7175783</v>
      </c>
      <c r="E53" s="85">
        <v>45510</v>
      </c>
      <c r="F53" s="12">
        <v>25000</v>
      </c>
      <c r="G53" s="13" t="s">
        <v>106</v>
      </c>
      <c r="H53" s="14" t="str">
        <f t="shared" si="0"/>
        <v>B</v>
      </c>
      <c r="I53" s="15" t="str">
        <f t="shared" si="1"/>
        <v>The Commissioner &amp; Chief Constable are satisfied the spend represents VFM in accordance with the requirements of Category B</v>
      </c>
      <c r="J53" s="16"/>
      <c r="K53" s="16"/>
    </row>
    <row r="54" spans="1:11" x14ac:dyDescent="0.2">
      <c r="A54" s="10" t="s">
        <v>8</v>
      </c>
      <c r="B54" s="11" t="s">
        <v>9</v>
      </c>
      <c r="C54" s="75" t="s">
        <v>468</v>
      </c>
      <c r="D54" s="86">
        <v>7176258</v>
      </c>
      <c r="E54" s="85">
        <v>45526</v>
      </c>
      <c r="F54" s="18">
        <v>24825.25</v>
      </c>
      <c r="G54" s="13" t="s">
        <v>37</v>
      </c>
      <c r="H54" s="14" t="str">
        <f t="shared" si="0"/>
        <v>B</v>
      </c>
      <c r="I54" s="15" t="str">
        <f t="shared" si="1"/>
        <v>The Commissioner &amp; Chief Constable are satisfied the spend represents VFM in accordance with the requirements of Category B</v>
      </c>
      <c r="J54" s="16"/>
      <c r="K54" s="16"/>
    </row>
    <row r="55" spans="1:11" x14ac:dyDescent="0.2">
      <c r="A55" s="10" t="s">
        <v>8</v>
      </c>
      <c r="B55" s="11" t="s">
        <v>9</v>
      </c>
      <c r="C55" s="75" t="s">
        <v>48</v>
      </c>
      <c r="D55" s="86">
        <v>7176474</v>
      </c>
      <c r="E55" s="85">
        <v>45527</v>
      </c>
      <c r="F55" s="12">
        <v>23680.12</v>
      </c>
      <c r="G55" s="13" t="s">
        <v>58</v>
      </c>
      <c r="H55" s="14" t="str">
        <f t="shared" si="0"/>
        <v>B</v>
      </c>
      <c r="I55" s="15" t="str">
        <f t="shared" si="1"/>
        <v>The Commissioner &amp; Chief Constable are satisfied the spend represents VFM in accordance with the requirements of Category B</v>
      </c>
      <c r="J55" s="16"/>
      <c r="K55" s="16"/>
    </row>
    <row r="56" spans="1:11" x14ac:dyDescent="0.2">
      <c r="A56" s="10" t="s">
        <v>8</v>
      </c>
      <c r="B56" s="11" t="s">
        <v>9</v>
      </c>
      <c r="C56" s="75" t="s">
        <v>875</v>
      </c>
      <c r="D56" s="86">
        <v>7174640</v>
      </c>
      <c r="E56" s="85">
        <v>45517</v>
      </c>
      <c r="F56" s="18">
        <v>23456.43</v>
      </c>
      <c r="G56" s="13" t="s">
        <v>94</v>
      </c>
      <c r="H56" s="14" t="str">
        <f t="shared" si="0"/>
        <v>B</v>
      </c>
      <c r="I56" s="15" t="str">
        <f t="shared" si="1"/>
        <v>The Commissioner &amp; Chief Constable are satisfied the spend represents VFM in accordance with the requirements of Category B</v>
      </c>
      <c r="J56" s="16"/>
      <c r="K56" s="16"/>
    </row>
    <row r="57" spans="1:11" x14ac:dyDescent="0.2">
      <c r="A57" s="10" t="s">
        <v>8</v>
      </c>
      <c r="B57" s="11" t="s">
        <v>9</v>
      </c>
      <c r="C57" s="75" t="s">
        <v>146</v>
      </c>
      <c r="D57" s="86">
        <v>7175874</v>
      </c>
      <c r="E57" s="85">
        <v>45516</v>
      </c>
      <c r="F57" s="12">
        <v>23263.69</v>
      </c>
      <c r="G57" s="13" t="s">
        <v>24</v>
      </c>
      <c r="H57" s="14" t="str">
        <f t="shared" si="0"/>
        <v>B</v>
      </c>
      <c r="I57" s="15" t="str">
        <f t="shared" si="1"/>
        <v>The Commissioner &amp; Chief Constable are satisfied the spend represents VFM in accordance with the requirements of Category B</v>
      </c>
      <c r="J57" s="16"/>
      <c r="K57" s="16"/>
    </row>
    <row r="58" spans="1:11" x14ac:dyDescent="0.2">
      <c r="A58" s="10" t="s">
        <v>8</v>
      </c>
      <c r="B58" s="11" t="s">
        <v>9</v>
      </c>
      <c r="C58" s="75" t="s">
        <v>800</v>
      </c>
      <c r="D58" s="86">
        <v>7176266</v>
      </c>
      <c r="E58" s="85">
        <v>45526</v>
      </c>
      <c r="F58" s="18">
        <v>23203.5</v>
      </c>
      <c r="G58" s="19" t="s">
        <v>37</v>
      </c>
      <c r="H58" s="14" t="str">
        <f t="shared" si="0"/>
        <v>B</v>
      </c>
      <c r="I58" s="15" t="str">
        <f t="shared" si="1"/>
        <v>The Commissioner &amp; Chief Constable are satisfied the spend represents VFM in accordance with the requirements of Category B</v>
      </c>
      <c r="J58" s="16"/>
      <c r="K58" s="16"/>
    </row>
    <row r="59" spans="1:11" x14ac:dyDescent="0.2">
      <c r="A59" s="10" t="s">
        <v>8</v>
      </c>
      <c r="B59" s="11" t="s">
        <v>9</v>
      </c>
      <c r="C59" s="75" t="s">
        <v>420</v>
      </c>
      <c r="D59" s="86">
        <v>7175313</v>
      </c>
      <c r="E59" s="85">
        <v>45505</v>
      </c>
      <c r="F59" s="12">
        <v>22902.1</v>
      </c>
      <c r="G59" s="19" t="s">
        <v>58</v>
      </c>
      <c r="H59" s="14" t="str">
        <f t="shared" si="0"/>
        <v>B</v>
      </c>
      <c r="I59" s="15" t="str">
        <f t="shared" si="1"/>
        <v>The Commissioner &amp; Chief Constable are satisfied the spend represents VFM in accordance with the requirements of Category B</v>
      </c>
      <c r="J59" s="16"/>
      <c r="K59" s="16"/>
    </row>
    <row r="60" spans="1:11" x14ac:dyDescent="0.2">
      <c r="A60" s="10" t="s">
        <v>8</v>
      </c>
      <c r="B60" s="11" t="s">
        <v>9</v>
      </c>
      <c r="C60" s="75" t="s">
        <v>152</v>
      </c>
      <c r="D60" s="86">
        <v>7174924</v>
      </c>
      <c r="E60" s="85">
        <v>45520</v>
      </c>
      <c r="F60" s="18">
        <v>22763</v>
      </c>
      <c r="G60" s="13" t="s">
        <v>102</v>
      </c>
      <c r="H60" s="14" t="str">
        <f t="shared" si="0"/>
        <v>B</v>
      </c>
      <c r="I60" s="15" t="str">
        <f t="shared" si="1"/>
        <v>The Commissioner &amp; Chief Constable are satisfied the spend represents VFM in accordance with the requirements of Category B</v>
      </c>
      <c r="J60" s="16"/>
      <c r="K60" s="16"/>
    </row>
    <row r="61" spans="1:11" x14ac:dyDescent="0.2">
      <c r="A61" s="10" t="s">
        <v>8</v>
      </c>
      <c r="B61" s="11" t="s">
        <v>9</v>
      </c>
      <c r="C61" s="75" t="s">
        <v>52</v>
      </c>
      <c r="D61" s="86">
        <v>7175688</v>
      </c>
      <c r="E61" s="85">
        <v>45505</v>
      </c>
      <c r="F61" s="12">
        <v>5316</v>
      </c>
      <c r="G61" s="19" t="s">
        <v>45</v>
      </c>
      <c r="H61" s="14" t="str">
        <f t="shared" si="0"/>
        <v>B</v>
      </c>
      <c r="I61" s="15" t="str">
        <f t="shared" si="1"/>
        <v>The Commissioner &amp; Chief Constable are satisfied the spend represents VFM in accordance with the requirements of Category B</v>
      </c>
      <c r="J61" s="16"/>
      <c r="K61" s="16"/>
    </row>
    <row r="62" spans="1:11" x14ac:dyDescent="0.2">
      <c r="A62" s="10" t="s">
        <v>8</v>
      </c>
      <c r="B62" s="11" t="s">
        <v>9</v>
      </c>
      <c r="C62" s="77" t="s">
        <v>52</v>
      </c>
      <c r="D62" s="86">
        <v>7175688</v>
      </c>
      <c r="E62" s="85">
        <v>45505</v>
      </c>
      <c r="F62" s="18">
        <v>10894.5</v>
      </c>
      <c r="G62" s="13" t="s">
        <v>81</v>
      </c>
      <c r="H62" s="14" t="str">
        <f t="shared" si="0"/>
        <v>B</v>
      </c>
      <c r="I62" s="15" t="str">
        <f t="shared" si="1"/>
        <v>The Commissioner &amp; Chief Constable are satisfied the spend represents VFM in accordance with the requirements of Category B</v>
      </c>
      <c r="J62" s="16"/>
      <c r="K62" s="16"/>
    </row>
    <row r="63" spans="1:11" x14ac:dyDescent="0.2">
      <c r="A63" s="10" t="s">
        <v>8</v>
      </c>
      <c r="B63" s="11" t="s">
        <v>9</v>
      </c>
      <c r="C63" s="75" t="s">
        <v>52</v>
      </c>
      <c r="D63" s="86">
        <v>7175688</v>
      </c>
      <c r="E63" s="85">
        <v>45505</v>
      </c>
      <c r="F63" s="12">
        <v>6346</v>
      </c>
      <c r="G63" s="19" t="s">
        <v>82</v>
      </c>
      <c r="H63" s="14" t="str">
        <f t="shared" si="0"/>
        <v>B</v>
      </c>
      <c r="I63" s="15" t="str">
        <f t="shared" si="1"/>
        <v>The Commissioner &amp; Chief Constable are satisfied the spend represents VFM in accordance with the requirements of Category B</v>
      </c>
      <c r="J63" s="16"/>
      <c r="K63" s="16"/>
    </row>
    <row r="64" spans="1:11" x14ac:dyDescent="0.2">
      <c r="A64" s="10" t="s">
        <v>8</v>
      </c>
      <c r="B64" s="11" t="s">
        <v>9</v>
      </c>
      <c r="C64" s="75" t="s">
        <v>497</v>
      </c>
      <c r="D64" s="86">
        <v>7174543</v>
      </c>
      <c r="E64" s="85">
        <v>45516</v>
      </c>
      <c r="F64" s="18">
        <v>22319.93</v>
      </c>
      <c r="G64" s="13" t="s">
        <v>102</v>
      </c>
      <c r="H64" s="14" t="str">
        <f t="shared" si="0"/>
        <v>B</v>
      </c>
      <c r="I64" s="15" t="str">
        <f t="shared" si="1"/>
        <v>The Commissioner &amp; Chief Constable are satisfied the spend represents VFM in accordance with the requirements of Category B</v>
      </c>
      <c r="J64" s="16"/>
      <c r="K64" s="16"/>
    </row>
    <row r="65" spans="1:11" x14ac:dyDescent="0.2">
      <c r="A65" s="10" t="s">
        <v>8</v>
      </c>
      <c r="B65" s="11" t="s">
        <v>9</v>
      </c>
      <c r="C65" s="75" t="s">
        <v>639</v>
      </c>
      <c r="D65" s="86">
        <v>7176253</v>
      </c>
      <c r="E65" s="85">
        <v>45526</v>
      </c>
      <c r="F65" s="12">
        <v>21457</v>
      </c>
      <c r="G65" s="13" t="s">
        <v>37</v>
      </c>
      <c r="H65" s="14" t="str">
        <f t="shared" si="0"/>
        <v>B</v>
      </c>
      <c r="I65" s="15" t="str">
        <f t="shared" si="1"/>
        <v>The Commissioner &amp; Chief Constable are satisfied the spend represents VFM in accordance with the requirements of Category B</v>
      </c>
      <c r="J65" s="16"/>
      <c r="K65" s="16"/>
    </row>
    <row r="66" spans="1:11" x14ac:dyDescent="0.2">
      <c r="A66" s="10" t="s">
        <v>8</v>
      </c>
      <c r="B66" s="11" t="s">
        <v>9</v>
      </c>
      <c r="C66" s="75" t="s">
        <v>107</v>
      </c>
      <c r="D66" s="86">
        <v>7176033</v>
      </c>
      <c r="E66" s="85">
        <v>45516</v>
      </c>
      <c r="F66" s="12">
        <v>19634.89</v>
      </c>
      <c r="G66" s="13" t="s">
        <v>108</v>
      </c>
      <c r="H66" s="14" t="str">
        <f t="shared" ref="H66:H129" si="2">IF(F66&gt;25000,"C",IF(F66&gt;1000,"B","A"))</f>
        <v>B</v>
      </c>
      <c r="I66" s="15" t="str">
        <f t="shared" ref="I66:I129" si="3">VLOOKUP(H66,$L$2:$M$4,2,FALSE)</f>
        <v>The Commissioner &amp; Chief Constable are satisfied the spend represents VFM in accordance with the requirements of Category B</v>
      </c>
      <c r="J66" s="16"/>
      <c r="K66" s="16"/>
    </row>
    <row r="67" spans="1:11" x14ac:dyDescent="0.2">
      <c r="A67" s="10" t="s">
        <v>8</v>
      </c>
      <c r="B67" s="11" t="s">
        <v>9</v>
      </c>
      <c r="C67" s="77" t="s">
        <v>86</v>
      </c>
      <c r="D67" s="86">
        <v>7175671</v>
      </c>
      <c r="E67" s="85">
        <v>45505</v>
      </c>
      <c r="F67" s="18">
        <v>19033.849999999999</v>
      </c>
      <c r="G67" s="13" t="s">
        <v>87</v>
      </c>
      <c r="H67" s="14" t="str">
        <f t="shared" si="2"/>
        <v>B</v>
      </c>
      <c r="I67" s="15" t="str">
        <f t="shared" si="3"/>
        <v>The Commissioner &amp; Chief Constable are satisfied the spend represents VFM in accordance with the requirements of Category B</v>
      </c>
      <c r="J67" s="16"/>
      <c r="K67" s="16"/>
    </row>
    <row r="68" spans="1:11" x14ac:dyDescent="0.2">
      <c r="A68" s="10" t="s">
        <v>8</v>
      </c>
      <c r="B68" s="11" t="s">
        <v>9</v>
      </c>
      <c r="C68" s="77" t="s">
        <v>415</v>
      </c>
      <c r="D68" s="86">
        <v>7175073</v>
      </c>
      <c r="E68" s="85">
        <v>45512</v>
      </c>
      <c r="F68" s="18">
        <v>18880</v>
      </c>
      <c r="G68" s="13" t="s">
        <v>38</v>
      </c>
      <c r="H68" s="14" t="str">
        <f t="shared" si="2"/>
        <v>B</v>
      </c>
      <c r="I68" s="15" t="str">
        <f t="shared" si="3"/>
        <v>The Commissioner &amp; Chief Constable are satisfied the spend represents VFM in accordance with the requirements of Category B</v>
      </c>
      <c r="J68" s="16"/>
      <c r="K68" s="16"/>
    </row>
    <row r="69" spans="1:11" x14ac:dyDescent="0.2">
      <c r="A69" s="10" t="s">
        <v>8</v>
      </c>
      <c r="B69" s="11" t="s">
        <v>9</v>
      </c>
      <c r="C69" s="75" t="s">
        <v>79</v>
      </c>
      <c r="D69" s="86">
        <v>9035650</v>
      </c>
      <c r="E69" s="85">
        <v>45511</v>
      </c>
      <c r="F69" s="12">
        <v>18451.87</v>
      </c>
      <c r="G69" s="13" t="s">
        <v>80</v>
      </c>
      <c r="H69" s="14" t="str">
        <f t="shared" si="2"/>
        <v>B</v>
      </c>
      <c r="I69" s="15" t="str">
        <f t="shared" si="3"/>
        <v>The Commissioner &amp; Chief Constable are satisfied the spend represents VFM in accordance with the requirements of Category B</v>
      </c>
      <c r="J69" s="16"/>
      <c r="K69" s="16"/>
    </row>
    <row r="70" spans="1:11" x14ac:dyDescent="0.2">
      <c r="A70" s="10" t="s">
        <v>8</v>
      </c>
      <c r="B70" s="11" t="s">
        <v>9</v>
      </c>
      <c r="C70" s="77" t="s">
        <v>44</v>
      </c>
      <c r="D70" s="86">
        <v>7175710</v>
      </c>
      <c r="E70" s="85">
        <v>45506</v>
      </c>
      <c r="F70" s="12">
        <v>3199.5</v>
      </c>
      <c r="G70" s="13" t="s">
        <v>45</v>
      </c>
      <c r="H70" s="14" t="str">
        <f t="shared" si="2"/>
        <v>B</v>
      </c>
      <c r="I70" s="15" t="str">
        <f t="shared" si="3"/>
        <v>The Commissioner &amp; Chief Constable are satisfied the spend represents VFM in accordance with the requirements of Category B</v>
      </c>
      <c r="J70" s="16"/>
      <c r="K70" s="16"/>
    </row>
    <row r="71" spans="1:11" x14ac:dyDescent="0.2">
      <c r="A71" s="10" t="s">
        <v>8</v>
      </c>
      <c r="B71" s="11" t="s">
        <v>9</v>
      </c>
      <c r="C71" s="77" t="s">
        <v>44</v>
      </c>
      <c r="D71" s="86">
        <v>7175710</v>
      </c>
      <c r="E71" s="85">
        <v>45506</v>
      </c>
      <c r="F71" s="18">
        <v>12287</v>
      </c>
      <c r="G71" s="13" t="s">
        <v>81</v>
      </c>
      <c r="H71" s="14" t="str">
        <f t="shared" si="2"/>
        <v>B</v>
      </c>
      <c r="I71" s="15" t="str">
        <f t="shared" si="3"/>
        <v>The Commissioner &amp; Chief Constable are satisfied the spend represents VFM in accordance with the requirements of Category B</v>
      </c>
      <c r="J71" s="16"/>
      <c r="K71" s="16"/>
    </row>
    <row r="72" spans="1:11" x14ac:dyDescent="0.2">
      <c r="A72" s="10" t="s">
        <v>8</v>
      </c>
      <c r="B72" s="11" t="s">
        <v>9</v>
      </c>
      <c r="C72" s="75" t="s">
        <v>44</v>
      </c>
      <c r="D72" s="86">
        <v>7175710</v>
      </c>
      <c r="E72" s="85">
        <v>45506</v>
      </c>
      <c r="F72" s="12">
        <v>2868</v>
      </c>
      <c r="G72" s="13" t="s">
        <v>82</v>
      </c>
      <c r="H72" s="14" t="str">
        <f t="shared" si="2"/>
        <v>B</v>
      </c>
      <c r="I72" s="15" t="str">
        <f t="shared" si="3"/>
        <v>The Commissioner &amp; Chief Constable are satisfied the spend represents VFM in accordance with the requirements of Category B</v>
      </c>
      <c r="J72" s="16"/>
      <c r="K72" s="16"/>
    </row>
    <row r="73" spans="1:11" x14ac:dyDescent="0.2">
      <c r="A73" s="10" t="s">
        <v>8</v>
      </c>
      <c r="B73" s="11" t="s">
        <v>9</v>
      </c>
      <c r="C73" s="77" t="s">
        <v>639</v>
      </c>
      <c r="D73" s="86">
        <v>7176261</v>
      </c>
      <c r="E73" s="85">
        <v>45526</v>
      </c>
      <c r="F73" s="12">
        <v>18338.25</v>
      </c>
      <c r="G73" s="13" t="s">
        <v>37</v>
      </c>
      <c r="H73" s="14" t="str">
        <f t="shared" si="2"/>
        <v>B</v>
      </c>
      <c r="I73" s="15" t="str">
        <f t="shared" si="3"/>
        <v>The Commissioner &amp; Chief Constable are satisfied the spend represents VFM in accordance with the requirements of Category B</v>
      </c>
      <c r="J73" s="16"/>
      <c r="K73" s="16"/>
    </row>
    <row r="74" spans="1:11" x14ac:dyDescent="0.2">
      <c r="A74" s="10" t="s">
        <v>8</v>
      </c>
      <c r="B74" s="11" t="s">
        <v>9</v>
      </c>
      <c r="C74" s="77" t="s">
        <v>26</v>
      </c>
      <c r="D74" s="86">
        <v>7175861</v>
      </c>
      <c r="E74" s="85">
        <v>45510</v>
      </c>
      <c r="F74" s="12">
        <v>17834.690000000002</v>
      </c>
      <c r="G74" s="13" t="s">
        <v>88</v>
      </c>
      <c r="H74" s="14" t="str">
        <f t="shared" si="2"/>
        <v>B</v>
      </c>
      <c r="I74" s="15" t="str">
        <f t="shared" si="3"/>
        <v>The Commissioner &amp; Chief Constable are satisfied the spend represents VFM in accordance with the requirements of Category B</v>
      </c>
      <c r="J74" s="16"/>
      <c r="K74" s="16"/>
    </row>
    <row r="75" spans="1:11" x14ac:dyDescent="0.2">
      <c r="A75" s="10" t="s">
        <v>8</v>
      </c>
      <c r="B75" s="11" t="s">
        <v>9</v>
      </c>
      <c r="C75" s="75" t="s">
        <v>497</v>
      </c>
      <c r="D75" s="86">
        <v>7176294</v>
      </c>
      <c r="E75" s="85">
        <v>45526</v>
      </c>
      <c r="F75" s="12">
        <v>17465</v>
      </c>
      <c r="G75" s="13" t="s">
        <v>37</v>
      </c>
      <c r="H75" s="14" t="str">
        <f t="shared" si="2"/>
        <v>B</v>
      </c>
      <c r="I75" s="15" t="str">
        <f t="shared" si="3"/>
        <v>The Commissioner &amp; Chief Constable are satisfied the spend represents VFM in accordance with the requirements of Category B</v>
      </c>
      <c r="J75" s="16"/>
      <c r="K75" s="16"/>
    </row>
    <row r="76" spans="1:11" x14ac:dyDescent="0.2">
      <c r="A76" s="10" t="s">
        <v>8</v>
      </c>
      <c r="B76" s="11" t="s">
        <v>9</v>
      </c>
      <c r="C76" s="77" t="s">
        <v>448</v>
      </c>
      <c r="D76" s="86">
        <v>7176171</v>
      </c>
      <c r="E76" s="85">
        <v>45524</v>
      </c>
      <c r="F76" s="12">
        <v>16451</v>
      </c>
      <c r="G76" s="19" t="s">
        <v>27</v>
      </c>
      <c r="H76" s="14" t="str">
        <f t="shared" si="2"/>
        <v>B</v>
      </c>
      <c r="I76" s="15" t="str">
        <f t="shared" si="3"/>
        <v>The Commissioner &amp; Chief Constable are satisfied the spend represents VFM in accordance with the requirements of Category B</v>
      </c>
      <c r="J76" s="16"/>
      <c r="K76" s="16"/>
    </row>
    <row r="77" spans="1:11" x14ac:dyDescent="0.2">
      <c r="A77" s="10" t="s">
        <v>8</v>
      </c>
      <c r="B77" s="11" t="s">
        <v>9</v>
      </c>
      <c r="C77" s="77" t="s">
        <v>448</v>
      </c>
      <c r="D77" s="86">
        <v>7176170</v>
      </c>
      <c r="E77" s="85">
        <v>45524</v>
      </c>
      <c r="F77" s="12">
        <v>15949</v>
      </c>
      <c r="G77" s="19" t="s">
        <v>27</v>
      </c>
      <c r="H77" s="14" t="str">
        <f t="shared" si="2"/>
        <v>B</v>
      </c>
      <c r="I77" s="15" t="str">
        <f t="shared" si="3"/>
        <v>The Commissioner &amp; Chief Constable are satisfied the spend represents VFM in accordance with the requirements of Category B</v>
      </c>
      <c r="J77" s="16"/>
      <c r="K77" s="16"/>
    </row>
    <row r="78" spans="1:11" x14ac:dyDescent="0.2">
      <c r="A78" s="10" t="s">
        <v>8</v>
      </c>
      <c r="B78" s="11" t="s">
        <v>9</v>
      </c>
      <c r="C78" s="75" t="s">
        <v>874</v>
      </c>
      <c r="D78" s="86">
        <v>7175793</v>
      </c>
      <c r="E78" s="85">
        <v>45510</v>
      </c>
      <c r="F78" s="12">
        <v>15898.66</v>
      </c>
      <c r="G78" s="13" t="s">
        <v>529</v>
      </c>
      <c r="H78" s="14" t="str">
        <f t="shared" si="2"/>
        <v>B</v>
      </c>
      <c r="I78" s="15" t="str">
        <f t="shared" si="3"/>
        <v>The Commissioner &amp; Chief Constable are satisfied the spend represents VFM in accordance with the requirements of Category B</v>
      </c>
      <c r="J78" s="16"/>
      <c r="K78" s="16"/>
    </row>
    <row r="79" spans="1:11" x14ac:dyDescent="0.2">
      <c r="A79" s="10" t="s">
        <v>8</v>
      </c>
      <c r="B79" s="11" t="s">
        <v>9</v>
      </c>
      <c r="C79" s="77" t="s">
        <v>468</v>
      </c>
      <c r="D79" s="86">
        <v>7176259</v>
      </c>
      <c r="E79" s="85">
        <v>45526</v>
      </c>
      <c r="F79" s="12">
        <v>15469</v>
      </c>
      <c r="G79" s="13" t="s">
        <v>37</v>
      </c>
      <c r="H79" s="14" t="str">
        <f t="shared" si="2"/>
        <v>B</v>
      </c>
      <c r="I79" s="15" t="str">
        <f t="shared" si="3"/>
        <v>The Commissioner &amp; Chief Constable are satisfied the spend represents VFM in accordance with the requirements of Category B</v>
      </c>
      <c r="J79" s="16"/>
      <c r="K79" s="16"/>
    </row>
    <row r="80" spans="1:11" x14ac:dyDescent="0.2">
      <c r="A80" s="10" t="s">
        <v>8</v>
      </c>
      <c r="B80" s="11" t="s">
        <v>9</v>
      </c>
      <c r="C80" s="77" t="s">
        <v>74</v>
      </c>
      <c r="D80" s="86">
        <v>7175493</v>
      </c>
      <c r="E80" s="85">
        <v>45513</v>
      </c>
      <c r="F80" s="12">
        <v>15277.56</v>
      </c>
      <c r="G80" s="19" t="s">
        <v>75</v>
      </c>
      <c r="H80" s="14" t="str">
        <f t="shared" si="2"/>
        <v>B</v>
      </c>
      <c r="I80" s="15" t="str">
        <f t="shared" si="3"/>
        <v>The Commissioner &amp; Chief Constable are satisfied the spend represents VFM in accordance with the requirements of Category B</v>
      </c>
      <c r="J80" s="16"/>
      <c r="K80" s="16"/>
    </row>
    <row r="81" spans="1:11" x14ac:dyDescent="0.2">
      <c r="A81" s="10" t="s">
        <v>8</v>
      </c>
      <c r="B81" s="11" t="s">
        <v>9</v>
      </c>
      <c r="C81" s="75" t="s">
        <v>74</v>
      </c>
      <c r="D81" s="86">
        <v>7175494</v>
      </c>
      <c r="E81" s="85">
        <v>45512</v>
      </c>
      <c r="F81" s="12">
        <v>15277.56</v>
      </c>
      <c r="G81" s="13" t="s">
        <v>75</v>
      </c>
      <c r="H81" s="14" t="str">
        <f t="shared" si="2"/>
        <v>B</v>
      </c>
      <c r="I81" s="15" t="str">
        <f t="shared" si="3"/>
        <v>The Commissioner &amp; Chief Constable are satisfied the spend represents VFM in accordance with the requirements of Category B</v>
      </c>
      <c r="J81" s="16"/>
      <c r="K81" s="16"/>
    </row>
    <row r="82" spans="1:11" x14ac:dyDescent="0.2">
      <c r="A82" s="10" t="s">
        <v>8</v>
      </c>
      <c r="B82" s="11" t="s">
        <v>9</v>
      </c>
      <c r="C82" s="77" t="s">
        <v>26</v>
      </c>
      <c r="D82" s="86">
        <v>7175995</v>
      </c>
      <c r="E82" s="85">
        <v>45516</v>
      </c>
      <c r="F82" s="12">
        <v>14991.82</v>
      </c>
      <c r="G82" s="19" t="s">
        <v>88</v>
      </c>
      <c r="H82" s="14" t="str">
        <f t="shared" si="2"/>
        <v>B</v>
      </c>
      <c r="I82" s="15" t="str">
        <f t="shared" si="3"/>
        <v>The Commissioner &amp; Chief Constable are satisfied the spend represents VFM in accordance with the requirements of Category B</v>
      </c>
      <c r="J82" s="16"/>
      <c r="K82" s="16"/>
    </row>
    <row r="83" spans="1:11" x14ac:dyDescent="0.2">
      <c r="A83" s="10" t="s">
        <v>8</v>
      </c>
      <c r="B83" s="11" t="s">
        <v>9</v>
      </c>
      <c r="C83" s="77" t="s">
        <v>65</v>
      </c>
      <c r="D83" s="86">
        <v>7175742</v>
      </c>
      <c r="E83" s="85">
        <v>45509</v>
      </c>
      <c r="F83" s="12">
        <v>14577.29</v>
      </c>
      <c r="G83" s="13" t="s">
        <v>665</v>
      </c>
      <c r="H83" s="14" t="str">
        <f t="shared" si="2"/>
        <v>B</v>
      </c>
      <c r="I83" s="15" t="str">
        <f t="shared" si="3"/>
        <v>The Commissioner &amp; Chief Constable are satisfied the spend represents VFM in accordance with the requirements of Category B</v>
      </c>
      <c r="J83" s="16"/>
      <c r="K83" s="16"/>
    </row>
    <row r="84" spans="1:11" x14ac:dyDescent="0.2">
      <c r="A84" s="10" t="s">
        <v>8</v>
      </c>
      <c r="B84" s="11" t="s">
        <v>9</v>
      </c>
      <c r="C84" s="75" t="s">
        <v>115</v>
      </c>
      <c r="D84" s="86">
        <v>7176357</v>
      </c>
      <c r="E84" s="85">
        <v>45527</v>
      </c>
      <c r="F84" s="12">
        <v>14303.58</v>
      </c>
      <c r="G84" s="19" t="s">
        <v>116</v>
      </c>
      <c r="H84" s="14" t="str">
        <f t="shared" si="2"/>
        <v>B</v>
      </c>
      <c r="I84" s="15" t="str">
        <f t="shared" si="3"/>
        <v>The Commissioner &amp; Chief Constable are satisfied the spend represents VFM in accordance with the requirements of Category B</v>
      </c>
      <c r="J84" s="16"/>
      <c r="K84" s="16"/>
    </row>
    <row r="85" spans="1:11" x14ac:dyDescent="0.2">
      <c r="A85" s="10" t="s">
        <v>8</v>
      </c>
      <c r="B85" s="11" t="s">
        <v>9</v>
      </c>
      <c r="C85" s="77" t="s">
        <v>649</v>
      </c>
      <c r="D85" s="86">
        <v>7176254</v>
      </c>
      <c r="E85" s="85">
        <v>45526</v>
      </c>
      <c r="F85" s="12">
        <v>13473</v>
      </c>
      <c r="G85" s="13" t="s">
        <v>37</v>
      </c>
      <c r="H85" s="14" t="str">
        <f t="shared" si="2"/>
        <v>B</v>
      </c>
      <c r="I85" s="15" t="str">
        <f t="shared" si="3"/>
        <v>The Commissioner &amp; Chief Constable are satisfied the spend represents VFM in accordance with the requirements of Category B</v>
      </c>
      <c r="J85" s="16"/>
      <c r="K85" s="16"/>
    </row>
    <row r="86" spans="1:11" x14ac:dyDescent="0.2">
      <c r="A86" s="10" t="s">
        <v>8</v>
      </c>
      <c r="B86" s="11" t="s">
        <v>9</v>
      </c>
      <c r="C86" s="77" t="s">
        <v>419</v>
      </c>
      <c r="D86" s="86">
        <v>7175637</v>
      </c>
      <c r="E86" s="85">
        <v>45517</v>
      </c>
      <c r="F86" s="12">
        <v>13300.5</v>
      </c>
      <c r="G86" s="13" t="s">
        <v>22</v>
      </c>
      <c r="H86" s="14" t="str">
        <f t="shared" si="2"/>
        <v>B</v>
      </c>
      <c r="I86" s="15" t="str">
        <f t="shared" si="3"/>
        <v>The Commissioner &amp; Chief Constable are satisfied the spend represents VFM in accordance with the requirements of Category B</v>
      </c>
      <c r="J86" s="16"/>
      <c r="K86" s="16"/>
    </row>
    <row r="87" spans="1:11" x14ac:dyDescent="0.2">
      <c r="A87" s="10" t="s">
        <v>8</v>
      </c>
      <c r="B87" s="11" t="s">
        <v>9</v>
      </c>
      <c r="C87" s="75" t="s">
        <v>490</v>
      </c>
      <c r="D87" s="86">
        <v>7176275</v>
      </c>
      <c r="E87" s="85">
        <v>45526</v>
      </c>
      <c r="F87" s="12">
        <v>13223.5</v>
      </c>
      <c r="G87" s="19" t="s">
        <v>37</v>
      </c>
      <c r="H87" s="14" t="str">
        <f t="shared" si="2"/>
        <v>B</v>
      </c>
      <c r="I87" s="15" t="str">
        <f t="shared" si="3"/>
        <v>The Commissioner &amp; Chief Constable are satisfied the spend represents VFM in accordance with the requirements of Category B</v>
      </c>
      <c r="J87" s="16"/>
      <c r="K87" s="16"/>
    </row>
    <row r="88" spans="1:11" x14ac:dyDescent="0.2">
      <c r="A88" s="10" t="s">
        <v>8</v>
      </c>
      <c r="B88" s="11" t="s">
        <v>9</v>
      </c>
      <c r="C88" s="77" t="s">
        <v>540</v>
      </c>
      <c r="D88" s="86">
        <v>7176494</v>
      </c>
      <c r="E88" s="85">
        <v>45531</v>
      </c>
      <c r="F88" s="12">
        <v>12880</v>
      </c>
      <c r="G88" s="13" t="s">
        <v>131</v>
      </c>
      <c r="H88" s="14" t="str">
        <f t="shared" si="2"/>
        <v>B</v>
      </c>
      <c r="I88" s="15" t="str">
        <f t="shared" si="3"/>
        <v>The Commissioner &amp; Chief Constable are satisfied the spend represents VFM in accordance with the requirements of Category B</v>
      </c>
      <c r="J88" s="16"/>
      <c r="K88" s="16"/>
    </row>
    <row r="89" spans="1:11" x14ac:dyDescent="0.2">
      <c r="A89" s="10" t="s">
        <v>8</v>
      </c>
      <c r="B89" s="11" t="s">
        <v>9</v>
      </c>
      <c r="C89" s="77" t="s">
        <v>90</v>
      </c>
      <c r="D89" s="86">
        <v>7175715</v>
      </c>
      <c r="E89" s="85">
        <v>45509</v>
      </c>
      <c r="F89" s="12">
        <v>12631.95</v>
      </c>
      <c r="G89" s="19" t="s">
        <v>91</v>
      </c>
      <c r="H89" s="14" t="str">
        <f t="shared" si="2"/>
        <v>B</v>
      </c>
      <c r="I89" s="15" t="str">
        <f t="shared" si="3"/>
        <v>The Commissioner &amp; Chief Constable are satisfied the spend represents VFM in accordance with the requirements of Category B</v>
      </c>
      <c r="J89" s="16"/>
      <c r="K89" s="16"/>
    </row>
    <row r="90" spans="1:11" x14ac:dyDescent="0.2">
      <c r="A90" s="10" t="s">
        <v>8</v>
      </c>
      <c r="B90" s="11" t="s">
        <v>9</v>
      </c>
      <c r="C90" s="75" t="s">
        <v>121</v>
      </c>
      <c r="D90" s="86">
        <v>7175660</v>
      </c>
      <c r="E90" s="85">
        <v>45505</v>
      </c>
      <c r="F90" s="12">
        <v>12522.16</v>
      </c>
      <c r="G90" s="13" t="s">
        <v>122</v>
      </c>
      <c r="H90" s="14" t="str">
        <f t="shared" si="2"/>
        <v>B</v>
      </c>
      <c r="I90" s="15" t="str">
        <f t="shared" si="3"/>
        <v>The Commissioner &amp; Chief Constable are satisfied the spend represents VFM in accordance with the requirements of Category B</v>
      </c>
      <c r="J90" s="16"/>
      <c r="K90" s="16"/>
    </row>
    <row r="91" spans="1:11" x14ac:dyDescent="0.2">
      <c r="A91" s="10" t="s">
        <v>8</v>
      </c>
      <c r="B91" s="11" t="s">
        <v>9</v>
      </c>
      <c r="C91" s="77" t="s">
        <v>163</v>
      </c>
      <c r="D91" s="86">
        <v>7175951</v>
      </c>
      <c r="E91" s="85">
        <v>45516</v>
      </c>
      <c r="F91" s="12">
        <v>12517</v>
      </c>
      <c r="G91" s="19" t="s">
        <v>45</v>
      </c>
      <c r="H91" s="14" t="str">
        <f t="shared" si="2"/>
        <v>B</v>
      </c>
      <c r="I91" s="15" t="str">
        <f t="shared" si="3"/>
        <v>The Commissioner &amp; Chief Constable are satisfied the spend represents VFM in accordance with the requirements of Category B</v>
      </c>
      <c r="J91" s="16"/>
      <c r="K91" s="16"/>
    </row>
    <row r="92" spans="1:11" x14ac:dyDescent="0.2">
      <c r="A92" s="10" t="s">
        <v>8</v>
      </c>
      <c r="B92" s="11" t="s">
        <v>9</v>
      </c>
      <c r="C92" s="77" t="s">
        <v>109</v>
      </c>
      <c r="D92" s="86">
        <v>7175911</v>
      </c>
      <c r="E92" s="85">
        <v>45523</v>
      </c>
      <c r="F92" s="12">
        <v>12500</v>
      </c>
      <c r="G92" s="13" t="s">
        <v>27</v>
      </c>
      <c r="H92" s="14" t="str">
        <f t="shared" si="2"/>
        <v>B</v>
      </c>
      <c r="I92" s="15" t="str">
        <f t="shared" si="3"/>
        <v>The Commissioner &amp; Chief Constable are satisfied the spend represents VFM in accordance with the requirements of Category B</v>
      </c>
      <c r="J92" s="16"/>
      <c r="K92" s="16"/>
    </row>
    <row r="93" spans="1:11" x14ac:dyDescent="0.2">
      <c r="A93" s="10" t="s">
        <v>8</v>
      </c>
      <c r="B93" s="11" t="s">
        <v>9</v>
      </c>
      <c r="C93" s="75" t="s">
        <v>636</v>
      </c>
      <c r="D93" s="86">
        <v>7175739</v>
      </c>
      <c r="E93" s="85">
        <v>45506</v>
      </c>
      <c r="F93" s="12">
        <v>12357</v>
      </c>
      <c r="G93" s="13" t="s">
        <v>251</v>
      </c>
      <c r="H93" s="14" t="str">
        <f t="shared" si="2"/>
        <v>B</v>
      </c>
      <c r="I93" s="15" t="str">
        <f t="shared" si="3"/>
        <v>The Commissioner &amp; Chief Constable are satisfied the spend represents VFM in accordance with the requirements of Category B</v>
      </c>
      <c r="J93" s="16"/>
      <c r="K93" s="16"/>
    </row>
    <row r="94" spans="1:11" x14ac:dyDescent="0.2">
      <c r="A94" s="10" t="s">
        <v>8</v>
      </c>
      <c r="B94" s="11" t="s">
        <v>9</v>
      </c>
      <c r="C94" s="77" t="s">
        <v>127</v>
      </c>
      <c r="D94" s="86">
        <v>7175677</v>
      </c>
      <c r="E94" s="85">
        <v>45505</v>
      </c>
      <c r="F94" s="12">
        <v>11872.07</v>
      </c>
      <c r="G94" s="13" t="s">
        <v>49</v>
      </c>
      <c r="H94" s="14" t="str">
        <f t="shared" si="2"/>
        <v>B</v>
      </c>
      <c r="I94" s="15" t="str">
        <f t="shared" si="3"/>
        <v>The Commissioner &amp; Chief Constable are satisfied the spend represents VFM in accordance with the requirements of Category B</v>
      </c>
      <c r="J94" s="16"/>
      <c r="K94" s="16"/>
    </row>
    <row r="95" spans="1:11" x14ac:dyDescent="0.2">
      <c r="A95" s="10" t="s">
        <v>8</v>
      </c>
      <c r="B95" s="11" t="s">
        <v>9</v>
      </c>
      <c r="C95" s="77" t="s">
        <v>26</v>
      </c>
      <c r="D95" s="86">
        <v>7175788</v>
      </c>
      <c r="E95" s="85">
        <v>45509</v>
      </c>
      <c r="F95" s="12">
        <v>11831.35</v>
      </c>
      <c r="G95" s="13" t="s">
        <v>88</v>
      </c>
      <c r="H95" s="14" t="str">
        <f t="shared" si="2"/>
        <v>B</v>
      </c>
      <c r="I95" s="15" t="str">
        <f t="shared" si="3"/>
        <v>The Commissioner &amp; Chief Constable are satisfied the spend represents VFM in accordance with the requirements of Category B</v>
      </c>
      <c r="J95" s="16"/>
      <c r="K95" s="16"/>
    </row>
    <row r="96" spans="1:11" x14ac:dyDescent="0.2">
      <c r="A96" s="10" t="s">
        <v>8</v>
      </c>
      <c r="B96" s="11" t="s">
        <v>9</v>
      </c>
      <c r="C96" s="75" t="s">
        <v>448</v>
      </c>
      <c r="D96" s="86">
        <v>7176456</v>
      </c>
      <c r="E96" s="85">
        <v>45531</v>
      </c>
      <c r="F96" s="12">
        <v>11662.58</v>
      </c>
      <c r="G96" s="13" t="s">
        <v>27</v>
      </c>
      <c r="H96" s="14" t="str">
        <f t="shared" si="2"/>
        <v>B</v>
      </c>
      <c r="I96" s="15" t="str">
        <f t="shared" si="3"/>
        <v>The Commissioner &amp; Chief Constable are satisfied the spend represents VFM in accordance with the requirements of Category B</v>
      </c>
      <c r="J96" s="16"/>
      <c r="K96" s="16"/>
    </row>
    <row r="97" spans="1:11" x14ac:dyDescent="0.2">
      <c r="A97" s="10" t="s">
        <v>8</v>
      </c>
      <c r="B97" s="11" t="s">
        <v>9</v>
      </c>
      <c r="C97" s="77" t="s">
        <v>352</v>
      </c>
      <c r="D97" s="86">
        <v>7175849</v>
      </c>
      <c r="E97" s="85">
        <v>45511</v>
      </c>
      <c r="F97" s="12">
        <v>11280.97</v>
      </c>
      <c r="G97" s="13" t="s">
        <v>58</v>
      </c>
      <c r="H97" s="14" t="str">
        <f t="shared" si="2"/>
        <v>B</v>
      </c>
      <c r="I97" s="15" t="str">
        <f t="shared" si="3"/>
        <v>The Commissioner &amp; Chief Constable are satisfied the spend represents VFM in accordance with the requirements of Category B</v>
      </c>
      <c r="J97" s="16"/>
      <c r="K97" s="16"/>
    </row>
    <row r="98" spans="1:11" x14ac:dyDescent="0.2">
      <c r="A98" s="10" t="s">
        <v>8</v>
      </c>
      <c r="B98" s="11" t="s">
        <v>9</v>
      </c>
      <c r="C98" s="77" t="s">
        <v>352</v>
      </c>
      <c r="D98" s="86">
        <v>7175852</v>
      </c>
      <c r="E98" s="85">
        <v>45511</v>
      </c>
      <c r="F98" s="12">
        <v>11280.97</v>
      </c>
      <c r="G98" s="13" t="s">
        <v>58</v>
      </c>
      <c r="H98" s="14" t="str">
        <f t="shared" si="2"/>
        <v>B</v>
      </c>
      <c r="I98" s="15" t="str">
        <f t="shared" si="3"/>
        <v>The Commissioner &amp; Chief Constable are satisfied the spend represents VFM in accordance with the requirements of Category B</v>
      </c>
      <c r="J98" s="16"/>
      <c r="K98" s="16"/>
    </row>
    <row r="99" spans="1:11" x14ac:dyDescent="0.2">
      <c r="A99" s="10" t="s">
        <v>8</v>
      </c>
      <c r="B99" s="11" t="s">
        <v>9</v>
      </c>
      <c r="C99" s="75" t="s">
        <v>113</v>
      </c>
      <c r="D99" s="86">
        <v>7176193</v>
      </c>
      <c r="E99" s="85">
        <v>45523</v>
      </c>
      <c r="F99" s="12">
        <v>11248.88</v>
      </c>
      <c r="G99" s="13" t="s">
        <v>114</v>
      </c>
      <c r="H99" s="14" t="str">
        <f t="shared" si="2"/>
        <v>B</v>
      </c>
      <c r="I99" s="15" t="str">
        <f t="shared" si="3"/>
        <v>The Commissioner &amp; Chief Constable are satisfied the spend represents VFM in accordance with the requirements of Category B</v>
      </c>
      <c r="J99" s="16"/>
      <c r="K99" s="16"/>
    </row>
    <row r="100" spans="1:11" x14ac:dyDescent="0.2">
      <c r="A100" s="10" t="s">
        <v>8</v>
      </c>
      <c r="B100" s="11" t="s">
        <v>9</v>
      </c>
      <c r="C100" s="77" t="s">
        <v>488</v>
      </c>
      <c r="D100" s="86">
        <v>9035857</v>
      </c>
      <c r="E100" s="85">
        <v>45534</v>
      </c>
      <c r="F100" s="12">
        <v>11227.02</v>
      </c>
      <c r="G100" s="13" t="s">
        <v>579</v>
      </c>
      <c r="H100" s="14" t="str">
        <f t="shared" si="2"/>
        <v>B</v>
      </c>
      <c r="I100" s="15" t="str">
        <f t="shared" si="3"/>
        <v>The Commissioner &amp; Chief Constable are satisfied the spend represents VFM in accordance with the requirements of Category B</v>
      </c>
      <c r="J100" s="16"/>
      <c r="K100" s="16"/>
    </row>
    <row r="101" spans="1:11" x14ac:dyDescent="0.2">
      <c r="A101" s="10" t="s">
        <v>8</v>
      </c>
      <c r="B101" s="11" t="s">
        <v>9</v>
      </c>
      <c r="C101" s="77" t="s">
        <v>128</v>
      </c>
      <c r="D101" s="86">
        <v>7175623</v>
      </c>
      <c r="E101" s="85">
        <v>45506</v>
      </c>
      <c r="F101" s="12">
        <v>11177.15</v>
      </c>
      <c r="G101" s="13" t="s">
        <v>129</v>
      </c>
      <c r="H101" s="14" t="str">
        <f t="shared" si="2"/>
        <v>B</v>
      </c>
      <c r="I101" s="15" t="str">
        <f t="shared" si="3"/>
        <v>The Commissioner &amp; Chief Constable are satisfied the spend represents VFM in accordance with the requirements of Category B</v>
      </c>
      <c r="J101" s="16"/>
      <c r="K101" s="16"/>
    </row>
    <row r="102" spans="1:11" x14ac:dyDescent="0.2">
      <c r="A102" s="10" t="s">
        <v>8</v>
      </c>
      <c r="B102" s="11" t="s">
        <v>9</v>
      </c>
      <c r="C102" s="75" t="s">
        <v>873</v>
      </c>
      <c r="D102" s="86">
        <v>7176288</v>
      </c>
      <c r="E102" s="85">
        <v>45524</v>
      </c>
      <c r="F102" s="12">
        <v>10950</v>
      </c>
      <c r="G102" s="13" t="s">
        <v>106</v>
      </c>
      <c r="H102" s="14" t="str">
        <f t="shared" si="2"/>
        <v>B</v>
      </c>
      <c r="I102" s="15" t="str">
        <f t="shared" si="3"/>
        <v>The Commissioner &amp; Chief Constable are satisfied the spend represents VFM in accordance with the requirements of Category B</v>
      </c>
      <c r="J102" s="16"/>
      <c r="K102" s="16"/>
    </row>
    <row r="103" spans="1:11" x14ac:dyDescent="0.2">
      <c r="A103" s="10" t="s">
        <v>8</v>
      </c>
      <c r="B103" s="11" t="s">
        <v>9</v>
      </c>
      <c r="C103" s="77" t="s">
        <v>419</v>
      </c>
      <c r="D103" s="86">
        <v>7176565</v>
      </c>
      <c r="E103" s="85">
        <v>45533</v>
      </c>
      <c r="F103" s="12">
        <v>9936</v>
      </c>
      <c r="G103" s="13" t="s">
        <v>22</v>
      </c>
      <c r="H103" s="14" t="str">
        <f t="shared" si="2"/>
        <v>B</v>
      </c>
      <c r="I103" s="15" t="str">
        <f t="shared" si="3"/>
        <v>The Commissioner &amp; Chief Constable are satisfied the spend represents VFM in accordance with the requirements of Category B</v>
      </c>
      <c r="J103" s="16"/>
      <c r="K103" s="16"/>
    </row>
    <row r="104" spans="1:11" x14ac:dyDescent="0.2">
      <c r="A104" s="10" t="s">
        <v>8</v>
      </c>
      <c r="B104" s="11" t="s">
        <v>9</v>
      </c>
      <c r="C104" s="77" t="s">
        <v>157</v>
      </c>
      <c r="D104" s="86">
        <v>7175359</v>
      </c>
      <c r="E104" s="85">
        <v>45520</v>
      </c>
      <c r="F104" s="12">
        <v>9706.36</v>
      </c>
      <c r="G104" s="13" t="s">
        <v>43</v>
      </c>
      <c r="H104" s="14" t="str">
        <f t="shared" si="2"/>
        <v>B</v>
      </c>
      <c r="I104" s="15" t="str">
        <f t="shared" si="3"/>
        <v>The Commissioner &amp; Chief Constable are satisfied the spend represents VFM in accordance with the requirements of Category B</v>
      </c>
      <c r="J104" s="16"/>
      <c r="K104" s="16"/>
    </row>
    <row r="105" spans="1:11" x14ac:dyDescent="0.2">
      <c r="A105" s="10" t="s">
        <v>8</v>
      </c>
      <c r="B105" s="11" t="s">
        <v>9</v>
      </c>
      <c r="C105" s="75" t="s">
        <v>872</v>
      </c>
      <c r="D105" s="86">
        <v>7175221</v>
      </c>
      <c r="E105" s="85">
        <v>45505</v>
      </c>
      <c r="F105" s="12">
        <v>9684.4</v>
      </c>
      <c r="G105" s="13" t="s">
        <v>106</v>
      </c>
      <c r="H105" s="14" t="str">
        <f t="shared" si="2"/>
        <v>B</v>
      </c>
      <c r="I105" s="15" t="str">
        <f t="shared" si="3"/>
        <v>The Commissioner &amp; Chief Constable are satisfied the spend represents VFM in accordance with the requirements of Category B</v>
      </c>
      <c r="J105" s="16"/>
      <c r="K105" s="16"/>
    </row>
    <row r="106" spans="1:11" x14ac:dyDescent="0.2">
      <c r="A106" s="10" t="s">
        <v>8</v>
      </c>
      <c r="B106" s="11" t="s">
        <v>9</v>
      </c>
      <c r="C106" s="75" t="s">
        <v>50</v>
      </c>
      <c r="D106" s="86">
        <v>7176302</v>
      </c>
      <c r="E106" s="85">
        <v>45532</v>
      </c>
      <c r="F106" s="12">
        <v>9563.0499999999993</v>
      </c>
      <c r="G106" s="13" t="s">
        <v>36</v>
      </c>
      <c r="H106" s="14" t="str">
        <f t="shared" si="2"/>
        <v>B</v>
      </c>
      <c r="I106" s="15" t="str">
        <f t="shared" si="3"/>
        <v>The Commissioner &amp; Chief Constable are satisfied the spend represents VFM in accordance with the requirements of Category B</v>
      </c>
      <c r="J106" s="16"/>
      <c r="K106" s="16"/>
    </row>
    <row r="107" spans="1:11" x14ac:dyDescent="0.2">
      <c r="A107" s="10" t="s">
        <v>8</v>
      </c>
      <c r="B107" s="11" t="s">
        <v>9</v>
      </c>
      <c r="C107" s="75" t="s">
        <v>639</v>
      </c>
      <c r="D107" s="86">
        <v>7176370</v>
      </c>
      <c r="E107" s="85">
        <v>45526</v>
      </c>
      <c r="F107" s="12">
        <v>9482.3700000000008</v>
      </c>
      <c r="G107" s="13" t="s">
        <v>37</v>
      </c>
      <c r="H107" s="14" t="str">
        <f t="shared" si="2"/>
        <v>B</v>
      </c>
      <c r="I107" s="15" t="str">
        <f t="shared" si="3"/>
        <v>The Commissioner &amp; Chief Constable are satisfied the spend represents VFM in accordance with the requirements of Category B</v>
      </c>
      <c r="J107" s="16"/>
      <c r="K107" s="16"/>
    </row>
    <row r="108" spans="1:11" x14ac:dyDescent="0.2">
      <c r="A108" s="10" t="s">
        <v>8</v>
      </c>
      <c r="B108" s="11" t="s">
        <v>9</v>
      </c>
      <c r="C108" s="77" t="s">
        <v>137</v>
      </c>
      <c r="D108" s="86">
        <v>7175981</v>
      </c>
      <c r="E108" s="85">
        <v>45516</v>
      </c>
      <c r="F108" s="12">
        <v>9042.56</v>
      </c>
      <c r="G108" s="13" t="s">
        <v>138</v>
      </c>
      <c r="H108" s="14" t="str">
        <f t="shared" si="2"/>
        <v>B</v>
      </c>
      <c r="I108" s="15" t="str">
        <f t="shared" si="3"/>
        <v>The Commissioner &amp; Chief Constable are satisfied the spend represents VFM in accordance with the requirements of Category B</v>
      </c>
      <c r="J108" s="16"/>
      <c r="K108" s="16"/>
    </row>
    <row r="109" spans="1:11" x14ac:dyDescent="0.2">
      <c r="A109" s="10" t="s">
        <v>8</v>
      </c>
      <c r="B109" s="11" t="s">
        <v>9</v>
      </c>
      <c r="C109" s="75" t="s">
        <v>863</v>
      </c>
      <c r="D109" s="86">
        <v>7176536</v>
      </c>
      <c r="E109" s="85">
        <v>45532</v>
      </c>
      <c r="F109" s="12">
        <v>9000</v>
      </c>
      <c r="G109" s="13" t="s">
        <v>22</v>
      </c>
      <c r="H109" s="14" t="str">
        <f t="shared" si="2"/>
        <v>B</v>
      </c>
      <c r="I109" s="15" t="str">
        <f t="shared" si="3"/>
        <v>The Commissioner &amp; Chief Constable are satisfied the spend represents VFM in accordance with the requirements of Category B</v>
      </c>
      <c r="J109" s="16"/>
      <c r="K109" s="16"/>
    </row>
    <row r="110" spans="1:11" x14ac:dyDescent="0.2">
      <c r="A110" s="10" t="s">
        <v>8</v>
      </c>
      <c r="B110" s="11" t="s">
        <v>9</v>
      </c>
      <c r="C110" s="75" t="s">
        <v>74</v>
      </c>
      <c r="D110" s="86">
        <v>7176010</v>
      </c>
      <c r="E110" s="85">
        <v>45516</v>
      </c>
      <c r="F110" s="12">
        <v>8857.02</v>
      </c>
      <c r="G110" s="13" t="s">
        <v>75</v>
      </c>
      <c r="H110" s="14" t="str">
        <f t="shared" si="2"/>
        <v>B</v>
      </c>
      <c r="I110" s="15" t="str">
        <f t="shared" si="3"/>
        <v>The Commissioner &amp; Chief Constable are satisfied the spend represents VFM in accordance with the requirements of Category B</v>
      </c>
      <c r="J110" s="16"/>
      <c r="K110" s="16"/>
    </row>
    <row r="111" spans="1:11" x14ac:dyDescent="0.2">
      <c r="A111" s="10" t="s">
        <v>8</v>
      </c>
      <c r="B111" s="11" t="s">
        <v>9</v>
      </c>
      <c r="C111" s="75" t="s">
        <v>639</v>
      </c>
      <c r="D111" s="86">
        <v>7176263</v>
      </c>
      <c r="E111" s="85">
        <v>45526</v>
      </c>
      <c r="F111" s="12">
        <v>8789.26</v>
      </c>
      <c r="G111" s="13" t="s">
        <v>37</v>
      </c>
      <c r="H111" s="14" t="str">
        <f t="shared" si="2"/>
        <v>B</v>
      </c>
      <c r="I111" s="15" t="str">
        <f t="shared" si="3"/>
        <v>The Commissioner &amp; Chief Constable are satisfied the spend represents VFM in accordance with the requirements of Category B</v>
      </c>
      <c r="J111" s="16"/>
      <c r="K111" s="16"/>
    </row>
    <row r="112" spans="1:11" x14ac:dyDescent="0.2">
      <c r="A112" s="10" t="s">
        <v>8</v>
      </c>
      <c r="B112" s="11" t="s">
        <v>9</v>
      </c>
      <c r="C112" s="75" t="s">
        <v>139</v>
      </c>
      <c r="D112" s="86">
        <v>7175357</v>
      </c>
      <c r="E112" s="85">
        <v>45506</v>
      </c>
      <c r="F112" s="12">
        <v>8626.1299999999992</v>
      </c>
      <c r="G112" s="13" t="s">
        <v>39</v>
      </c>
      <c r="H112" s="14" t="str">
        <f t="shared" si="2"/>
        <v>B</v>
      </c>
      <c r="I112" s="15" t="str">
        <f t="shared" si="3"/>
        <v>The Commissioner &amp; Chief Constable are satisfied the spend represents VFM in accordance with the requirements of Category B</v>
      </c>
      <c r="J112" s="16"/>
      <c r="K112" s="16"/>
    </row>
    <row r="113" spans="1:11" x14ac:dyDescent="0.2">
      <c r="A113" s="10" t="s">
        <v>8</v>
      </c>
      <c r="B113" s="11" t="s">
        <v>9</v>
      </c>
      <c r="C113" s="75" t="s">
        <v>871</v>
      </c>
      <c r="D113" s="86">
        <v>3068307</v>
      </c>
      <c r="E113" s="85">
        <v>45505</v>
      </c>
      <c r="F113" s="12">
        <v>8496</v>
      </c>
      <c r="G113" s="13" t="s">
        <v>45</v>
      </c>
      <c r="H113" s="14" t="str">
        <f t="shared" si="2"/>
        <v>B</v>
      </c>
      <c r="I113" s="15" t="str">
        <f t="shared" si="3"/>
        <v>The Commissioner &amp; Chief Constable are satisfied the spend represents VFM in accordance with the requirements of Category B</v>
      </c>
      <c r="J113" s="16"/>
      <c r="K113" s="16"/>
    </row>
    <row r="114" spans="1:11" x14ac:dyDescent="0.2">
      <c r="A114" s="10" t="s">
        <v>8</v>
      </c>
      <c r="B114" s="11" t="s">
        <v>9</v>
      </c>
      <c r="C114" s="75" t="s">
        <v>100</v>
      </c>
      <c r="D114" s="86">
        <v>7176449</v>
      </c>
      <c r="E114" s="85">
        <v>45532</v>
      </c>
      <c r="F114" s="12">
        <v>8457.44</v>
      </c>
      <c r="G114" s="13" t="s">
        <v>38</v>
      </c>
      <c r="H114" s="14" t="str">
        <f t="shared" si="2"/>
        <v>B</v>
      </c>
      <c r="I114" s="15" t="str">
        <f t="shared" si="3"/>
        <v>The Commissioner &amp; Chief Constable are satisfied the spend represents VFM in accordance with the requirements of Category B</v>
      </c>
    </row>
    <row r="115" spans="1:11" x14ac:dyDescent="0.2">
      <c r="A115" s="10" t="s">
        <v>8</v>
      </c>
      <c r="B115" s="11" t="s">
        <v>9</v>
      </c>
      <c r="C115" s="75" t="s">
        <v>109</v>
      </c>
      <c r="D115" s="86">
        <v>7175912</v>
      </c>
      <c r="E115" s="85">
        <v>45523</v>
      </c>
      <c r="F115" s="12">
        <v>8325.58</v>
      </c>
      <c r="G115" s="13" t="s">
        <v>27</v>
      </c>
      <c r="H115" s="14" t="str">
        <f t="shared" si="2"/>
        <v>B</v>
      </c>
      <c r="I115" s="15" t="str">
        <f t="shared" si="3"/>
        <v>The Commissioner &amp; Chief Constable are satisfied the spend represents VFM in accordance with the requirements of Category B</v>
      </c>
    </row>
    <row r="116" spans="1:11" x14ac:dyDescent="0.2">
      <c r="A116" s="10" t="s">
        <v>8</v>
      </c>
      <c r="B116" s="11" t="s">
        <v>9</v>
      </c>
      <c r="C116" s="77" t="s">
        <v>132</v>
      </c>
      <c r="D116" s="86">
        <v>7175850</v>
      </c>
      <c r="E116" s="85">
        <v>45510</v>
      </c>
      <c r="F116" s="12">
        <v>8284</v>
      </c>
      <c r="G116" s="13" t="s">
        <v>133</v>
      </c>
      <c r="H116" s="14" t="str">
        <f t="shared" si="2"/>
        <v>B</v>
      </c>
      <c r="I116" s="15" t="str">
        <f t="shared" si="3"/>
        <v>The Commissioner &amp; Chief Constable are satisfied the spend represents VFM in accordance with the requirements of Category B</v>
      </c>
    </row>
    <row r="117" spans="1:11" x14ac:dyDescent="0.2">
      <c r="A117" s="10" t="s">
        <v>8</v>
      </c>
      <c r="B117" s="11" t="s">
        <v>9</v>
      </c>
      <c r="C117" s="75" t="s">
        <v>870</v>
      </c>
      <c r="D117" s="86">
        <v>7175401</v>
      </c>
      <c r="E117" s="85">
        <v>45505</v>
      </c>
      <c r="F117" s="12">
        <v>8214.86</v>
      </c>
      <c r="G117" s="13" t="s">
        <v>457</v>
      </c>
      <c r="H117" s="14" t="str">
        <f t="shared" si="2"/>
        <v>B</v>
      </c>
      <c r="I117" s="15" t="str">
        <f t="shared" si="3"/>
        <v>The Commissioner &amp; Chief Constable are satisfied the spend represents VFM in accordance with the requirements of Category B</v>
      </c>
    </row>
    <row r="118" spans="1:11" x14ac:dyDescent="0.2">
      <c r="A118" s="10" t="s">
        <v>8</v>
      </c>
      <c r="B118" s="11" t="s">
        <v>9</v>
      </c>
      <c r="C118" s="75" t="s">
        <v>845</v>
      </c>
      <c r="D118" s="86">
        <v>7175528</v>
      </c>
      <c r="E118" s="85">
        <v>45506</v>
      </c>
      <c r="F118" s="12">
        <v>8192.52</v>
      </c>
      <c r="G118" s="13" t="s">
        <v>98</v>
      </c>
      <c r="H118" s="14" t="str">
        <f t="shared" si="2"/>
        <v>B</v>
      </c>
      <c r="I118" s="15" t="str">
        <f t="shared" si="3"/>
        <v>The Commissioner &amp; Chief Constable are satisfied the spend represents VFM in accordance with the requirements of Category B</v>
      </c>
    </row>
    <row r="119" spans="1:11" x14ac:dyDescent="0.2">
      <c r="A119" s="10" t="s">
        <v>8</v>
      </c>
      <c r="B119" s="11" t="s">
        <v>9</v>
      </c>
      <c r="C119" s="75" t="s">
        <v>845</v>
      </c>
      <c r="D119" s="86">
        <v>7175530</v>
      </c>
      <c r="E119" s="85">
        <v>45506</v>
      </c>
      <c r="F119" s="12">
        <v>8192.52</v>
      </c>
      <c r="G119" s="13" t="s">
        <v>98</v>
      </c>
      <c r="H119" s="14" t="str">
        <f t="shared" si="2"/>
        <v>B</v>
      </c>
      <c r="I119" s="15" t="str">
        <f t="shared" si="3"/>
        <v>The Commissioner &amp; Chief Constable are satisfied the spend represents VFM in accordance with the requirements of Category B</v>
      </c>
    </row>
    <row r="120" spans="1:11" x14ac:dyDescent="0.2">
      <c r="A120" s="10" t="s">
        <v>8</v>
      </c>
      <c r="B120" s="11" t="s">
        <v>9</v>
      </c>
      <c r="C120" s="75" t="s">
        <v>119</v>
      </c>
      <c r="D120" s="86">
        <v>7176417</v>
      </c>
      <c r="E120" s="85">
        <v>45527</v>
      </c>
      <c r="F120" s="12">
        <v>8137.95</v>
      </c>
      <c r="G120" s="13" t="s">
        <v>120</v>
      </c>
      <c r="H120" s="14" t="str">
        <f t="shared" si="2"/>
        <v>B</v>
      </c>
      <c r="I120" s="15" t="str">
        <f t="shared" si="3"/>
        <v>The Commissioner &amp; Chief Constable are satisfied the spend represents VFM in accordance with the requirements of Category B</v>
      </c>
    </row>
    <row r="121" spans="1:11" x14ac:dyDescent="0.2">
      <c r="A121" s="10" t="s">
        <v>8</v>
      </c>
      <c r="B121" s="11" t="s">
        <v>9</v>
      </c>
      <c r="C121" s="75" t="s">
        <v>490</v>
      </c>
      <c r="D121" s="86">
        <v>7175561</v>
      </c>
      <c r="E121" s="85">
        <v>45509</v>
      </c>
      <c r="F121" s="12">
        <v>8000</v>
      </c>
      <c r="G121" s="13" t="s">
        <v>54</v>
      </c>
      <c r="H121" s="14" t="str">
        <f t="shared" si="2"/>
        <v>B</v>
      </c>
      <c r="I121" s="15" t="str">
        <f t="shared" si="3"/>
        <v>The Commissioner &amp; Chief Constable are satisfied the spend represents VFM in accordance with the requirements of Category B</v>
      </c>
    </row>
    <row r="122" spans="1:11" x14ac:dyDescent="0.2">
      <c r="A122" s="10" t="s">
        <v>8</v>
      </c>
      <c r="B122" s="11" t="s">
        <v>9</v>
      </c>
      <c r="C122" s="75" t="s">
        <v>28</v>
      </c>
      <c r="D122" s="86">
        <v>7175815</v>
      </c>
      <c r="E122" s="85">
        <v>45531</v>
      </c>
      <c r="F122" s="12">
        <v>7853</v>
      </c>
      <c r="G122" s="13" t="s">
        <v>54</v>
      </c>
      <c r="H122" s="14" t="str">
        <f t="shared" si="2"/>
        <v>B</v>
      </c>
      <c r="I122" s="15" t="str">
        <f t="shared" si="3"/>
        <v>The Commissioner &amp; Chief Constable are satisfied the spend represents VFM in accordance with the requirements of Category B</v>
      </c>
    </row>
    <row r="123" spans="1:11" x14ac:dyDescent="0.2">
      <c r="A123" s="10" t="s">
        <v>8</v>
      </c>
      <c r="B123" s="11" t="s">
        <v>9</v>
      </c>
      <c r="C123" s="75" t="s">
        <v>639</v>
      </c>
      <c r="D123" s="86">
        <v>7176052</v>
      </c>
      <c r="E123" s="85">
        <v>45531</v>
      </c>
      <c r="F123" s="12">
        <v>7853</v>
      </c>
      <c r="G123" s="13" t="s">
        <v>54</v>
      </c>
      <c r="H123" s="14" t="str">
        <f t="shared" si="2"/>
        <v>B</v>
      </c>
      <c r="I123" s="15" t="str">
        <f t="shared" si="3"/>
        <v>The Commissioner &amp; Chief Constable are satisfied the spend represents VFM in accordance with the requirements of Category B</v>
      </c>
    </row>
    <row r="124" spans="1:11" x14ac:dyDescent="0.2">
      <c r="A124" s="10" t="s">
        <v>8</v>
      </c>
      <c r="B124" s="11" t="s">
        <v>9</v>
      </c>
      <c r="C124" s="75" t="s">
        <v>107</v>
      </c>
      <c r="D124" s="86">
        <v>7176039</v>
      </c>
      <c r="E124" s="85">
        <v>45516</v>
      </c>
      <c r="F124" s="12">
        <v>7661.67</v>
      </c>
      <c r="G124" s="13" t="s">
        <v>108</v>
      </c>
      <c r="H124" s="14" t="str">
        <f t="shared" si="2"/>
        <v>B</v>
      </c>
      <c r="I124" s="15" t="str">
        <f t="shared" si="3"/>
        <v>The Commissioner &amp; Chief Constable are satisfied the spend represents VFM in accordance with the requirements of Category B</v>
      </c>
    </row>
    <row r="125" spans="1:11" x14ac:dyDescent="0.2">
      <c r="A125" s="10" t="s">
        <v>8</v>
      </c>
      <c r="B125" s="11" t="s">
        <v>9</v>
      </c>
      <c r="C125" s="75" t="s">
        <v>159</v>
      </c>
      <c r="D125" s="86">
        <v>7175740</v>
      </c>
      <c r="E125" s="85">
        <v>45506</v>
      </c>
      <c r="F125" s="12">
        <v>7585.23</v>
      </c>
      <c r="G125" s="13" t="s">
        <v>22</v>
      </c>
      <c r="H125" s="14" t="str">
        <f t="shared" si="2"/>
        <v>B</v>
      </c>
      <c r="I125" s="15" t="str">
        <f t="shared" si="3"/>
        <v>The Commissioner &amp; Chief Constable are satisfied the spend represents VFM in accordance with the requirements of Category B</v>
      </c>
    </row>
    <row r="126" spans="1:11" x14ac:dyDescent="0.2">
      <c r="A126" s="10" t="s">
        <v>8</v>
      </c>
      <c r="B126" s="11" t="s">
        <v>9</v>
      </c>
      <c r="C126" s="75" t="s">
        <v>508</v>
      </c>
      <c r="D126" s="86">
        <v>7176414</v>
      </c>
      <c r="E126" s="85">
        <v>45531</v>
      </c>
      <c r="F126" s="12">
        <v>7333.14</v>
      </c>
      <c r="G126" s="13" t="s">
        <v>345</v>
      </c>
      <c r="H126" s="14" t="str">
        <f t="shared" si="2"/>
        <v>B</v>
      </c>
      <c r="I126" s="15" t="str">
        <f t="shared" si="3"/>
        <v>The Commissioner &amp; Chief Constable are satisfied the spend represents VFM in accordance with the requirements of Category B</v>
      </c>
    </row>
    <row r="127" spans="1:11" x14ac:dyDescent="0.2">
      <c r="A127" s="10" t="s">
        <v>8</v>
      </c>
      <c r="B127" s="11" t="s">
        <v>9</v>
      </c>
      <c r="C127" s="75" t="s">
        <v>103</v>
      </c>
      <c r="D127" s="86">
        <v>7176232</v>
      </c>
      <c r="E127" s="85">
        <v>45523</v>
      </c>
      <c r="F127" s="12">
        <v>7320</v>
      </c>
      <c r="G127" s="13" t="s">
        <v>91</v>
      </c>
      <c r="H127" s="14" t="str">
        <f t="shared" si="2"/>
        <v>B</v>
      </c>
      <c r="I127" s="15" t="str">
        <f t="shared" si="3"/>
        <v>The Commissioner &amp; Chief Constable are satisfied the spend represents VFM in accordance with the requirements of Category B</v>
      </c>
    </row>
    <row r="128" spans="1:11" x14ac:dyDescent="0.2">
      <c r="A128" s="10" t="s">
        <v>8</v>
      </c>
      <c r="B128" s="11" t="s">
        <v>9</v>
      </c>
      <c r="C128" s="77" t="s">
        <v>162</v>
      </c>
      <c r="D128" s="86">
        <v>7176379</v>
      </c>
      <c r="E128" s="85">
        <v>45525</v>
      </c>
      <c r="F128" s="12">
        <v>7124</v>
      </c>
      <c r="G128" s="13" t="s">
        <v>39</v>
      </c>
      <c r="H128" s="14" t="str">
        <f t="shared" si="2"/>
        <v>B</v>
      </c>
      <c r="I128" s="15" t="str">
        <f t="shared" si="3"/>
        <v>The Commissioner &amp; Chief Constable are satisfied the spend represents VFM in accordance with the requirements of Category B</v>
      </c>
    </row>
    <row r="129" spans="1:13" x14ac:dyDescent="0.2">
      <c r="A129" s="10" t="s">
        <v>8</v>
      </c>
      <c r="B129" s="11" t="s">
        <v>9</v>
      </c>
      <c r="C129" s="77" t="s">
        <v>497</v>
      </c>
      <c r="D129" s="86">
        <v>7174608</v>
      </c>
      <c r="E129" s="85">
        <v>45516</v>
      </c>
      <c r="F129" s="12">
        <v>6846.1</v>
      </c>
      <c r="G129" s="13" t="s">
        <v>102</v>
      </c>
      <c r="H129" s="14" t="str">
        <f t="shared" si="2"/>
        <v>B</v>
      </c>
      <c r="I129" s="15" t="str">
        <f t="shared" si="3"/>
        <v>The Commissioner &amp; Chief Constable are satisfied the spend represents VFM in accordance with the requirements of Category B</v>
      </c>
    </row>
    <row r="130" spans="1:13" x14ac:dyDescent="0.2">
      <c r="A130" s="10" t="s">
        <v>8</v>
      </c>
      <c r="B130" s="11" t="s">
        <v>9</v>
      </c>
      <c r="C130" s="75" t="s">
        <v>468</v>
      </c>
      <c r="D130" s="86">
        <v>7176260</v>
      </c>
      <c r="E130" s="85">
        <v>45526</v>
      </c>
      <c r="F130" s="12">
        <v>6627.97</v>
      </c>
      <c r="G130" s="13" t="s">
        <v>37</v>
      </c>
      <c r="H130" s="14" t="str">
        <f t="shared" ref="H130:H193" si="4">IF(F130&gt;25000,"C",IF(F130&gt;1000,"B","A"))</f>
        <v>B</v>
      </c>
      <c r="I130" s="15" t="str">
        <f t="shared" ref="I130:I193" si="5">VLOOKUP(H130,$L$2:$M$4,2,FALSE)</f>
        <v>The Commissioner &amp; Chief Constable are satisfied the spend represents VFM in accordance with the requirements of Category B</v>
      </c>
    </row>
    <row r="131" spans="1:13" s="20" customFormat="1" x14ac:dyDescent="0.2">
      <c r="A131" s="10" t="s">
        <v>8</v>
      </c>
      <c r="B131" s="11" t="s">
        <v>9</v>
      </c>
      <c r="C131" s="75" t="s">
        <v>28</v>
      </c>
      <c r="D131" s="86">
        <v>7176268</v>
      </c>
      <c r="E131" s="85">
        <v>45526</v>
      </c>
      <c r="F131" s="12">
        <v>6611.75</v>
      </c>
      <c r="G131" s="13" t="s">
        <v>37</v>
      </c>
      <c r="H131" s="14" t="str">
        <f t="shared" si="4"/>
        <v>B</v>
      </c>
      <c r="I131" s="15" t="str">
        <f t="shared" si="5"/>
        <v>The Commissioner &amp; Chief Constable are satisfied the spend represents VFM in accordance with the requirements of Category B</v>
      </c>
      <c r="L131" s="17"/>
      <c r="M131" s="17"/>
    </row>
    <row r="132" spans="1:13" s="20" customFormat="1" x14ac:dyDescent="0.2">
      <c r="A132" s="10" t="s">
        <v>8</v>
      </c>
      <c r="B132" s="11" t="s">
        <v>9</v>
      </c>
      <c r="C132" s="75" t="s">
        <v>74</v>
      </c>
      <c r="D132" s="86">
        <v>7175731</v>
      </c>
      <c r="E132" s="85">
        <v>45523</v>
      </c>
      <c r="F132" s="12">
        <v>6410</v>
      </c>
      <c r="G132" s="13" t="s">
        <v>75</v>
      </c>
      <c r="H132" s="14" t="str">
        <f t="shared" si="4"/>
        <v>B</v>
      </c>
      <c r="I132" s="15" t="str">
        <f t="shared" si="5"/>
        <v>The Commissioner &amp; Chief Constable are satisfied the spend represents VFM in accordance with the requirements of Category B</v>
      </c>
      <c r="L132" s="17"/>
      <c r="M132" s="17"/>
    </row>
    <row r="133" spans="1:13" s="20" customFormat="1" x14ac:dyDescent="0.2">
      <c r="A133" s="10" t="s">
        <v>8</v>
      </c>
      <c r="B133" s="11" t="s">
        <v>9</v>
      </c>
      <c r="C133" s="75" t="s">
        <v>649</v>
      </c>
      <c r="D133" s="86">
        <v>7176255</v>
      </c>
      <c r="E133" s="85">
        <v>45526</v>
      </c>
      <c r="F133" s="12">
        <v>6362.25</v>
      </c>
      <c r="G133" s="13" t="s">
        <v>37</v>
      </c>
      <c r="H133" s="14" t="str">
        <f t="shared" si="4"/>
        <v>B</v>
      </c>
      <c r="I133" s="15" t="str">
        <f t="shared" si="5"/>
        <v>The Commissioner &amp; Chief Constable are satisfied the spend represents VFM in accordance with the requirements of Category B</v>
      </c>
      <c r="L133" s="17"/>
      <c r="M133" s="17"/>
    </row>
    <row r="134" spans="1:13" s="20" customFormat="1" x14ac:dyDescent="0.2">
      <c r="A134" s="10" t="s">
        <v>8</v>
      </c>
      <c r="B134" s="11" t="s">
        <v>9</v>
      </c>
      <c r="C134" s="75" t="s">
        <v>100</v>
      </c>
      <c r="D134" s="86">
        <v>7175905</v>
      </c>
      <c r="E134" s="85">
        <v>45512</v>
      </c>
      <c r="F134" s="12">
        <v>6204.33</v>
      </c>
      <c r="G134" s="13" t="s">
        <v>38</v>
      </c>
      <c r="H134" s="14" t="str">
        <f t="shared" si="4"/>
        <v>B</v>
      </c>
      <c r="I134" s="15" t="str">
        <f t="shared" si="5"/>
        <v>The Commissioner &amp; Chief Constable are satisfied the spend represents VFM in accordance with the requirements of Category B</v>
      </c>
      <c r="L134" s="17"/>
      <c r="M134" s="17"/>
    </row>
    <row r="135" spans="1:13" s="20" customFormat="1" x14ac:dyDescent="0.2">
      <c r="A135" s="10" t="s">
        <v>8</v>
      </c>
      <c r="B135" s="11" t="s">
        <v>9</v>
      </c>
      <c r="C135" s="77" t="s">
        <v>142</v>
      </c>
      <c r="D135" s="86">
        <v>7175600</v>
      </c>
      <c r="E135" s="85">
        <v>45505</v>
      </c>
      <c r="F135" s="12">
        <v>6156</v>
      </c>
      <c r="G135" s="13" t="s">
        <v>143</v>
      </c>
      <c r="H135" s="14" t="str">
        <f t="shared" si="4"/>
        <v>B</v>
      </c>
      <c r="I135" s="15" t="str">
        <f t="shared" si="5"/>
        <v>The Commissioner &amp; Chief Constable are satisfied the spend represents VFM in accordance with the requirements of Category B</v>
      </c>
      <c r="L135" s="17"/>
      <c r="M135" s="17"/>
    </row>
    <row r="136" spans="1:13" s="20" customFormat="1" x14ac:dyDescent="0.2">
      <c r="A136" s="10" t="s">
        <v>8</v>
      </c>
      <c r="B136" s="11" t="s">
        <v>9</v>
      </c>
      <c r="C136" s="75" t="s">
        <v>52</v>
      </c>
      <c r="D136" s="86">
        <v>7176074</v>
      </c>
      <c r="E136" s="85">
        <v>45517</v>
      </c>
      <c r="F136" s="12">
        <v>6080</v>
      </c>
      <c r="G136" s="13" t="s">
        <v>45</v>
      </c>
      <c r="H136" s="14" t="str">
        <f t="shared" si="4"/>
        <v>B</v>
      </c>
      <c r="I136" s="15" t="str">
        <f t="shared" si="5"/>
        <v>The Commissioner &amp; Chief Constable are satisfied the spend represents VFM in accordance with the requirements of Category B</v>
      </c>
      <c r="L136" s="17"/>
      <c r="M136" s="17"/>
    </row>
    <row r="137" spans="1:13" s="20" customFormat="1" x14ac:dyDescent="0.2">
      <c r="A137" s="10" t="s">
        <v>8</v>
      </c>
      <c r="B137" s="11" t="s">
        <v>9</v>
      </c>
      <c r="C137" s="75" t="s">
        <v>33</v>
      </c>
      <c r="D137" s="86">
        <v>7173828</v>
      </c>
      <c r="E137" s="85">
        <v>45517</v>
      </c>
      <c r="F137" s="12">
        <v>6000</v>
      </c>
      <c r="G137" s="13" t="s">
        <v>106</v>
      </c>
      <c r="H137" s="14" t="str">
        <f t="shared" si="4"/>
        <v>B</v>
      </c>
      <c r="I137" s="15" t="str">
        <f t="shared" si="5"/>
        <v>The Commissioner &amp; Chief Constable are satisfied the spend represents VFM in accordance with the requirements of Category B</v>
      </c>
      <c r="L137" s="17"/>
      <c r="M137" s="17"/>
    </row>
    <row r="138" spans="1:13" s="20" customFormat="1" x14ac:dyDescent="0.2">
      <c r="A138" s="10" t="s">
        <v>8</v>
      </c>
      <c r="B138" s="11" t="s">
        <v>9</v>
      </c>
      <c r="C138" s="75" t="s">
        <v>497</v>
      </c>
      <c r="D138" s="86">
        <v>7176293</v>
      </c>
      <c r="E138" s="85">
        <v>45526</v>
      </c>
      <c r="F138" s="12">
        <v>5988</v>
      </c>
      <c r="G138" s="13" t="s">
        <v>37</v>
      </c>
      <c r="H138" s="14" t="str">
        <f t="shared" si="4"/>
        <v>B</v>
      </c>
      <c r="I138" s="15" t="str">
        <f t="shared" si="5"/>
        <v>The Commissioner &amp; Chief Constable are satisfied the spend represents VFM in accordance with the requirements of Category B</v>
      </c>
      <c r="L138" s="17"/>
      <c r="M138" s="17"/>
    </row>
    <row r="139" spans="1:13" s="20" customFormat="1" x14ac:dyDescent="0.2">
      <c r="A139" s="10" t="s">
        <v>8</v>
      </c>
      <c r="B139" s="11" t="s">
        <v>9</v>
      </c>
      <c r="C139" s="75" t="s">
        <v>146</v>
      </c>
      <c r="D139" s="86">
        <v>7175872</v>
      </c>
      <c r="E139" s="85">
        <v>45516</v>
      </c>
      <c r="F139" s="12">
        <v>5828.75</v>
      </c>
      <c r="G139" s="13" t="s">
        <v>24</v>
      </c>
      <c r="H139" s="14" t="str">
        <f t="shared" si="4"/>
        <v>B</v>
      </c>
      <c r="I139" s="15" t="str">
        <f t="shared" si="5"/>
        <v>The Commissioner &amp; Chief Constable are satisfied the spend represents VFM in accordance with the requirements of Category B</v>
      </c>
      <c r="L139" s="17"/>
      <c r="M139" s="17"/>
    </row>
    <row r="140" spans="1:13" s="20" customFormat="1" x14ac:dyDescent="0.2">
      <c r="A140" s="10" t="s">
        <v>8</v>
      </c>
      <c r="B140" s="11" t="s">
        <v>9</v>
      </c>
      <c r="C140" s="75" t="s">
        <v>161</v>
      </c>
      <c r="D140" s="86">
        <v>7176213</v>
      </c>
      <c r="E140" s="85">
        <v>45523</v>
      </c>
      <c r="F140" s="12">
        <v>5728.37</v>
      </c>
      <c r="G140" s="13" t="s">
        <v>390</v>
      </c>
      <c r="H140" s="14" t="str">
        <f t="shared" si="4"/>
        <v>B</v>
      </c>
      <c r="I140" s="15" t="str">
        <f t="shared" si="5"/>
        <v>The Commissioner &amp; Chief Constable are satisfied the spend represents VFM in accordance with the requirements of Category B</v>
      </c>
      <c r="L140" s="17"/>
      <c r="M140" s="17"/>
    </row>
    <row r="141" spans="1:13" s="20" customFormat="1" x14ac:dyDescent="0.2">
      <c r="A141" s="10" t="s">
        <v>8</v>
      </c>
      <c r="B141" s="11" t="s">
        <v>9</v>
      </c>
      <c r="C141" s="75" t="s">
        <v>74</v>
      </c>
      <c r="D141" s="86">
        <v>7176012</v>
      </c>
      <c r="E141" s="85">
        <v>45527</v>
      </c>
      <c r="F141" s="12">
        <v>5660.52</v>
      </c>
      <c r="G141" s="13" t="s">
        <v>75</v>
      </c>
      <c r="H141" s="14" t="str">
        <f t="shared" si="4"/>
        <v>B</v>
      </c>
      <c r="I141" s="15" t="str">
        <f t="shared" si="5"/>
        <v>The Commissioner &amp; Chief Constable are satisfied the spend represents VFM in accordance with the requirements of Category B</v>
      </c>
      <c r="L141" s="17"/>
      <c r="M141" s="17"/>
    </row>
    <row r="142" spans="1:13" s="20" customFormat="1" x14ac:dyDescent="0.2">
      <c r="A142" s="10" t="s">
        <v>8</v>
      </c>
      <c r="B142" s="11" t="s">
        <v>9</v>
      </c>
      <c r="C142" s="77" t="s">
        <v>139</v>
      </c>
      <c r="D142" s="86">
        <v>7175903</v>
      </c>
      <c r="E142" s="85">
        <v>45513</v>
      </c>
      <c r="F142" s="12">
        <v>5554.83</v>
      </c>
      <c r="G142" s="13" t="s">
        <v>39</v>
      </c>
      <c r="H142" s="14" t="str">
        <f t="shared" si="4"/>
        <v>B</v>
      </c>
      <c r="I142" s="15" t="str">
        <f t="shared" si="5"/>
        <v>The Commissioner &amp; Chief Constable are satisfied the spend represents VFM in accordance with the requirements of Category B</v>
      </c>
      <c r="L142" s="17"/>
      <c r="M142" s="17"/>
    </row>
    <row r="143" spans="1:13" s="20" customFormat="1" x14ac:dyDescent="0.2">
      <c r="A143" s="10" t="s">
        <v>8</v>
      </c>
      <c r="B143" s="11" t="s">
        <v>9</v>
      </c>
      <c r="C143" s="75" t="s">
        <v>527</v>
      </c>
      <c r="D143" s="86">
        <v>7174256</v>
      </c>
      <c r="E143" s="85">
        <v>45531</v>
      </c>
      <c r="F143" s="12">
        <v>5525.82</v>
      </c>
      <c r="G143" s="13" t="s">
        <v>296</v>
      </c>
      <c r="H143" s="14" t="str">
        <f t="shared" si="4"/>
        <v>B</v>
      </c>
      <c r="I143" s="15" t="str">
        <f t="shared" si="5"/>
        <v>The Commissioner &amp; Chief Constable are satisfied the spend represents VFM in accordance with the requirements of Category B</v>
      </c>
      <c r="L143" s="17"/>
      <c r="M143" s="17"/>
    </row>
    <row r="144" spans="1:13" s="20" customFormat="1" x14ac:dyDescent="0.2">
      <c r="A144" s="10" t="s">
        <v>8</v>
      </c>
      <c r="B144" s="11" t="s">
        <v>9</v>
      </c>
      <c r="C144" s="75" t="s">
        <v>28</v>
      </c>
      <c r="D144" s="86">
        <v>7176269</v>
      </c>
      <c r="E144" s="85">
        <v>45526</v>
      </c>
      <c r="F144" s="12">
        <v>5489</v>
      </c>
      <c r="G144" s="13" t="s">
        <v>37</v>
      </c>
      <c r="H144" s="14" t="str">
        <f t="shared" si="4"/>
        <v>B</v>
      </c>
      <c r="I144" s="15" t="str">
        <f t="shared" si="5"/>
        <v>The Commissioner &amp; Chief Constable are satisfied the spend represents VFM in accordance with the requirements of Category B</v>
      </c>
      <c r="L144" s="17"/>
      <c r="M144" s="17"/>
    </row>
    <row r="145" spans="1:13" s="20" customFormat="1" x14ac:dyDescent="0.2">
      <c r="A145" s="10" t="s">
        <v>8</v>
      </c>
      <c r="B145" s="11" t="s">
        <v>9</v>
      </c>
      <c r="C145" s="77" t="s">
        <v>869</v>
      </c>
      <c r="D145" s="86">
        <v>7174937</v>
      </c>
      <c r="E145" s="85">
        <v>45510</v>
      </c>
      <c r="F145" s="12">
        <v>5358</v>
      </c>
      <c r="G145" s="13" t="s">
        <v>80</v>
      </c>
      <c r="H145" s="14" t="str">
        <f t="shared" si="4"/>
        <v>B</v>
      </c>
      <c r="I145" s="15" t="str">
        <f t="shared" si="5"/>
        <v>The Commissioner &amp; Chief Constable are satisfied the spend represents VFM in accordance with the requirements of Category B</v>
      </c>
      <c r="L145" s="17"/>
      <c r="M145" s="17"/>
    </row>
    <row r="146" spans="1:13" s="20" customFormat="1" x14ac:dyDescent="0.2">
      <c r="A146" s="10" t="s">
        <v>8</v>
      </c>
      <c r="B146" s="11" t="s">
        <v>9</v>
      </c>
      <c r="C146" s="77" t="s">
        <v>497</v>
      </c>
      <c r="D146" s="86">
        <v>7176289</v>
      </c>
      <c r="E146" s="85">
        <v>45526</v>
      </c>
      <c r="F146" s="18">
        <v>5239.5</v>
      </c>
      <c r="G146" s="13" t="s">
        <v>37</v>
      </c>
      <c r="H146" s="14" t="str">
        <f t="shared" si="4"/>
        <v>B</v>
      </c>
      <c r="I146" s="15" t="str">
        <f t="shared" si="5"/>
        <v>The Commissioner &amp; Chief Constable are satisfied the spend represents VFM in accordance with the requirements of Category B</v>
      </c>
      <c r="L146" s="17"/>
      <c r="M146" s="17"/>
    </row>
    <row r="147" spans="1:13" s="20" customFormat="1" x14ac:dyDescent="0.2">
      <c r="A147" s="10" t="s">
        <v>8</v>
      </c>
      <c r="B147" s="11" t="s">
        <v>9</v>
      </c>
      <c r="C147" s="75" t="s">
        <v>152</v>
      </c>
      <c r="D147" s="86">
        <v>7174891</v>
      </c>
      <c r="E147" s="85">
        <v>45520</v>
      </c>
      <c r="F147" s="18">
        <v>5187.03</v>
      </c>
      <c r="G147" s="13" t="s">
        <v>129</v>
      </c>
      <c r="H147" s="14" t="str">
        <f t="shared" si="4"/>
        <v>B</v>
      </c>
      <c r="I147" s="15" t="str">
        <f t="shared" si="5"/>
        <v>The Commissioner &amp; Chief Constable are satisfied the spend represents VFM in accordance with the requirements of Category B</v>
      </c>
      <c r="L147" s="17"/>
      <c r="M147" s="17"/>
    </row>
    <row r="148" spans="1:13" s="20" customFormat="1" x14ac:dyDescent="0.2">
      <c r="A148" s="10" t="s">
        <v>8</v>
      </c>
      <c r="B148" s="11" t="s">
        <v>9</v>
      </c>
      <c r="C148" s="75" t="s">
        <v>170</v>
      </c>
      <c r="D148" s="86">
        <v>7176248</v>
      </c>
      <c r="E148" s="85">
        <v>45526</v>
      </c>
      <c r="F148" s="18">
        <v>5114.75</v>
      </c>
      <c r="G148" s="13" t="s">
        <v>37</v>
      </c>
      <c r="H148" s="14" t="str">
        <f t="shared" si="4"/>
        <v>B</v>
      </c>
      <c r="I148" s="15" t="str">
        <f t="shared" si="5"/>
        <v>The Commissioner &amp; Chief Constable are satisfied the spend represents VFM in accordance with the requirements of Category B</v>
      </c>
      <c r="L148" s="17"/>
      <c r="M148" s="17"/>
    </row>
    <row r="149" spans="1:13" s="20" customFormat="1" x14ac:dyDescent="0.2">
      <c r="A149" s="10" t="s">
        <v>8</v>
      </c>
      <c r="B149" s="11" t="s">
        <v>9</v>
      </c>
      <c r="C149" s="75" t="s">
        <v>170</v>
      </c>
      <c r="D149" s="86">
        <v>7176250</v>
      </c>
      <c r="E149" s="85">
        <v>45526</v>
      </c>
      <c r="F149" s="12">
        <v>5114.75</v>
      </c>
      <c r="G149" s="13" t="s">
        <v>37</v>
      </c>
      <c r="H149" s="14" t="str">
        <f t="shared" si="4"/>
        <v>B</v>
      </c>
      <c r="I149" s="15" t="str">
        <f t="shared" si="5"/>
        <v>The Commissioner &amp; Chief Constable are satisfied the spend represents VFM in accordance with the requirements of Category B</v>
      </c>
      <c r="L149" s="17"/>
      <c r="M149" s="17"/>
    </row>
    <row r="150" spans="1:13" s="20" customFormat="1" x14ac:dyDescent="0.2">
      <c r="A150" s="10" t="s">
        <v>8</v>
      </c>
      <c r="B150" s="11" t="s">
        <v>9</v>
      </c>
      <c r="C150" s="75" t="s">
        <v>168</v>
      </c>
      <c r="D150" s="86">
        <v>3068344</v>
      </c>
      <c r="E150" s="85">
        <v>45513</v>
      </c>
      <c r="F150" s="12">
        <v>5000</v>
      </c>
      <c r="G150" s="13" t="s">
        <v>169</v>
      </c>
      <c r="H150" s="14" t="str">
        <f t="shared" si="4"/>
        <v>B</v>
      </c>
      <c r="I150" s="15" t="str">
        <f t="shared" si="5"/>
        <v>The Commissioner &amp; Chief Constable are satisfied the spend represents VFM in accordance with the requirements of Category B</v>
      </c>
      <c r="L150" s="17"/>
      <c r="M150" s="17"/>
    </row>
    <row r="151" spans="1:13" s="20" customFormat="1" x14ac:dyDescent="0.2">
      <c r="A151" s="10" t="s">
        <v>8</v>
      </c>
      <c r="B151" s="11" t="s">
        <v>9</v>
      </c>
      <c r="C151" s="75" t="s">
        <v>168</v>
      </c>
      <c r="D151" s="86">
        <v>3068350</v>
      </c>
      <c r="E151" s="85">
        <v>45516</v>
      </c>
      <c r="F151" s="12">
        <v>5000</v>
      </c>
      <c r="G151" s="13" t="s">
        <v>169</v>
      </c>
      <c r="H151" s="14" t="str">
        <f t="shared" si="4"/>
        <v>B</v>
      </c>
      <c r="I151" s="15" t="str">
        <f t="shared" si="5"/>
        <v>The Commissioner &amp; Chief Constable are satisfied the spend represents VFM in accordance with the requirements of Category B</v>
      </c>
      <c r="L151" s="17"/>
      <c r="M151" s="17"/>
    </row>
    <row r="152" spans="1:13" s="20" customFormat="1" x14ac:dyDescent="0.2">
      <c r="A152" s="10" t="s">
        <v>8</v>
      </c>
      <c r="B152" s="11" t="s">
        <v>9</v>
      </c>
      <c r="C152" s="75" t="s">
        <v>448</v>
      </c>
      <c r="D152" s="86">
        <v>7176454</v>
      </c>
      <c r="E152" s="85">
        <v>45531</v>
      </c>
      <c r="F152" s="12">
        <v>5000</v>
      </c>
      <c r="G152" s="13" t="s">
        <v>27</v>
      </c>
      <c r="H152" s="14" t="str">
        <f t="shared" si="4"/>
        <v>B</v>
      </c>
      <c r="I152" s="15" t="str">
        <f t="shared" si="5"/>
        <v>The Commissioner &amp; Chief Constable are satisfied the spend represents VFM in accordance with the requirements of Category B</v>
      </c>
      <c r="L152" s="17"/>
      <c r="M152" s="17"/>
    </row>
    <row r="153" spans="1:13" s="20" customFormat="1" x14ac:dyDescent="0.2">
      <c r="A153" s="10" t="s">
        <v>8</v>
      </c>
      <c r="B153" s="11" t="s">
        <v>9</v>
      </c>
      <c r="C153" s="75" t="s">
        <v>23</v>
      </c>
      <c r="D153" s="86">
        <v>7175789</v>
      </c>
      <c r="E153" s="85">
        <v>45532</v>
      </c>
      <c r="F153" s="12">
        <v>4873.97</v>
      </c>
      <c r="G153" s="13" t="s">
        <v>24</v>
      </c>
      <c r="H153" s="14" t="str">
        <f t="shared" si="4"/>
        <v>B</v>
      </c>
      <c r="I153" s="15" t="str">
        <f t="shared" si="5"/>
        <v>The Commissioner &amp; Chief Constable are satisfied the spend represents VFM in accordance with the requirements of Category B</v>
      </c>
      <c r="L153" s="17"/>
      <c r="M153" s="17"/>
    </row>
    <row r="154" spans="1:13" s="20" customFormat="1" x14ac:dyDescent="0.2">
      <c r="A154" s="10" t="s">
        <v>8</v>
      </c>
      <c r="B154" s="11" t="s">
        <v>9</v>
      </c>
      <c r="C154" s="75" t="s">
        <v>172</v>
      </c>
      <c r="D154" s="86">
        <v>7176151</v>
      </c>
      <c r="E154" s="85">
        <v>45526</v>
      </c>
      <c r="F154" s="12">
        <v>4800</v>
      </c>
      <c r="G154" s="13" t="s">
        <v>112</v>
      </c>
      <c r="H154" s="14" t="str">
        <f t="shared" si="4"/>
        <v>B</v>
      </c>
      <c r="I154" s="15" t="str">
        <f t="shared" si="5"/>
        <v>The Commissioner &amp; Chief Constable are satisfied the spend represents VFM in accordance with the requirements of Category B</v>
      </c>
      <c r="L154" s="17"/>
      <c r="M154" s="17"/>
    </row>
    <row r="155" spans="1:13" s="20" customFormat="1" x14ac:dyDescent="0.2">
      <c r="A155" s="10" t="s">
        <v>8</v>
      </c>
      <c r="B155" s="11" t="s">
        <v>9</v>
      </c>
      <c r="C155" s="75" t="s">
        <v>150</v>
      </c>
      <c r="D155" s="86">
        <v>7174557</v>
      </c>
      <c r="E155" s="85">
        <v>45525</v>
      </c>
      <c r="F155" s="12">
        <v>667.81000000000006</v>
      </c>
      <c r="G155" s="13" t="s">
        <v>131</v>
      </c>
      <c r="H155" s="14" t="str">
        <f t="shared" si="4"/>
        <v>A</v>
      </c>
      <c r="I155" s="15" t="str">
        <f t="shared" si="5"/>
        <v>The Commissioner &amp; Chief Constable are satisfied the spend represents VFM in accordance with the requirements of Category A</v>
      </c>
      <c r="L155" s="17"/>
      <c r="M155" s="17"/>
    </row>
    <row r="156" spans="1:13" s="20" customFormat="1" x14ac:dyDescent="0.2">
      <c r="A156" s="10" t="s">
        <v>8</v>
      </c>
      <c r="B156" s="11" t="s">
        <v>9</v>
      </c>
      <c r="C156" s="75" t="s">
        <v>150</v>
      </c>
      <c r="D156" s="86">
        <v>7174557</v>
      </c>
      <c r="E156" s="85">
        <v>45525</v>
      </c>
      <c r="F156" s="12">
        <v>85.2</v>
      </c>
      <c r="G156" s="13" t="s">
        <v>155</v>
      </c>
      <c r="H156" s="14" t="str">
        <f t="shared" si="4"/>
        <v>A</v>
      </c>
      <c r="I156" s="15" t="str">
        <f t="shared" si="5"/>
        <v>The Commissioner &amp; Chief Constable are satisfied the spend represents VFM in accordance with the requirements of Category A</v>
      </c>
      <c r="L156" s="17"/>
      <c r="M156" s="17"/>
    </row>
    <row r="157" spans="1:13" s="20" customFormat="1" x14ac:dyDescent="0.2">
      <c r="A157" s="10" t="s">
        <v>8</v>
      </c>
      <c r="B157" s="11" t="s">
        <v>9</v>
      </c>
      <c r="C157" s="77" t="s">
        <v>150</v>
      </c>
      <c r="D157" s="86">
        <v>7174557</v>
      </c>
      <c r="E157" s="85">
        <v>45525</v>
      </c>
      <c r="F157" s="12">
        <v>3971.2999999999997</v>
      </c>
      <c r="G157" s="13" t="s">
        <v>151</v>
      </c>
      <c r="H157" s="14" t="str">
        <f t="shared" si="4"/>
        <v>B</v>
      </c>
      <c r="I157" s="15" t="str">
        <f t="shared" si="5"/>
        <v>The Commissioner &amp; Chief Constable are satisfied the spend represents VFM in accordance with the requirements of Category B</v>
      </c>
      <c r="L157" s="17"/>
      <c r="M157" s="17"/>
    </row>
    <row r="158" spans="1:13" s="20" customFormat="1" x14ac:dyDescent="0.2">
      <c r="A158" s="10" t="s">
        <v>8</v>
      </c>
      <c r="B158" s="11" t="s">
        <v>9</v>
      </c>
      <c r="C158" s="75" t="s">
        <v>150</v>
      </c>
      <c r="D158" s="86">
        <v>7174557</v>
      </c>
      <c r="E158" s="85">
        <v>45525</v>
      </c>
      <c r="F158" s="12">
        <v>32.9</v>
      </c>
      <c r="G158" s="13" t="s">
        <v>42</v>
      </c>
      <c r="H158" s="14" t="str">
        <f t="shared" si="4"/>
        <v>A</v>
      </c>
      <c r="I158" s="15" t="str">
        <f t="shared" si="5"/>
        <v>The Commissioner &amp; Chief Constable are satisfied the spend represents VFM in accordance with the requirements of Category A</v>
      </c>
      <c r="L158" s="17"/>
      <c r="M158" s="17"/>
    </row>
    <row r="159" spans="1:13" s="20" customFormat="1" x14ac:dyDescent="0.2">
      <c r="A159" s="10" t="s">
        <v>8</v>
      </c>
      <c r="B159" s="11" t="s">
        <v>9</v>
      </c>
      <c r="C159" s="75" t="s">
        <v>816</v>
      </c>
      <c r="D159" s="86">
        <v>7175450</v>
      </c>
      <c r="E159" s="85">
        <v>45505</v>
      </c>
      <c r="F159" s="12">
        <v>4723.8</v>
      </c>
      <c r="G159" s="13" t="s">
        <v>38</v>
      </c>
      <c r="H159" s="14" t="str">
        <f t="shared" si="4"/>
        <v>B</v>
      </c>
      <c r="I159" s="15" t="str">
        <f t="shared" si="5"/>
        <v>The Commissioner &amp; Chief Constable are satisfied the spend represents VFM in accordance with the requirements of Category B</v>
      </c>
      <c r="L159" s="17"/>
      <c r="M159" s="17"/>
    </row>
    <row r="160" spans="1:13" s="20" customFormat="1" x14ac:dyDescent="0.2">
      <c r="A160" s="10" t="s">
        <v>8</v>
      </c>
      <c r="B160" s="11" t="s">
        <v>9</v>
      </c>
      <c r="C160" s="75" t="s">
        <v>369</v>
      </c>
      <c r="D160" s="86">
        <v>7176298</v>
      </c>
      <c r="E160" s="85">
        <v>45524</v>
      </c>
      <c r="F160" s="12">
        <v>4597</v>
      </c>
      <c r="G160" s="13" t="s">
        <v>39</v>
      </c>
      <c r="H160" s="14" t="str">
        <f t="shared" si="4"/>
        <v>B</v>
      </c>
      <c r="I160" s="15" t="str">
        <f t="shared" si="5"/>
        <v>The Commissioner &amp; Chief Constable are satisfied the spend represents VFM in accordance with the requirements of Category B</v>
      </c>
      <c r="L160" s="17"/>
      <c r="M160" s="17"/>
    </row>
    <row r="161" spans="1:13" s="20" customFormat="1" x14ac:dyDescent="0.2">
      <c r="A161" s="10" t="s">
        <v>8</v>
      </c>
      <c r="B161" s="11" t="s">
        <v>9</v>
      </c>
      <c r="C161" s="75" t="s">
        <v>74</v>
      </c>
      <c r="D161" s="86">
        <v>7175809</v>
      </c>
      <c r="E161" s="85">
        <v>45518</v>
      </c>
      <c r="F161" s="12">
        <v>4530.78</v>
      </c>
      <c r="G161" s="13" t="s">
        <v>75</v>
      </c>
      <c r="H161" s="14" t="str">
        <f t="shared" si="4"/>
        <v>B</v>
      </c>
      <c r="I161" s="15" t="str">
        <f t="shared" si="5"/>
        <v>The Commissioner &amp; Chief Constable are satisfied the spend represents VFM in accordance with the requirements of Category B</v>
      </c>
      <c r="L161" s="17"/>
      <c r="M161" s="17"/>
    </row>
    <row r="162" spans="1:13" s="20" customFormat="1" x14ac:dyDescent="0.2">
      <c r="A162" s="10" t="s">
        <v>8</v>
      </c>
      <c r="B162" s="11" t="s">
        <v>9</v>
      </c>
      <c r="C162" s="75" t="s">
        <v>247</v>
      </c>
      <c r="D162" s="86">
        <v>7175745</v>
      </c>
      <c r="E162" s="85">
        <v>45506</v>
      </c>
      <c r="F162" s="12">
        <v>4500</v>
      </c>
      <c r="G162" s="13" t="s">
        <v>194</v>
      </c>
      <c r="H162" s="14" t="str">
        <f t="shared" si="4"/>
        <v>B</v>
      </c>
      <c r="I162" s="15" t="str">
        <f t="shared" si="5"/>
        <v>The Commissioner &amp; Chief Constable are satisfied the spend represents VFM in accordance with the requirements of Category B</v>
      </c>
      <c r="L162" s="17"/>
      <c r="M162" s="17"/>
    </row>
    <row r="163" spans="1:13" s="20" customFormat="1" x14ac:dyDescent="0.2">
      <c r="A163" s="10" t="s">
        <v>8</v>
      </c>
      <c r="B163" s="11" t="s">
        <v>9</v>
      </c>
      <c r="C163" s="75" t="s">
        <v>247</v>
      </c>
      <c r="D163" s="86">
        <v>7175746</v>
      </c>
      <c r="E163" s="85">
        <v>45506</v>
      </c>
      <c r="F163" s="12">
        <v>4500</v>
      </c>
      <c r="G163" s="13" t="s">
        <v>194</v>
      </c>
      <c r="H163" s="14" t="str">
        <f t="shared" si="4"/>
        <v>B</v>
      </c>
      <c r="I163" s="15" t="str">
        <f t="shared" si="5"/>
        <v>The Commissioner &amp; Chief Constable are satisfied the spend represents VFM in accordance with the requirements of Category B</v>
      </c>
      <c r="L163" s="17"/>
      <c r="M163" s="17"/>
    </row>
    <row r="164" spans="1:13" s="20" customFormat="1" x14ac:dyDescent="0.2">
      <c r="A164" s="10" t="s">
        <v>8</v>
      </c>
      <c r="B164" s="11" t="s">
        <v>9</v>
      </c>
      <c r="C164" s="75" t="s">
        <v>170</v>
      </c>
      <c r="D164" s="86">
        <v>7176473</v>
      </c>
      <c r="E164" s="85">
        <v>45527</v>
      </c>
      <c r="F164" s="12">
        <v>4437.8599999999997</v>
      </c>
      <c r="G164" s="13" t="s">
        <v>37</v>
      </c>
      <c r="H164" s="14" t="str">
        <f t="shared" si="4"/>
        <v>B</v>
      </c>
      <c r="I164" s="15" t="str">
        <f t="shared" si="5"/>
        <v>The Commissioner &amp; Chief Constable are satisfied the spend represents VFM in accordance with the requirements of Category B</v>
      </c>
      <c r="L164" s="17"/>
      <c r="M164" s="17"/>
    </row>
    <row r="165" spans="1:13" s="20" customFormat="1" x14ac:dyDescent="0.2">
      <c r="A165" s="10" t="s">
        <v>8</v>
      </c>
      <c r="B165" s="11" t="s">
        <v>9</v>
      </c>
      <c r="C165" s="75" t="s">
        <v>490</v>
      </c>
      <c r="D165" s="86">
        <v>7176273</v>
      </c>
      <c r="E165" s="85">
        <v>45526</v>
      </c>
      <c r="F165" s="12">
        <v>4391.2</v>
      </c>
      <c r="G165" s="13" t="s">
        <v>37</v>
      </c>
      <c r="H165" s="14" t="str">
        <f t="shared" si="4"/>
        <v>B</v>
      </c>
      <c r="I165" s="15" t="str">
        <f t="shared" si="5"/>
        <v>The Commissioner &amp; Chief Constable are satisfied the spend represents VFM in accordance with the requirements of Category B</v>
      </c>
      <c r="L165" s="17"/>
      <c r="M165" s="17"/>
    </row>
    <row r="166" spans="1:13" s="20" customFormat="1" x14ac:dyDescent="0.2">
      <c r="A166" s="10" t="s">
        <v>8</v>
      </c>
      <c r="B166" s="11" t="s">
        <v>9</v>
      </c>
      <c r="C166" s="75" t="s">
        <v>74</v>
      </c>
      <c r="D166" s="86">
        <v>7176204</v>
      </c>
      <c r="E166" s="85">
        <v>45523</v>
      </c>
      <c r="F166" s="12">
        <v>4307.7</v>
      </c>
      <c r="G166" s="13" t="s">
        <v>75</v>
      </c>
      <c r="H166" s="14" t="str">
        <f t="shared" si="4"/>
        <v>B</v>
      </c>
      <c r="I166" s="15" t="str">
        <f t="shared" si="5"/>
        <v>The Commissioner &amp; Chief Constable are satisfied the spend represents VFM in accordance with the requirements of Category B</v>
      </c>
      <c r="L166" s="17"/>
      <c r="M166" s="17"/>
    </row>
    <row r="167" spans="1:13" s="20" customFormat="1" x14ac:dyDescent="0.2">
      <c r="A167" s="10" t="s">
        <v>8</v>
      </c>
      <c r="B167" s="11" t="s">
        <v>9</v>
      </c>
      <c r="C167" s="75" t="s">
        <v>369</v>
      </c>
      <c r="D167" s="86">
        <v>7176295</v>
      </c>
      <c r="E167" s="85">
        <v>45524</v>
      </c>
      <c r="F167" s="12">
        <v>4268</v>
      </c>
      <c r="G167" s="13" t="s">
        <v>39</v>
      </c>
      <c r="H167" s="14" t="str">
        <f t="shared" si="4"/>
        <v>B</v>
      </c>
      <c r="I167" s="15" t="str">
        <f t="shared" si="5"/>
        <v>The Commissioner &amp; Chief Constable are satisfied the spend represents VFM in accordance with the requirements of Category B</v>
      </c>
      <c r="L167" s="17"/>
      <c r="M167" s="17"/>
    </row>
    <row r="168" spans="1:13" s="20" customFormat="1" x14ac:dyDescent="0.2">
      <c r="A168" s="10" t="s">
        <v>8</v>
      </c>
      <c r="B168" s="11" t="s">
        <v>9</v>
      </c>
      <c r="C168" s="75" t="s">
        <v>639</v>
      </c>
      <c r="D168" s="86">
        <v>7176265</v>
      </c>
      <c r="E168" s="85">
        <v>45526</v>
      </c>
      <c r="F168" s="12">
        <v>4241.5</v>
      </c>
      <c r="G168" s="13" t="s">
        <v>37</v>
      </c>
      <c r="H168" s="14" t="str">
        <f t="shared" si="4"/>
        <v>B</v>
      </c>
      <c r="I168" s="15" t="str">
        <f t="shared" si="5"/>
        <v>The Commissioner &amp; Chief Constable are satisfied the spend represents VFM in accordance with the requirements of Category B</v>
      </c>
      <c r="L168" s="17"/>
      <c r="M168" s="17"/>
    </row>
    <row r="169" spans="1:13" s="20" customFormat="1" x14ac:dyDescent="0.2">
      <c r="A169" s="10" t="s">
        <v>8</v>
      </c>
      <c r="B169" s="11" t="s">
        <v>9</v>
      </c>
      <c r="C169" s="75" t="s">
        <v>173</v>
      </c>
      <c r="D169" s="86">
        <v>7175868</v>
      </c>
      <c r="E169" s="85">
        <v>45511</v>
      </c>
      <c r="F169" s="12">
        <v>4216.67</v>
      </c>
      <c r="G169" s="13" t="s">
        <v>80</v>
      </c>
      <c r="H169" s="14" t="str">
        <f t="shared" si="4"/>
        <v>B</v>
      </c>
      <c r="I169" s="15" t="str">
        <f t="shared" si="5"/>
        <v>The Commissioner &amp; Chief Constable are satisfied the spend represents VFM in accordance with the requirements of Category B</v>
      </c>
      <c r="L169" s="17"/>
      <c r="M169" s="17"/>
    </row>
    <row r="170" spans="1:13" s="20" customFormat="1" x14ac:dyDescent="0.2">
      <c r="A170" s="10" t="s">
        <v>8</v>
      </c>
      <c r="B170" s="11" t="s">
        <v>9</v>
      </c>
      <c r="C170" s="75" t="s">
        <v>142</v>
      </c>
      <c r="D170" s="86">
        <v>7176316</v>
      </c>
      <c r="E170" s="85">
        <v>45524</v>
      </c>
      <c r="F170" s="12">
        <v>4210.3999999999996</v>
      </c>
      <c r="G170" s="13" t="s">
        <v>143</v>
      </c>
      <c r="H170" s="14" t="str">
        <f t="shared" si="4"/>
        <v>B</v>
      </c>
      <c r="I170" s="15" t="str">
        <f t="shared" si="5"/>
        <v>The Commissioner &amp; Chief Constable are satisfied the spend represents VFM in accordance with the requirements of Category B</v>
      </c>
      <c r="L170" s="17"/>
      <c r="M170" s="17"/>
    </row>
    <row r="171" spans="1:13" s="20" customFormat="1" x14ac:dyDescent="0.2">
      <c r="A171" s="10" t="s">
        <v>8</v>
      </c>
      <c r="B171" s="11" t="s">
        <v>9</v>
      </c>
      <c r="C171" s="75" t="s">
        <v>140</v>
      </c>
      <c r="D171" s="86">
        <v>7176175</v>
      </c>
      <c r="E171" s="85">
        <v>45519</v>
      </c>
      <c r="F171" s="12">
        <v>4205.1000000000004</v>
      </c>
      <c r="G171" s="13" t="s">
        <v>156</v>
      </c>
      <c r="H171" s="14" t="str">
        <f t="shared" si="4"/>
        <v>B</v>
      </c>
      <c r="I171" s="15" t="str">
        <f t="shared" si="5"/>
        <v>The Commissioner &amp; Chief Constable are satisfied the spend represents VFM in accordance with the requirements of Category B</v>
      </c>
      <c r="L171" s="17"/>
      <c r="M171" s="17"/>
    </row>
    <row r="172" spans="1:13" s="20" customFormat="1" x14ac:dyDescent="0.2">
      <c r="A172" s="10" t="s">
        <v>8</v>
      </c>
      <c r="B172" s="11" t="s">
        <v>9</v>
      </c>
      <c r="C172" s="75" t="s">
        <v>119</v>
      </c>
      <c r="D172" s="86">
        <v>7176440</v>
      </c>
      <c r="E172" s="85">
        <v>45527</v>
      </c>
      <c r="F172" s="12">
        <v>4179.18</v>
      </c>
      <c r="G172" s="13" t="s">
        <v>120</v>
      </c>
      <c r="H172" s="14" t="str">
        <f t="shared" si="4"/>
        <v>B</v>
      </c>
      <c r="I172" s="15" t="str">
        <f t="shared" si="5"/>
        <v>The Commissioner &amp; Chief Constable are satisfied the spend represents VFM in accordance with the requirements of Category B</v>
      </c>
      <c r="L172" s="17"/>
      <c r="M172" s="17"/>
    </row>
    <row r="173" spans="1:13" s="20" customFormat="1" x14ac:dyDescent="0.2">
      <c r="A173" s="10" t="s">
        <v>8</v>
      </c>
      <c r="B173" s="11" t="s">
        <v>9</v>
      </c>
      <c r="C173" s="75" t="s">
        <v>861</v>
      </c>
      <c r="D173" s="86">
        <v>7175728</v>
      </c>
      <c r="E173" s="85">
        <v>45531</v>
      </c>
      <c r="F173" s="12">
        <v>4170.88</v>
      </c>
      <c r="G173" s="13" t="s">
        <v>58</v>
      </c>
      <c r="H173" s="14" t="str">
        <f t="shared" si="4"/>
        <v>B</v>
      </c>
      <c r="I173" s="15" t="str">
        <f t="shared" si="5"/>
        <v>The Commissioner &amp; Chief Constable are satisfied the spend represents VFM in accordance with the requirements of Category B</v>
      </c>
      <c r="L173" s="17"/>
      <c r="M173" s="17"/>
    </row>
    <row r="174" spans="1:13" s="20" customFormat="1" x14ac:dyDescent="0.2">
      <c r="A174" s="10" t="s">
        <v>8</v>
      </c>
      <c r="B174" s="11" t="s">
        <v>9</v>
      </c>
      <c r="C174" s="75" t="s">
        <v>90</v>
      </c>
      <c r="D174" s="86">
        <v>7176141</v>
      </c>
      <c r="E174" s="85">
        <v>45526</v>
      </c>
      <c r="F174" s="12">
        <v>3999.64</v>
      </c>
      <c r="G174" s="13" t="s">
        <v>91</v>
      </c>
      <c r="H174" s="14" t="str">
        <f t="shared" si="4"/>
        <v>B</v>
      </c>
      <c r="I174" s="15" t="str">
        <f t="shared" si="5"/>
        <v>The Commissioner &amp; Chief Constable are satisfied the spend represents VFM in accordance with the requirements of Category B</v>
      </c>
      <c r="L174" s="17"/>
      <c r="M174" s="17"/>
    </row>
    <row r="175" spans="1:13" s="20" customFormat="1" x14ac:dyDescent="0.2">
      <c r="A175" s="10" t="s">
        <v>8</v>
      </c>
      <c r="B175" s="11" t="s">
        <v>9</v>
      </c>
      <c r="C175" s="75" t="s">
        <v>117</v>
      </c>
      <c r="D175" s="86">
        <v>7176078</v>
      </c>
      <c r="E175" s="85">
        <v>45517</v>
      </c>
      <c r="F175" s="12">
        <v>3963.07</v>
      </c>
      <c r="G175" s="13" t="s">
        <v>118</v>
      </c>
      <c r="H175" s="14" t="str">
        <f t="shared" si="4"/>
        <v>B</v>
      </c>
      <c r="I175" s="15" t="str">
        <f t="shared" si="5"/>
        <v>The Commissioner &amp; Chief Constable are satisfied the spend represents VFM in accordance with the requirements of Category B</v>
      </c>
      <c r="L175" s="17"/>
      <c r="M175" s="17"/>
    </row>
    <row r="176" spans="1:13" s="20" customFormat="1" x14ac:dyDescent="0.2">
      <c r="A176" s="10" t="s">
        <v>8</v>
      </c>
      <c r="B176" s="11" t="s">
        <v>9</v>
      </c>
      <c r="C176" s="75" t="s">
        <v>124</v>
      </c>
      <c r="D176" s="86">
        <v>7175034</v>
      </c>
      <c r="E176" s="85">
        <v>45512</v>
      </c>
      <c r="F176" s="12">
        <v>3948.82</v>
      </c>
      <c r="G176" s="13" t="s">
        <v>91</v>
      </c>
      <c r="H176" s="14" t="str">
        <f t="shared" si="4"/>
        <v>B</v>
      </c>
      <c r="I176" s="15" t="str">
        <f t="shared" si="5"/>
        <v>The Commissioner &amp; Chief Constable are satisfied the spend represents VFM in accordance with the requirements of Category B</v>
      </c>
      <c r="L176" s="17"/>
      <c r="M176" s="17"/>
    </row>
    <row r="177" spans="1:13" s="20" customFormat="1" x14ac:dyDescent="0.2">
      <c r="A177" s="10" t="s">
        <v>8</v>
      </c>
      <c r="B177" s="11" t="s">
        <v>9</v>
      </c>
      <c r="C177" s="75" t="s">
        <v>800</v>
      </c>
      <c r="D177" s="86">
        <v>7176262</v>
      </c>
      <c r="E177" s="85">
        <v>45526</v>
      </c>
      <c r="F177" s="12">
        <v>3942.1</v>
      </c>
      <c r="G177" s="13" t="s">
        <v>37</v>
      </c>
      <c r="H177" s="14" t="str">
        <f t="shared" si="4"/>
        <v>B</v>
      </c>
      <c r="I177" s="15" t="str">
        <f t="shared" si="5"/>
        <v>The Commissioner &amp; Chief Constable are satisfied the spend represents VFM in accordance with the requirements of Category B</v>
      </c>
      <c r="L177" s="17"/>
      <c r="M177" s="17"/>
    </row>
    <row r="178" spans="1:13" s="20" customFormat="1" x14ac:dyDescent="0.2">
      <c r="A178" s="10" t="s">
        <v>8</v>
      </c>
      <c r="B178" s="11" t="s">
        <v>9</v>
      </c>
      <c r="C178" s="75" t="s">
        <v>411</v>
      </c>
      <c r="D178" s="86">
        <v>7176604</v>
      </c>
      <c r="E178" s="85">
        <v>45534</v>
      </c>
      <c r="F178" s="12">
        <v>3920</v>
      </c>
      <c r="G178" s="13" t="s">
        <v>131</v>
      </c>
      <c r="H178" s="14" t="str">
        <f t="shared" si="4"/>
        <v>B</v>
      </c>
      <c r="I178" s="15" t="str">
        <f t="shared" si="5"/>
        <v>The Commissioner &amp; Chief Constable are satisfied the spend represents VFM in accordance with the requirements of Category B</v>
      </c>
      <c r="L178" s="17"/>
      <c r="M178" s="17"/>
    </row>
    <row r="179" spans="1:13" s="20" customFormat="1" x14ac:dyDescent="0.2">
      <c r="A179" s="10" t="s">
        <v>8</v>
      </c>
      <c r="B179" s="11" t="s">
        <v>9</v>
      </c>
      <c r="C179" s="75" t="s">
        <v>545</v>
      </c>
      <c r="D179" s="86">
        <v>7175704</v>
      </c>
      <c r="E179" s="85">
        <v>45512</v>
      </c>
      <c r="F179" s="12">
        <v>3900</v>
      </c>
      <c r="G179" s="13" t="s">
        <v>22</v>
      </c>
      <c r="H179" s="14" t="str">
        <f t="shared" si="4"/>
        <v>B</v>
      </c>
      <c r="I179" s="15" t="str">
        <f t="shared" si="5"/>
        <v>The Commissioner &amp; Chief Constable are satisfied the spend represents VFM in accordance with the requirements of Category B</v>
      </c>
      <c r="L179" s="17"/>
      <c r="M179" s="17"/>
    </row>
    <row r="180" spans="1:13" s="20" customFormat="1" x14ac:dyDescent="0.2">
      <c r="A180" s="10" t="s">
        <v>8</v>
      </c>
      <c r="B180" s="11" t="s">
        <v>9</v>
      </c>
      <c r="C180" s="75" t="s">
        <v>374</v>
      </c>
      <c r="D180" s="86">
        <v>7176132</v>
      </c>
      <c r="E180" s="85">
        <v>45532</v>
      </c>
      <c r="F180" s="12">
        <v>3750</v>
      </c>
      <c r="G180" s="13" t="s">
        <v>373</v>
      </c>
      <c r="H180" s="14" t="str">
        <f t="shared" si="4"/>
        <v>B</v>
      </c>
      <c r="I180" s="15" t="str">
        <f t="shared" si="5"/>
        <v>The Commissioner &amp; Chief Constable are satisfied the spend represents VFM in accordance with the requirements of Category B</v>
      </c>
      <c r="L180" s="17"/>
      <c r="M180" s="17"/>
    </row>
    <row r="181" spans="1:13" s="20" customFormat="1" x14ac:dyDescent="0.2">
      <c r="A181" s="10" t="s">
        <v>8</v>
      </c>
      <c r="B181" s="11" t="s">
        <v>9</v>
      </c>
      <c r="C181" s="75" t="s">
        <v>135</v>
      </c>
      <c r="D181" s="86">
        <v>7175277</v>
      </c>
      <c r="E181" s="85">
        <v>45516</v>
      </c>
      <c r="F181" s="12">
        <v>3702.75</v>
      </c>
      <c r="G181" s="13" t="s">
        <v>40</v>
      </c>
      <c r="H181" s="14" t="str">
        <f t="shared" si="4"/>
        <v>B</v>
      </c>
      <c r="I181" s="15" t="str">
        <f t="shared" si="5"/>
        <v>The Commissioner &amp; Chief Constable are satisfied the spend represents VFM in accordance with the requirements of Category B</v>
      </c>
      <c r="L181" s="17"/>
      <c r="M181" s="17"/>
    </row>
    <row r="182" spans="1:13" s="20" customFormat="1" x14ac:dyDescent="0.2">
      <c r="A182" s="10" t="s">
        <v>8</v>
      </c>
      <c r="B182" s="11" t="s">
        <v>9</v>
      </c>
      <c r="C182" s="75" t="s">
        <v>867</v>
      </c>
      <c r="D182" s="86">
        <v>7176047</v>
      </c>
      <c r="E182" s="85">
        <v>45524</v>
      </c>
      <c r="F182" s="12">
        <v>3500</v>
      </c>
      <c r="G182" s="13" t="s">
        <v>27</v>
      </c>
      <c r="H182" s="14" t="str">
        <f t="shared" si="4"/>
        <v>B</v>
      </c>
      <c r="I182" s="15" t="str">
        <f t="shared" si="5"/>
        <v>The Commissioner &amp; Chief Constable are satisfied the spend represents VFM in accordance with the requirements of Category B</v>
      </c>
      <c r="L182" s="17"/>
      <c r="M182" s="17"/>
    </row>
    <row r="183" spans="1:13" s="20" customFormat="1" x14ac:dyDescent="0.2">
      <c r="A183" s="10" t="s">
        <v>8</v>
      </c>
      <c r="B183" s="11" t="s">
        <v>9</v>
      </c>
      <c r="C183" s="75" t="s">
        <v>868</v>
      </c>
      <c r="D183" s="86">
        <v>7174433</v>
      </c>
      <c r="E183" s="85">
        <v>45509</v>
      </c>
      <c r="F183" s="12">
        <v>3500</v>
      </c>
      <c r="G183" s="13" t="s">
        <v>22</v>
      </c>
      <c r="H183" s="14" t="str">
        <f t="shared" si="4"/>
        <v>B</v>
      </c>
      <c r="I183" s="15" t="str">
        <f t="shared" si="5"/>
        <v>The Commissioner &amp; Chief Constable are satisfied the spend represents VFM in accordance with the requirements of Category B</v>
      </c>
      <c r="L183" s="17"/>
      <c r="M183" s="17"/>
    </row>
    <row r="184" spans="1:13" s="20" customFormat="1" x14ac:dyDescent="0.2">
      <c r="A184" s="10" t="s">
        <v>8</v>
      </c>
      <c r="B184" s="11" t="s">
        <v>9</v>
      </c>
      <c r="C184" s="75" t="s">
        <v>90</v>
      </c>
      <c r="D184" s="86">
        <v>7176431</v>
      </c>
      <c r="E184" s="85">
        <v>45527</v>
      </c>
      <c r="F184" s="12">
        <v>3493.75</v>
      </c>
      <c r="G184" s="13" t="s">
        <v>131</v>
      </c>
      <c r="H184" s="14" t="str">
        <f t="shared" si="4"/>
        <v>B</v>
      </c>
      <c r="I184" s="15" t="str">
        <f t="shared" si="5"/>
        <v>The Commissioner &amp; Chief Constable are satisfied the spend represents VFM in accordance with the requirements of Category B</v>
      </c>
      <c r="L184" s="17"/>
      <c r="M184" s="17"/>
    </row>
    <row r="185" spans="1:13" s="20" customFormat="1" x14ac:dyDescent="0.2">
      <c r="A185" s="10" t="s">
        <v>8</v>
      </c>
      <c r="B185" s="11" t="s">
        <v>9</v>
      </c>
      <c r="C185" s="75" t="s">
        <v>26</v>
      </c>
      <c r="D185" s="86">
        <v>7175950</v>
      </c>
      <c r="E185" s="85">
        <v>45512</v>
      </c>
      <c r="F185" s="12">
        <v>3472.84</v>
      </c>
      <c r="G185" s="13" t="s">
        <v>88</v>
      </c>
      <c r="H185" s="14" t="str">
        <f t="shared" si="4"/>
        <v>B</v>
      </c>
      <c r="I185" s="15" t="str">
        <f t="shared" si="5"/>
        <v>The Commissioner &amp; Chief Constable are satisfied the spend represents VFM in accordance with the requirements of Category B</v>
      </c>
      <c r="L185" s="17"/>
      <c r="M185" s="17"/>
    </row>
    <row r="186" spans="1:13" s="20" customFormat="1" x14ac:dyDescent="0.2">
      <c r="A186" s="10" t="s">
        <v>8</v>
      </c>
      <c r="B186" s="11" t="s">
        <v>9</v>
      </c>
      <c r="C186" s="75" t="s">
        <v>153</v>
      </c>
      <c r="D186" s="86">
        <v>7175858</v>
      </c>
      <c r="E186" s="85">
        <v>45513</v>
      </c>
      <c r="F186" s="12">
        <v>3371.15</v>
      </c>
      <c r="G186" s="13" t="s">
        <v>39</v>
      </c>
      <c r="H186" s="14" t="str">
        <f t="shared" si="4"/>
        <v>B</v>
      </c>
      <c r="I186" s="15" t="str">
        <f t="shared" si="5"/>
        <v>The Commissioner &amp; Chief Constable are satisfied the spend represents VFM in accordance with the requirements of Category B</v>
      </c>
      <c r="L186" s="17"/>
      <c r="M186" s="17"/>
    </row>
    <row r="187" spans="1:13" s="20" customFormat="1" x14ac:dyDescent="0.2">
      <c r="A187" s="10" t="s">
        <v>8</v>
      </c>
      <c r="B187" s="11" t="s">
        <v>9</v>
      </c>
      <c r="C187" s="75" t="s">
        <v>207</v>
      </c>
      <c r="D187" s="86">
        <v>7175838</v>
      </c>
      <c r="E187" s="85">
        <v>45512</v>
      </c>
      <c r="F187" s="12">
        <v>3348.75</v>
      </c>
      <c r="G187" s="13" t="s">
        <v>114</v>
      </c>
      <c r="H187" s="14" t="str">
        <f t="shared" si="4"/>
        <v>B</v>
      </c>
      <c r="I187" s="15" t="str">
        <f t="shared" si="5"/>
        <v>The Commissioner &amp; Chief Constable are satisfied the spend represents VFM in accordance with the requirements of Category B</v>
      </c>
      <c r="L187" s="17"/>
      <c r="M187" s="17"/>
    </row>
    <row r="188" spans="1:13" s="20" customFormat="1" x14ac:dyDescent="0.2">
      <c r="A188" s="10" t="s">
        <v>8</v>
      </c>
      <c r="B188" s="11" t="s">
        <v>9</v>
      </c>
      <c r="C188" s="75" t="s">
        <v>448</v>
      </c>
      <c r="D188" s="86">
        <v>7176453</v>
      </c>
      <c r="E188" s="85">
        <v>45531</v>
      </c>
      <c r="F188" s="12">
        <v>3325</v>
      </c>
      <c r="G188" s="13" t="s">
        <v>27</v>
      </c>
      <c r="H188" s="14" t="str">
        <f t="shared" si="4"/>
        <v>B</v>
      </c>
      <c r="I188" s="15" t="str">
        <f t="shared" si="5"/>
        <v>The Commissioner &amp; Chief Constable are satisfied the spend represents VFM in accordance with the requirements of Category B</v>
      </c>
      <c r="L188" s="17"/>
      <c r="M188" s="17"/>
    </row>
    <row r="189" spans="1:13" s="20" customFormat="1" x14ac:dyDescent="0.2">
      <c r="A189" s="10" t="s">
        <v>8</v>
      </c>
      <c r="B189" s="11" t="s">
        <v>9</v>
      </c>
      <c r="C189" s="75" t="s">
        <v>193</v>
      </c>
      <c r="D189" s="86">
        <v>7175642</v>
      </c>
      <c r="E189" s="85">
        <v>45505</v>
      </c>
      <c r="F189" s="12">
        <v>3321</v>
      </c>
      <c r="G189" s="13" t="s">
        <v>194</v>
      </c>
      <c r="H189" s="14" t="str">
        <f t="shared" si="4"/>
        <v>B</v>
      </c>
      <c r="I189" s="15" t="str">
        <f t="shared" si="5"/>
        <v>The Commissioner &amp; Chief Constable are satisfied the spend represents VFM in accordance with the requirements of Category B</v>
      </c>
      <c r="L189" s="17"/>
      <c r="M189" s="17"/>
    </row>
    <row r="190" spans="1:13" s="20" customFormat="1" x14ac:dyDescent="0.2">
      <c r="A190" s="10" t="s">
        <v>8</v>
      </c>
      <c r="B190" s="11" t="s">
        <v>9</v>
      </c>
      <c r="C190" s="75" t="s">
        <v>74</v>
      </c>
      <c r="D190" s="86">
        <v>7176529</v>
      </c>
      <c r="E190" s="85">
        <v>45533</v>
      </c>
      <c r="F190" s="12">
        <v>3302</v>
      </c>
      <c r="G190" s="13" t="s">
        <v>75</v>
      </c>
      <c r="H190" s="14" t="str">
        <f t="shared" si="4"/>
        <v>B</v>
      </c>
      <c r="I190" s="15" t="str">
        <f t="shared" si="5"/>
        <v>The Commissioner &amp; Chief Constable are satisfied the spend represents VFM in accordance with the requirements of Category B</v>
      </c>
      <c r="L190" s="17"/>
      <c r="M190" s="17"/>
    </row>
    <row r="191" spans="1:13" s="20" customFormat="1" x14ac:dyDescent="0.2">
      <c r="A191" s="10" t="s">
        <v>8</v>
      </c>
      <c r="B191" s="11" t="s">
        <v>9</v>
      </c>
      <c r="C191" s="75" t="s">
        <v>170</v>
      </c>
      <c r="D191" s="86">
        <v>7176249</v>
      </c>
      <c r="E191" s="85">
        <v>45526</v>
      </c>
      <c r="F191" s="12">
        <v>3293.4</v>
      </c>
      <c r="G191" s="13" t="s">
        <v>37</v>
      </c>
      <c r="H191" s="14" t="str">
        <f t="shared" si="4"/>
        <v>B</v>
      </c>
      <c r="I191" s="15" t="str">
        <f t="shared" si="5"/>
        <v>The Commissioner &amp; Chief Constable are satisfied the spend represents VFM in accordance with the requirements of Category B</v>
      </c>
      <c r="L191" s="17"/>
      <c r="M191" s="17"/>
    </row>
    <row r="192" spans="1:13" s="20" customFormat="1" x14ac:dyDescent="0.2">
      <c r="A192" s="10" t="s">
        <v>8</v>
      </c>
      <c r="B192" s="11" t="s">
        <v>9</v>
      </c>
      <c r="C192" s="75" t="s">
        <v>124</v>
      </c>
      <c r="D192" s="86">
        <v>7175854</v>
      </c>
      <c r="E192" s="85">
        <v>45513</v>
      </c>
      <c r="F192" s="12">
        <v>3163.11</v>
      </c>
      <c r="G192" s="13" t="s">
        <v>91</v>
      </c>
      <c r="H192" s="14" t="str">
        <f t="shared" si="4"/>
        <v>B</v>
      </c>
      <c r="I192" s="15" t="str">
        <f t="shared" si="5"/>
        <v>The Commissioner &amp; Chief Constable are satisfied the spend represents VFM in accordance with the requirements of Category B</v>
      </c>
      <c r="L192" s="17"/>
      <c r="M192" s="17"/>
    </row>
    <row r="193" spans="1:13" s="20" customFormat="1" x14ac:dyDescent="0.2">
      <c r="A193" s="10" t="s">
        <v>8</v>
      </c>
      <c r="B193" s="11" t="s">
        <v>9</v>
      </c>
      <c r="C193" s="75" t="s">
        <v>135</v>
      </c>
      <c r="D193" s="86">
        <v>7175276</v>
      </c>
      <c r="E193" s="85">
        <v>45516</v>
      </c>
      <c r="F193" s="12">
        <v>3142.35</v>
      </c>
      <c r="G193" s="13" t="s">
        <v>40</v>
      </c>
      <c r="H193" s="14" t="str">
        <f t="shared" si="4"/>
        <v>B</v>
      </c>
      <c r="I193" s="15" t="str">
        <f t="shared" si="5"/>
        <v>The Commissioner &amp; Chief Constable are satisfied the spend represents VFM in accordance with the requirements of Category B</v>
      </c>
      <c r="L193" s="17"/>
      <c r="M193" s="17"/>
    </row>
    <row r="194" spans="1:13" s="20" customFormat="1" x14ac:dyDescent="0.2">
      <c r="A194" s="10" t="s">
        <v>8</v>
      </c>
      <c r="B194" s="11" t="s">
        <v>9</v>
      </c>
      <c r="C194" s="75" t="s">
        <v>90</v>
      </c>
      <c r="D194" s="86">
        <v>7176432</v>
      </c>
      <c r="E194" s="85">
        <v>45527</v>
      </c>
      <c r="F194" s="12">
        <v>3084.46</v>
      </c>
      <c r="G194" s="13" t="s">
        <v>91</v>
      </c>
      <c r="H194" s="14" t="str">
        <f t="shared" ref="H194:H257" si="6">IF(F194&gt;25000,"C",IF(F194&gt;1000,"B","A"))</f>
        <v>B</v>
      </c>
      <c r="I194" s="15" t="str">
        <f t="shared" ref="I194:I257" si="7">VLOOKUP(H194,$L$2:$M$4,2,FALSE)</f>
        <v>The Commissioner &amp; Chief Constable are satisfied the spend represents VFM in accordance with the requirements of Category B</v>
      </c>
      <c r="L194" s="17"/>
      <c r="M194" s="17"/>
    </row>
    <row r="195" spans="1:13" s="20" customFormat="1" x14ac:dyDescent="0.2">
      <c r="A195" s="10" t="s">
        <v>8</v>
      </c>
      <c r="B195" s="11" t="s">
        <v>9</v>
      </c>
      <c r="C195" s="75" t="s">
        <v>861</v>
      </c>
      <c r="D195" s="86">
        <v>7176535</v>
      </c>
      <c r="E195" s="85">
        <v>45533</v>
      </c>
      <c r="F195" s="12">
        <v>3033.13</v>
      </c>
      <c r="G195" s="13" t="s">
        <v>58</v>
      </c>
      <c r="H195" s="14" t="str">
        <f t="shared" si="6"/>
        <v>B</v>
      </c>
      <c r="I195" s="15" t="str">
        <f t="shared" si="7"/>
        <v>The Commissioner &amp; Chief Constable are satisfied the spend represents VFM in accordance with the requirements of Category B</v>
      </c>
      <c r="L195" s="17"/>
      <c r="M195" s="17"/>
    </row>
    <row r="196" spans="1:13" s="20" customFormat="1" x14ac:dyDescent="0.2">
      <c r="A196" s="10" t="s">
        <v>8</v>
      </c>
      <c r="B196" s="11" t="s">
        <v>9</v>
      </c>
      <c r="C196" s="75" t="s">
        <v>867</v>
      </c>
      <c r="D196" s="86">
        <v>7176046</v>
      </c>
      <c r="E196" s="85">
        <v>45524</v>
      </c>
      <c r="F196" s="12">
        <v>3000</v>
      </c>
      <c r="G196" s="13" t="s">
        <v>27</v>
      </c>
      <c r="H196" s="14" t="str">
        <f t="shared" si="6"/>
        <v>B</v>
      </c>
      <c r="I196" s="15" t="str">
        <f t="shared" si="7"/>
        <v>The Commissioner &amp; Chief Constable are satisfied the spend represents VFM in accordance with the requirements of Category B</v>
      </c>
      <c r="L196" s="17"/>
      <c r="M196" s="17"/>
    </row>
    <row r="197" spans="1:13" s="20" customFormat="1" x14ac:dyDescent="0.2">
      <c r="A197" s="10" t="s">
        <v>8</v>
      </c>
      <c r="B197" s="11" t="s">
        <v>9</v>
      </c>
      <c r="C197" s="75" t="s">
        <v>608</v>
      </c>
      <c r="D197" s="86">
        <v>7175513</v>
      </c>
      <c r="E197" s="85">
        <v>45505</v>
      </c>
      <c r="F197" s="12">
        <v>2975</v>
      </c>
      <c r="G197" s="13" t="s">
        <v>138</v>
      </c>
      <c r="H197" s="14" t="str">
        <f t="shared" si="6"/>
        <v>B</v>
      </c>
      <c r="I197" s="15" t="str">
        <f t="shared" si="7"/>
        <v>The Commissioner &amp; Chief Constable are satisfied the spend represents VFM in accordance with the requirements of Category B</v>
      </c>
      <c r="L197" s="17"/>
      <c r="M197" s="17"/>
    </row>
    <row r="198" spans="1:13" s="20" customFormat="1" x14ac:dyDescent="0.2">
      <c r="A198" s="10" t="s">
        <v>8</v>
      </c>
      <c r="B198" s="11" t="s">
        <v>9</v>
      </c>
      <c r="C198" s="75" t="s">
        <v>181</v>
      </c>
      <c r="D198" s="86">
        <v>7175560</v>
      </c>
      <c r="E198" s="85">
        <v>45511</v>
      </c>
      <c r="F198" s="12">
        <v>2945.5</v>
      </c>
      <c r="G198" s="13" t="s">
        <v>106</v>
      </c>
      <c r="H198" s="14" t="str">
        <f t="shared" si="6"/>
        <v>B</v>
      </c>
      <c r="I198" s="15" t="str">
        <f t="shared" si="7"/>
        <v>The Commissioner &amp; Chief Constable are satisfied the spend represents VFM in accordance with the requirements of Category B</v>
      </c>
      <c r="L198" s="17"/>
      <c r="M198" s="17"/>
    </row>
    <row r="199" spans="1:13" s="20" customFormat="1" x14ac:dyDescent="0.2">
      <c r="A199" s="10" t="s">
        <v>8</v>
      </c>
      <c r="B199" s="11" t="s">
        <v>9</v>
      </c>
      <c r="C199" s="75" t="s">
        <v>172</v>
      </c>
      <c r="D199" s="86">
        <v>7176150</v>
      </c>
      <c r="E199" s="85">
        <v>45526</v>
      </c>
      <c r="F199" s="12">
        <v>2941.66</v>
      </c>
      <c r="G199" s="13" t="s">
        <v>112</v>
      </c>
      <c r="H199" s="14" t="str">
        <f t="shared" si="6"/>
        <v>B</v>
      </c>
      <c r="I199" s="15" t="str">
        <f t="shared" si="7"/>
        <v>The Commissioner &amp; Chief Constable are satisfied the spend represents VFM in accordance with the requirements of Category B</v>
      </c>
      <c r="L199" s="17"/>
      <c r="M199" s="17"/>
    </row>
    <row r="200" spans="1:13" s="20" customFormat="1" x14ac:dyDescent="0.2">
      <c r="A200" s="10" t="s">
        <v>8</v>
      </c>
      <c r="B200" s="11" t="s">
        <v>9</v>
      </c>
      <c r="C200" s="75" t="s">
        <v>90</v>
      </c>
      <c r="D200" s="86">
        <v>7176428</v>
      </c>
      <c r="E200" s="85">
        <v>45533</v>
      </c>
      <c r="F200" s="18">
        <v>2928.75</v>
      </c>
      <c r="G200" s="13" t="s">
        <v>177</v>
      </c>
      <c r="H200" s="14" t="str">
        <f t="shared" si="6"/>
        <v>B</v>
      </c>
      <c r="I200" s="15" t="str">
        <f t="shared" si="7"/>
        <v>The Commissioner &amp; Chief Constable are satisfied the spend represents VFM in accordance with the requirements of Category B</v>
      </c>
      <c r="L200" s="17"/>
      <c r="M200" s="17"/>
    </row>
    <row r="201" spans="1:13" s="20" customFormat="1" x14ac:dyDescent="0.2">
      <c r="A201" s="10" t="s">
        <v>8</v>
      </c>
      <c r="B201" s="11" t="s">
        <v>9</v>
      </c>
      <c r="C201" s="75" t="s">
        <v>124</v>
      </c>
      <c r="D201" s="86">
        <v>7176570</v>
      </c>
      <c r="E201" s="85">
        <v>45534</v>
      </c>
      <c r="F201" s="12">
        <v>2869.79</v>
      </c>
      <c r="G201" s="19" t="s">
        <v>91</v>
      </c>
      <c r="H201" s="14" t="str">
        <f t="shared" si="6"/>
        <v>B</v>
      </c>
      <c r="I201" s="15" t="str">
        <f t="shared" si="7"/>
        <v>The Commissioner &amp; Chief Constable are satisfied the spend represents VFM in accordance with the requirements of Category B</v>
      </c>
      <c r="L201" s="17"/>
      <c r="M201" s="17"/>
    </row>
    <row r="202" spans="1:13" s="20" customFormat="1" x14ac:dyDescent="0.2">
      <c r="A202" s="10" t="s">
        <v>8</v>
      </c>
      <c r="B202" s="11" t="s">
        <v>9</v>
      </c>
      <c r="C202" s="75" t="s">
        <v>128</v>
      </c>
      <c r="D202" s="86">
        <v>7175878</v>
      </c>
      <c r="E202" s="85">
        <v>45518</v>
      </c>
      <c r="F202" s="12">
        <v>2835</v>
      </c>
      <c r="G202" s="13" t="s">
        <v>131</v>
      </c>
      <c r="H202" s="14" t="str">
        <f t="shared" si="6"/>
        <v>B</v>
      </c>
      <c r="I202" s="15" t="str">
        <f t="shared" si="7"/>
        <v>The Commissioner &amp; Chief Constable are satisfied the spend represents VFM in accordance with the requirements of Category B</v>
      </c>
      <c r="L202" s="17"/>
      <c r="M202" s="17"/>
    </row>
    <row r="203" spans="1:13" s="20" customFormat="1" x14ac:dyDescent="0.2">
      <c r="A203" s="10" t="s">
        <v>8</v>
      </c>
      <c r="B203" s="11" t="s">
        <v>9</v>
      </c>
      <c r="C203" s="75" t="s">
        <v>866</v>
      </c>
      <c r="D203" s="86">
        <v>7175479</v>
      </c>
      <c r="E203" s="85">
        <v>45505</v>
      </c>
      <c r="F203" s="12">
        <v>2700</v>
      </c>
      <c r="G203" s="13" t="s">
        <v>98</v>
      </c>
      <c r="H203" s="14" t="str">
        <f t="shared" si="6"/>
        <v>B</v>
      </c>
      <c r="I203" s="15" t="str">
        <f t="shared" si="7"/>
        <v>The Commissioner &amp; Chief Constable are satisfied the spend represents VFM in accordance with the requirements of Category B</v>
      </c>
      <c r="L203" s="17"/>
      <c r="M203" s="17"/>
    </row>
    <row r="204" spans="1:13" s="20" customFormat="1" x14ac:dyDescent="0.2">
      <c r="A204" s="10" t="s">
        <v>8</v>
      </c>
      <c r="B204" s="11" t="s">
        <v>9</v>
      </c>
      <c r="C204" s="75" t="s">
        <v>181</v>
      </c>
      <c r="D204" s="86">
        <v>7176242</v>
      </c>
      <c r="E204" s="85">
        <v>45525</v>
      </c>
      <c r="F204" s="18">
        <v>2669</v>
      </c>
      <c r="G204" s="13" t="s">
        <v>106</v>
      </c>
      <c r="H204" s="14" t="str">
        <f t="shared" si="6"/>
        <v>B</v>
      </c>
      <c r="I204" s="15" t="str">
        <f t="shared" si="7"/>
        <v>The Commissioner &amp; Chief Constable are satisfied the spend represents VFM in accordance with the requirements of Category B</v>
      </c>
      <c r="L204" s="17"/>
      <c r="M204" s="17"/>
    </row>
    <row r="205" spans="1:13" s="20" customFormat="1" x14ac:dyDescent="0.2">
      <c r="A205" s="10" t="s">
        <v>8</v>
      </c>
      <c r="B205" s="11" t="s">
        <v>9</v>
      </c>
      <c r="C205" s="75" t="s">
        <v>163</v>
      </c>
      <c r="D205" s="86">
        <v>7175883</v>
      </c>
      <c r="E205" s="85">
        <v>45511</v>
      </c>
      <c r="F205" s="12">
        <v>140</v>
      </c>
      <c r="G205" s="13" t="s">
        <v>45</v>
      </c>
      <c r="H205" s="14" t="str">
        <f t="shared" si="6"/>
        <v>A</v>
      </c>
      <c r="I205" s="15" t="str">
        <f t="shared" si="7"/>
        <v>The Commissioner &amp; Chief Constable are satisfied the spend represents VFM in accordance with the requirements of Category A</v>
      </c>
      <c r="L205" s="17"/>
      <c r="M205" s="17"/>
    </row>
    <row r="206" spans="1:13" s="20" customFormat="1" x14ac:dyDescent="0.2">
      <c r="A206" s="10" t="s">
        <v>8</v>
      </c>
      <c r="B206" s="11" t="s">
        <v>9</v>
      </c>
      <c r="C206" s="75" t="s">
        <v>163</v>
      </c>
      <c r="D206" s="86">
        <v>7175883</v>
      </c>
      <c r="E206" s="85">
        <v>45511</v>
      </c>
      <c r="F206" s="12">
        <v>2033.5</v>
      </c>
      <c r="G206" s="13" t="s">
        <v>81</v>
      </c>
      <c r="H206" s="14" t="str">
        <f t="shared" si="6"/>
        <v>B</v>
      </c>
      <c r="I206" s="15" t="str">
        <f t="shared" si="7"/>
        <v>The Commissioner &amp; Chief Constable are satisfied the spend represents VFM in accordance with the requirements of Category B</v>
      </c>
      <c r="L206" s="17"/>
      <c r="M206" s="17"/>
    </row>
    <row r="207" spans="1:13" s="20" customFormat="1" x14ac:dyDescent="0.2">
      <c r="A207" s="10" t="s">
        <v>8</v>
      </c>
      <c r="B207" s="11" t="s">
        <v>9</v>
      </c>
      <c r="C207" s="75" t="s">
        <v>163</v>
      </c>
      <c r="D207" s="86">
        <v>7175883</v>
      </c>
      <c r="E207" s="85">
        <v>45511</v>
      </c>
      <c r="F207" s="12">
        <v>494</v>
      </c>
      <c r="G207" s="13" t="s">
        <v>82</v>
      </c>
      <c r="H207" s="14" t="str">
        <f t="shared" si="6"/>
        <v>A</v>
      </c>
      <c r="I207" s="15" t="str">
        <f t="shared" si="7"/>
        <v>The Commissioner &amp; Chief Constable are satisfied the spend represents VFM in accordance with the requirements of Category A</v>
      </c>
      <c r="L207" s="17"/>
      <c r="M207" s="17"/>
    </row>
    <row r="208" spans="1:13" s="20" customFormat="1" x14ac:dyDescent="0.2">
      <c r="A208" s="10" t="s">
        <v>8</v>
      </c>
      <c r="B208" s="11" t="s">
        <v>9</v>
      </c>
      <c r="C208" s="75" t="s">
        <v>196</v>
      </c>
      <c r="D208" s="86">
        <v>7176017</v>
      </c>
      <c r="E208" s="85">
        <v>45517</v>
      </c>
      <c r="F208" s="12">
        <v>2629.42</v>
      </c>
      <c r="G208" s="13" t="s">
        <v>169</v>
      </c>
      <c r="H208" s="14" t="str">
        <f t="shared" si="6"/>
        <v>B</v>
      </c>
      <c r="I208" s="15" t="str">
        <f t="shared" si="7"/>
        <v>The Commissioner &amp; Chief Constable are satisfied the spend represents VFM in accordance with the requirements of Category B</v>
      </c>
      <c r="L208" s="17"/>
      <c r="M208" s="17"/>
    </row>
    <row r="209" spans="1:13" s="20" customFormat="1" x14ac:dyDescent="0.2">
      <c r="A209" s="10" t="s">
        <v>8</v>
      </c>
      <c r="B209" s="11" t="s">
        <v>9</v>
      </c>
      <c r="C209" s="75" t="s">
        <v>865</v>
      </c>
      <c r="D209" s="86">
        <v>7175706</v>
      </c>
      <c r="E209" s="85">
        <v>45510</v>
      </c>
      <c r="F209" s="12">
        <v>2622.5</v>
      </c>
      <c r="G209" s="13" t="s">
        <v>131</v>
      </c>
      <c r="H209" s="14" t="str">
        <f t="shared" si="6"/>
        <v>B</v>
      </c>
      <c r="I209" s="15" t="str">
        <f t="shared" si="7"/>
        <v>The Commissioner &amp; Chief Constable are satisfied the spend represents VFM in accordance with the requirements of Category B</v>
      </c>
      <c r="L209" s="17"/>
      <c r="M209" s="17"/>
    </row>
    <row r="210" spans="1:13" s="20" customFormat="1" x14ac:dyDescent="0.2">
      <c r="A210" s="10" t="s">
        <v>8</v>
      </c>
      <c r="B210" s="11" t="s">
        <v>9</v>
      </c>
      <c r="C210" s="75" t="s">
        <v>196</v>
      </c>
      <c r="D210" s="86">
        <v>7176280</v>
      </c>
      <c r="E210" s="85">
        <v>45524</v>
      </c>
      <c r="F210" s="12">
        <v>2622.02</v>
      </c>
      <c r="G210" s="13" t="s">
        <v>169</v>
      </c>
      <c r="H210" s="14" t="str">
        <f t="shared" si="6"/>
        <v>B</v>
      </c>
      <c r="I210" s="15" t="str">
        <f t="shared" si="7"/>
        <v>The Commissioner &amp; Chief Constable are satisfied the spend represents VFM in accordance with the requirements of Category B</v>
      </c>
      <c r="L210" s="17"/>
      <c r="M210" s="17"/>
    </row>
    <row r="211" spans="1:13" s="20" customFormat="1" x14ac:dyDescent="0.2">
      <c r="A211" s="10" t="s">
        <v>8</v>
      </c>
      <c r="B211" s="11" t="s">
        <v>9</v>
      </c>
      <c r="C211" s="75" t="s">
        <v>127</v>
      </c>
      <c r="D211" s="86">
        <v>7176305</v>
      </c>
      <c r="E211" s="85">
        <v>45531</v>
      </c>
      <c r="F211" s="12">
        <v>2557.7600000000002</v>
      </c>
      <c r="G211" s="13" t="s">
        <v>49</v>
      </c>
      <c r="H211" s="14" t="str">
        <f t="shared" si="6"/>
        <v>B</v>
      </c>
      <c r="I211" s="15" t="str">
        <f t="shared" si="7"/>
        <v>The Commissioner &amp; Chief Constable are satisfied the spend represents VFM in accordance with the requirements of Category B</v>
      </c>
      <c r="L211" s="17"/>
      <c r="M211" s="17"/>
    </row>
    <row r="212" spans="1:13" s="20" customFormat="1" x14ac:dyDescent="0.2">
      <c r="A212" s="10" t="s">
        <v>8</v>
      </c>
      <c r="B212" s="11" t="s">
        <v>9</v>
      </c>
      <c r="C212" s="75" t="s">
        <v>196</v>
      </c>
      <c r="D212" s="86">
        <v>7175804</v>
      </c>
      <c r="E212" s="85">
        <v>45510</v>
      </c>
      <c r="F212" s="12">
        <v>2544.79</v>
      </c>
      <c r="G212" s="13" t="s">
        <v>169</v>
      </c>
      <c r="H212" s="14" t="str">
        <f t="shared" si="6"/>
        <v>B</v>
      </c>
      <c r="I212" s="15" t="str">
        <f t="shared" si="7"/>
        <v>The Commissioner &amp; Chief Constable are satisfied the spend represents VFM in accordance with the requirements of Category B</v>
      </c>
      <c r="L212" s="17"/>
      <c r="M212" s="17"/>
    </row>
    <row r="213" spans="1:13" s="20" customFormat="1" x14ac:dyDescent="0.2">
      <c r="A213" s="10" t="s">
        <v>8</v>
      </c>
      <c r="B213" s="11" t="s">
        <v>9</v>
      </c>
      <c r="C213" s="75" t="s">
        <v>864</v>
      </c>
      <c r="D213" s="86">
        <v>7176019</v>
      </c>
      <c r="E213" s="85">
        <v>45516</v>
      </c>
      <c r="F213" s="12">
        <v>2539.5100000000002</v>
      </c>
      <c r="G213" s="13" t="s">
        <v>390</v>
      </c>
      <c r="H213" s="14" t="str">
        <f t="shared" si="6"/>
        <v>B</v>
      </c>
      <c r="I213" s="15" t="str">
        <f t="shared" si="7"/>
        <v>The Commissioner &amp; Chief Constable are satisfied the spend represents VFM in accordance with the requirements of Category B</v>
      </c>
      <c r="L213" s="17"/>
      <c r="M213" s="17"/>
    </row>
    <row r="214" spans="1:13" s="20" customFormat="1" x14ac:dyDescent="0.2">
      <c r="A214" s="10" t="s">
        <v>8</v>
      </c>
      <c r="B214" s="11" t="s">
        <v>9</v>
      </c>
      <c r="C214" s="75" t="s">
        <v>370</v>
      </c>
      <c r="D214" s="86">
        <v>7176450</v>
      </c>
      <c r="E214" s="85">
        <v>45533</v>
      </c>
      <c r="F214" s="12">
        <v>2527.5</v>
      </c>
      <c r="G214" s="13" t="s">
        <v>151</v>
      </c>
      <c r="H214" s="14" t="str">
        <f t="shared" si="6"/>
        <v>B</v>
      </c>
      <c r="I214" s="15" t="str">
        <f t="shared" si="7"/>
        <v>The Commissioner &amp; Chief Constable are satisfied the spend represents VFM in accordance with the requirements of Category B</v>
      </c>
      <c r="L214" s="17"/>
      <c r="M214" s="17"/>
    </row>
    <row r="215" spans="1:13" s="20" customFormat="1" x14ac:dyDescent="0.2">
      <c r="A215" s="10" t="s">
        <v>8</v>
      </c>
      <c r="B215" s="11" t="s">
        <v>9</v>
      </c>
      <c r="C215" s="75" t="s">
        <v>74</v>
      </c>
      <c r="D215" s="86">
        <v>7175245</v>
      </c>
      <c r="E215" s="85">
        <v>45517</v>
      </c>
      <c r="F215" s="12">
        <v>2512.6999999999998</v>
      </c>
      <c r="G215" s="13" t="s">
        <v>75</v>
      </c>
      <c r="H215" s="14" t="str">
        <f t="shared" si="6"/>
        <v>B</v>
      </c>
      <c r="I215" s="15" t="str">
        <f t="shared" si="7"/>
        <v>The Commissioner &amp; Chief Constable are satisfied the spend represents VFM in accordance with the requirements of Category B</v>
      </c>
      <c r="L215" s="17"/>
      <c r="M215" s="17"/>
    </row>
    <row r="216" spans="1:13" s="20" customFormat="1" x14ac:dyDescent="0.2">
      <c r="A216" s="10" t="s">
        <v>8</v>
      </c>
      <c r="B216" s="11" t="s">
        <v>9</v>
      </c>
      <c r="C216" s="75" t="s">
        <v>208</v>
      </c>
      <c r="D216" s="86">
        <v>7175973</v>
      </c>
      <c r="E216" s="85">
        <v>45516</v>
      </c>
      <c r="F216" s="12">
        <v>2511.09</v>
      </c>
      <c r="G216" s="13" t="s">
        <v>209</v>
      </c>
      <c r="H216" s="14" t="str">
        <f t="shared" si="6"/>
        <v>B</v>
      </c>
      <c r="I216" s="15" t="str">
        <f t="shared" si="7"/>
        <v>The Commissioner &amp; Chief Constable are satisfied the spend represents VFM in accordance with the requirements of Category B</v>
      </c>
      <c r="L216" s="17"/>
      <c r="M216" s="17"/>
    </row>
    <row r="217" spans="1:13" s="20" customFormat="1" x14ac:dyDescent="0.2">
      <c r="A217" s="10" t="s">
        <v>8</v>
      </c>
      <c r="B217" s="11" t="s">
        <v>9</v>
      </c>
      <c r="C217" s="75" t="s">
        <v>264</v>
      </c>
      <c r="D217" s="86">
        <v>7175679</v>
      </c>
      <c r="E217" s="85">
        <v>45516</v>
      </c>
      <c r="F217" s="12">
        <v>2460</v>
      </c>
      <c r="G217" s="13" t="s">
        <v>131</v>
      </c>
      <c r="H217" s="14" t="str">
        <f t="shared" si="6"/>
        <v>B</v>
      </c>
      <c r="I217" s="15" t="str">
        <f t="shared" si="7"/>
        <v>The Commissioner &amp; Chief Constable are satisfied the spend represents VFM in accordance with the requirements of Category B</v>
      </c>
      <c r="L217" s="17"/>
      <c r="M217" s="17"/>
    </row>
    <row r="218" spans="1:13" s="20" customFormat="1" x14ac:dyDescent="0.2">
      <c r="A218" s="10" t="s">
        <v>8</v>
      </c>
      <c r="B218" s="11" t="s">
        <v>9</v>
      </c>
      <c r="C218" s="75" t="s">
        <v>221</v>
      </c>
      <c r="D218" s="86">
        <v>7176095</v>
      </c>
      <c r="E218" s="85">
        <v>45532</v>
      </c>
      <c r="F218" s="12">
        <v>2433</v>
      </c>
      <c r="G218" s="13" t="s">
        <v>106</v>
      </c>
      <c r="H218" s="14" t="str">
        <f t="shared" si="6"/>
        <v>B</v>
      </c>
      <c r="I218" s="15" t="str">
        <f t="shared" si="7"/>
        <v>The Commissioner &amp; Chief Constable are satisfied the spend represents VFM in accordance with the requirements of Category B</v>
      </c>
      <c r="L218" s="17"/>
      <c r="M218" s="17"/>
    </row>
    <row r="219" spans="1:13" s="20" customFormat="1" x14ac:dyDescent="0.2">
      <c r="A219" s="10" t="s">
        <v>8</v>
      </c>
      <c r="B219" s="11" t="s">
        <v>9</v>
      </c>
      <c r="C219" s="75" t="s">
        <v>30</v>
      </c>
      <c r="D219" s="86">
        <v>7175799</v>
      </c>
      <c r="E219" s="85">
        <v>45509</v>
      </c>
      <c r="F219" s="12">
        <v>2411.58</v>
      </c>
      <c r="G219" s="13" t="s">
        <v>31</v>
      </c>
      <c r="H219" s="14" t="str">
        <f t="shared" si="6"/>
        <v>B</v>
      </c>
      <c r="I219" s="15" t="str">
        <f t="shared" si="7"/>
        <v>The Commissioner &amp; Chief Constable are satisfied the spend represents VFM in accordance with the requirements of Category B</v>
      </c>
      <c r="L219" s="17"/>
      <c r="M219" s="17"/>
    </row>
    <row r="220" spans="1:13" s="20" customFormat="1" x14ac:dyDescent="0.2">
      <c r="A220" s="10" t="s">
        <v>8</v>
      </c>
      <c r="B220" s="11" t="s">
        <v>9</v>
      </c>
      <c r="C220" s="75" t="s">
        <v>215</v>
      </c>
      <c r="D220" s="86">
        <v>7176251</v>
      </c>
      <c r="E220" s="85">
        <v>45526</v>
      </c>
      <c r="F220" s="12">
        <v>2345.3000000000002</v>
      </c>
      <c r="G220" s="13" t="s">
        <v>37</v>
      </c>
      <c r="H220" s="14" t="str">
        <f t="shared" si="6"/>
        <v>B</v>
      </c>
      <c r="I220" s="15" t="str">
        <f t="shared" si="7"/>
        <v>The Commissioner &amp; Chief Constable are satisfied the spend represents VFM in accordance with the requirements of Category B</v>
      </c>
      <c r="L220" s="17"/>
      <c r="M220" s="17"/>
    </row>
    <row r="221" spans="1:13" s="20" customFormat="1" x14ac:dyDescent="0.2">
      <c r="A221" s="10" t="s">
        <v>8</v>
      </c>
      <c r="B221" s="11" t="s">
        <v>9</v>
      </c>
      <c r="C221" s="75" t="s">
        <v>135</v>
      </c>
      <c r="D221" s="86">
        <v>7175936</v>
      </c>
      <c r="E221" s="85">
        <v>45520</v>
      </c>
      <c r="F221" s="12">
        <v>2316.3000000000002</v>
      </c>
      <c r="G221" s="13" t="s">
        <v>40</v>
      </c>
      <c r="H221" s="14" t="str">
        <f t="shared" si="6"/>
        <v>B</v>
      </c>
      <c r="I221" s="15" t="str">
        <f t="shared" si="7"/>
        <v>The Commissioner &amp; Chief Constable are satisfied the spend represents VFM in accordance with the requirements of Category B</v>
      </c>
      <c r="L221" s="17"/>
      <c r="M221" s="17"/>
    </row>
    <row r="222" spans="1:13" s="20" customFormat="1" x14ac:dyDescent="0.2">
      <c r="A222" s="10" t="s">
        <v>8</v>
      </c>
      <c r="B222" s="11" t="s">
        <v>9</v>
      </c>
      <c r="C222" s="75" t="s">
        <v>90</v>
      </c>
      <c r="D222" s="86">
        <v>7176430</v>
      </c>
      <c r="E222" s="85">
        <v>45527</v>
      </c>
      <c r="F222" s="12">
        <v>2311.5</v>
      </c>
      <c r="G222" s="13" t="s">
        <v>131</v>
      </c>
      <c r="H222" s="14" t="str">
        <f t="shared" si="6"/>
        <v>B</v>
      </c>
      <c r="I222" s="15" t="str">
        <f t="shared" si="7"/>
        <v>The Commissioner &amp; Chief Constable are satisfied the spend represents VFM in accordance with the requirements of Category B</v>
      </c>
      <c r="L222" s="17"/>
      <c r="M222" s="17"/>
    </row>
    <row r="223" spans="1:13" s="20" customFormat="1" x14ac:dyDescent="0.2">
      <c r="A223" s="10" t="s">
        <v>8</v>
      </c>
      <c r="B223" s="11" t="s">
        <v>9</v>
      </c>
      <c r="C223" s="75" t="s">
        <v>863</v>
      </c>
      <c r="D223" s="86">
        <v>7176522</v>
      </c>
      <c r="E223" s="85">
        <v>45532</v>
      </c>
      <c r="F223" s="12">
        <v>2287.33</v>
      </c>
      <c r="G223" s="13" t="s">
        <v>22</v>
      </c>
      <c r="H223" s="14" t="str">
        <f t="shared" si="6"/>
        <v>B</v>
      </c>
      <c r="I223" s="15" t="str">
        <f t="shared" si="7"/>
        <v>The Commissioner &amp; Chief Constable are satisfied the spend represents VFM in accordance with the requirements of Category B</v>
      </c>
      <c r="L223" s="17"/>
      <c r="M223" s="17"/>
    </row>
    <row r="224" spans="1:13" s="20" customFormat="1" x14ac:dyDescent="0.2">
      <c r="A224" s="10" t="s">
        <v>8</v>
      </c>
      <c r="B224" s="11" t="s">
        <v>9</v>
      </c>
      <c r="C224" s="75" t="s">
        <v>215</v>
      </c>
      <c r="D224" s="86">
        <v>7175516</v>
      </c>
      <c r="E224" s="85">
        <v>45520</v>
      </c>
      <c r="F224" s="12">
        <v>2268.9899999999998</v>
      </c>
      <c r="G224" s="13" t="s">
        <v>102</v>
      </c>
      <c r="H224" s="14" t="str">
        <f t="shared" si="6"/>
        <v>B</v>
      </c>
      <c r="I224" s="15" t="str">
        <f t="shared" si="7"/>
        <v>The Commissioner &amp; Chief Constable are satisfied the spend represents VFM in accordance with the requirements of Category B</v>
      </c>
      <c r="L224" s="17"/>
      <c r="M224" s="17"/>
    </row>
    <row r="225" spans="1:13" s="20" customFormat="1" x14ac:dyDescent="0.2">
      <c r="A225" s="10" t="s">
        <v>8</v>
      </c>
      <c r="B225" s="11" t="s">
        <v>9</v>
      </c>
      <c r="C225" s="75" t="s">
        <v>99</v>
      </c>
      <c r="D225" s="86">
        <v>7175702</v>
      </c>
      <c r="E225" s="85">
        <v>45512</v>
      </c>
      <c r="F225" s="12">
        <v>2260.1799999999998</v>
      </c>
      <c r="G225" s="13" t="s">
        <v>94</v>
      </c>
      <c r="H225" s="14" t="str">
        <f t="shared" si="6"/>
        <v>B</v>
      </c>
      <c r="I225" s="15" t="str">
        <f t="shared" si="7"/>
        <v>The Commissioner &amp; Chief Constable are satisfied the spend represents VFM in accordance with the requirements of Category B</v>
      </c>
      <c r="L225" s="17"/>
      <c r="M225" s="17"/>
    </row>
    <row r="226" spans="1:13" s="20" customFormat="1" x14ac:dyDescent="0.2">
      <c r="A226" s="10" t="s">
        <v>8</v>
      </c>
      <c r="B226" s="11" t="s">
        <v>9</v>
      </c>
      <c r="C226" s="75" t="s">
        <v>217</v>
      </c>
      <c r="D226" s="86">
        <v>7175351</v>
      </c>
      <c r="E226" s="85">
        <v>45512</v>
      </c>
      <c r="F226" s="12">
        <v>2242</v>
      </c>
      <c r="G226" s="13" t="s">
        <v>218</v>
      </c>
      <c r="H226" s="14" t="str">
        <f t="shared" si="6"/>
        <v>B</v>
      </c>
      <c r="I226" s="15" t="str">
        <f t="shared" si="7"/>
        <v>The Commissioner &amp; Chief Constable are satisfied the spend represents VFM in accordance with the requirements of Category B</v>
      </c>
      <c r="L226" s="17"/>
      <c r="M226" s="17"/>
    </row>
    <row r="227" spans="1:13" s="20" customFormat="1" x14ac:dyDescent="0.2">
      <c r="A227" s="10" t="s">
        <v>8</v>
      </c>
      <c r="B227" s="11" t="s">
        <v>9</v>
      </c>
      <c r="C227" s="75" t="s">
        <v>217</v>
      </c>
      <c r="D227" s="86">
        <v>7176468</v>
      </c>
      <c r="E227" s="85">
        <v>45532</v>
      </c>
      <c r="F227" s="12">
        <v>2242</v>
      </c>
      <c r="G227" s="13" t="s">
        <v>218</v>
      </c>
      <c r="H227" s="14" t="str">
        <f t="shared" si="6"/>
        <v>B</v>
      </c>
      <c r="I227" s="15" t="str">
        <f t="shared" si="7"/>
        <v>The Commissioner &amp; Chief Constable are satisfied the spend represents VFM in accordance with the requirements of Category B</v>
      </c>
      <c r="L227" s="17"/>
      <c r="M227" s="17"/>
    </row>
    <row r="228" spans="1:13" s="20" customFormat="1" x14ac:dyDescent="0.2">
      <c r="A228" s="10" t="s">
        <v>8</v>
      </c>
      <c r="B228" s="11" t="s">
        <v>9</v>
      </c>
      <c r="C228" s="75" t="s">
        <v>217</v>
      </c>
      <c r="D228" s="86">
        <v>7175354</v>
      </c>
      <c r="E228" s="85">
        <v>45516</v>
      </c>
      <c r="F228" s="12">
        <v>2242</v>
      </c>
      <c r="G228" s="13" t="s">
        <v>218</v>
      </c>
      <c r="H228" s="14" t="str">
        <f t="shared" si="6"/>
        <v>B</v>
      </c>
      <c r="I228" s="15" t="str">
        <f t="shared" si="7"/>
        <v>The Commissioner &amp; Chief Constable are satisfied the spend represents VFM in accordance with the requirements of Category B</v>
      </c>
      <c r="L228" s="17"/>
      <c r="M228" s="17"/>
    </row>
    <row r="229" spans="1:13" s="20" customFormat="1" x14ac:dyDescent="0.2">
      <c r="A229" s="10" t="s">
        <v>8</v>
      </c>
      <c r="B229" s="11" t="s">
        <v>9</v>
      </c>
      <c r="C229" s="77" t="s">
        <v>135</v>
      </c>
      <c r="D229" s="86">
        <v>7175275</v>
      </c>
      <c r="E229" s="85">
        <v>45516</v>
      </c>
      <c r="F229" s="12">
        <v>2220.04</v>
      </c>
      <c r="G229" s="13" t="s">
        <v>40</v>
      </c>
      <c r="H229" s="14" t="str">
        <f t="shared" si="6"/>
        <v>B</v>
      </c>
      <c r="I229" s="15" t="str">
        <f t="shared" si="7"/>
        <v>The Commissioner &amp; Chief Constable are satisfied the spend represents VFM in accordance with the requirements of Category B</v>
      </c>
      <c r="L229" s="17"/>
      <c r="M229" s="17"/>
    </row>
    <row r="230" spans="1:13" s="20" customFormat="1" x14ac:dyDescent="0.2">
      <c r="A230" s="10" t="s">
        <v>8</v>
      </c>
      <c r="B230" s="11" t="s">
        <v>9</v>
      </c>
      <c r="C230" s="75" t="s">
        <v>490</v>
      </c>
      <c r="D230" s="86">
        <v>7176274</v>
      </c>
      <c r="E230" s="85">
        <v>45526</v>
      </c>
      <c r="F230" s="12">
        <v>2218.9299999999998</v>
      </c>
      <c r="G230" s="13" t="s">
        <v>37</v>
      </c>
      <c r="H230" s="14" t="str">
        <f t="shared" si="6"/>
        <v>B</v>
      </c>
      <c r="I230" s="15" t="str">
        <f t="shared" si="7"/>
        <v>The Commissioner &amp; Chief Constable are satisfied the spend represents VFM in accordance with the requirements of Category B</v>
      </c>
      <c r="L230" s="17"/>
      <c r="M230" s="17"/>
    </row>
    <row r="231" spans="1:13" s="20" customFormat="1" x14ac:dyDescent="0.2">
      <c r="A231" s="10" t="s">
        <v>8</v>
      </c>
      <c r="B231" s="11" t="s">
        <v>9</v>
      </c>
      <c r="C231" s="75" t="s">
        <v>238</v>
      </c>
      <c r="D231" s="86">
        <v>7175409</v>
      </c>
      <c r="E231" s="85">
        <v>45517</v>
      </c>
      <c r="F231" s="18">
        <v>2204.75</v>
      </c>
      <c r="G231" s="13" t="s">
        <v>106</v>
      </c>
      <c r="H231" s="14" t="str">
        <f t="shared" si="6"/>
        <v>B</v>
      </c>
      <c r="I231" s="15" t="str">
        <f t="shared" si="7"/>
        <v>The Commissioner &amp; Chief Constable are satisfied the spend represents VFM in accordance with the requirements of Category B</v>
      </c>
      <c r="L231" s="17"/>
      <c r="M231" s="17"/>
    </row>
    <row r="232" spans="1:13" s="20" customFormat="1" x14ac:dyDescent="0.2">
      <c r="A232" s="10" t="s">
        <v>8</v>
      </c>
      <c r="B232" s="11" t="s">
        <v>9</v>
      </c>
      <c r="C232" s="75" t="s">
        <v>149</v>
      </c>
      <c r="D232" s="86">
        <v>7176530</v>
      </c>
      <c r="E232" s="85">
        <v>45533</v>
      </c>
      <c r="F232" s="12">
        <v>2065.4499999999998</v>
      </c>
      <c r="G232" s="13" t="s">
        <v>138</v>
      </c>
      <c r="H232" s="14" t="str">
        <f t="shared" si="6"/>
        <v>B</v>
      </c>
      <c r="I232" s="15" t="str">
        <f t="shared" si="7"/>
        <v>The Commissioner &amp; Chief Constable are satisfied the spend represents VFM in accordance with the requirements of Category B</v>
      </c>
      <c r="L232" s="17"/>
      <c r="M232" s="17"/>
    </row>
    <row r="233" spans="1:13" s="20" customFormat="1" x14ac:dyDescent="0.2">
      <c r="A233" s="10" t="s">
        <v>8</v>
      </c>
      <c r="B233" s="11" t="s">
        <v>9</v>
      </c>
      <c r="C233" s="75" t="s">
        <v>149</v>
      </c>
      <c r="D233" s="86">
        <v>7176097</v>
      </c>
      <c r="E233" s="85">
        <v>45523</v>
      </c>
      <c r="F233" s="12">
        <v>2052.41</v>
      </c>
      <c r="G233" s="13" t="s">
        <v>138</v>
      </c>
      <c r="H233" s="14" t="str">
        <f t="shared" si="6"/>
        <v>B</v>
      </c>
      <c r="I233" s="15" t="str">
        <f t="shared" si="7"/>
        <v>The Commissioner &amp; Chief Constable are satisfied the spend represents VFM in accordance with the requirements of Category B</v>
      </c>
      <c r="L233" s="17"/>
      <c r="M233" s="17"/>
    </row>
    <row r="234" spans="1:13" s="20" customFormat="1" x14ac:dyDescent="0.2">
      <c r="A234" s="10" t="s">
        <v>8</v>
      </c>
      <c r="B234" s="11" t="s">
        <v>9</v>
      </c>
      <c r="C234" s="75" t="s">
        <v>119</v>
      </c>
      <c r="D234" s="86">
        <v>7176410</v>
      </c>
      <c r="E234" s="85">
        <v>45527</v>
      </c>
      <c r="F234" s="12">
        <v>2039.1</v>
      </c>
      <c r="G234" s="13" t="s">
        <v>120</v>
      </c>
      <c r="H234" s="14" t="str">
        <f t="shared" si="6"/>
        <v>B</v>
      </c>
      <c r="I234" s="15" t="str">
        <f t="shared" si="7"/>
        <v>The Commissioner &amp; Chief Constable are satisfied the spend represents VFM in accordance with the requirements of Category B</v>
      </c>
      <c r="L234" s="17"/>
      <c r="M234" s="17"/>
    </row>
    <row r="235" spans="1:13" s="20" customFormat="1" x14ac:dyDescent="0.2">
      <c r="A235" s="10" t="s">
        <v>8</v>
      </c>
      <c r="B235" s="11" t="s">
        <v>9</v>
      </c>
      <c r="C235" s="75" t="s">
        <v>262</v>
      </c>
      <c r="D235" s="86">
        <v>7175673</v>
      </c>
      <c r="E235" s="85">
        <v>45506</v>
      </c>
      <c r="F235" s="12">
        <v>2001</v>
      </c>
      <c r="G235" s="13" t="s">
        <v>263</v>
      </c>
      <c r="H235" s="14" t="str">
        <f t="shared" si="6"/>
        <v>B</v>
      </c>
      <c r="I235" s="15" t="str">
        <f t="shared" si="7"/>
        <v>The Commissioner &amp; Chief Constable are satisfied the spend represents VFM in accordance with the requirements of Category B</v>
      </c>
      <c r="L235" s="17"/>
      <c r="M235" s="17"/>
    </row>
    <row r="236" spans="1:13" s="20" customFormat="1" x14ac:dyDescent="0.2">
      <c r="A236" s="10" t="s">
        <v>8</v>
      </c>
      <c r="B236" s="11" t="s">
        <v>9</v>
      </c>
      <c r="C236" s="75" t="s">
        <v>282</v>
      </c>
      <c r="D236" s="86">
        <v>7175524</v>
      </c>
      <c r="E236" s="85">
        <v>45509</v>
      </c>
      <c r="F236" s="12">
        <v>1993.33</v>
      </c>
      <c r="G236" s="13" t="s">
        <v>131</v>
      </c>
      <c r="H236" s="14" t="str">
        <f t="shared" si="6"/>
        <v>B</v>
      </c>
      <c r="I236" s="15" t="str">
        <f t="shared" si="7"/>
        <v>The Commissioner &amp; Chief Constable are satisfied the spend represents VFM in accordance with the requirements of Category B</v>
      </c>
      <c r="L236" s="17"/>
      <c r="M236" s="17"/>
    </row>
    <row r="237" spans="1:13" s="20" customFormat="1" x14ac:dyDescent="0.2">
      <c r="A237" s="10" t="s">
        <v>8</v>
      </c>
      <c r="B237" s="11" t="s">
        <v>9</v>
      </c>
      <c r="C237" s="75" t="s">
        <v>119</v>
      </c>
      <c r="D237" s="86">
        <v>7176409</v>
      </c>
      <c r="E237" s="85">
        <v>45527</v>
      </c>
      <c r="F237" s="12">
        <v>1962.51</v>
      </c>
      <c r="G237" s="13" t="s">
        <v>120</v>
      </c>
      <c r="H237" s="14" t="str">
        <f t="shared" si="6"/>
        <v>B</v>
      </c>
      <c r="I237" s="15" t="str">
        <f t="shared" si="7"/>
        <v>The Commissioner &amp; Chief Constable are satisfied the spend represents VFM in accordance with the requirements of Category B</v>
      </c>
      <c r="L237" s="17"/>
      <c r="M237" s="17"/>
    </row>
    <row r="238" spans="1:13" s="20" customFormat="1" x14ac:dyDescent="0.2">
      <c r="A238" s="10" t="s">
        <v>8</v>
      </c>
      <c r="B238" s="11" t="s">
        <v>9</v>
      </c>
      <c r="C238" s="75" t="s">
        <v>637</v>
      </c>
      <c r="D238" s="86">
        <v>7175879</v>
      </c>
      <c r="E238" s="85">
        <v>45518</v>
      </c>
      <c r="F238" s="12">
        <v>1931</v>
      </c>
      <c r="G238" s="13" t="s">
        <v>129</v>
      </c>
      <c r="H238" s="14" t="str">
        <f t="shared" si="6"/>
        <v>B</v>
      </c>
      <c r="I238" s="15" t="str">
        <f t="shared" si="7"/>
        <v>The Commissioner &amp; Chief Constable are satisfied the spend represents VFM in accordance with the requirements of Category B</v>
      </c>
      <c r="L238" s="17"/>
      <c r="M238" s="17"/>
    </row>
    <row r="239" spans="1:13" s="20" customFormat="1" x14ac:dyDescent="0.2">
      <c r="A239" s="10" t="s">
        <v>8</v>
      </c>
      <c r="B239" s="11" t="s">
        <v>9</v>
      </c>
      <c r="C239" s="75" t="s">
        <v>256</v>
      </c>
      <c r="D239" s="86">
        <v>7176360</v>
      </c>
      <c r="E239" s="85">
        <v>45525</v>
      </c>
      <c r="F239" s="12">
        <v>1879.8</v>
      </c>
      <c r="G239" s="13" t="s">
        <v>131</v>
      </c>
      <c r="H239" s="14" t="str">
        <f t="shared" si="6"/>
        <v>B</v>
      </c>
      <c r="I239" s="15" t="str">
        <f t="shared" si="7"/>
        <v>The Commissioner &amp; Chief Constable are satisfied the spend represents VFM in accordance with the requirements of Category B</v>
      </c>
      <c r="L239" s="17"/>
      <c r="M239" s="17"/>
    </row>
    <row r="240" spans="1:13" s="20" customFormat="1" x14ac:dyDescent="0.2">
      <c r="A240" s="10" t="s">
        <v>8</v>
      </c>
      <c r="B240" s="11" t="s">
        <v>9</v>
      </c>
      <c r="C240" s="75" t="s">
        <v>862</v>
      </c>
      <c r="D240" s="86">
        <v>7176333</v>
      </c>
      <c r="E240" s="85">
        <v>45525</v>
      </c>
      <c r="F240" s="12">
        <v>1853.96</v>
      </c>
      <c r="G240" s="13" t="s">
        <v>15</v>
      </c>
      <c r="H240" s="14" t="str">
        <f t="shared" si="6"/>
        <v>B</v>
      </c>
      <c r="I240" s="15" t="str">
        <f t="shared" si="7"/>
        <v>The Commissioner &amp; Chief Constable are satisfied the spend represents VFM in accordance with the requirements of Category B</v>
      </c>
      <c r="L240" s="17"/>
      <c r="M240" s="17"/>
    </row>
    <row r="241" spans="1:13" s="20" customFormat="1" x14ac:dyDescent="0.2">
      <c r="A241" s="10" t="s">
        <v>8</v>
      </c>
      <c r="B241" s="11" t="s">
        <v>9</v>
      </c>
      <c r="C241" s="75" t="s">
        <v>236</v>
      </c>
      <c r="D241" s="86">
        <v>7175478</v>
      </c>
      <c r="E241" s="85">
        <v>45505</v>
      </c>
      <c r="F241" s="12">
        <v>1850</v>
      </c>
      <c r="G241" s="13" t="s">
        <v>112</v>
      </c>
      <c r="H241" s="14" t="str">
        <f t="shared" si="6"/>
        <v>B</v>
      </c>
      <c r="I241" s="15" t="str">
        <f t="shared" si="7"/>
        <v>The Commissioner &amp; Chief Constable are satisfied the spend represents VFM in accordance with the requirements of Category B</v>
      </c>
      <c r="L241" s="17"/>
      <c r="M241" s="17"/>
    </row>
    <row r="242" spans="1:13" s="20" customFormat="1" x14ac:dyDescent="0.2">
      <c r="A242" s="10" t="s">
        <v>8</v>
      </c>
      <c r="B242" s="11" t="s">
        <v>9</v>
      </c>
      <c r="C242" s="75" t="s">
        <v>861</v>
      </c>
      <c r="D242" s="86">
        <v>7175727</v>
      </c>
      <c r="E242" s="85">
        <v>45505</v>
      </c>
      <c r="F242" s="12">
        <v>1843.39</v>
      </c>
      <c r="G242" s="13" t="s">
        <v>58</v>
      </c>
      <c r="H242" s="14" t="str">
        <f t="shared" si="6"/>
        <v>B</v>
      </c>
      <c r="I242" s="15" t="str">
        <f t="shared" si="7"/>
        <v>The Commissioner &amp; Chief Constable are satisfied the spend represents VFM in accordance with the requirements of Category B</v>
      </c>
      <c r="L242" s="17"/>
      <c r="M242" s="17"/>
    </row>
    <row r="243" spans="1:13" s="20" customFormat="1" x14ac:dyDescent="0.2">
      <c r="A243" s="10" t="s">
        <v>8</v>
      </c>
      <c r="B243" s="11" t="s">
        <v>9</v>
      </c>
      <c r="C243" s="75" t="s">
        <v>149</v>
      </c>
      <c r="D243" s="86">
        <v>7175846</v>
      </c>
      <c r="E243" s="85">
        <v>45517</v>
      </c>
      <c r="F243" s="12">
        <v>1827.65</v>
      </c>
      <c r="G243" s="13" t="s">
        <v>138</v>
      </c>
      <c r="H243" s="14" t="str">
        <f t="shared" si="6"/>
        <v>B</v>
      </c>
      <c r="I243" s="15" t="str">
        <f t="shared" si="7"/>
        <v>The Commissioner &amp; Chief Constable are satisfied the spend represents VFM in accordance with the requirements of Category B</v>
      </c>
      <c r="L243" s="17"/>
      <c r="M243" s="17"/>
    </row>
    <row r="244" spans="1:13" s="20" customFormat="1" x14ac:dyDescent="0.2">
      <c r="A244" s="10" t="s">
        <v>8</v>
      </c>
      <c r="B244" s="11" t="s">
        <v>9</v>
      </c>
      <c r="C244" s="77" t="s">
        <v>256</v>
      </c>
      <c r="D244" s="86">
        <v>7175339</v>
      </c>
      <c r="E244" s="85">
        <v>45506</v>
      </c>
      <c r="F244" s="12">
        <v>1758.28</v>
      </c>
      <c r="G244" s="13" t="s">
        <v>131</v>
      </c>
      <c r="H244" s="14" t="str">
        <f t="shared" si="6"/>
        <v>B</v>
      </c>
      <c r="I244" s="15" t="str">
        <f t="shared" si="7"/>
        <v>The Commissioner &amp; Chief Constable are satisfied the spend represents VFM in accordance with the requirements of Category B</v>
      </c>
      <c r="L244" s="17"/>
      <c r="M244" s="17"/>
    </row>
    <row r="245" spans="1:13" s="20" customFormat="1" x14ac:dyDescent="0.2">
      <c r="A245" s="10" t="s">
        <v>8</v>
      </c>
      <c r="B245" s="11" t="s">
        <v>9</v>
      </c>
      <c r="C245" s="75" t="s">
        <v>608</v>
      </c>
      <c r="D245" s="86">
        <v>7176089</v>
      </c>
      <c r="E245" s="85">
        <v>45518</v>
      </c>
      <c r="F245" s="12">
        <v>1750</v>
      </c>
      <c r="G245" s="13" t="s">
        <v>138</v>
      </c>
      <c r="H245" s="14" t="str">
        <f t="shared" si="6"/>
        <v>B</v>
      </c>
      <c r="I245" s="15" t="str">
        <f t="shared" si="7"/>
        <v>The Commissioner &amp; Chief Constable are satisfied the spend represents VFM in accordance with the requirements of Category B</v>
      </c>
      <c r="L245" s="17"/>
      <c r="M245" s="17"/>
    </row>
    <row r="246" spans="1:13" s="20" customFormat="1" x14ac:dyDescent="0.2">
      <c r="A246" s="10" t="s">
        <v>8</v>
      </c>
      <c r="B246" s="11" t="s">
        <v>9</v>
      </c>
      <c r="C246" s="75" t="s">
        <v>608</v>
      </c>
      <c r="D246" s="86">
        <v>7176322</v>
      </c>
      <c r="E246" s="85">
        <v>45527</v>
      </c>
      <c r="F246" s="12">
        <v>1750</v>
      </c>
      <c r="G246" s="13" t="s">
        <v>138</v>
      </c>
      <c r="H246" s="14" t="str">
        <f t="shared" si="6"/>
        <v>B</v>
      </c>
      <c r="I246" s="15" t="str">
        <f t="shared" si="7"/>
        <v>The Commissioner &amp; Chief Constable are satisfied the spend represents VFM in accordance with the requirements of Category B</v>
      </c>
      <c r="L246" s="17"/>
      <c r="M246" s="17"/>
    </row>
    <row r="247" spans="1:13" s="20" customFormat="1" x14ac:dyDescent="0.2">
      <c r="A247" s="10" t="s">
        <v>8</v>
      </c>
      <c r="B247" s="11" t="s">
        <v>9</v>
      </c>
      <c r="C247" s="75" t="s">
        <v>283</v>
      </c>
      <c r="D247" s="86">
        <v>7175758</v>
      </c>
      <c r="E247" s="85">
        <v>45520</v>
      </c>
      <c r="F247" s="12">
        <v>1727.04</v>
      </c>
      <c r="G247" s="13" t="s">
        <v>40</v>
      </c>
      <c r="H247" s="14" t="str">
        <f t="shared" si="6"/>
        <v>B</v>
      </c>
      <c r="I247" s="15" t="str">
        <f t="shared" si="7"/>
        <v>The Commissioner &amp; Chief Constable are satisfied the spend represents VFM in accordance with the requirements of Category B</v>
      </c>
      <c r="L247" s="17"/>
      <c r="M247" s="17"/>
    </row>
    <row r="248" spans="1:13" s="20" customFormat="1" x14ac:dyDescent="0.2">
      <c r="A248" s="10" t="s">
        <v>8</v>
      </c>
      <c r="B248" s="11" t="s">
        <v>9</v>
      </c>
      <c r="C248" s="75" t="s">
        <v>860</v>
      </c>
      <c r="D248" s="86">
        <v>7175926</v>
      </c>
      <c r="E248" s="85">
        <v>45512</v>
      </c>
      <c r="F248" s="12">
        <v>1720</v>
      </c>
      <c r="G248" s="13" t="s">
        <v>106</v>
      </c>
      <c r="H248" s="14" t="str">
        <f t="shared" si="6"/>
        <v>B</v>
      </c>
      <c r="I248" s="15" t="str">
        <f t="shared" si="7"/>
        <v>The Commissioner &amp; Chief Constable are satisfied the spend represents VFM in accordance with the requirements of Category B</v>
      </c>
      <c r="L248" s="17"/>
      <c r="M248" s="17"/>
    </row>
    <row r="249" spans="1:13" s="20" customFormat="1" x14ac:dyDescent="0.2">
      <c r="A249" s="10" t="s">
        <v>8</v>
      </c>
      <c r="B249" s="11" t="s">
        <v>9</v>
      </c>
      <c r="C249" s="75" t="s">
        <v>246</v>
      </c>
      <c r="D249" s="86">
        <v>7176384</v>
      </c>
      <c r="E249" s="85">
        <v>45526</v>
      </c>
      <c r="F249" s="12">
        <v>1700.2</v>
      </c>
      <c r="G249" s="13" t="s">
        <v>131</v>
      </c>
      <c r="H249" s="14" t="str">
        <f t="shared" si="6"/>
        <v>B</v>
      </c>
      <c r="I249" s="15" t="str">
        <f t="shared" si="7"/>
        <v>The Commissioner &amp; Chief Constable are satisfied the spend represents VFM in accordance with the requirements of Category B</v>
      </c>
      <c r="L249" s="17"/>
      <c r="M249" s="17"/>
    </row>
    <row r="250" spans="1:13" s="20" customFormat="1" x14ac:dyDescent="0.2">
      <c r="A250" s="10" t="s">
        <v>8</v>
      </c>
      <c r="B250" s="11" t="s">
        <v>9</v>
      </c>
      <c r="C250" s="75" t="s">
        <v>411</v>
      </c>
      <c r="D250" s="86">
        <v>7176614</v>
      </c>
      <c r="E250" s="85">
        <v>45534</v>
      </c>
      <c r="F250" s="12">
        <v>1690.93</v>
      </c>
      <c r="G250" s="13" t="s">
        <v>156</v>
      </c>
      <c r="H250" s="14" t="str">
        <f t="shared" si="6"/>
        <v>B</v>
      </c>
      <c r="I250" s="15" t="str">
        <f t="shared" si="7"/>
        <v>The Commissioner &amp; Chief Constable are satisfied the spend represents VFM in accordance with the requirements of Category B</v>
      </c>
      <c r="L250" s="17"/>
      <c r="M250" s="17"/>
    </row>
    <row r="251" spans="1:13" s="20" customFormat="1" x14ac:dyDescent="0.2">
      <c r="A251" s="10" t="s">
        <v>8</v>
      </c>
      <c r="B251" s="11" t="s">
        <v>9</v>
      </c>
      <c r="C251" s="75" t="s">
        <v>26</v>
      </c>
      <c r="D251" s="86">
        <v>7176571</v>
      </c>
      <c r="E251" s="85">
        <v>45533</v>
      </c>
      <c r="F251" s="12">
        <v>1596.23</v>
      </c>
      <c r="G251" s="13" t="s">
        <v>76</v>
      </c>
      <c r="H251" s="14" t="str">
        <f t="shared" si="6"/>
        <v>B</v>
      </c>
      <c r="I251" s="15" t="str">
        <f t="shared" si="7"/>
        <v>The Commissioner &amp; Chief Constable are satisfied the spend represents VFM in accordance with the requirements of Category B</v>
      </c>
      <c r="L251" s="17"/>
      <c r="M251" s="17"/>
    </row>
    <row r="252" spans="1:13" s="20" customFormat="1" x14ac:dyDescent="0.2">
      <c r="A252" s="10" t="s">
        <v>8</v>
      </c>
      <c r="B252" s="11" t="s">
        <v>9</v>
      </c>
      <c r="C252" s="75" t="s">
        <v>822</v>
      </c>
      <c r="D252" s="86">
        <v>7175990</v>
      </c>
      <c r="E252" s="85">
        <v>45516</v>
      </c>
      <c r="F252" s="12">
        <v>1551.78</v>
      </c>
      <c r="G252" s="13" t="s">
        <v>91</v>
      </c>
      <c r="H252" s="14" t="str">
        <f t="shared" si="6"/>
        <v>B</v>
      </c>
      <c r="I252" s="15" t="str">
        <f t="shared" si="7"/>
        <v>The Commissioner &amp; Chief Constable are satisfied the spend represents VFM in accordance with the requirements of Category B</v>
      </c>
      <c r="L252" s="17"/>
      <c r="M252" s="17"/>
    </row>
    <row r="253" spans="1:13" s="20" customFormat="1" x14ac:dyDescent="0.2">
      <c r="A253" s="10" t="s">
        <v>8</v>
      </c>
      <c r="B253" s="11" t="s">
        <v>9</v>
      </c>
      <c r="C253" s="75" t="s">
        <v>859</v>
      </c>
      <c r="D253" s="86">
        <v>7175882</v>
      </c>
      <c r="E253" s="85">
        <v>45531</v>
      </c>
      <c r="F253" s="12">
        <v>1535</v>
      </c>
      <c r="G253" s="13" t="s">
        <v>106</v>
      </c>
      <c r="H253" s="14" t="str">
        <f t="shared" si="6"/>
        <v>B</v>
      </c>
      <c r="I253" s="15" t="str">
        <f t="shared" si="7"/>
        <v>The Commissioner &amp; Chief Constable are satisfied the spend represents VFM in accordance with the requirements of Category B</v>
      </c>
      <c r="L253" s="17"/>
      <c r="M253" s="17"/>
    </row>
    <row r="254" spans="1:13" s="20" customFormat="1" x14ac:dyDescent="0.2">
      <c r="A254" s="10" t="s">
        <v>8</v>
      </c>
      <c r="B254" s="11" t="s">
        <v>9</v>
      </c>
      <c r="C254" s="75" t="s">
        <v>527</v>
      </c>
      <c r="D254" s="86">
        <v>7176499</v>
      </c>
      <c r="E254" s="85">
        <v>45534</v>
      </c>
      <c r="F254" s="12">
        <v>1516.82</v>
      </c>
      <c r="G254" s="13" t="s">
        <v>296</v>
      </c>
      <c r="H254" s="14" t="str">
        <f t="shared" si="6"/>
        <v>B</v>
      </c>
      <c r="I254" s="15" t="str">
        <f t="shared" si="7"/>
        <v>The Commissioner &amp; Chief Constable are satisfied the spend represents VFM in accordance with the requirements of Category B</v>
      </c>
      <c r="L254" s="17"/>
      <c r="M254" s="17"/>
    </row>
    <row r="255" spans="1:13" s="20" customFormat="1" x14ac:dyDescent="0.2">
      <c r="A255" s="10" t="s">
        <v>8</v>
      </c>
      <c r="B255" s="11" t="s">
        <v>9</v>
      </c>
      <c r="C255" s="75" t="s">
        <v>260</v>
      </c>
      <c r="D255" s="86">
        <v>7176599</v>
      </c>
      <c r="E255" s="85">
        <v>45534</v>
      </c>
      <c r="F255" s="12">
        <v>1511.1100000000001</v>
      </c>
      <c r="G255" s="13" t="s">
        <v>261</v>
      </c>
      <c r="H255" s="14" t="str">
        <f t="shared" si="6"/>
        <v>B</v>
      </c>
      <c r="I255" s="15" t="str">
        <f t="shared" si="7"/>
        <v>The Commissioner &amp; Chief Constable are satisfied the spend represents VFM in accordance with the requirements of Category B</v>
      </c>
      <c r="L255" s="17"/>
      <c r="M255" s="17"/>
    </row>
    <row r="256" spans="1:13" s="20" customFormat="1" x14ac:dyDescent="0.2">
      <c r="A256" s="10" t="s">
        <v>8</v>
      </c>
      <c r="B256" s="11" t="s">
        <v>9</v>
      </c>
      <c r="C256" s="75" t="s">
        <v>289</v>
      </c>
      <c r="D256" s="86">
        <v>7176392</v>
      </c>
      <c r="E256" s="85">
        <v>45526</v>
      </c>
      <c r="F256" s="12">
        <v>1506.54</v>
      </c>
      <c r="G256" s="13" t="s">
        <v>177</v>
      </c>
      <c r="H256" s="14" t="str">
        <f t="shared" si="6"/>
        <v>B</v>
      </c>
      <c r="I256" s="15" t="str">
        <f t="shared" si="7"/>
        <v>The Commissioner &amp; Chief Constable are satisfied the spend represents VFM in accordance with the requirements of Category B</v>
      </c>
      <c r="L256" s="17"/>
      <c r="M256" s="17"/>
    </row>
    <row r="257" spans="1:13" s="20" customFormat="1" x14ac:dyDescent="0.2">
      <c r="A257" s="10" t="s">
        <v>8</v>
      </c>
      <c r="B257" s="11" t="s">
        <v>9</v>
      </c>
      <c r="C257" s="75" t="s">
        <v>348</v>
      </c>
      <c r="D257" s="86">
        <v>7176063</v>
      </c>
      <c r="E257" s="85">
        <v>45517</v>
      </c>
      <c r="F257" s="12">
        <v>1499.8</v>
      </c>
      <c r="G257" s="13" t="s">
        <v>131</v>
      </c>
      <c r="H257" s="14" t="str">
        <f t="shared" si="6"/>
        <v>B</v>
      </c>
      <c r="I257" s="15" t="str">
        <f t="shared" si="7"/>
        <v>The Commissioner &amp; Chief Constable are satisfied the spend represents VFM in accordance with the requirements of Category B</v>
      </c>
      <c r="L257" s="17"/>
      <c r="M257" s="17"/>
    </row>
    <row r="258" spans="1:13" s="20" customFormat="1" x14ac:dyDescent="0.2">
      <c r="A258" s="10" t="s">
        <v>8</v>
      </c>
      <c r="B258" s="11" t="s">
        <v>9</v>
      </c>
      <c r="C258" s="75" t="s">
        <v>395</v>
      </c>
      <c r="D258" s="86">
        <v>7176128</v>
      </c>
      <c r="E258" s="85">
        <v>45531</v>
      </c>
      <c r="F258" s="12">
        <v>1491</v>
      </c>
      <c r="G258" s="13" t="s">
        <v>131</v>
      </c>
      <c r="H258" s="14" t="str">
        <f t="shared" ref="H258:H321" si="8">IF(F258&gt;25000,"C",IF(F258&gt;1000,"B","A"))</f>
        <v>B</v>
      </c>
      <c r="I258" s="15" t="str">
        <f t="shared" ref="I258:I321" si="9">VLOOKUP(H258,$L$2:$M$4,2,FALSE)</f>
        <v>The Commissioner &amp; Chief Constable are satisfied the spend represents VFM in accordance with the requirements of Category B</v>
      </c>
      <c r="L258" s="17"/>
      <c r="M258" s="17"/>
    </row>
    <row r="259" spans="1:13" s="20" customFormat="1" x14ac:dyDescent="0.2">
      <c r="A259" s="10" t="s">
        <v>8</v>
      </c>
      <c r="B259" s="11" t="s">
        <v>9</v>
      </c>
      <c r="C259" s="75" t="s">
        <v>858</v>
      </c>
      <c r="D259" s="86">
        <v>7176433</v>
      </c>
      <c r="E259" s="85">
        <v>45527</v>
      </c>
      <c r="F259" s="12">
        <v>1478</v>
      </c>
      <c r="G259" s="13" t="s">
        <v>106</v>
      </c>
      <c r="H259" s="14" t="str">
        <f t="shared" si="8"/>
        <v>B</v>
      </c>
      <c r="I259" s="15" t="str">
        <f t="shared" si="9"/>
        <v>The Commissioner &amp; Chief Constable are satisfied the spend represents VFM in accordance with the requirements of Category B</v>
      </c>
      <c r="L259" s="17"/>
      <c r="M259" s="17"/>
    </row>
    <row r="260" spans="1:13" s="20" customFormat="1" x14ac:dyDescent="0.2">
      <c r="A260" s="10" t="s">
        <v>8</v>
      </c>
      <c r="B260" s="11" t="s">
        <v>9</v>
      </c>
      <c r="C260" s="75" t="s">
        <v>527</v>
      </c>
      <c r="D260" s="86">
        <v>7175291</v>
      </c>
      <c r="E260" s="85">
        <v>45516</v>
      </c>
      <c r="F260" s="12">
        <v>1468.82</v>
      </c>
      <c r="G260" s="13" t="s">
        <v>296</v>
      </c>
      <c r="H260" s="14" t="str">
        <f t="shared" si="8"/>
        <v>B</v>
      </c>
      <c r="I260" s="15" t="str">
        <f t="shared" si="9"/>
        <v>The Commissioner &amp; Chief Constable are satisfied the spend represents VFM in accordance with the requirements of Category B</v>
      </c>
      <c r="L260" s="17"/>
      <c r="M260" s="17"/>
    </row>
    <row r="261" spans="1:13" s="20" customFormat="1" x14ac:dyDescent="0.2">
      <c r="A261" s="10" t="s">
        <v>8</v>
      </c>
      <c r="B261" s="11" t="s">
        <v>9</v>
      </c>
      <c r="C261" s="75" t="s">
        <v>219</v>
      </c>
      <c r="D261" s="86">
        <v>7175546</v>
      </c>
      <c r="E261" s="85">
        <v>45520</v>
      </c>
      <c r="F261" s="12">
        <v>1452.55</v>
      </c>
      <c r="G261" s="13" t="s">
        <v>220</v>
      </c>
      <c r="H261" s="14" t="str">
        <f t="shared" si="8"/>
        <v>B</v>
      </c>
      <c r="I261" s="15" t="str">
        <f t="shared" si="9"/>
        <v>The Commissioner &amp; Chief Constable are satisfied the spend represents VFM in accordance with the requirements of Category B</v>
      </c>
      <c r="L261" s="17"/>
      <c r="M261" s="17"/>
    </row>
    <row r="262" spans="1:13" s="20" customFormat="1" x14ac:dyDescent="0.2">
      <c r="A262" s="10" t="s">
        <v>8</v>
      </c>
      <c r="B262" s="11" t="s">
        <v>9</v>
      </c>
      <c r="C262" s="75" t="s">
        <v>225</v>
      </c>
      <c r="D262" s="86">
        <v>7174554</v>
      </c>
      <c r="E262" s="85">
        <v>45506</v>
      </c>
      <c r="F262" s="12">
        <v>1440</v>
      </c>
      <c r="G262" s="13" t="s">
        <v>106</v>
      </c>
      <c r="H262" s="14" t="str">
        <f t="shared" si="8"/>
        <v>B</v>
      </c>
      <c r="I262" s="15" t="str">
        <f t="shared" si="9"/>
        <v>The Commissioner &amp; Chief Constable are satisfied the spend represents VFM in accordance with the requirements of Category B</v>
      </c>
      <c r="L262" s="17"/>
      <c r="M262" s="17"/>
    </row>
    <row r="263" spans="1:13" s="20" customFormat="1" x14ac:dyDescent="0.2">
      <c r="A263" s="10" t="s">
        <v>8</v>
      </c>
      <c r="B263" s="11" t="s">
        <v>9</v>
      </c>
      <c r="C263" s="75" t="s">
        <v>633</v>
      </c>
      <c r="D263" s="86">
        <v>7175697</v>
      </c>
      <c r="E263" s="85">
        <v>45505</v>
      </c>
      <c r="F263" s="12">
        <v>1429.1</v>
      </c>
      <c r="G263" s="13" t="s">
        <v>91</v>
      </c>
      <c r="H263" s="14" t="str">
        <f t="shared" si="8"/>
        <v>B</v>
      </c>
      <c r="I263" s="15" t="str">
        <f t="shared" si="9"/>
        <v>The Commissioner &amp; Chief Constable are satisfied the spend represents VFM in accordance with the requirements of Category B</v>
      </c>
      <c r="L263" s="17"/>
      <c r="M263" s="17"/>
    </row>
    <row r="264" spans="1:13" s="20" customFormat="1" x14ac:dyDescent="0.2">
      <c r="A264" s="10" t="s">
        <v>8</v>
      </c>
      <c r="B264" s="11" t="s">
        <v>9</v>
      </c>
      <c r="C264" s="75" t="s">
        <v>400</v>
      </c>
      <c r="D264" s="86">
        <v>7175774</v>
      </c>
      <c r="E264" s="85">
        <v>45510</v>
      </c>
      <c r="F264" s="12">
        <v>1412.25</v>
      </c>
      <c r="G264" s="19" t="s">
        <v>131</v>
      </c>
      <c r="H264" s="14" t="str">
        <f t="shared" si="8"/>
        <v>B</v>
      </c>
      <c r="I264" s="15" t="str">
        <f t="shared" si="9"/>
        <v>The Commissioner &amp; Chief Constable are satisfied the spend represents VFM in accordance with the requirements of Category B</v>
      </c>
      <c r="L264" s="17"/>
      <c r="M264" s="17"/>
    </row>
    <row r="265" spans="1:13" s="20" customFormat="1" x14ac:dyDescent="0.2">
      <c r="A265" s="10" t="s">
        <v>8</v>
      </c>
      <c r="B265" s="11" t="s">
        <v>9</v>
      </c>
      <c r="C265" s="75" t="s">
        <v>412</v>
      </c>
      <c r="D265" s="86">
        <v>7175875</v>
      </c>
      <c r="E265" s="85">
        <v>45512</v>
      </c>
      <c r="F265" s="12">
        <v>1401.61</v>
      </c>
      <c r="G265" s="13" t="s">
        <v>388</v>
      </c>
      <c r="H265" s="14" t="str">
        <f t="shared" si="8"/>
        <v>B</v>
      </c>
      <c r="I265" s="15" t="str">
        <f t="shared" si="9"/>
        <v>The Commissioner &amp; Chief Constable are satisfied the spend represents VFM in accordance with the requirements of Category B</v>
      </c>
      <c r="L265" s="17"/>
      <c r="M265" s="17"/>
    </row>
    <row r="266" spans="1:13" s="20" customFormat="1" x14ac:dyDescent="0.2">
      <c r="A266" s="10" t="s">
        <v>8</v>
      </c>
      <c r="B266" s="11" t="s">
        <v>9</v>
      </c>
      <c r="C266" s="75" t="s">
        <v>266</v>
      </c>
      <c r="D266" s="86">
        <v>7176358</v>
      </c>
      <c r="E266" s="85">
        <v>45527</v>
      </c>
      <c r="F266" s="18">
        <v>1396.83</v>
      </c>
      <c r="G266" s="13" t="s">
        <v>209</v>
      </c>
      <c r="H266" s="14" t="str">
        <f t="shared" si="8"/>
        <v>B</v>
      </c>
      <c r="I266" s="15" t="str">
        <f t="shared" si="9"/>
        <v>The Commissioner &amp; Chief Constable are satisfied the spend represents VFM in accordance with the requirements of Category B</v>
      </c>
      <c r="L266" s="17"/>
      <c r="M266" s="17"/>
    </row>
    <row r="267" spans="1:13" s="20" customFormat="1" x14ac:dyDescent="0.2">
      <c r="A267" s="10" t="s">
        <v>8</v>
      </c>
      <c r="B267" s="11" t="s">
        <v>9</v>
      </c>
      <c r="C267" s="75" t="s">
        <v>240</v>
      </c>
      <c r="D267" s="86">
        <v>7176312</v>
      </c>
      <c r="E267" s="85">
        <v>45524</v>
      </c>
      <c r="F267" s="12">
        <v>1383.2</v>
      </c>
      <c r="G267" s="13" t="s">
        <v>241</v>
      </c>
      <c r="H267" s="14" t="str">
        <f t="shared" si="8"/>
        <v>B</v>
      </c>
      <c r="I267" s="15" t="str">
        <f t="shared" si="9"/>
        <v>The Commissioner &amp; Chief Constable are satisfied the spend represents VFM in accordance with the requirements of Category B</v>
      </c>
      <c r="L267" s="17"/>
      <c r="M267" s="17"/>
    </row>
    <row r="268" spans="1:13" s="20" customFormat="1" x14ac:dyDescent="0.2">
      <c r="A268" s="10" t="s">
        <v>8</v>
      </c>
      <c r="B268" s="11" t="s">
        <v>9</v>
      </c>
      <c r="C268" s="75" t="s">
        <v>639</v>
      </c>
      <c r="D268" s="86">
        <v>7176277</v>
      </c>
      <c r="E268" s="85">
        <v>45526</v>
      </c>
      <c r="F268" s="12">
        <v>1368.83</v>
      </c>
      <c r="G268" s="13" t="s">
        <v>37</v>
      </c>
      <c r="H268" s="14" t="str">
        <f t="shared" si="8"/>
        <v>B</v>
      </c>
      <c r="I268" s="15" t="str">
        <f t="shared" si="9"/>
        <v>The Commissioner &amp; Chief Constable are satisfied the spend represents VFM in accordance with the requirements of Category B</v>
      </c>
      <c r="L268" s="17"/>
      <c r="M268" s="17"/>
    </row>
    <row r="269" spans="1:13" s="20" customFormat="1" x14ac:dyDescent="0.2">
      <c r="A269" s="10" t="s">
        <v>8</v>
      </c>
      <c r="B269" s="11" t="s">
        <v>9</v>
      </c>
      <c r="C269" s="75" t="s">
        <v>272</v>
      </c>
      <c r="D269" s="86">
        <v>7176101</v>
      </c>
      <c r="E269" s="85">
        <v>45517</v>
      </c>
      <c r="F269" s="12">
        <v>1350</v>
      </c>
      <c r="G269" s="13" t="s">
        <v>106</v>
      </c>
      <c r="H269" s="14" t="str">
        <f t="shared" si="8"/>
        <v>B</v>
      </c>
      <c r="I269" s="15" t="str">
        <f t="shared" si="9"/>
        <v>The Commissioner &amp; Chief Constable are satisfied the spend represents VFM in accordance with the requirements of Category B</v>
      </c>
      <c r="L269" s="17"/>
      <c r="M269" s="17"/>
    </row>
    <row r="270" spans="1:13" s="20" customFormat="1" x14ac:dyDescent="0.2">
      <c r="A270" s="10" t="s">
        <v>8</v>
      </c>
      <c r="B270" s="11" t="s">
        <v>9</v>
      </c>
      <c r="C270" s="75" t="s">
        <v>276</v>
      </c>
      <c r="D270" s="86">
        <v>7175729</v>
      </c>
      <c r="E270" s="85">
        <v>45520</v>
      </c>
      <c r="F270" s="12">
        <v>1273.48</v>
      </c>
      <c r="G270" s="13" t="s">
        <v>40</v>
      </c>
      <c r="H270" s="14" t="str">
        <f t="shared" si="8"/>
        <v>B</v>
      </c>
      <c r="I270" s="15" t="str">
        <f t="shared" si="9"/>
        <v>The Commissioner &amp; Chief Constable are satisfied the spend represents VFM in accordance with the requirements of Category B</v>
      </c>
      <c r="L270" s="17"/>
      <c r="M270" s="17"/>
    </row>
    <row r="271" spans="1:13" s="20" customFormat="1" x14ac:dyDescent="0.2">
      <c r="A271" s="10" t="s">
        <v>8</v>
      </c>
      <c r="B271" s="11" t="s">
        <v>9</v>
      </c>
      <c r="C271" s="75" t="s">
        <v>559</v>
      </c>
      <c r="D271" s="86">
        <v>7175712</v>
      </c>
      <c r="E271" s="85">
        <v>45506</v>
      </c>
      <c r="F271" s="18">
        <v>1255.53</v>
      </c>
      <c r="G271" s="13" t="s">
        <v>27</v>
      </c>
      <c r="H271" s="14" t="str">
        <f t="shared" si="8"/>
        <v>B</v>
      </c>
      <c r="I271" s="15" t="str">
        <f t="shared" si="9"/>
        <v>The Commissioner &amp; Chief Constable are satisfied the spend represents VFM in accordance with the requirements of Category B</v>
      </c>
      <c r="L271" s="17"/>
      <c r="M271" s="17"/>
    </row>
    <row r="272" spans="1:13" s="20" customFormat="1" x14ac:dyDescent="0.2">
      <c r="A272" s="10" t="s">
        <v>8</v>
      </c>
      <c r="B272" s="11" t="s">
        <v>9</v>
      </c>
      <c r="C272" s="75" t="s">
        <v>857</v>
      </c>
      <c r="D272" s="86">
        <v>7175198</v>
      </c>
      <c r="E272" s="85">
        <v>45512</v>
      </c>
      <c r="F272" s="12">
        <v>1249</v>
      </c>
      <c r="G272" s="13" t="s">
        <v>185</v>
      </c>
      <c r="H272" s="14" t="str">
        <f t="shared" si="8"/>
        <v>B</v>
      </c>
      <c r="I272" s="15" t="str">
        <f t="shared" si="9"/>
        <v>The Commissioner &amp; Chief Constable are satisfied the spend represents VFM in accordance with the requirements of Category B</v>
      </c>
      <c r="L272" s="17"/>
      <c r="M272" s="17"/>
    </row>
    <row r="273" spans="1:13" s="20" customFormat="1" x14ac:dyDescent="0.2">
      <c r="A273" s="10" t="s">
        <v>8</v>
      </c>
      <c r="B273" s="11" t="s">
        <v>9</v>
      </c>
      <c r="C273" s="75" t="s">
        <v>172</v>
      </c>
      <c r="D273" s="86">
        <v>7176225</v>
      </c>
      <c r="E273" s="85">
        <v>45523</v>
      </c>
      <c r="F273" s="12">
        <v>1230</v>
      </c>
      <c r="G273" s="13" t="s">
        <v>112</v>
      </c>
      <c r="H273" s="14" t="str">
        <f t="shared" si="8"/>
        <v>B</v>
      </c>
      <c r="I273" s="15" t="str">
        <f t="shared" si="9"/>
        <v>The Commissioner &amp; Chief Constable are satisfied the spend represents VFM in accordance with the requirements of Category B</v>
      </c>
      <c r="L273" s="17"/>
      <c r="M273" s="17"/>
    </row>
    <row r="274" spans="1:13" s="20" customFormat="1" x14ac:dyDescent="0.2">
      <c r="A274" s="10" t="s">
        <v>8</v>
      </c>
      <c r="B274" s="11" t="s">
        <v>9</v>
      </c>
      <c r="C274" s="75" t="s">
        <v>856</v>
      </c>
      <c r="D274" s="86">
        <v>7175765</v>
      </c>
      <c r="E274" s="85">
        <v>45510</v>
      </c>
      <c r="F274" s="12">
        <v>1228.56</v>
      </c>
      <c r="G274" s="13" t="s">
        <v>131</v>
      </c>
      <c r="H274" s="14" t="str">
        <f t="shared" si="8"/>
        <v>B</v>
      </c>
      <c r="I274" s="15" t="str">
        <f t="shared" si="9"/>
        <v>The Commissioner &amp; Chief Constable are satisfied the spend represents VFM in accordance with the requirements of Category B</v>
      </c>
      <c r="L274" s="17"/>
      <c r="M274" s="17"/>
    </row>
    <row r="275" spans="1:13" s="20" customFormat="1" x14ac:dyDescent="0.2">
      <c r="A275" s="10" t="s">
        <v>8</v>
      </c>
      <c r="B275" s="11" t="s">
        <v>9</v>
      </c>
      <c r="C275" s="75" t="s">
        <v>90</v>
      </c>
      <c r="D275" s="86">
        <v>7176429</v>
      </c>
      <c r="E275" s="85">
        <v>45527</v>
      </c>
      <c r="F275" s="12">
        <v>1222</v>
      </c>
      <c r="G275" s="13" t="s">
        <v>131</v>
      </c>
      <c r="H275" s="14" t="str">
        <f t="shared" si="8"/>
        <v>B</v>
      </c>
      <c r="I275" s="15" t="str">
        <f t="shared" si="9"/>
        <v>The Commissioner &amp; Chief Constable are satisfied the spend represents VFM in accordance with the requirements of Category B</v>
      </c>
      <c r="L275" s="17"/>
      <c r="M275" s="17"/>
    </row>
    <row r="276" spans="1:13" s="20" customFormat="1" x14ac:dyDescent="0.2">
      <c r="A276" s="10" t="s">
        <v>8</v>
      </c>
      <c r="B276" s="11" t="s">
        <v>9</v>
      </c>
      <c r="C276" s="75" t="s">
        <v>71</v>
      </c>
      <c r="D276" s="86">
        <v>7174079</v>
      </c>
      <c r="E276" s="85">
        <v>45511</v>
      </c>
      <c r="F276" s="12">
        <v>1210</v>
      </c>
      <c r="G276" s="13" t="s">
        <v>15</v>
      </c>
      <c r="H276" s="14" t="str">
        <f t="shared" si="8"/>
        <v>B</v>
      </c>
      <c r="I276" s="15" t="str">
        <f t="shared" si="9"/>
        <v>The Commissioner &amp; Chief Constable are satisfied the spend represents VFM in accordance with the requirements of Category B</v>
      </c>
      <c r="L276" s="17"/>
      <c r="M276" s="17"/>
    </row>
    <row r="277" spans="1:13" s="20" customFormat="1" x14ac:dyDescent="0.2">
      <c r="A277" s="10" t="s">
        <v>8</v>
      </c>
      <c r="B277" s="11" t="s">
        <v>9</v>
      </c>
      <c r="C277" s="77" t="s">
        <v>256</v>
      </c>
      <c r="D277" s="86">
        <v>7176179</v>
      </c>
      <c r="E277" s="85">
        <v>45519</v>
      </c>
      <c r="F277" s="12">
        <v>1162.5</v>
      </c>
      <c r="G277" s="13" t="s">
        <v>155</v>
      </c>
      <c r="H277" s="14" t="str">
        <f t="shared" si="8"/>
        <v>B</v>
      </c>
      <c r="I277" s="15" t="str">
        <f t="shared" si="9"/>
        <v>The Commissioner &amp; Chief Constable are satisfied the spend represents VFM in accordance with the requirements of Category B</v>
      </c>
      <c r="L277" s="17"/>
      <c r="M277" s="17"/>
    </row>
    <row r="278" spans="1:13" s="20" customFormat="1" x14ac:dyDescent="0.2">
      <c r="A278" s="10" t="s">
        <v>8</v>
      </c>
      <c r="B278" s="11" t="s">
        <v>9</v>
      </c>
      <c r="C278" s="75" t="s">
        <v>281</v>
      </c>
      <c r="D278" s="86">
        <v>7175676</v>
      </c>
      <c r="E278" s="85">
        <v>45505</v>
      </c>
      <c r="F278" s="12">
        <v>1160.6500000000001</v>
      </c>
      <c r="G278" s="13" t="s">
        <v>209</v>
      </c>
      <c r="H278" s="14" t="str">
        <f t="shared" si="8"/>
        <v>B</v>
      </c>
      <c r="I278" s="15" t="str">
        <f t="shared" si="9"/>
        <v>The Commissioner &amp; Chief Constable are satisfied the spend represents VFM in accordance with the requirements of Category B</v>
      </c>
      <c r="L278" s="17"/>
      <c r="M278" s="17"/>
    </row>
    <row r="279" spans="1:13" s="20" customFormat="1" x14ac:dyDescent="0.2">
      <c r="A279" s="10" t="s">
        <v>8</v>
      </c>
      <c r="B279" s="11" t="s">
        <v>9</v>
      </c>
      <c r="C279" s="75" t="s">
        <v>172</v>
      </c>
      <c r="D279" s="86">
        <v>7176224</v>
      </c>
      <c r="E279" s="85">
        <v>45523</v>
      </c>
      <c r="F279" s="12">
        <v>1155</v>
      </c>
      <c r="G279" s="13" t="s">
        <v>112</v>
      </c>
      <c r="H279" s="14" t="str">
        <f t="shared" si="8"/>
        <v>B</v>
      </c>
      <c r="I279" s="15" t="str">
        <f t="shared" si="9"/>
        <v>The Commissioner &amp; Chief Constable are satisfied the spend represents VFM in accordance with the requirements of Category B</v>
      </c>
      <c r="L279" s="17"/>
      <c r="M279" s="17"/>
    </row>
    <row r="280" spans="1:13" s="20" customFormat="1" x14ac:dyDescent="0.2">
      <c r="A280" s="10" t="s">
        <v>8</v>
      </c>
      <c r="B280" s="11" t="s">
        <v>9</v>
      </c>
      <c r="C280" s="75" t="s">
        <v>602</v>
      </c>
      <c r="D280" s="86">
        <v>7175847</v>
      </c>
      <c r="E280" s="85">
        <v>45510</v>
      </c>
      <c r="F280" s="12">
        <v>1139.97</v>
      </c>
      <c r="G280" s="13" t="s">
        <v>38</v>
      </c>
      <c r="H280" s="14" t="str">
        <f t="shared" si="8"/>
        <v>B</v>
      </c>
      <c r="I280" s="15" t="str">
        <f t="shared" si="9"/>
        <v>The Commissioner &amp; Chief Constable are satisfied the spend represents VFM in accordance with the requirements of Category B</v>
      </c>
      <c r="L280" s="17"/>
      <c r="M280" s="17"/>
    </row>
    <row r="281" spans="1:13" s="20" customFormat="1" x14ac:dyDescent="0.2">
      <c r="A281" s="10" t="s">
        <v>8</v>
      </c>
      <c r="B281" s="11" t="s">
        <v>9</v>
      </c>
      <c r="C281" s="75" t="s">
        <v>74</v>
      </c>
      <c r="D281" s="86">
        <v>7175489</v>
      </c>
      <c r="E281" s="85">
        <v>45512</v>
      </c>
      <c r="F281" s="12">
        <v>1136.28</v>
      </c>
      <c r="G281" s="13" t="s">
        <v>75</v>
      </c>
      <c r="H281" s="14" t="str">
        <f t="shared" si="8"/>
        <v>B</v>
      </c>
      <c r="I281" s="15" t="str">
        <f t="shared" si="9"/>
        <v>The Commissioner &amp; Chief Constable are satisfied the spend represents VFM in accordance with the requirements of Category B</v>
      </c>
      <c r="L281" s="17"/>
      <c r="M281" s="17"/>
    </row>
    <row r="282" spans="1:13" s="20" customFormat="1" x14ac:dyDescent="0.2">
      <c r="A282" s="10" t="s">
        <v>8</v>
      </c>
      <c r="B282" s="11" t="s">
        <v>9</v>
      </c>
      <c r="C282" s="75" t="s">
        <v>124</v>
      </c>
      <c r="D282" s="86">
        <v>7175693</v>
      </c>
      <c r="E282" s="85">
        <v>45505</v>
      </c>
      <c r="F282" s="12">
        <v>1136.1099999999999</v>
      </c>
      <c r="G282" s="19" t="s">
        <v>376</v>
      </c>
      <c r="H282" s="14" t="str">
        <f t="shared" si="8"/>
        <v>B</v>
      </c>
      <c r="I282" s="15" t="str">
        <f t="shared" si="9"/>
        <v>The Commissioner &amp; Chief Constable are satisfied the spend represents VFM in accordance with the requirements of Category B</v>
      </c>
      <c r="L282" s="17"/>
      <c r="M282" s="17"/>
    </row>
    <row r="283" spans="1:13" s="20" customFormat="1" x14ac:dyDescent="0.2">
      <c r="A283" s="10" t="s">
        <v>8</v>
      </c>
      <c r="B283" s="11" t="s">
        <v>9</v>
      </c>
      <c r="C283" s="75" t="s">
        <v>230</v>
      </c>
      <c r="D283" s="86">
        <v>7175716</v>
      </c>
      <c r="E283" s="85">
        <v>45520</v>
      </c>
      <c r="F283" s="12">
        <v>1110</v>
      </c>
      <c r="G283" s="13" t="s">
        <v>40</v>
      </c>
      <c r="H283" s="14" t="str">
        <f t="shared" si="8"/>
        <v>B</v>
      </c>
      <c r="I283" s="15" t="str">
        <f t="shared" si="9"/>
        <v>The Commissioner &amp; Chief Constable are satisfied the spend represents VFM in accordance with the requirements of Category B</v>
      </c>
      <c r="L283" s="17"/>
      <c r="M283" s="17"/>
    </row>
    <row r="284" spans="1:13" s="20" customFormat="1" x14ac:dyDescent="0.2">
      <c r="A284" s="10" t="s">
        <v>8</v>
      </c>
      <c r="B284" s="11" t="s">
        <v>9</v>
      </c>
      <c r="C284" s="75" t="s">
        <v>260</v>
      </c>
      <c r="D284" s="86">
        <v>7175733</v>
      </c>
      <c r="E284" s="85">
        <v>45509</v>
      </c>
      <c r="F284" s="12">
        <v>1100.08</v>
      </c>
      <c r="G284" s="13" t="s">
        <v>261</v>
      </c>
      <c r="H284" s="14" t="str">
        <f t="shared" si="8"/>
        <v>B</v>
      </c>
      <c r="I284" s="15" t="str">
        <f t="shared" si="9"/>
        <v>The Commissioner &amp; Chief Constable are satisfied the spend represents VFM in accordance with the requirements of Category B</v>
      </c>
      <c r="L284" s="17"/>
      <c r="M284" s="17"/>
    </row>
    <row r="285" spans="1:13" s="20" customFormat="1" x14ac:dyDescent="0.2">
      <c r="A285" s="10" t="s">
        <v>8</v>
      </c>
      <c r="B285" s="11" t="s">
        <v>9</v>
      </c>
      <c r="C285" s="75" t="s">
        <v>848</v>
      </c>
      <c r="D285" s="86">
        <v>7176050</v>
      </c>
      <c r="E285" s="85">
        <v>45523</v>
      </c>
      <c r="F285" s="12">
        <v>1100</v>
      </c>
      <c r="G285" s="13" t="s">
        <v>330</v>
      </c>
      <c r="H285" s="14" t="str">
        <f t="shared" si="8"/>
        <v>B</v>
      </c>
      <c r="I285" s="15" t="str">
        <f t="shared" si="9"/>
        <v>The Commissioner &amp; Chief Constable are satisfied the spend represents VFM in accordance with the requirements of Category B</v>
      </c>
      <c r="L285" s="17"/>
      <c r="M285" s="17"/>
    </row>
    <row r="286" spans="1:13" s="20" customFormat="1" x14ac:dyDescent="0.2">
      <c r="A286" s="10" t="s">
        <v>8</v>
      </c>
      <c r="B286" s="11" t="s">
        <v>9</v>
      </c>
      <c r="C286" s="75" t="s">
        <v>369</v>
      </c>
      <c r="D286" s="86">
        <v>7176297</v>
      </c>
      <c r="E286" s="85">
        <v>45524</v>
      </c>
      <c r="F286" s="12">
        <v>1084</v>
      </c>
      <c r="G286" s="13" t="s">
        <v>39</v>
      </c>
      <c r="H286" s="14" t="str">
        <f t="shared" si="8"/>
        <v>B</v>
      </c>
      <c r="I286" s="15" t="str">
        <f t="shared" si="9"/>
        <v>The Commissioner &amp; Chief Constable are satisfied the spend represents VFM in accordance with the requirements of Category B</v>
      </c>
      <c r="L286" s="17"/>
      <c r="M286" s="17"/>
    </row>
    <row r="287" spans="1:13" s="20" customFormat="1" x14ac:dyDescent="0.2">
      <c r="A287" s="10" t="s">
        <v>8</v>
      </c>
      <c r="B287" s="11" t="s">
        <v>9</v>
      </c>
      <c r="C287" s="75" t="s">
        <v>195</v>
      </c>
      <c r="D287" s="86">
        <v>7175787</v>
      </c>
      <c r="E287" s="85">
        <v>45510</v>
      </c>
      <c r="F287" s="12">
        <v>1080</v>
      </c>
      <c r="G287" s="13" t="s">
        <v>22</v>
      </c>
      <c r="H287" s="14" t="str">
        <f t="shared" si="8"/>
        <v>B</v>
      </c>
      <c r="I287" s="15" t="str">
        <f t="shared" si="9"/>
        <v>The Commissioner &amp; Chief Constable are satisfied the spend represents VFM in accordance with the requirements of Category B</v>
      </c>
      <c r="L287" s="17"/>
      <c r="M287" s="17"/>
    </row>
    <row r="288" spans="1:13" s="20" customFormat="1" x14ac:dyDescent="0.2">
      <c r="A288" s="10" t="s">
        <v>8</v>
      </c>
      <c r="B288" s="11" t="s">
        <v>9</v>
      </c>
      <c r="C288" s="75" t="s">
        <v>242</v>
      </c>
      <c r="D288" s="86">
        <v>7176098</v>
      </c>
      <c r="E288" s="85">
        <v>45534</v>
      </c>
      <c r="F288" s="12">
        <v>1061.2</v>
      </c>
      <c r="G288" s="13" t="s">
        <v>94</v>
      </c>
      <c r="H288" s="14" t="str">
        <f t="shared" si="8"/>
        <v>B</v>
      </c>
      <c r="I288" s="15" t="str">
        <f t="shared" si="9"/>
        <v>The Commissioner &amp; Chief Constable are satisfied the spend represents VFM in accordance with the requirements of Category B</v>
      </c>
      <c r="L288" s="17"/>
      <c r="M288" s="17"/>
    </row>
    <row r="289" spans="1:13" s="20" customFormat="1" x14ac:dyDescent="0.2">
      <c r="A289" s="10" t="s">
        <v>8</v>
      </c>
      <c r="B289" s="11" t="s">
        <v>9</v>
      </c>
      <c r="C289" s="75" t="s">
        <v>812</v>
      </c>
      <c r="D289" s="86">
        <v>7176462</v>
      </c>
      <c r="E289" s="85">
        <v>45531</v>
      </c>
      <c r="F289" s="12">
        <v>1050.3699999999999</v>
      </c>
      <c r="G289" s="13" t="s">
        <v>22</v>
      </c>
      <c r="H289" s="14" t="str">
        <f t="shared" si="8"/>
        <v>B</v>
      </c>
      <c r="I289" s="15" t="str">
        <f t="shared" si="9"/>
        <v>The Commissioner &amp; Chief Constable are satisfied the spend represents VFM in accordance with the requirements of Category B</v>
      </c>
      <c r="L289" s="17"/>
      <c r="M289" s="17"/>
    </row>
    <row r="290" spans="1:13" s="20" customFormat="1" x14ac:dyDescent="0.2">
      <c r="A290" s="10" t="s">
        <v>8</v>
      </c>
      <c r="B290" s="11" t="s">
        <v>9</v>
      </c>
      <c r="C290" s="75" t="s">
        <v>608</v>
      </c>
      <c r="D290" s="86">
        <v>7175841</v>
      </c>
      <c r="E290" s="85">
        <v>45512</v>
      </c>
      <c r="F290" s="12">
        <v>1050</v>
      </c>
      <c r="G290" s="13" t="s">
        <v>138</v>
      </c>
      <c r="H290" s="14" t="str">
        <f t="shared" si="8"/>
        <v>B</v>
      </c>
      <c r="I290" s="15" t="str">
        <f t="shared" si="9"/>
        <v>The Commissioner &amp; Chief Constable are satisfied the spend represents VFM in accordance with the requirements of Category B</v>
      </c>
      <c r="L290" s="17"/>
      <c r="M290" s="17"/>
    </row>
    <row r="291" spans="1:13" s="20" customFormat="1" x14ac:dyDescent="0.2">
      <c r="A291" s="10" t="s">
        <v>8</v>
      </c>
      <c r="B291" s="11" t="s">
        <v>9</v>
      </c>
      <c r="C291" s="75" t="s">
        <v>700</v>
      </c>
      <c r="D291" s="86">
        <v>7176001</v>
      </c>
      <c r="E291" s="85">
        <v>45516</v>
      </c>
      <c r="F291" s="12">
        <v>1050</v>
      </c>
      <c r="G291" s="13" t="s">
        <v>38</v>
      </c>
      <c r="H291" s="14" t="str">
        <f t="shared" si="8"/>
        <v>B</v>
      </c>
      <c r="I291" s="15" t="str">
        <f t="shared" si="9"/>
        <v>The Commissioner &amp; Chief Constable are satisfied the spend represents VFM in accordance with the requirements of Category B</v>
      </c>
      <c r="L291" s="17"/>
      <c r="M291" s="17"/>
    </row>
    <row r="292" spans="1:13" s="20" customFormat="1" x14ac:dyDescent="0.2">
      <c r="A292" s="10" t="s">
        <v>8</v>
      </c>
      <c r="B292" s="11" t="s">
        <v>9</v>
      </c>
      <c r="C292" s="75" t="s">
        <v>741</v>
      </c>
      <c r="D292" s="86">
        <v>7175901</v>
      </c>
      <c r="E292" s="85">
        <v>45511</v>
      </c>
      <c r="F292" s="12">
        <v>1003.54</v>
      </c>
      <c r="G292" s="13" t="s">
        <v>131</v>
      </c>
      <c r="H292" s="14" t="str">
        <f t="shared" si="8"/>
        <v>B</v>
      </c>
      <c r="I292" s="15" t="str">
        <f t="shared" si="9"/>
        <v>The Commissioner &amp; Chief Constable are satisfied the spend represents VFM in accordance with the requirements of Category B</v>
      </c>
      <c r="L292" s="17"/>
      <c r="M292" s="17"/>
    </row>
    <row r="293" spans="1:13" s="20" customFormat="1" x14ac:dyDescent="0.2">
      <c r="A293" s="10" t="s">
        <v>8</v>
      </c>
      <c r="B293" s="11" t="s">
        <v>9</v>
      </c>
      <c r="C293" s="75" t="s">
        <v>855</v>
      </c>
      <c r="D293" s="86">
        <v>7176487</v>
      </c>
      <c r="E293" s="85">
        <v>45531</v>
      </c>
      <c r="F293" s="12">
        <v>500</v>
      </c>
      <c r="G293" s="13" t="s">
        <v>131</v>
      </c>
      <c r="H293" s="14" t="str">
        <f t="shared" si="8"/>
        <v>A</v>
      </c>
      <c r="I293" s="15" t="str">
        <f t="shared" si="9"/>
        <v>The Commissioner &amp; Chief Constable are satisfied the spend represents VFM in accordance with the requirements of Category A</v>
      </c>
      <c r="L293" s="17"/>
      <c r="M293" s="17"/>
    </row>
    <row r="294" spans="1:13" s="20" customFormat="1" x14ac:dyDescent="0.2">
      <c r="A294" s="10" t="s">
        <v>8</v>
      </c>
      <c r="B294" s="11" t="s">
        <v>9</v>
      </c>
      <c r="C294" s="75" t="s">
        <v>855</v>
      </c>
      <c r="D294" s="86">
        <v>7176487</v>
      </c>
      <c r="E294" s="85">
        <v>45531</v>
      </c>
      <c r="F294" s="12">
        <v>500</v>
      </c>
      <c r="G294" s="13" t="s">
        <v>106</v>
      </c>
      <c r="H294" s="14" t="str">
        <f t="shared" si="8"/>
        <v>A</v>
      </c>
      <c r="I294" s="15" t="str">
        <f t="shared" si="9"/>
        <v>The Commissioner &amp; Chief Constable are satisfied the spend represents VFM in accordance with the requirements of Category A</v>
      </c>
      <c r="L294" s="17"/>
      <c r="M294" s="17"/>
    </row>
    <row r="295" spans="1:13" s="20" customFormat="1" x14ac:dyDescent="0.2">
      <c r="A295" s="10" t="s">
        <v>8</v>
      </c>
      <c r="B295" s="11" t="s">
        <v>9</v>
      </c>
      <c r="C295" s="75" t="s">
        <v>289</v>
      </c>
      <c r="D295" s="86">
        <v>7176158</v>
      </c>
      <c r="E295" s="85">
        <v>45519</v>
      </c>
      <c r="F295" s="12">
        <v>999.8</v>
      </c>
      <c r="G295" s="13" t="s">
        <v>177</v>
      </c>
      <c r="H295" s="14" t="str">
        <f t="shared" si="8"/>
        <v>A</v>
      </c>
      <c r="I295" s="15" t="str">
        <f t="shared" si="9"/>
        <v>The Commissioner &amp; Chief Constable are satisfied the spend represents VFM in accordance with the requirements of Category A</v>
      </c>
      <c r="L295" s="17"/>
      <c r="M295" s="17"/>
    </row>
    <row r="296" spans="1:13" s="20" customFormat="1" x14ac:dyDescent="0.2">
      <c r="A296" s="10" t="s">
        <v>8</v>
      </c>
      <c r="B296" s="11" t="s">
        <v>9</v>
      </c>
      <c r="C296" s="75" t="s">
        <v>236</v>
      </c>
      <c r="D296" s="86">
        <v>7176343</v>
      </c>
      <c r="E296" s="85">
        <v>45531</v>
      </c>
      <c r="F296" s="12">
        <v>995</v>
      </c>
      <c r="G296" s="13" t="s">
        <v>237</v>
      </c>
      <c r="H296" s="14" t="str">
        <f t="shared" si="8"/>
        <v>A</v>
      </c>
      <c r="I296" s="15" t="str">
        <f t="shared" si="9"/>
        <v>The Commissioner &amp; Chief Constable are satisfied the spend represents VFM in accordance with the requirements of Category A</v>
      </c>
      <c r="L296" s="17"/>
      <c r="M296" s="17"/>
    </row>
    <row r="297" spans="1:13" s="20" customFormat="1" x14ac:dyDescent="0.2">
      <c r="A297" s="10" t="s">
        <v>8</v>
      </c>
      <c r="B297" s="11" t="s">
        <v>9</v>
      </c>
      <c r="C297" s="75" t="s">
        <v>682</v>
      </c>
      <c r="D297" s="86">
        <v>7175718</v>
      </c>
      <c r="E297" s="85">
        <v>45506</v>
      </c>
      <c r="F297" s="12">
        <v>979.9</v>
      </c>
      <c r="G297" s="13" t="s">
        <v>131</v>
      </c>
      <c r="H297" s="14" t="str">
        <f t="shared" si="8"/>
        <v>A</v>
      </c>
      <c r="I297" s="15" t="str">
        <f t="shared" si="9"/>
        <v>The Commissioner &amp; Chief Constable are satisfied the spend represents VFM in accordance with the requirements of Category A</v>
      </c>
      <c r="L297" s="17"/>
      <c r="M297" s="17"/>
    </row>
    <row r="298" spans="1:13" s="20" customFormat="1" x14ac:dyDescent="0.2">
      <c r="A298" s="10" t="s">
        <v>8</v>
      </c>
      <c r="B298" s="11" t="s">
        <v>9</v>
      </c>
      <c r="C298" s="75" t="s">
        <v>242</v>
      </c>
      <c r="D298" s="86">
        <v>7175189</v>
      </c>
      <c r="E298" s="85">
        <v>45520</v>
      </c>
      <c r="F298" s="12">
        <v>955.08</v>
      </c>
      <c r="G298" s="13" t="s">
        <v>94</v>
      </c>
      <c r="H298" s="14" t="str">
        <f t="shared" si="8"/>
        <v>A</v>
      </c>
      <c r="I298" s="15" t="str">
        <f t="shared" si="9"/>
        <v>The Commissioner &amp; Chief Constable are satisfied the spend represents VFM in accordance with the requirements of Category A</v>
      </c>
      <c r="L298" s="17"/>
      <c r="M298" s="17"/>
    </row>
    <row r="299" spans="1:13" s="20" customFormat="1" x14ac:dyDescent="0.2">
      <c r="A299" s="10" t="s">
        <v>8</v>
      </c>
      <c r="B299" s="11" t="s">
        <v>9</v>
      </c>
      <c r="C299" s="75" t="s">
        <v>260</v>
      </c>
      <c r="D299" s="86">
        <v>7176201</v>
      </c>
      <c r="E299" s="85">
        <v>45520</v>
      </c>
      <c r="F299" s="12">
        <v>954.8</v>
      </c>
      <c r="G299" s="13" t="s">
        <v>261</v>
      </c>
      <c r="H299" s="14" t="str">
        <f t="shared" si="8"/>
        <v>A</v>
      </c>
      <c r="I299" s="15" t="str">
        <f t="shared" si="9"/>
        <v>The Commissioner &amp; Chief Constable are satisfied the spend represents VFM in accordance with the requirements of Category A</v>
      </c>
      <c r="L299" s="17"/>
      <c r="M299" s="17"/>
    </row>
    <row r="300" spans="1:13" x14ac:dyDescent="0.2">
      <c r="A300" s="10" t="s">
        <v>8</v>
      </c>
      <c r="B300" s="11" t="s">
        <v>9</v>
      </c>
      <c r="C300" s="75" t="s">
        <v>256</v>
      </c>
      <c r="D300" s="86">
        <v>7175507</v>
      </c>
      <c r="E300" s="85">
        <v>45512</v>
      </c>
      <c r="F300" s="18">
        <v>953.51</v>
      </c>
      <c r="G300" s="13" t="s">
        <v>131</v>
      </c>
      <c r="H300" s="14" t="str">
        <f t="shared" si="8"/>
        <v>A</v>
      </c>
      <c r="I300" s="15" t="str">
        <f t="shared" si="9"/>
        <v>The Commissioner &amp; Chief Constable are satisfied the spend represents VFM in accordance with the requirements of Category A</v>
      </c>
    </row>
    <row r="301" spans="1:13" x14ac:dyDescent="0.2">
      <c r="A301" s="10" t="s">
        <v>8</v>
      </c>
      <c r="B301" s="11" t="s">
        <v>9</v>
      </c>
      <c r="C301" s="75" t="s">
        <v>554</v>
      </c>
      <c r="D301" s="86">
        <v>7176025</v>
      </c>
      <c r="E301" s="85">
        <v>45523</v>
      </c>
      <c r="F301" s="12">
        <v>949.48</v>
      </c>
      <c r="G301" s="13" t="s">
        <v>188</v>
      </c>
      <c r="H301" s="14" t="str">
        <f t="shared" si="8"/>
        <v>A</v>
      </c>
      <c r="I301" s="15" t="str">
        <f t="shared" si="9"/>
        <v>The Commissioner &amp; Chief Constable are satisfied the spend represents VFM in accordance with the requirements of Category A</v>
      </c>
    </row>
    <row r="302" spans="1:13" x14ac:dyDescent="0.2">
      <c r="A302" s="10" t="s">
        <v>8</v>
      </c>
      <c r="B302" s="11" t="s">
        <v>9</v>
      </c>
      <c r="C302" s="75" t="s">
        <v>302</v>
      </c>
      <c r="D302" s="86">
        <v>7175880</v>
      </c>
      <c r="E302" s="85">
        <v>45511</v>
      </c>
      <c r="F302" s="12">
        <v>945.59</v>
      </c>
      <c r="G302" s="13" t="s">
        <v>131</v>
      </c>
      <c r="H302" s="14" t="str">
        <f t="shared" si="8"/>
        <v>A</v>
      </c>
      <c r="I302" s="15" t="str">
        <f t="shared" si="9"/>
        <v>The Commissioner &amp; Chief Constable are satisfied the spend represents VFM in accordance with the requirements of Category A</v>
      </c>
    </row>
    <row r="303" spans="1:13" x14ac:dyDescent="0.2">
      <c r="A303" s="10" t="s">
        <v>8</v>
      </c>
      <c r="B303" s="11" t="s">
        <v>9</v>
      </c>
      <c r="C303" s="75" t="s">
        <v>172</v>
      </c>
      <c r="D303" s="86">
        <v>7176227</v>
      </c>
      <c r="E303" s="85">
        <v>45520</v>
      </c>
      <c r="F303" s="12">
        <v>945</v>
      </c>
      <c r="G303" s="13" t="s">
        <v>112</v>
      </c>
      <c r="H303" s="14" t="str">
        <f t="shared" si="8"/>
        <v>A</v>
      </c>
      <c r="I303" s="15" t="str">
        <f t="shared" si="9"/>
        <v>The Commissioner &amp; Chief Constable are satisfied the spend represents VFM in accordance with the requirements of Category A</v>
      </c>
    </row>
    <row r="304" spans="1:13" x14ac:dyDescent="0.2">
      <c r="A304" s="10" t="s">
        <v>8</v>
      </c>
      <c r="B304" s="11" t="s">
        <v>9</v>
      </c>
      <c r="C304" s="75" t="s">
        <v>741</v>
      </c>
      <c r="D304" s="86">
        <v>7175900</v>
      </c>
      <c r="E304" s="85">
        <v>45511</v>
      </c>
      <c r="F304" s="12">
        <v>935.04</v>
      </c>
      <c r="G304" s="13" t="s">
        <v>131</v>
      </c>
      <c r="H304" s="14" t="str">
        <f t="shared" si="8"/>
        <v>A</v>
      </c>
      <c r="I304" s="15" t="str">
        <f t="shared" si="9"/>
        <v>The Commissioner &amp; Chief Constable are satisfied the spend represents VFM in accordance with the requirements of Category A</v>
      </c>
    </row>
    <row r="305" spans="1:9" x14ac:dyDescent="0.2">
      <c r="A305" s="10" t="s">
        <v>8</v>
      </c>
      <c r="B305" s="11" t="s">
        <v>9</v>
      </c>
      <c r="C305" s="75" t="s">
        <v>854</v>
      </c>
      <c r="D305" s="86">
        <v>7176178</v>
      </c>
      <c r="E305" s="85">
        <v>45523</v>
      </c>
      <c r="F305" s="12">
        <v>900</v>
      </c>
      <c r="G305" s="13" t="s">
        <v>182</v>
      </c>
      <c r="H305" s="14" t="str">
        <f t="shared" si="8"/>
        <v>A</v>
      </c>
      <c r="I305" s="15" t="str">
        <f t="shared" si="9"/>
        <v>The Commissioner &amp; Chief Constable are satisfied the spend represents VFM in accordance with the requirements of Category A</v>
      </c>
    </row>
    <row r="306" spans="1:9" x14ac:dyDescent="0.2">
      <c r="A306" s="10" t="s">
        <v>8</v>
      </c>
      <c r="B306" s="11" t="s">
        <v>9</v>
      </c>
      <c r="C306" s="75" t="s">
        <v>292</v>
      </c>
      <c r="D306" s="86">
        <v>7175646</v>
      </c>
      <c r="E306" s="85">
        <v>45505</v>
      </c>
      <c r="F306" s="12">
        <v>890</v>
      </c>
      <c r="G306" s="13" t="s">
        <v>84</v>
      </c>
      <c r="H306" s="14" t="str">
        <f t="shared" si="8"/>
        <v>A</v>
      </c>
      <c r="I306" s="15" t="str">
        <f t="shared" si="9"/>
        <v>The Commissioner &amp; Chief Constable are satisfied the spend represents VFM in accordance with the requirements of Category A</v>
      </c>
    </row>
    <row r="307" spans="1:9" x14ac:dyDescent="0.2">
      <c r="A307" s="10" t="s">
        <v>8</v>
      </c>
      <c r="B307" s="11" t="s">
        <v>9</v>
      </c>
      <c r="C307" s="75" t="s">
        <v>90</v>
      </c>
      <c r="D307" s="86">
        <v>7176116</v>
      </c>
      <c r="E307" s="85">
        <v>45518</v>
      </c>
      <c r="F307" s="12">
        <v>888.55</v>
      </c>
      <c r="G307" s="13" t="s">
        <v>91</v>
      </c>
      <c r="H307" s="14" t="str">
        <f t="shared" si="8"/>
        <v>A</v>
      </c>
      <c r="I307" s="15" t="str">
        <f t="shared" si="9"/>
        <v>The Commissioner &amp; Chief Constable are satisfied the spend represents VFM in accordance with the requirements of Category A</v>
      </c>
    </row>
    <row r="308" spans="1:9" x14ac:dyDescent="0.2">
      <c r="A308" s="10" t="s">
        <v>8</v>
      </c>
      <c r="B308" s="11" t="s">
        <v>9</v>
      </c>
      <c r="C308" s="75" t="s">
        <v>772</v>
      </c>
      <c r="D308" s="86">
        <v>7176199</v>
      </c>
      <c r="E308" s="85">
        <v>45519</v>
      </c>
      <c r="F308" s="12">
        <v>875</v>
      </c>
      <c r="G308" s="13" t="s">
        <v>106</v>
      </c>
      <c r="H308" s="14" t="str">
        <f t="shared" si="8"/>
        <v>A</v>
      </c>
      <c r="I308" s="15" t="str">
        <f t="shared" si="9"/>
        <v>The Commissioner &amp; Chief Constable are satisfied the spend represents VFM in accordance with the requirements of Category A</v>
      </c>
    </row>
    <row r="309" spans="1:9" x14ac:dyDescent="0.2">
      <c r="A309" s="10" t="s">
        <v>8</v>
      </c>
      <c r="B309" s="11" t="s">
        <v>9</v>
      </c>
      <c r="C309" s="75" t="s">
        <v>260</v>
      </c>
      <c r="D309" s="86">
        <v>7175964</v>
      </c>
      <c r="E309" s="85">
        <v>45513</v>
      </c>
      <c r="F309" s="12">
        <v>865.22</v>
      </c>
      <c r="G309" s="13" t="s">
        <v>261</v>
      </c>
      <c r="H309" s="14" t="str">
        <f t="shared" si="8"/>
        <v>A</v>
      </c>
      <c r="I309" s="15" t="str">
        <f t="shared" si="9"/>
        <v>The Commissioner &amp; Chief Constable are satisfied the spend represents VFM in accordance with the requirements of Category A</v>
      </c>
    </row>
    <row r="310" spans="1:9" x14ac:dyDescent="0.2">
      <c r="A310" s="10" t="s">
        <v>8</v>
      </c>
      <c r="B310" s="11" t="s">
        <v>9</v>
      </c>
      <c r="C310" s="75" t="s">
        <v>853</v>
      </c>
      <c r="D310" s="86">
        <v>7176569</v>
      </c>
      <c r="E310" s="85">
        <v>45533</v>
      </c>
      <c r="F310" s="12">
        <v>865</v>
      </c>
      <c r="G310" s="13" t="s">
        <v>155</v>
      </c>
      <c r="H310" s="14" t="str">
        <f t="shared" si="8"/>
        <v>A</v>
      </c>
      <c r="I310" s="15" t="str">
        <f t="shared" si="9"/>
        <v>The Commissioner &amp; Chief Constable are satisfied the spend represents VFM in accordance with the requirements of Category A</v>
      </c>
    </row>
    <row r="311" spans="1:9" x14ac:dyDescent="0.2">
      <c r="A311" s="10" t="s">
        <v>8</v>
      </c>
      <c r="B311" s="11" t="s">
        <v>9</v>
      </c>
      <c r="C311" s="75" t="s">
        <v>260</v>
      </c>
      <c r="D311" s="86">
        <v>7176434</v>
      </c>
      <c r="E311" s="85">
        <v>45527</v>
      </c>
      <c r="F311" s="12">
        <v>864</v>
      </c>
      <c r="G311" s="13" t="s">
        <v>261</v>
      </c>
      <c r="H311" s="14" t="str">
        <f t="shared" si="8"/>
        <v>A</v>
      </c>
      <c r="I311" s="15" t="str">
        <f t="shared" si="9"/>
        <v>The Commissioner &amp; Chief Constable are satisfied the spend represents VFM in accordance with the requirements of Category A</v>
      </c>
    </row>
    <row r="312" spans="1:9" x14ac:dyDescent="0.2">
      <c r="A312" s="10" t="s">
        <v>8</v>
      </c>
      <c r="B312" s="11" t="s">
        <v>9</v>
      </c>
      <c r="C312" s="75" t="s">
        <v>256</v>
      </c>
      <c r="D312" s="86">
        <v>7176543</v>
      </c>
      <c r="E312" s="85">
        <v>45532</v>
      </c>
      <c r="F312" s="12">
        <v>856</v>
      </c>
      <c r="G312" s="13" t="s">
        <v>155</v>
      </c>
      <c r="H312" s="14" t="str">
        <f t="shared" si="8"/>
        <v>A</v>
      </c>
      <c r="I312" s="15" t="str">
        <f t="shared" si="9"/>
        <v>The Commissioner &amp; Chief Constable are satisfied the spend represents VFM in accordance with the requirements of Category A</v>
      </c>
    </row>
    <row r="313" spans="1:9" x14ac:dyDescent="0.2">
      <c r="A313" s="10" t="s">
        <v>8</v>
      </c>
      <c r="B313" s="11" t="s">
        <v>9</v>
      </c>
      <c r="C313" s="75" t="s">
        <v>304</v>
      </c>
      <c r="D313" s="86">
        <v>7175741</v>
      </c>
      <c r="E313" s="85">
        <v>45516</v>
      </c>
      <c r="F313" s="12">
        <v>847.5</v>
      </c>
      <c r="G313" s="13" t="s">
        <v>155</v>
      </c>
      <c r="H313" s="14" t="str">
        <f t="shared" si="8"/>
        <v>A</v>
      </c>
      <c r="I313" s="15" t="str">
        <f t="shared" si="9"/>
        <v>The Commissioner &amp; Chief Constable are satisfied the spend represents VFM in accordance with the requirements of Category A</v>
      </c>
    </row>
    <row r="314" spans="1:9" x14ac:dyDescent="0.2">
      <c r="A314" s="10" t="s">
        <v>8</v>
      </c>
      <c r="B314" s="11" t="s">
        <v>9</v>
      </c>
      <c r="C314" s="75" t="s">
        <v>260</v>
      </c>
      <c r="D314" s="86">
        <v>7175962</v>
      </c>
      <c r="E314" s="85">
        <v>45531</v>
      </c>
      <c r="F314" s="12">
        <v>837.72</v>
      </c>
      <c r="G314" s="13" t="s">
        <v>131</v>
      </c>
      <c r="H314" s="14" t="str">
        <f t="shared" si="8"/>
        <v>A</v>
      </c>
      <c r="I314" s="15" t="str">
        <f t="shared" si="9"/>
        <v>The Commissioner &amp; Chief Constable are satisfied the spend represents VFM in accordance with the requirements of Category A</v>
      </c>
    </row>
    <row r="315" spans="1:9" x14ac:dyDescent="0.2">
      <c r="A315" s="10" t="s">
        <v>8</v>
      </c>
      <c r="B315" s="11" t="s">
        <v>9</v>
      </c>
      <c r="C315" s="75" t="s">
        <v>602</v>
      </c>
      <c r="D315" s="86">
        <v>7175370</v>
      </c>
      <c r="E315" s="85">
        <v>45531</v>
      </c>
      <c r="F315" s="12">
        <v>827.7</v>
      </c>
      <c r="G315" s="13" t="s">
        <v>131</v>
      </c>
      <c r="H315" s="14" t="str">
        <f t="shared" si="8"/>
        <v>A</v>
      </c>
      <c r="I315" s="15" t="str">
        <f t="shared" si="9"/>
        <v>The Commissioner &amp; Chief Constable are satisfied the spend represents VFM in accordance with the requirements of Category A</v>
      </c>
    </row>
    <row r="316" spans="1:9" x14ac:dyDescent="0.2">
      <c r="A316" s="10" t="s">
        <v>8</v>
      </c>
      <c r="B316" s="11" t="s">
        <v>9</v>
      </c>
      <c r="C316" s="75" t="s">
        <v>312</v>
      </c>
      <c r="D316" s="86">
        <v>7175945</v>
      </c>
      <c r="E316" s="85">
        <v>45512</v>
      </c>
      <c r="F316" s="12">
        <v>809</v>
      </c>
      <c r="G316" s="13" t="s">
        <v>151</v>
      </c>
      <c r="H316" s="14" t="str">
        <f t="shared" si="8"/>
        <v>A</v>
      </c>
      <c r="I316" s="15" t="str">
        <f t="shared" si="9"/>
        <v>The Commissioner &amp; Chief Constable are satisfied the spend represents VFM in accordance with the requirements of Category A</v>
      </c>
    </row>
    <row r="317" spans="1:9" x14ac:dyDescent="0.2">
      <c r="A317" s="10" t="s">
        <v>8</v>
      </c>
      <c r="B317" s="11" t="s">
        <v>9</v>
      </c>
      <c r="C317" s="75" t="s">
        <v>193</v>
      </c>
      <c r="D317" s="86">
        <v>7176443</v>
      </c>
      <c r="E317" s="85">
        <v>45527</v>
      </c>
      <c r="F317" s="12">
        <v>800</v>
      </c>
      <c r="G317" s="13" t="s">
        <v>22</v>
      </c>
      <c r="H317" s="14" t="str">
        <f t="shared" si="8"/>
        <v>A</v>
      </c>
      <c r="I317" s="15" t="str">
        <f t="shared" si="9"/>
        <v>The Commissioner &amp; Chief Constable are satisfied the spend represents VFM in accordance with the requirements of Category A</v>
      </c>
    </row>
    <row r="318" spans="1:9" x14ac:dyDescent="0.2">
      <c r="A318" s="10" t="s">
        <v>8</v>
      </c>
      <c r="B318" s="11" t="s">
        <v>9</v>
      </c>
      <c r="C318" s="75" t="s">
        <v>317</v>
      </c>
      <c r="D318" s="86">
        <v>7175220</v>
      </c>
      <c r="E318" s="85">
        <v>45520</v>
      </c>
      <c r="F318" s="12">
        <v>782.86</v>
      </c>
      <c r="G318" s="13" t="s">
        <v>102</v>
      </c>
      <c r="H318" s="14" t="str">
        <f t="shared" si="8"/>
        <v>A</v>
      </c>
      <c r="I318" s="15" t="str">
        <f t="shared" si="9"/>
        <v>The Commissioner &amp; Chief Constable are satisfied the spend represents VFM in accordance with the requirements of Category A</v>
      </c>
    </row>
    <row r="319" spans="1:9" x14ac:dyDescent="0.2">
      <c r="A319" s="10" t="s">
        <v>8</v>
      </c>
      <c r="B319" s="11" t="s">
        <v>9</v>
      </c>
      <c r="C319" s="75" t="s">
        <v>317</v>
      </c>
      <c r="D319" s="86">
        <v>7176427</v>
      </c>
      <c r="E319" s="85">
        <v>45526</v>
      </c>
      <c r="F319" s="12">
        <v>782.86</v>
      </c>
      <c r="G319" s="13" t="s">
        <v>102</v>
      </c>
      <c r="H319" s="14" t="str">
        <f t="shared" si="8"/>
        <v>A</v>
      </c>
      <c r="I319" s="15" t="str">
        <f t="shared" si="9"/>
        <v>The Commissioner &amp; Chief Constable are satisfied the spend represents VFM in accordance with the requirements of Category A</v>
      </c>
    </row>
    <row r="320" spans="1:9" x14ac:dyDescent="0.2">
      <c r="A320" s="10" t="s">
        <v>8</v>
      </c>
      <c r="B320" s="11" t="s">
        <v>9</v>
      </c>
      <c r="C320" s="75" t="s">
        <v>329</v>
      </c>
      <c r="D320" s="86">
        <v>7175986</v>
      </c>
      <c r="E320" s="85">
        <v>45513</v>
      </c>
      <c r="F320" s="12">
        <v>777.6</v>
      </c>
      <c r="G320" s="13" t="s">
        <v>330</v>
      </c>
      <c r="H320" s="14" t="str">
        <f t="shared" si="8"/>
        <v>A</v>
      </c>
      <c r="I320" s="15" t="str">
        <f t="shared" si="9"/>
        <v>The Commissioner &amp; Chief Constable are satisfied the spend represents VFM in accordance with the requirements of Category A</v>
      </c>
    </row>
    <row r="321" spans="1:9" x14ac:dyDescent="0.2">
      <c r="A321" s="10" t="s">
        <v>8</v>
      </c>
      <c r="B321" s="11" t="s">
        <v>9</v>
      </c>
      <c r="C321" s="75" t="s">
        <v>743</v>
      </c>
      <c r="D321" s="86">
        <v>7175873</v>
      </c>
      <c r="E321" s="85">
        <v>45511</v>
      </c>
      <c r="F321" s="12">
        <v>770</v>
      </c>
      <c r="G321" s="13" t="s">
        <v>66</v>
      </c>
      <c r="H321" s="14" t="str">
        <f t="shared" si="8"/>
        <v>A</v>
      </c>
      <c r="I321" s="15" t="str">
        <f t="shared" si="9"/>
        <v>The Commissioner &amp; Chief Constable are satisfied the spend represents VFM in accordance with the requirements of Category A</v>
      </c>
    </row>
    <row r="322" spans="1:9" x14ac:dyDescent="0.2">
      <c r="A322" s="10" t="s">
        <v>8</v>
      </c>
      <c r="B322" s="11" t="s">
        <v>9</v>
      </c>
      <c r="C322" s="75" t="s">
        <v>74</v>
      </c>
      <c r="D322" s="86">
        <v>7175730</v>
      </c>
      <c r="E322" s="85">
        <v>45506</v>
      </c>
      <c r="F322" s="12">
        <v>769.54</v>
      </c>
      <c r="G322" s="13" t="s">
        <v>345</v>
      </c>
      <c r="H322" s="14" t="str">
        <f t="shared" ref="H322:H385" si="10">IF(F322&gt;25000,"C",IF(F322&gt;1000,"B","A"))</f>
        <v>A</v>
      </c>
      <c r="I322" s="15" t="str">
        <f t="shared" ref="I322:I385" si="11">VLOOKUP(H322,$L$2:$M$4,2,FALSE)</f>
        <v>The Commissioner &amp; Chief Constable are satisfied the spend represents VFM in accordance with the requirements of Category A</v>
      </c>
    </row>
    <row r="323" spans="1:9" x14ac:dyDescent="0.2">
      <c r="A323" s="10" t="s">
        <v>8</v>
      </c>
      <c r="B323" s="11" t="s">
        <v>9</v>
      </c>
      <c r="C323" s="75" t="s">
        <v>74</v>
      </c>
      <c r="D323" s="86">
        <v>7175655</v>
      </c>
      <c r="E323" s="85">
        <v>45506</v>
      </c>
      <c r="F323" s="12">
        <v>769.54</v>
      </c>
      <c r="G323" s="13" t="s">
        <v>345</v>
      </c>
      <c r="H323" s="14" t="str">
        <f t="shared" si="10"/>
        <v>A</v>
      </c>
      <c r="I323" s="15" t="str">
        <f t="shared" si="11"/>
        <v>The Commissioner &amp; Chief Constable are satisfied the spend represents VFM in accordance with the requirements of Category A</v>
      </c>
    </row>
    <row r="324" spans="1:9" x14ac:dyDescent="0.2">
      <c r="A324" s="10" t="s">
        <v>8</v>
      </c>
      <c r="B324" s="11" t="s">
        <v>9</v>
      </c>
      <c r="C324" s="75" t="s">
        <v>74</v>
      </c>
      <c r="D324" s="86">
        <v>7175654</v>
      </c>
      <c r="E324" s="85">
        <v>45506</v>
      </c>
      <c r="F324" s="12">
        <v>769.54</v>
      </c>
      <c r="G324" s="13" t="s">
        <v>345</v>
      </c>
      <c r="H324" s="14" t="str">
        <f t="shared" si="10"/>
        <v>A</v>
      </c>
      <c r="I324" s="15" t="str">
        <f t="shared" si="11"/>
        <v>The Commissioner &amp; Chief Constable are satisfied the spend represents VFM in accordance with the requirements of Category A</v>
      </c>
    </row>
    <row r="325" spans="1:9" x14ac:dyDescent="0.2">
      <c r="A325" s="10" t="s">
        <v>8</v>
      </c>
      <c r="B325" s="11" t="s">
        <v>9</v>
      </c>
      <c r="C325" s="75" t="s">
        <v>423</v>
      </c>
      <c r="D325" s="86">
        <v>7175754</v>
      </c>
      <c r="E325" s="85">
        <v>45509</v>
      </c>
      <c r="F325" s="12">
        <v>767</v>
      </c>
      <c r="G325" s="13" t="s">
        <v>390</v>
      </c>
      <c r="H325" s="14" t="str">
        <f t="shared" si="10"/>
        <v>A</v>
      </c>
      <c r="I325" s="15" t="str">
        <f t="shared" si="11"/>
        <v>The Commissioner &amp; Chief Constable are satisfied the spend represents VFM in accordance with the requirements of Category A</v>
      </c>
    </row>
    <row r="326" spans="1:9" x14ac:dyDescent="0.2">
      <c r="A326" s="10" t="s">
        <v>8</v>
      </c>
      <c r="B326" s="11" t="s">
        <v>9</v>
      </c>
      <c r="C326" s="75" t="s">
        <v>260</v>
      </c>
      <c r="D326" s="86">
        <v>7176377</v>
      </c>
      <c r="E326" s="85">
        <v>45525</v>
      </c>
      <c r="F326" s="12">
        <v>763.2</v>
      </c>
      <c r="G326" s="13" t="s">
        <v>261</v>
      </c>
      <c r="H326" s="14" t="str">
        <f t="shared" si="10"/>
        <v>A</v>
      </c>
      <c r="I326" s="15" t="str">
        <f t="shared" si="11"/>
        <v>The Commissioner &amp; Chief Constable are satisfied the spend represents VFM in accordance with the requirements of Category A</v>
      </c>
    </row>
    <row r="327" spans="1:9" x14ac:dyDescent="0.2">
      <c r="A327" s="10" t="s">
        <v>8</v>
      </c>
      <c r="B327" s="11" t="s">
        <v>9</v>
      </c>
      <c r="C327" s="75" t="s">
        <v>334</v>
      </c>
      <c r="D327" s="86">
        <v>7175755</v>
      </c>
      <c r="E327" s="85">
        <v>45524</v>
      </c>
      <c r="F327" s="12">
        <v>750</v>
      </c>
      <c r="G327" s="13" t="s">
        <v>39</v>
      </c>
      <c r="H327" s="14" t="str">
        <f t="shared" si="10"/>
        <v>A</v>
      </c>
      <c r="I327" s="15" t="str">
        <f t="shared" si="11"/>
        <v>The Commissioner &amp; Chief Constable are satisfied the spend represents VFM in accordance with the requirements of Category A</v>
      </c>
    </row>
    <row r="328" spans="1:9" x14ac:dyDescent="0.2">
      <c r="A328" s="10" t="s">
        <v>8</v>
      </c>
      <c r="B328" s="11" t="s">
        <v>9</v>
      </c>
      <c r="C328" s="75" t="s">
        <v>272</v>
      </c>
      <c r="D328" s="86">
        <v>7176100</v>
      </c>
      <c r="E328" s="85">
        <v>45517</v>
      </c>
      <c r="F328" s="12">
        <v>725</v>
      </c>
      <c r="G328" s="13" t="s">
        <v>106</v>
      </c>
      <c r="H328" s="14" t="str">
        <f t="shared" si="10"/>
        <v>A</v>
      </c>
      <c r="I328" s="15" t="str">
        <f t="shared" si="11"/>
        <v>The Commissioner &amp; Chief Constable are satisfied the spend represents VFM in accordance with the requirements of Category A</v>
      </c>
    </row>
    <row r="329" spans="1:9" x14ac:dyDescent="0.2">
      <c r="A329" s="10" t="s">
        <v>8</v>
      </c>
      <c r="B329" s="11" t="s">
        <v>9</v>
      </c>
      <c r="C329" s="75" t="s">
        <v>277</v>
      </c>
      <c r="D329" s="86">
        <v>7176330</v>
      </c>
      <c r="E329" s="85">
        <v>45524</v>
      </c>
      <c r="F329" s="12">
        <v>723</v>
      </c>
      <c r="G329" s="13" t="s">
        <v>392</v>
      </c>
      <c r="H329" s="14" t="str">
        <f t="shared" si="10"/>
        <v>A</v>
      </c>
      <c r="I329" s="15" t="str">
        <f t="shared" si="11"/>
        <v>The Commissioner &amp; Chief Constable are satisfied the spend represents VFM in accordance with the requirements of Category A</v>
      </c>
    </row>
    <row r="330" spans="1:9" x14ac:dyDescent="0.2">
      <c r="A330" s="10" t="s">
        <v>8</v>
      </c>
      <c r="B330" s="11" t="s">
        <v>9</v>
      </c>
      <c r="C330" s="75" t="s">
        <v>433</v>
      </c>
      <c r="D330" s="86">
        <v>7176092</v>
      </c>
      <c r="E330" s="85">
        <v>45519</v>
      </c>
      <c r="F330" s="12">
        <v>708.2</v>
      </c>
      <c r="G330" s="13" t="s">
        <v>94</v>
      </c>
      <c r="H330" s="14" t="str">
        <f t="shared" si="10"/>
        <v>A</v>
      </c>
      <c r="I330" s="15" t="str">
        <f t="shared" si="11"/>
        <v>The Commissioner &amp; Chief Constable are satisfied the spend represents VFM in accordance with the requirements of Category A</v>
      </c>
    </row>
    <row r="331" spans="1:9" x14ac:dyDescent="0.2">
      <c r="A331" s="10" t="s">
        <v>8</v>
      </c>
      <c r="B331" s="11" t="s">
        <v>9</v>
      </c>
      <c r="C331" s="75" t="s">
        <v>124</v>
      </c>
      <c r="D331" s="86">
        <v>7175692</v>
      </c>
      <c r="E331" s="85">
        <v>45505</v>
      </c>
      <c r="F331" s="12">
        <v>702.61</v>
      </c>
      <c r="G331" s="13" t="s">
        <v>376</v>
      </c>
      <c r="H331" s="14" t="str">
        <f t="shared" si="10"/>
        <v>A</v>
      </c>
      <c r="I331" s="15" t="str">
        <f t="shared" si="11"/>
        <v>The Commissioner &amp; Chief Constable are satisfied the spend represents VFM in accordance with the requirements of Category A</v>
      </c>
    </row>
    <row r="332" spans="1:9" x14ac:dyDescent="0.2">
      <c r="A332" s="10" t="s">
        <v>8</v>
      </c>
      <c r="B332" s="11" t="s">
        <v>9</v>
      </c>
      <c r="C332" s="75" t="s">
        <v>608</v>
      </c>
      <c r="D332" s="86">
        <v>7175842</v>
      </c>
      <c r="E332" s="85">
        <v>45512</v>
      </c>
      <c r="F332" s="12">
        <v>700</v>
      </c>
      <c r="G332" s="13" t="s">
        <v>138</v>
      </c>
      <c r="H332" s="14" t="str">
        <f t="shared" si="10"/>
        <v>A</v>
      </c>
      <c r="I332" s="15" t="str">
        <f t="shared" si="11"/>
        <v>The Commissioner &amp; Chief Constable are satisfied the spend represents VFM in accordance with the requirements of Category A</v>
      </c>
    </row>
    <row r="333" spans="1:9" x14ac:dyDescent="0.2">
      <c r="A333" s="10" t="s">
        <v>8</v>
      </c>
      <c r="B333" s="11" t="s">
        <v>9</v>
      </c>
      <c r="C333" s="75" t="s">
        <v>395</v>
      </c>
      <c r="D333" s="86">
        <v>7176424</v>
      </c>
      <c r="E333" s="85">
        <v>45526</v>
      </c>
      <c r="F333" s="12">
        <v>685</v>
      </c>
      <c r="G333" s="13" t="s">
        <v>94</v>
      </c>
      <c r="H333" s="14" t="str">
        <f t="shared" si="10"/>
        <v>A</v>
      </c>
      <c r="I333" s="15" t="str">
        <f t="shared" si="11"/>
        <v>The Commissioner &amp; Chief Constable are satisfied the spend represents VFM in accordance with the requirements of Category A</v>
      </c>
    </row>
    <row r="334" spans="1:9" x14ac:dyDescent="0.2">
      <c r="A334" s="10" t="s">
        <v>8</v>
      </c>
      <c r="B334" s="11" t="s">
        <v>9</v>
      </c>
      <c r="C334" s="75" t="s">
        <v>297</v>
      </c>
      <c r="D334" s="86">
        <v>7176381</v>
      </c>
      <c r="E334" s="85">
        <v>45526</v>
      </c>
      <c r="F334" s="12">
        <v>678.75</v>
      </c>
      <c r="G334" s="13" t="s">
        <v>298</v>
      </c>
      <c r="H334" s="14" t="str">
        <f t="shared" si="10"/>
        <v>A</v>
      </c>
      <c r="I334" s="15" t="str">
        <f t="shared" si="11"/>
        <v>The Commissioner &amp; Chief Constable are satisfied the spend represents VFM in accordance with the requirements of Category A</v>
      </c>
    </row>
    <row r="335" spans="1:9" x14ac:dyDescent="0.2">
      <c r="A335" s="10" t="s">
        <v>8</v>
      </c>
      <c r="B335" s="11" t="s">
        <v>9</v>
      </c>
      <c r="C335" s="75" t="s">
        <v>252</v>
      </c>
      <c r="D335" s="86">
        <v>7176054</v>
      </c>
      <c r="E335" s="85">
        <v>45516</v>
      </c>
      <c r="F335" s="12">
        <v>676</v>
      </c>
      <c r="G335" s="13" t="s">
        <v>148</v>
      </c>
      <c r="H335" s="14" t="str">
        <f t="shared" si="10"/>
        <v>A</v>
      </c>
      <c r="I335" s="15" t="str">
        <f t="shared" si="11"/>
        <v>The Commissioner &amp; Chief Constable are satisfied the spend represents VFM in accordance with the requirements of Category A</v>
      </c>
    </row>
    <row r="336" spans="1:9" x14ac:dyDescent="0.2">
      <c r="A336" s="10" t="s">
        <v>8</v>
      </c>
      <c r="B336" s="11" t="s">
        <v>9</v>
      </c>
      <c r="C336" s="75" t="s">
        <v>328</v>
      </c>
      <c r="D336" s="86">
        <v>7175675</v>
      </c>
      <c r="E336" s="85">
        <v>45506</v>
      </c>
      <c r="F336" s="12">
        <v>675</v>
      </c>
      <c r="G336" s="13" t="s">
        <v>131</v>
      </c>
      <c r="H336" s="14" t="str">
        <f t="shared" si="10"/>
        <v>A</v>
      </c>
      <c r="I336" s="15" t="str">
        <f t="shared" si="11"/>
        <v>The Commissioner &amp; Chief Constable are satisfied the spend represents VFM in accordance with the requirements of Category A</v>
      </c>
    </row>
    <row r="337" spans="1:9" x14ac:dyDescent="0.2">
      <c r="A337" s="10" t="s">
        <v>8</v>
      </c>
      <c r="B337" s="11" t="s">
        <v>9</v>
      </c>
      <c r="C337" s="75" t="s">
        <v>219</v>
      </c>
      <c r="D337" s="86">
        <v>7175545</v>
      </c>
      <c r="E337" s="85">
        <v>45520</v>
      </c>
      <c r="F337" s="12">
        <v>673.25</v>
      </c>
      <c r="G337" s="13" t="s">
        <v>220</v>
      </c>
      <c r="H337" s="14" t="str">
        <f t="shared" si="10"/>
        <v>A</v>
      </c>
      <c r="I337" s="15" t="str">
        <f t="shared" si="11"/>
        <v>The Commissioner &amp; Chief Constable are satisfied the spend represents VFM in accordance with the requirements of Category A</v>
      </c>
    </row>
    <row r="338" spans="1:9" x14ac:dyDescent="0.2">
      <c r="A338" s="10" t="s">
        <v>8</v>
      </c>
      <c r="B338" s="11" t="s">
        <v>9</v>
      </c>
      <c r="C338" s="77" t="s">
        <v>279</v>
      </c>
      <c r="D338" s="86">
        <v>7176106</v>
      </c>
      <c r="E338" s="85">
        <v>45523</v>
      </c>
      <c r="F338" s="12">
        <v>41.21</v>
      </c>
      <c r="G338" s="13" t="s">
        <v>131</v>
      </c>
      <c r="H338" s="14" t="str">
        <f t="shared" si="10"/>
        <v>A</v>
      </c>
      <c r="I338" s="15" t="str">
        <f t="shared" si="11"/>
        <v>The Commissioner &amp; Chief Constable are satisfied the spend represents VFM in accordance with the requirements of Category A</v>
      </c>
    </row>
    <row r="339" spans="1:9" x14ac:dyDescent="0.2">
      <c r="A339" s="10" t="s">
        <v>8</v>
      </c>
      <c r="B339" s="11" t="s">
        <v>9</v>
      </c>
      <c r="C339" s="75" t="s">
        <v>279</v>
      </c>
      <c r="D339" s="86">
        <v>7176106</v>
      </c>
      <c r="E339" s="85">
        <v>45523</v>
      </c>
      <c r="F339" s="18">
        <v>628.82000000000005</v>
      </c>
      <c r="G339" s="13" t="s">
        <v>390</v>
      </c>
      <c r="H339" s="14" t="str">
        <f t="shared" si="10"/>
        <v>A</v>
      </c>
      <c r="I339" s="15" t="str">
        <f t="shared" si="11"/>
        <v>The Commissioner &amp; Chief Constable are satisfied the spend represents VFM in accordance with the requirements of Category A</v>
      </c>
    </row>
    <row r="340" spans="1:9" x14ac:dyDescent="0.2">
      <c r="A340" s="10" t="s">
        <v>8</v>
      </c>
      <c r="B340" s="11" t="s">
        <v>9</v>
      </c>
      <c r="C340" s="75" t="s">
        <v>256</v>
      </c>
      <c r="D340" s="86">
        <v>7176152</v>
      </c>
      <c r="E340" s="85">
        <v>45519</v>
      </c>
      <c r="F340" s="12">
        <v>667.8</v>
      </c>
      <c r="G340" s="13" t="s">
        <v>155</v>
      </c>
      <c r="H340" s="14" t="str">
        <f t="shared" si="10"/>
        <v>A</v>
      </c>
      <c r="I340" s="15" t="str">
        <f t="shared" si="11"/>
        <v>The Commissioner &amp; Chief Constable are satisfied the spend represents VFM in accordance with the requirements of Category A</v>
      </c>
    </row>
    <row r="341" spans="1:9" x14ac:dyDescent="0.2">
      <c r="A341" s="10" t="s">
        <v>8</v>
      </c>
      <c r="B341" s="11" t="s">
        <v>9</v>
      </c>
      <c r="C341" s="75" t="s">
        <v>852</v>
      </c>
      <c r="D341" s="86">
        <v>7176444</v>
      </c>
      <c r="E341" s="85">
        <v>45527</v>
      </c>
      <c r="F341" s="12">
        <v>664.6</v>
      </c>
      <c r="G341" s="13" t="s">
        <v>298</v>
      </c>
      <c r="H341" s="14" t="str">
        <f t="shared" si="10"/>
        <v>A</v>
      </c>
      <c r="I341" s="15" t="str">
        <f t="shared" si="11"/>
        <v>The Commissioner &amp; Chief Constable are satisfied the spend represents VFM in accordance with the requirements of Category A</v>
      </c>
    </row>
    <row r="342" spans="1:9" x14ac:dyDescent="0.2">
      <c r="A342" s="10" t="s">
        <v>8</v>
      </c>
      <c r="B342" s="11" t="s">
        <v>9</v>
      </c>
      <c r="C342" s="75" t="s">
        <v>850</v>
      </c>
      <c r="D342" s="86">
        <v>7175817</v>
      </c>
      <c r="E342" s="85">
        <v>45509</v>
      </c>
      <c r="F342" s="12">
        <v>663</v>
      </c>
      <c r="G342" s="13" t="s">
        <v>123</v>
      </c>
      <c r="H342" s="14" t="str">
        <f t="shared" si="10"/>
        <v>A</v>
      </c>
      <c r="I342" s="15" t="str">
        <f t="shared" si="11"/>
        <v>The Commissioner &amp; Chief Constable are satisfied the spend represents VFM in accordance with the requirements of Category A</v>
      </c>
    </row>
    <row r="343" spans="1:9" x14ac:dyDescent="0.2">
      <c r="A343" s="10" t="s">
        <v>8</v>
      </c>
      <c r="B343" s="11" t="s">
        <v>9</v>
      </c>
      <c r="C343" s="75" t="s">
        <v>294</v>
      </c>
      <c r="D343" s="86">
        <v>7176556</v>
      </c>
      <c r="E343" s="85">
        <v>45533</v>
      </c>
      <c r="F343" s="12">
        <v>659.4</v>
      </c>
      <c r="G343" s="13" t="s">
        <v>131</v>
      </c>
      <c r="H343" s="14" t="str">
        <f t="shared" si="10"/>
        <v>A</v>
      </c>
      <c r="I343" s="15" t="str">
        <f t="shared" si="11"/>
        <v>The Commissioner &amp; Chief Constable are satisfied the spend represents VFM in accordance with the requirements of Category A</v>
      </c>
    </row>
    <row r="344" spans="1:9" x14ac:dyDescent="0.2">
      <c r="A344" s="10" t="s">
        <v>8</v>
      </c>
      <c r="B344" s="11" t="s">
        <v>9</v>
      </c>
      <c r="C344" s="75" t="s">
        <v>149</v>
      </c>
      <c r="D344" s="86">
        <v>7176328</v>
      </c>
      <c r="E344" s="85">
        <v>45526</v>
      </c>
      <c r="F344" s="12">
        <v>656.1</v>
      </c>
      <c r="G344" s="13" t="s">
        <v>138</v>
      </c>
      <c r="H344" s="14" t="str">
        <f t="shared" si="10"/>
        <v>A</v>
      </c>
      <c r="I344" s="15" t="str">
        <f t="shared" si="11"/>
        <v>The Commissioner &amp; Chief Constable are satisfied the spend represents VFM in accordance with the requirements of Category A</v>
      </c>
    </row>
    <row r="345" spans="1:9" x14ac:dyDescent="0.2">
      <c r="A345" s="10" t="s">
        <v>8</v>
      </c>
      <c r="B345" s="11" t="s">
        <v>9</v>
      </c>
      <c r="C345" s="75" t="s">
        <v>284</v>
      </c>
      <c r="D345" s="86">
        <v>7176125</v>
      </c>
      <c r="E345" s="85">
        <v>45534</v>
      </c>
      <c r="F345" s="12">
        <v>652.1</v>
      </c>
      <c r="G345" s="13" t="s">
        <v>131</v>
      </c>
      <c r="H345" s="14" t="str">
        <f t="shared" si="10"/>
        <v>A</v>
      </c>
      <c r="I345" s="15" t="str">
        <f t="shared" si="11"/>
        <v>The Commissioner &amp; Chief Constable are satisfied the spend represents VFM in accordance with the requirements of Category A</v>
      </c>
    </row>
    <row r="346" spans="1:9" x14ac:dyDescent="0.2">
      <c r="A346" s="10" t="s">
        <v>8</v>
      </c>
      <c r="B346" s="11" t="s">
        <v>9</v>
      </c>
      <c r="C346" s="75" t="s">
        <v>805</v>
      </c>
      <c r="D346" s="86">
        <v>7175458</v>
      </c>
      <c r="E346" s="85">
        <v>45510</v>
      </c>
      <c r="F346" s="12">
        <v>650.79999999999995</v>
      </c>
      <c r="G346" s="13" t="s">
        <v>849</v>
      </c>
      <c r="H346" s="14" t="str">
        <f t="shared" si="10"/>
        <v>A</v>
      </c>
      <c r="I346" s="15" t="str">
        <f t="shared" si="11"/>
        <v>The Commissioner &amp; Chief Constable are satisfied the spend represents VFM in accordance with the requirements of Category A</v>
      </c>
    </row>
    <row r="347" spans="1:9" x14ac:dyDescent="0.2">
      <c r="A347" s="10" t="s">
        <v>8</v>
      </c>
      <c r="B347" s="11" t="s">
        <v>9</v>
      </c>
      <c r="C347" s="75" t="s">
        <v>851</v>
      </c>
      <c r="D347" s="86">
        <v>7175652</v>
      </c>
      <c r="E347" s="85">
        <v>45505</v>
      </c>
      <c r="F347" s="12">
        <v>650</v>
      </c>
      <c r="G347" s="13" t="s">
        <v>131</v>
      </c>
      <c r="H347" s="14" t="str">
        <f t="shared" si="10"/>
        <v>A</v>
      </c>
      <c r="I347" s="15" t="str">
        <f t="shared" si="11"/>
        <v>The Commissioner &amp; Chief Constable are satisfied the spend represents VFM in accordance with the requirements of Category A</v>
      </c>
    </row>
    <row r="348" spans="1:9" x14ac:dyDescent="0.2">
      <c r="A348" s="10" t="s">
        <v>8</v>
      </c>
      <c r="B348" s="11" t="s">
        <v>9</v>
      </c>
      <c r="C348" s="75" t="s">
        <v>172</v>
      </c>
      <c r="D348" s="86">
        <v>7175383</v>
      </c>
      <c r="E348" s="85">
        <v>45505</v>
      </c>
      <c r="F348" s="12">
        <v>645</v>
      </c>
      <c r="G348" s="13" t="s">
        <v>39</v>
      </c>
      <c r="H348" s="14" t="str">
        <f t="shared" si="10"/>
        <v>A</v>
      </c>
      <c r="I348" s="15" t="str">
        <f t="shared" si="11"/>
        <v>The Commissioner &amp; Chief Constable are satisfied the spend represents VFM in accordance with the requirements of Category A</v>
      </c>
    </row>
    <row r="349" spans="1:9" x14ac:dyDescent="0.2">
      <c r="A349" s="10" t="s">
        <v>8</v>
      </c>
      <c r="B349" s="11" t="s">
        <v>9</v>
      </c>
      <c r="C349" s="75" t="s">
        <v>294</v>
      </c>
      <c r="D349" s="86">
        <v>7176353</v>
      </c>
      <c r="E349" s="85">
        <v>45525</v>
      </c>
      <c r="F349" s="12">
        <v>635.20000000000005</v>
      </c>
      <c r="G349" s="13" t="s">
        <v>131</v>
      </c>
      <c r="H349" s="14" t="str">
        <f t="shared" si="10"/>
        <v>A</v>
      </c>
      <c r="I349" s="15" t="str">
        <f t="shared" si="11"/>
        <v>The Commissioner &amp; Chief Constable are satisfied the spend represents VFM in accordance with the requirements of Category A</v>
      </c>
    </row>
    <row r="350" spans="1:9" x14ac:dyDescent="0.2">
      <c r="A350" s="10" t="s">
        <v>8</v>
      </c>
      <c r="B350" s="11" t="s">
        <v>9</v>
      </c>
      <c r="C350" s="75" t="s">
        <v>233</v>
      </c>
      <c r="D350" s="86">
        <v>7175753</v>
      </c>
      <c r="E350" s="85">
        <v>45509</v>
      </c>
      <c r="F350" s="12">
        <v>631.66</v>
      </c>
      <c r="G350" s="13" t="s">
        <v>155</v>
      </c>
      <c r="H350" s="14" t="str">
        <f t="shared" si="10"/>
        <v>A</v>
      </c>
      <c r="I350" s="15" t="str">
        <f t="shared" si="11"/>
        <v>The Commissioner &amp; Chief Constable are satisfied the spend represents VFM in accordance with the requirements of Category A</v>
      </c>
    </row>
    <row r="351" spans="1:9" x14ac:dyDescent="0.2">
      <c r="A351" s="10" t="s">
        <v>8</v>
      </c>
      <c r="B351" s="11" t="s">
        <v>9</v>
      </c>
      <c r="C351" s="75" t="s">
        <v>297</v>
      </c>
      <c r="D351" s="86">
        <v>7176375</v>
      </c>
      <c r="E351" s="85">
        <v>45525</v>
      </c>
      <c r="F351" s="12">
        <v>630</v>
      </c>
      <c r="G351" s="13" t="s">
        <v>298</v>
      </c>
      <c r="H351" s="14" t="str">
        <f t="shared" si="10"/>
        <v>A</v>
      </c>
      <c r="I351" s="15" t="str">
        <f t="shared" si="11"/>
        <v>The Commissioner &amp; Chief Constable are satisfied the spend represents VFM in accordance with the requirements of Category A</v>
      </c>
    </row>
    <row r="352" spans="1:9" x14ac:dyDescent="0.2">
      <c r="A352" s="10" t="s">
        <v>8</v>
      </c>
      <c r="B352" s="11" t="s">
        <v>9</v>
      </c>
      <c r="C352" s="75" t="s">
        <v>172</v>
      </c>
      <c r="D352" s="86">
        <v>7176222</v>
      </c>
      <c r="E352" s="85">
        <v>45520</v>
      </c>
      <c r="F352" s="12">
        <v>625</v>
      </c>
      <c r="G352" s="13" t="s">
        <v>112</v>
      </c>
      <c r="H352" s="14" t="str">
        <f t="shared" si="10"/>
        <v>A</v>
      </c>
      <c r="I352" s="15" t="str">
        <f t="shared" si="11"/>
        <v>The Commissioner &amp; Chief Constable are satisfied the spend represents VFM in accordance with the requirements of Category A</v>
      </c>
    </row>
    <row r="353" spans="1:9" x14ac:dyDescent="0.2">
      <c r="A353" s="10" t="s">
        <v>8</v>
      </c>
      <c r="B353" s="11" t="s">
        <v>9</v>
      </c>
      <c r="C353" s="75" t="s">
        <v>637</v>
      </c>
      <c r="D353" s="86">
        <v>7175870</v>
      </c>
      <c r="E353" s="85">
        <v>45510</v>
      </c>
      <c r="F353" s="12">
        <v>616</v>
      </c>
      <c r="G353" s="13" t="s">
        <v>38</v>
      </c>
      <c r="H353" s="14" t="str">
        <f t="shared" si="10"/>
        <v>A</v>
      </c>
      <c r="I353" s="15" t="str">
        <f t="shared" si="11"/>
        <v>The Commissioner &amp; Chief Constable are satisfied the spend represents VFM in accordance with the requirements of Category A</v>
      </c>
    </row>
    <row r="354" spans="1:9" x14ac:dyDescent="0.2">
      <c r="A354" s="10" t="s">
        <v>8</v>
      </c>
      <c r="B354" s="11" t="s">
        <v>9</v>
      </c>
      <c r="C354" s="75" t="s">
        <v>290</v>
      </c>
      <c r="D354" s="86">
        <v>7175687</v>
      </c>
      <c r="E354" s="85">
        <v>45505</v>
      </c>
      <c r="F354" s="12">
        <v>615</v>
      </c>
      <c r="G354" s="13" t="s">
        <v>38</v>
      </c>
      <c r="H354" s="14" t="str">
        <f t="shared" si="10"/>
        <v>A</v>
      </c>
      <c r="I354" s="15" t="str">
        <f t="shared" si="11"/>
        <v>The Commissioner &amp; Chief Constable are satisfied the spend represents VFM in accordance with the requirements of Category A</v>
      </c>
    </row>
    <row r="355" spans="1:9" x14ac:dyDescent="0.2">
      <c r="A355" s="10" t="s">
        <v>8</v>
      </c>
      <c r="B355" s="11" t="s">
        <v>9</v>
      </c>
      <c r="C355" s="75" t="s">
        <v>256</v>
      </c>
      <c r="D355" s="86">
        <v>7175772</v>
      </c>
      <c r="E355" s="85">
        <v>45509</v>
      </c>
      <c r="F355" s="12">
        <v>608.19000000000005</v>
      </c>
      <c r="G355" s="13" t="s">
        <v>131</v>
      </c>
      <c r="H355" s="14" t="str">
        <f t="shared" si="10"/>
        <v>A</v>
      </c>
      <c r="I355" s="15" t="str">
        <f t="shared" si="11"/>
        <v>The Commissioner &amp; Chief Constable are satisfied the spend represents VFM in accordance with the requirements of Category A</v>
      </c>
    </row>
    <row r="356" spans="1:9" x14ac:dyDescent="0.2">
      <c r="A356" s="10" t="s">
        <v>8</v>
      </c>
      <c r="B356" s="11" t="s">
        <v>9</v>
      </c>
      <c r="C356" s="75" t="s">
        <v>850</v>
      </c>
      <c r="D356" s="86">
        <v>7175816</v>
      </c>
      <c r="E356" s="85">
        <v>45509</v>
      </c>
      <c r="F356" s="12">
        <v>592.48</v>
      </c>
      <c r="G356" s="13" t="s">
        <v>123</v>
      </c>
      <c r="H356" s="14" t="str">
        <f t="shared" si="10"/>
        <v>A</v>
      </c>
      <c r="I356" s="15" t="str">
        <f t="shared" si="11"/>
        <v>The Commissioner &amp; Chief Constable are satisfied the spend represents VFM in accordance with the requirements of Category A</v>
      </c>
    </row>
    <row r="357" spans="1:9" x14ac:dyDescent="0.2">
      <c r="A357" s="10" t="s">
        <v>8</v>
      </c>
      <c r="B357" s="11" t="s">
        <v>9</v>
      </c>
      <c r="C357" s="75" t="s">
        <v>366</v>
      </c>
      <c r="D357" s="86">
        <v>7176071</v>
      </c>
      <c r="E357" s="85">
        <v>45517</v>
      </c>
      <c r="F357" s="12">
        <v>588.24</v>
      </c>
      <c r="G357" s="13" t="s">
        <v>155</v>
      </c>
      <c r="H357" s="14" t="str">
        <f t="shared" si="10"/>
        <v>A</v>
      </c>
      <c r="I357" s="15" t="str">
        <f t="shared" si="11"/>
        <v>The Commissioner &amp; Chief Constable are satisfied the spend represents VFM in accordance with the requirements of Category A</v>
      </c>
    </row>
    <row r="358" spans="1:9" x14ac:dyDescent="0.2">
      <c r="A358" s="10" t="s">
        <v>8</v>
      </c>
      <c r="B358" s="11" t="s">
        <v>9</v>
      </c>
      <c r="C358" s="75" t="s">
        <v>113</v>
      </c>
      <c r="D358" s="86">
        <v>7176192</v>
      </c>
      <c r="E358" s="85">
        <v>45523</v>
      </c>
      <c r="F358" s="12">
        <v>588.23</v>
      </c>
      <c r="G358" s="13" t="s">
        <v>114</v>
      </c>
      <c r="H358" s="14" t="str">
        <f t="shared" si="10"/>
        <v>A</v>
      </c>
      <c r="I358" s="15" t="str">
        <f t="shared" si="11"/>
        <v>The Commissioner &amp; Chief Constable are satisfied the spend represents VFM in accordance with the requirements of Category A</v>
      </c>
    </row>
    <row r="359" spans="1:9" x14ac:dyDescent="0.2">
      <c r="A359" s="10" t="s">
        <v>8</v>
      </c>
      <c r="B359" s="11" t="s">
        <v>9</v>
      </c>
      <c r="C359" s="75" t="s">
        <v>124</v>
      </c>
      <c r="D359" s="86">
        <v>7176284</v>
      </c>
      <c r="E359" s="85">
        <v>45523</v>
      </c>
      <c r="F359" s="12">
        <v>585.02</v>
      </c>
      <c r="G359" s="13" t="s">
        <v>376</v>
      </c>
      <c r="H359" s="14" t="str">
        <f t="shared" si="10"/>
        <v>A</v>
      </c>
      <c r="I359" s="15" t="str">
        <f t="shared" si="11"/>
        <v>The Commissioner &amp; Chief Constable are satisfied the spend represents VFM in accordance with the requirements of Category A</v>
      </c>
    </row>
    <row r="360" spans="1:9" x14ac:dyDescent="0.2">
      <c r="A360" s="10" t="s">
        <v>8</v>
      </c>
      <c r="B360" s="11" t="s">
        <v>9</v>
      </c>
      <c r="C360" s="75" t="s">
        <v>74</v>
      </c>
      <c r="D360" s="86">
        <v>7176216</v>
      </c>
      <c r="E360" s="85">
        <v>45520</v>
      </c>
      <c r="F360" s="12">
        <v>581</v>
      </c>
      <c r="G360" s="13" t="s">
        <v>177</v>
      </c>
      <c r="H360" s="14" t="str">
        <f t="shared" si="10"/>
        <v>A</v>
      </c>
      <c r="I360" s="15" t="str">
        <f t="shared" si="11"/>
        <v>The Commissioner &amp; Chief Constable are satisfied the spend represents VFM in accordance with the requirements of Category A</v>
      </c>
    </row>
    <row r="361" spans="1:9" x14ac:dyDescent="0.2">
      <c r="A361" s="10" t="s">
        <v>8</v>
      </c>
      <c r="B361" s="11" t="s">
        <v>9</v>
      </c>
      <c r="C361" s="75" t="s">
        <v>260</v>
      </c>
      <c r="D361" s="86">
        <v>7176016</v>
      </c>
      <c r="E361" s="85">
        <v>45516</v>
      </c>
      <c r="F361" s="12">
        <v>577.86</v>
      </c>
      <c r="G361" s="13" t="s">
        <v>261</v>
      </c>
      <c r="H361" s="14" t="str">
        <f t="shared" si="10"/>
        <v>A</v>
      </c>
      <c r="I361" s="15" t="str">
        <f t="shared" si="11"/>
        <v>The Commissioner &amp; Chief Constable are satisfied the spend represents VFM in accordance with the requirements of Category A</v>
      </c>
    </row>
    <row r="362" spans="1:9" x14ac:dyDescent="0.2">
      <c r="A362" s="10" t="s">
        <v>8</v>
      </c>
      <c r="B362" s="11" t="s">
        <v>9</v>
      </c>
      <c r="C362" s="75" t="s">
        <v>805</v>
      </c>
      <c r="D362" s="86">
        <v>7175459</v>
      </c>
      <c r="E362" s="85">
        <v>45510</v>
      </c>
      <c r="F362" s="12">
        <v>567.20000000000005</v>
      </c>
      <c r="G362" s="13" t="s">
        <v>849</v>
      </c>
      <c r="H362" s="14" t="str">
        <f t="shared" si="10"/>
        <v>A</v>
      </c>
      <c r="I362" s="15" t="str">
        <f t="shared" si="11"/>
        <v>The Commissioner &amp; Chief Constable are satisfied the spend represents VFM in accordance with the requirements of Category A</v>
      </c>
    </row>
    <row r="363" spans="1:9" x14ac:dyDescent="0.2">
      <c r="A363" s="10" t="s">
        <v>8</v>
      </c>
      <c r="B363" s="11" t="s">
        <v>9</v>
      </c>
      <c r="C363" s="75" t="s">
        <v>393</v>
      </c>
      <c r="D363" s="86">
        <v>7176177</v>
      </c>
      <c r="E363" s="85">
        <v>45519</v>
      </c>
      <c r="F363" s="12">
        <v>566.29</v>
      </c>
      <c r="G363" s="13" t="s">
        <v>131</v>
      </c>
      <c r="H363" s="14" t="str">
        <f t="shared" si="10"/>
        <v>A</v>
      </c>
      <c r="I363" s="15" t="str">
        <f t="shared" si="11"/>
        <v>The Commissioner &amp; Chief Constable are satisfied the spend represents VFM in accordance with the requirements of Category A</v>
      </c>
    </row>
    <row r="364" spans="1:9" x14ac:dyDescent="0.2">
      <c r="A364" s="10" t="s">
        <v>8</v>
      </c>
      <c r="B364" s="11" t="s">
        <v>9</v>
      </c>
      <c r="C364" s="75" t="s">
        <v>305</v>
      </c>
      <c r="D364" s="86">
        <v>7175631</v>
      </c>
      <c r="E364" s="85">
        <v>45520</v>
      </c>
      <c r="F364" s="12">
        <v>559.43999999999994</v>
      </c>
      <c r="G364" s="13" t="s">
        <v>22</v>
      </c>
      <c r="H364" s="14" t="str">
        <f t="shared" si="10"/>
        <v>A</v>
      </c>
      <c r="I364" s="15" t="str">
        <f t="shared" si="11"/>
        <v>The Commissioner &amp; Chief Constable are satisfied the spend represents VFM in accordance with the requirements of Category A</v>
      </c>
    </row>
    <row r="365" spans="1:9" x14ac:dyDescent="0.2">
      <c r="A365" s="10" t="s">
        <v>8</v>
      </c>
      <c r="B365" s="11" t="s">
        <v>9</v>
      </c>
      <c r="C365" s="75" t="s">
        <v>124</v>
      </c>
      <c r="D365" s="86">
        <v>7176408</v>
      </c>
      <c r="E365" s="85">
        <v>45526</v>
      </c>
      <c r="F365" s="12">
        <v>557.08000000000004</v>
      </c>
      <c r="G365" s="13" t="s">
        <v>376</v>
      </c>
      <c r="H365" s="14" t="str">
        <f t="shared" si="10"/>
        <v>A</v>
      </c>
      <c r="I365" s="15" t="str">
        <f t="shared" si="11"/>
        <v>The Commissioner &amp; Chief Constable are satisfied the spend represents VFM in accordance with the requirements of Category A</v>
      </c>
    </row>
    <row r="366" spans="1:9" x14ac:dyDescent="0.2">
      <c r="A366" s="10" t="s">
        <v>8</v>
      </c>
      <c r="B366" s="11" t="s">
        <v>9</v>
      </c>
      <c r="C366" s="75" t="s">
        <v>848</v>
      </c>
      <c r="D366" s="86">
        <v>7175904</v>
      </c>
      <c r="E366" s="85">
        <v>45511</v>
      </c>
      <c r="F366" s="12">
        <v>550</v>
      </c>
      <c r="G366" s="13" t="s">
        <v>330</v>
      </c>
      <c r="H366" s="14" t="str">
        <f t="shared" si="10"/>
        <v>A</v>
      </c>
      <c r="I366" s="15" t="str">
        <f t="shared" si="11"/>
        <v>The Commissioner &amp; Chief Constable are satisfied the spend represents VFM in accordance with the requirements of Category A</v>
      </c>
    </row>
    <row r="367" spans="1:9" x14ac:dyDescent="0.2">
      <c r="A367" s="10" t="s">
        <v>8</v>
      </c>
      <c r="B367" s="11" t="s">
        <v>9</v>
      </c>
      <c r="C367" s="75" t="s">
        <v>292</v>
      </c>
      <c r="D367" s="86">
        <v>7176004</v>
      </c>
      <c r="E367" s="85">
        <v>45516</v>
      </c>
      <c r="F367" s="12">
        <v>541.66</v>
      </c>
      <c r="G367" s="13" t="s">
        <v>84</v>
      </c>
      <c r="H367" s="14" t="str">
        <f t="shared" si="10"/>
        <v>A</v>
      </c>
      <c r="I367" s="15" t="str">
        <f t="shared" si="11"/>
        <v>The Commissioner &amp; Chief Constable are satisfied the spend represents VFM in accordance with the requirements of Category A</v>
      </c>
    </row>
    <row r="368" spans="1:9" x14ac:dyDescent="0.2">
      <c r="A368" s="10" t="s">
        <v>8</v>
      </c>
      <c r="B368" s="11" t="s">
        <v>9</v>
      </c>
      <c r="C368" s="75" t="s">
        <v>202</v>
      </c>
      <c r="D368" s="86">
        <v>7176070</v>
      </c>
      <c r="E368" s="85">
        <v>45517</v>
      </c>
      <c r="F368" s="12">
        <v>537.25</v>
      </c>
      <c r="G368" s="13" t="s">
        <v>203</v>
      </c>
      <c r="H368" s="14" t="str">
        <f t="shared" si="10"/>
        <v>A</v>
      </c>
      <c r="I368" s="15" t="str">
        <f t="shared" si="11"/>
        <v>The Commissioner &amp; Chief Constable are satisfied the spend represents VFM in accordance with the requirements of Category A</v>
      </c>
    </row>
    <row r="369" spans="1:13" x14ac:dyDescent="0.2">
      <c r="A369" s="10" t="s">
        <v>8</v>
      </c>
      <c r="B369" s="11" t="s">
        <v>9</v>
      </c>
      <c r="C369" s="75" t="s">
        <v>74</v>
      </c>
      <c r="D369" s="86">
        <v>7176205</v>
      </c>
      <c r="E369" s="85">
        <v>45520</v>
      </c>
      <c r="F369" s="12">
        <v>537</v>
      </c>
      <c r="G369" s="13" t="s">
        <v>75</v>
      </c>
      <c r="H369" s="14" t="str">
        <f t="shared" si="10"/>
        <v>A</v>
      </c>
      <c r="I369" s="15" t="str">
        <f t="shared" si="11"/>
        <v>The Commissioner &amp; Chief Constable are satisfied the spend represents VFM in accordance with the requirements of Category A</v>
      </c>
    </row>
    <row r="370" spans="1:13" x14ac:dyDescent="0.2">
      <c r="A370" s="10" t="s">
        <v>8</v>
      </c>
      <c r="B370" s="11" t="s">
        <v>9</v>
      </c>
      <c r="C370" s="75" t="s">
        <v>260</v>
      </c>
      <c r="D370" s="86">
        <v>7175963</v>
      </c>
      <c r="E370" s="85">
        <v>45516</v>
      </c>
      <c r="F370" s="12">
        <v>537</v>
      </c>
      <c r="G370" s="13" t="s">
        <v>94</v>
      </c>
      <c r="H370" s="14" t="str">
        <f t="shared" si="10"/>
        <v>A</v>
      </c>
      <c r="I370" s="15" t="str">
        <f t="shared" si="11"/>
        <v>The Commissioner &amp; Chief Constable are satisfied the spend represents VFM in accordance with the requirements of Category A</v>
      </c>
    </row>
    <row r="371" spans="1:13" x14ac:dyDescent="0.2">
      <c r="A371" s="10" t="s">
        <v>8</v>
      </c>
      <c r="B371" s="11" t="s">
        <v>9</v>
      </c>
      <c r="C371" s="75" t="s">
        <v>74</v>
      </c>
      <c r="D371" s="86">
        <v>7175773</v>
      </c>
      <c r="E371" s="85">
        <v>45509</v>
      </c>
      <c r="F371" s="12">
        <v>535.87</v>
      </c>
      <c r="G371" s="13" t="s">
        <v>345</v>
      </c>
      <c r="H371" s="14" t="str">
        <f t="shared" si="10"/>
        <v>A</v>
      </c>
      <c r="I371" s="15" t="str">
        <f t="shared" si="11"/>
        <v>The Commissioner &amp; Chief Constable are satisfied the spend represents VFM in accordance with the requirements of Category A</v>
      </c>
    </row>
    <row r="372" spans="1:13" x14ac:dyDescent="0.2">
      <c r="A372" s="10" t="s">
        <v>8</v>
      </c>
      <c r="B372" s="11" t="s">
        <v>9</v>
      </c>
      <c r="C372" s="75" t="s">
        <v>370</v>
      </c>
      <c r="D372" s="86">
        <v>7176149</v>
      </c>
      <c r="E372" s="85">
        <v>45519</v>
      </c>
      <c r="F372" s="12">
        <v>399</v>
      </c>
      <c r="G372" s="13" t="s">
        <v>131</v>
      </c>
      <c r="H372" s="14" t="str">
        <f t="shared" si="10"/>
        <v>A</v>
      </c>
      <c r="I372" s="15" t="str">
        <f t="shared" si="11"/>
        <v>The Commissioner &amp; Chief Constable are satisfied the spend represents VFM in accordance with the requirements of Category A</v>
      </c>
    </row>
    <row r="373" spans="1:13" s="20" customFormat="1" x14ac:dyDescent="0.2">
      <c r="A373" s="10" t="s">
        <v>8</v>
      </c>
      <c r="B373" s="11" t="s">
        <v>9</v>
      </c>
      <c r="C373" s="75" t="s">
        <v>370</v>
      </c>
      <c r="D373" s="86">
        <v>7176149</v>
      </c>
      <c r="E373" s="85">
        <v>45519</v>
      </c>
      <c r="F373" s="12">
        <v>133</v>
      </c>
      <c r="G373" s="13" t="s">
        <v>98</v>
      </c>
      <c r="H373" s="14" t="str">
        <f t="shared" si="10"/>
        <v>A</v>
      </c>
      <c r="I373" s="15" t="str">
        <f t="shared" si="11"/>
        <v>The Commissioner &amp; Chief Constable are satisfied the spend represents VFM in accordance with the requirements of Category A</v>
      </c>
      <c r="L373" s="17"/>
      <c r="M373" s="17"/>
    </row>
    <row r="374" spans="1:13" s="20" customFormat="1" x14ac:dyDescent="0.2">
      <c r="A374" s="10" t="s">
        <v>8</v>
      </c>
      <c r="B374" s="11" t="s">
        <v>9</v>
      </c>
      <c r="C374" s="75" t="s">
        <v>264</v>
      </c>
      <c r="D374" s="86">
        <v>7176400</v>
      </c>
      <c r="E374" s="85">
        <v>45533</v>
      </c>
      <c r="F374" s="12">
        <v>532</v>
      </c>
      <c r="G374" s="13" t="s">
        <v>131</v>
      </c>
      <c r="H374" s="14" t="str">
        <f t="shared" si="10"/>
        <v>A</v>
      </c>
      <c r="I374" s="15" t="str">
        <f t="shared" si="11"/>
        <v>The Commissioner &amp; Chief Constable are satisfied the spend represents VFM in accordance with the requirements of Category A</v>
      </c>
      <c r="L374" s="17"/>
      <c r="M374" s="17"/>
    </row>
    <row r="375" spans="1:13" s="20" customFormat="1" x14ac:dyDescent="0.2">
      <c r="A375" s="10" t="s">
        <v>8</v>
      </c>
      <c r="B375" s="11" t="s">
        <v>9</v>
      </c>
      <c r="C375" s="75" t="s">
        <v>242</v>
      </c>
      <c r="D375" s="86">
        <v>7176398</v>
      </c>
      <c r="E375" s="85">
        <v>45526</v>
      </c>
      <c r="F375" s="12">
        <v>526.62</v>
      </c>
      <c r="G375" s="13" t="s">
        <v>94</v>
      </c>
      <c r="H375" s="14" t="str">
        <f t="shared" si="10"/>
        <v>A</v>
      </c>
      <c r="I375" s="15" t="str">
        <f t="shared" si="11"/>
        <v>The Commissioner &amp; Chief Constable are satisfied the spend represents VFM in accordance with the requirements of Category A</v>
      </c>
      <c r="L375" s="17"/>
      <c r="M375" s="17"/>
    </row>
    <row r="376" spans="1:13" s="20" customFormat="1" x14ac:dyDescent="0.2">
      <c r="A376" s="10" t="s">
        <v>8</v>
      </c>
      <c r="B376" s="11" t="s">
        <v>9</v>
      </c>
      <c r="C376" s="75" t="s">
        <v>329</v>
      </c>
      <c r="D376" s="86">
        <v>7175743</v>
      </c>
      <c r="E376" s="85">
        <v>45506</v>
      </c>
      <c r="F376" s="12">
        <v>526.25</v>
      </c>
      <c r="G376" s="13" t="s">
        <v>131</v>
      </c>
      <c r="H376" s="14" t="str">
        <f t="shared" si="10"/>
        <v>A</v>
      </c>
      <c r="I376" s="15" t="str">
        <f t="shared" si="11"/>
        <v>The Commissioner &amp; Chief Constable are satisfied the spend represents VFM in accordance with the requirements of Category A</v>
      </c>
      <c r="L376" s="17"/>
      <c r="M376" s="17"/>
    </row>
    <row r="377" spans="1:13" s="20" customFormat="1" x14ac:dyDescent="0.2">
      <c r="A377" s="10" t="s">
        <v>8</v>
      </c>
      <c r="B377" s="11" t="s">
        <v>9</v>
      </c>
      <c r="C377" s="75" t="s">
        <v>172</v>
      </c>
      <c r="D377" s="86">
        <v>7176223</v>
      </c>
      <c r="E377" s="85">
        <v>45520</v>
      </c>
      <c r="F377" s="12">
        <v>515</v>
      </c>
      <c r="G377" s="13" t="s">
        <v>112</v>
      </c>
      <c r="H377" s="14" t="str">
        <f t="shared" si="10"/>
        <v>A</v>
      </c>
      <c r="I377" s="15" t="str">
        <f t="shared" si="11"/>
        <v>The Commissioner &amp; Chief Constable are satisfied the spend represents VFM in accordance with the requirements of Category A</v>
      </c>
      <c r="L377" s="17"/>
      <c r="M377" s="17"/>
    </row>
    <row r="378" spans="1:13" s="20" customFormat="1" x14ac:dyDescent="0.2">
      <c r="A378" s="10" t="s">
        <v>8</v>
      </c>
      <c r="B378" s="11" t="s">
        <v>9</v>
      </c>
      <c r="C378" s="75" t="s">
        <v>283</v>
      </c>
      <c r="D378" s="86">
        <v>7174866</v>
      </c>
      <c r="E378" s="85">
        <v>45520</v>
      </c>
      <c r="F378" s="12">
        <v>511.5</v>
      </c>
      <c r="G378" s="13" t="s">
        <v>40</v>
      </c>
      <c r="H378" s="14" t="str">
        <f t="shared" si="10"/>
        <v>A</v>
      </c>
      <c r="I378" s="15" t="str">
        <f t="shared" si="11"/>
        <v>The Commissioner &amp; Chief Constable are satisfied the spend represents VFM in accordance with the requirements of Category A</v>
      </c>
      <c r="L378" s="17"/>
      <c r="M378" s="17"/>
    </row>
    <row r="379" spans="1:13" s="20" customFormat="1" x14ac:dyDescent="0.2">
      <c r="A379" s="10" t="s">
        <v>8</v>
      </c>
      <c r="B379" s="11" t="s">
        <v>9</v>
      </c>
      <c r="C379" s="75" t="s">
        <v>847</v>
      </c>
      <c r="D379" s="86">
        <v>7175910</v>
      </c>
      <c r="E379" s="85">
        <v>45523</v>
      </c>
      <c r="F379" s="12">
        <v>-662.74</v>
      </c>
      <c r="G379" s="13" t="s">
        <v>131</v>
      </c>
      <c r="H379" s="14" t="str">
        <f t="shared" si="10"/>
        <v>A</v>
      </c>
      <c r="I379" s="15" t="str">
        <f t="shared" si="11"/>
        <v>The Commissioner &amp; Chief Constable are satisfied the spend represents VFM in accordance with the requirements of Category A</v>
      </c>
      <c r="L379" s="17"/>
      <c r="M379" s="17"/>
    </row>
    <row r="380" spans="1:13" s="20" customFormat="1" x14ac:dyDescent="0.2">
      <c r="A380" s="10" t="s">
        <v>8</v>
      </c>
      <c r="B380" s="11" t="s">
        <v>9</v>
      </c>
      <c r="C380" s="75" t="s">
        <v>331</v>
      </c>
      <c r="D380" s="86">
        <v>7175766</v>
      </c>
      <c r="E380" s="85">
        <v>45520</v>
      </c>
      <c r="F380" s="12">
        <v>-673</v>
      </c>
      <c r="G380" s="13" t="s">
        <v>106</v>
      </c>
      <c r="H380" s="14" t="str">
        <f t="shared" si="10"/>
        <v>A</v>
      </c>
      <c r="I380" s="15" t="str">
        <f t="shared" si="11"/>
        <v>The Commissioner &amp; Chief Constable are satisfied the spend represents VFM in accordance with the requirements of Category A</v>
      </c>
      <c r="L380" s="17"/>
      <c r="M380" s="17"/>
    </row>
    <row r="381" spans="1:13" s="20" customFormat="1" x14ac:dyDescent="0.2">
      <c r="A381" s="10" t="s">
        <v>8</v>
      </c>
      <c r="B381" s="11" t="s">
        <v>9</v>
      </c>
      <c r="C381" s="75" t="s">
        <v>527</v>
      </c>
      <c r="D381" s="86">
        <v>7175953</v>
      </c>
      <c r="E381" s="85">
        <v>45512</v>
      </c>
      <c r="F381" s="12">
        <v>-684</v>
      </c>
      <c r="G381" s="13" t="s">
        <v>296</v>
      </c>
      <c r="H381" s="14" t="str">
        <f t="shared" si="10"/>
        <v>A</v>
      </c>
      <c r="I381" s="15" t="str">
        <f t="shared" si="11"/>
        <v>The Commissioner &amp; Chief Constable are satisfied the spend represents VFM in accordance with the requirements of Category A</v>
      </c>
      <c r="L381" s="17"/>
      <c r="M381" s="17"/>
    </row>
    <row r="382" spans="1:13" s="20" customFormat="1" x14ac:dyDescent="0.2">
      <c r="A382" s="10" t="s">
        <v>8</v>
      </c>
      <c r="B382" s="11" t="s">
        <v>9</v>
      </c>
      <c r="C382" s="75" t="s">
        <v>74</v>
      </c>
      <c r="D382" s="86">
        <v>7176489</v>
      </c>
      <c r="E382" s="85">
        <v>45532</v>
      </c>
      <c r="F382" s="12">
        <v>-757.52</v>
      </c>
      <c r="G382" s="13" t="s">
        <v>75</v>
      </c>
      <c r="H382" s="14" t="str">
        <f t="shared" si="10"/>
        <v>A</v>
      </c>
      <c r="I382" s="15" t="str">
        <f t="shared" si="11"/>
        <v>The Commissioner &amp; Chief Constable are satisfied the spend represents VFM in accordance with the requirements of Category A</v>
      </c>
      <c r="L382" s="17"/>
      <c r="M382" s="17"/>
    </row>
    <row r="383" spans="1:13" s="20" customFormat="1" x14ac:dyDescent="0.2">
      <c r="A383" s="10" t="s">
        <v>8</v>
      </c>
      <c r="B383" s="11" t="s">
        <v>9</v>
      </c>
      <c r="C383" s="75" t="s">
        <v>113</v>
      </c>
      <c r="D383" s="86">
        <v>7176008</v>
      </c>
      <c r="E383" s="85">
        <v>45531</v>
      </c>
      <c r="F383" s="12">
        <v>-1165.76</v>
      </c>
      <c r="G383" s="13" t="s">
        <v>84</v>
      </c>
      <c r="H383" s="14" t="str">
        <f t="shared" si="10"/>
        <v>A</v>
      </c>
      <c r="I383" s="15" t="str">
        <f t="shared" si="11"/>
        <v>The Commissioner &amp; Chief Constable are satisfied the spend represents VFM in accordance with the requirements of Category A</v>
      </c>
      <c r="L383" s="17"/>
      <c r="M383" s="17"/>
    </row>
    <row r="384" spans="1:13" s="20" customFormat="1" x14ac:dyDescent="0.2">
      <c r="A384" s="10" t="s">
        <v>8</v>
      </c>
      <c r="B384" s="11" t="s">
        <v>9</v>
      </c>
      <c r="C384" s="75" t="s">
        <v>846</v>
      </c>
      <c r="D384" s="86">
        <v>7176006</v>
      </c>
      <c r="E384" s="85">
        <v>45516</v>
      </c>
      <c r="F384" s="12">
        <v>-2788.63</v>
      </c>
      <c r="G384" s="13" t="s">
        <v>241</v>
      </c>
      <c r="H384" s="14" t="str">
        <f t="shared" si="10"/>
        <v>A</v>
      </c>
      <c r="I384" s="15" t="str">
        <f t="shared" si="11"/>
        <v>The Commissioner &amp; Chief Constable are satisfied the spend represents VFM in accordance with the requirements of Category A</v>
      </c>
      <c r="L384" s="17"/>
      <c r="M384" s="17"/>
    </row>
    <row r="385" spans="1:13" s="20" customFormat="1" x14ac:dyDescent="0.2">
      <c r="A385" s="10" t="s">
        <v>8</v>
      </c>
      <c r="B385" s="11" t="s">
        <v>9</v>
      </c>
      <c r="C385" s="75" t="s">
        <v>26</v>
      </c>
      <c r="D385" s="86">
        <v>7176056</v>
      </c>
      <c r="E385" s="85">
        <v>45516</v>
      </c>
      <c r="F385" s="12">
        <v>-6761.72</v>
      </c>
      <c r="G385" s="13" t="s">
        <v>88</v>
      </c>
      <c r="H385" s="14" t="str">
        <f t="shared" si="10"/>
        <v>A</v>
      </c>
      <c r="I385" s="15" t="str">
        <f t="shared" si="11"/>
        <v>The Commissioner &amp; Chief Constable are satisfied the spend represents VFM in accordance with the requirements of Category A</v>
      </c>
      <c r="L385" s="17"/>
      <c r="M385" s="17"/>
    </row>
    <row r="386" spans="1:13" s="20" customFormat="1" x14ac:dyDescent="0.2">
      <c r="A386" s="10" t="s">
        <v>8</v>
      </c>
      <c r="B386" s="11" t="s">
        <v>9</v>
      </c>
      <c r="C386" s="75" t="s">
        <v>845</v>
      </c>
      <c r="D386" s="86">
        <v>7176247</v>
      </c>
      <c r="E386" s="85">
        <v>45523</v>
      </c>
      <c r="F386" s="12">
        <v>-8192.52</v>
      </c>
      <c r="G386" s="13" t="s">
        <v>98</v>
      </c>
      <c r="H386" s="14" t="str">
        <f t="shared" ref="H386:H449" si="12">IF(F386&gt;25000,"C",IF(F386&gt;1000,"B","A"))</f>
        <v>A</v>
      </c>
      <c r="I386" s="15" t="str">
        <f t="shared" ref="I386:I449" si="13">VLOOKUP(H386,$L$2:$M$4,2,FALSE)</f>
        <v>The Commissioner &amp; Chief Constable are satisfied the spend represents VFM in accordance with the requirements of Category A</v>
      </c>
      <c r="L386" s="17"/>
      <c r="M386" s="17"/>
    </row>
    <row r="387" spans="1:13" s="20" customFormat="1" x14ac:dyDescent="0.2">
      <c r="A387" s="10" t="s">
        <v>8</v>
      </c>
      <c r="B387" s="11" t="s">
        <v>9</v>
      </c>
      <c r="C387" s="75" t="s">
        <v>146</v>
      </c>
      <c r="D387" s="86">
        <v>7175420</v>
      </c>
      <c r="E387" s="85">
        <v>45506</v>
      </c>
      <c r="F387" s="12">
        <v>-9645.75</v>
      </c>
      <c r="G387" s="13" t="s">
        <v>24</v>
      </c>
      <c r="H387" s="14" t="str">
        <f t="shared" si="12"/>
        <v>A</v>
      </c>
      <c r="I387" s="15" t="str">
        <f t="shared" si="13"/>
        <v>The Commissioner &amp; Chief Constable are satisfied the spend represents VFM in accordance with the requirements of Category A</v>
      </c>
      <c r="L387" s="17"/>
      <c r="M387" s="17"/>
    </row>
    <row r="388" spans="1:13" s="20" customFormat="1" x14ac:dyDescent="0.2">
      <c r="A388" s="10" t="s">
        <v>8</v>
      </c>
      <c r="B388" s="11" t="s">
        <v>9</v>
      </c>
      <c r="C388" s="75" t="s">
        <v>352</v>
      </c>
      <c r="D388" s="86">
        <v>7176252</v>
      </c>
      <c r="E388" s="85">
        <v>45526</v>
      </c>
      <c r="F388" s="12">
        <v>-11280.97</v>
      </c>
      <c r="G388" s="13" t="s">
        <v>58</v>
      </c>
      <c r="H388" s="14" t="str">
        <f t="shared" si="12"/>
        <v>A</v>
      </c>
      <c r="I388" s="15" t="str">
        <f t="shared" si="13"/>
        <v>The Commissioner &amp; Chief Constable are satisfied the spend represents VFM in accordance with the requirements of Category A</v>
      </c>
      <c r="L388" s="17"/>
      <c r="M388" s="17"/>
    </row>
    <row r="389" spans="1:13" x14ac:dyDescent="0.2">
      <c r="A389" s="10" t="s">
        <v>8</v>
      </c>
      <c r="B389" s="11" t="s">
        <v>9</v>
      </c>
      <c r="C389" s="75"/>
      <c r="D389" s="86"/>
      <c r="E389" s="85"/>
      <c r="F389" s="12"/>
      <c r="G389" s="13"/>
      <c r="H389" s="14" t="str">
        <f t="shared" si="12"/>
        <v>A</v>
      </c>
      <c r="I389" s="15" t="str">
        <f t="shared" si="13"/>
        <v>The Commissioner &amp; Chief Constable are satisfied the spend represents VFM in accordance with the requirements of Category A</v>
      </c>
    </row>
    <row r="390" spans="1:13" x14ac:dyDescent="0.2">
      <c r="A390" s="10" t="s">
        <v>8</v>
      </c>
      <c r="B390" s="11" t="s">
        <v>9</v>
      </c>
      <c r="C390" s="75"/>
      <c r="D390" s="86"/>
      <c r="E390" s="85"/>
      <c r="F390" s="12"/>
      <c r="G390" s="13"/>
      <c r="H390" s="14" t="str">
        <f t="shared" si="12"/>
        <v>A</v>
      </c>
      <c r="I390" s="15" t="str">
        <f t="shared" si="13"/>
        <v>The Commissioner &amp; Chief Constable are satisfied the spend represents VFM in accordance with the requirements of Category A</v>
      </c>
    </row>
    <row r="391" spans="1:13" x14ac:dyDescent="0.2">
      <c r="A391" s="10" t="s">
        <v>8</v>
      </c>
      <c r="B391" s="11" t="s">
        <v>9</v>
      </c>
      <c r="C391" s="75"/>
      <c r="D391" s="86"/>
      <c r="E391" s="85"/>
      <c r="F391" s="12"/>
      <c r="G391" s="13"/>
      <c r="H391" s="14" t="str">
        <f t="shared" si="12"/>
        <v>A</v>
      </c>
      <c r="I391" s="15" t="str">
        <f t="shared" si="13"/>
        <v>The Commissioner &amp; Chief Constable are satisfied the spend represents VFM in accordance with the requirements of Category A</v>
      </c>
    </row>
    <row r="392" spans="1:13" x14ac:dyDescent="0.2">
      <c r="A392" s="10" t="s">
        <v>8</v>
      </c>
      <c r="B392" s="11" t="s">
        <v>9</v>
      </c>
      <c r="C392" s="75"/>
      <c r="D392" s="86"/>
      <c r="E392" s="85"/>
      <c r="F392" s="12"/>
      <c r="G392" s="13"/>
      <c r="H392" s="14" t="str">
        <f t="shared" si="12"/>
        <v>A</v>
      </c>
      <c r="I392" s="15" t="str">
        <f t="shared" si="13"/>
        <v>The Commissioner &amp; Chief Constable are satisfied the spend represents VFM in accordance with the requirements of Category A</v>
      </c>
    </row>
    <row r="393" spans="1:13" x14ac:dyDescent="0.2">
      <c r="A393" s="10" t="s">
        <v>8</v>
      </c>
      <c r="B393" s="11" t="s">
        <v>9</v>
      </c>
      <c r="C393" s="75"/>
      <c r="D393" s="86"/>
      <c r="E393" s="85"/>
      <c r="F393" s="12"/>
      <c r="G393" s="13"/>
      <c r="H393" s="14" t="str">
        <f t="shared" si="12"/>
        <v>A</v>
      </c>
      <c r="I393" s="15" t="str">
        <f t="shared" si="13"/>
        <v>The Commissioner &amp; Chief Constable are satisfied the spend represents VFM in accordance with the requirements of Category A</v>
      </c>
    </row>
    <row r="394" spans="1:13" x14ac:dyDescent="0.2">
      <c r="A394" s="10" t="s">
        <v>8</v>
      </c>
      <c r="B394" s="11" t="s">
        <v>9</v>
      </c>
      <c r="C394" s="75"/>
      <c r="D394" s="86"/>
      <c r="E394" s="85"/>
      <c r="F394" s="12"/>
      <c r="G394" s="13"/>
      <c r="H394" s="14" t="str">
        <f t="shared" si="12"/>
        <v>A</v>
      </c>
      <c r="I394" s="15" t="str">
        <f t="shared" si="13"/>
        <v>The Commissioner &amp; Chief Constable are satisfied the spend represents VFM in accordance with the requirements of Category A</v>
      </c>
    </row>
    <row r="395" spans="1:13" x14ac:dyDescent="0.2">
      <c r="A395" s="10" t="s">
        <v>8</v>
      </c>
      <c r="B395" s="11" t="s">
        <v>9</v>
      </c>
      <c r="C395" s="75"/>
      <c r="D395" s="86"/>
      <c r="E395" s="85"/>
      <c r="F395" s="12"/>
      <c r="G395" s="13"/>
      <c r="H395" s="14" t="str">
        <f t="shared" si="12"/>
        <v>A</v>
      </c>
      <c r="I395" s="15" t="str">
        <f t="shared" si="13"/>
        <v>The Commissioner &amp; Chief Constable are satisfied the spend represents VFM in accordance with the requirements of Category A</v>
      </c>
    </row>
    <row r="396" spans="1:13" x14ac:dyDescent="0.2">
      <c r="A396" s="10" t="s">
        <v>8</v>
      </c>
      <c r="B396" s="11" t="s">
        <v>9</v>
      </c>
      <c r="C396" s="75"/>
      <c r="D396" s="86"/>
      <c r="E396" s="85"/>
      <c r="F396" s="12"/>
      <c r="G396" s="13"/>
      <c r="H396" s="14" t="str">
        <f t="shared" si="12"/>
        <v>A</v>
      </c>
      <c r="I396" s="15" t="str">
        <f t="shared" si="13"/>
        <v>The Commissioner &amp; Chief Constable are satisfied the spend represents VFM in accordance with the requirements of Category A</v>
      </c>
    </row>
    <row r="397" spans="1:13" x14ac:dyDescent="0.2">
      <c r="A397" s="10" t="s">
        <v>8</v>
      </c>
      <c r="B397" s="11" t="s">
        <v>9</v>
      </c>
      <c r="C397" s="75"/>
      <c r="D397" s="86"/>
      <c r="E397" s="85"/>
      <c r="F397" s="12"/>
      <c r="G397" s="13"/>
      <c r="H397" s="14" t="str">
        <f t="shared" si="12"/>
        <v>A</v>
      </c>
      <c r="I397" s="15" t="str">
        <f t="shared" si="13"/>
        <v>The Commissioner &amp; Chief Constable are satisfied the spend represents VFM in accordance with the requirements of Category A</v>
      </c>
    </row>
    <row r="398" spans="1:13" x14ac:dyDescent="0.2">
      <c r="A398" s="10" t="s">
        <v>8</v>
      </c>
      <c r="B398" s="11" t="s">
        <v>9</v>
      </c>
      <c r="C398" s="75"/>
      <c r="D398" s="86"/>
      <c r="E398" s="85"/>
      <c r="F398" s="12"/>
      <c r="G398" s="13"/>
      <c r="H398" s="14" t="str">
        <f t="shared" si="12"/>
        <v>A</v>
      </c>
      <c r="I398" s="15" t="str">
        <f t="shared" si="13"/>
        <v>The Commissioner &amp; Chief Constable are satisfied the spend represents VFM in accordance with the requirements of Category A</v>
      </c>
    </row>
    <row r="399" spans="1:13" x14ac:dyDescent="0.2">
      <c r="A399" s="10" t="s">
        <v>8</v>
      </c>
      <c r="B399" s="11" t="s">
        <v>9</v>
      </c>
      <c r="C399" s="75"/>
      <c r="D399" s="86"/>
      <c r="E399" s="85"/>
      <c r="F399" s="12"/>
      <c r="G399" s="13"/>
      <c r="H399" s="14" t="str">
        <f t="shared" si="12"/>
        <v>A</v>
      </c>
      <c r="I399" s="15" t="str">
        <f t="shared" si="13"/>
        <v>The Commissioner &amp; Chief Constable are satisfied the spend represents VFM in accordance with the requirements of Category A</v>
      </c>
    </row>
    <row r="400" spans="1:13" s="20" customFormat="1" x14ac:dyDescent="0.2">
      <c r="A400" s="10" t="s">
        <v>8</v>
      </c>
      <c r="B400" s="11" t="s">
        <v>9</v>
      </c>
      <c r="C400" s="75"/>
      <c r="D400" s="86"/>
      <c r="E400" s="85"/>
      <c r="F400" s="12"/>
      <c r="G400" s="13"/>
      <c r="H400" s="14" t="str">
        <f t="shared" si="12"/>
        <v>A</v>
      </c>
      <c r="I400" s="15" t="str">
        <f t="shared" si="13"/>
        <v>The Commissioner &amp; Chief Constable are satisfied the spend represents VFM in accordance with the requirements of Category A</v>
      </c>
      <c r="L400" s="17"/>
      <c r="M400" s="17"/>
    </row>
    <row r="401" spans="1:13" s="20" customFormat="1" x14ac:dyDescent="0.2">
      <c r="A401" s="10" t="s">
        <v>8</v>
      </c>
      <c r="B401" s="11" t="s">
        <v>9</v>
      </c>
      <c r="C401" s="75"/>
      <c r="D401" s="86"/>
      <c r="E401" s="85"/>
      <c r="F401" s="12"/>
      <c r="G401" s="13"/>
      <c r="H401" s="14" t="str">
        <f t="shared" si="12"/>
        <v>A</v>
      </c>
      <c r="I401" s="15" t="str">
        <f t="shared" si="13"/>
        <v>The Commissioner &amp; Chief Constable are satisfied the spend represents VFM in accordance with the requirements of Category A</v>
      </c>
      <c r="L401" s="17"/>
      <c r="M401" s="17"/>
    </row>
    <row r="402" spans="1:13" s="20" customFormat="1" x14ac:dyDescent="0.2">
      <c r="A402" s="10" t="s">
        <v>8</v>
      </c>
      <c r="B402" s="11" t="s">
        <v>9</v>
      </c>
      <c r="C402" s="75"/>
      <c r="D402" s="86"/>
      <c r="E402" s="85"/>
      <c r="F402" s="12"/>
      <c r="G402" s="13"/>
      <c r="H402" s="14" t="str">
        <f t="shared" si="12"/>
        <v>A</v>
      </c>
      <c r="I402" s="15" t="str">
        <f t="shared" si="13"/>
        <v>The Commissioner &amp; Chief Constable are satisfied the spend represents VFM in accordance with the requirements of Category A</v>
      </c>
      <c r="L402" s="17"/>
      <c r="M402" s="17"/>
    </row>
    <row r="403" spans="1:13" s="20" customFormat="1" x14ac:dyDescent="0.2">
      <c r="A403" s="10" t="s">
        <v>8</v>
      </c>
      <c r="B403" s="11" t="s">
        <v>9</v>
      </c>
      <c r="C403" s="75"/>
      <c r="D403" s="86"/>
      <c r="E403" s="85"/>
      <c r="F403" s="12"/>
      <c r="G403" s="13"/>
      <c r="H403" s="14" t="str">
        <f t="shared" si="12"/>
        <v>A</v>
      </c>
      <c r="I403" s="15" t="str">
        <f t="shared" si="13"/>
        <v>The Commissioner &amp; Chief Constable are satisfied the spend represents VFM in accordance with the requirements of Category A</v>
      </c>
      <c r="L403" s="17"/>
      <c r="M403" s="17"/>
    </row>
    <row r="404" spans="1:13" s="20" customFormat="1" x14ac:dyDescent="0.2">
      <c r="A404" s="10" t="s">
        <v>8</v>
      </c>
      <c r="B404" s="11" t="s">
        <v>9</v>
      </c>
      <c r="C404" s="77"/>
      <c r="D404" s="86"/>
      <c r="E404" s="85"/>
      <c r="F404" s="12"/>
      <c r="G404" s="13"/>
      <c r="H404" s="14" t="str">
        <f t="shared" si="12"/>
        <v>A</v>
      </c>
      <c r="I404" s="15" t="str">
        <f t="shared" si="13"/>
        <v>The Commissioner &amp; Chief Constable are satisfied the spend represents VFM in accordance with the requirements of Category A</v>
      </c>
      <c r="L404" s="17"/>
      <c r="M404" s="17"/>
    </row>
    <row r="405" spans="1:13" s="20" customFormat="1" x14ac:dyDescent="0.2">
      <c r="A405" s="10" t="s">
        <v>8</v>
      </c>
      <c r="B405" s="11" t="s">
        <v>9</v>
      </c>
      <c r="C405" s="75"/>
      <c r="D405" s="86"/>
      <c r="E405" s="85"/>
      <c r="F405" s="12"/>
      <c r="G405" s="13"/>
      <c r="H405" s="14" t="str">
        <f t="shared" si="12"/>
        <v>A</v>
      </c>
      <c r="I405" s="15" t="str">
        <f t="shared" si="13"/>
        <v>The Commissioner &amp; Chief Constable are satisfied the spend represents VFM in accordance with the requirements of Category A</v>
      </c>
      <c r="L405" s="17"/>
      <c r="M405" s="17"/>
    </row>
    <row r="406" spans="1:13" s="20" customFormat="1" x14ac:dyDescent="0.2">
      <c r="A406" s="10" t="s">
        <v>8</v>
      </c>
      <c r="B406" s="11" t="s">
        <v>9</v>
      </c>
      <c r="C406" s="75"/>
      <c r="D406" s="86"/>
      <c r="E406" s="85"/>
      <c r="F406" s="12"/>
      <c r="G406" s="13"/>
      <c r="H406" s="14" t="str">
        <f t="shared" si="12"/>
        <v>A</v>
      </c>
      <c r="I406" s="15" t="str">
        <f t="shared" si="13"/>
        <v>The Commissioner &amp; Chief Constable are satisfied the spend represents VFM in accordance with the requirements of Category A</v>
      </c>
      <c r="L406" s="17"/>
      <c r="M406" s="17"/>
    </row>
    <row r="407" spans="1:13" s="20" customFormat="1" x14ac:dyDescent="0.2">
      <c r="A407" s="10" t="s">
        <v>8</v>
      </c>
      <c r="B407" s="11" t="s">
        <v>9</v>
      </c>
      <c r="C407" s="75"/>
      <c r="D407" s="86"/>
      <c r="E407" s="85"/>
      <c r="F407" s="12"/>
      <c r="G407" s="13"/>
      <c r="H407" s="14" t="str">
        <f t="shared" si="12"/>
        <v>A</v>
      </c>
      <c r="I407" s="15" t="str">
        <f t="shared" si="13"/>
        <v>The Commissioner &amp; Chief Constable are satisfied the spend represents VFM in accordance with the requirements of Category A</v>
      </c>
      <c r="L407" s="17"/>
      <c r="M407" s="17"/>
    </row>
    <row r="408" spans="1:13" s="20" customFormat="1" x14ac:dyDescent="0.2">
      <c r="A408" s="10" t="s">
        <v>8</v>
      </c>
      <c r="B408" s="11" t="s">
        <v>9</v>
      </c>
      <c r="C408" s="75"/>
      <c r="D408" s="86"/>
      <c r="E408" s="85"/>
      <c r="F408" s="12"/>
      <c r="G408" s="13"/>
      <c r="H408" s="14" t="str">
        <f t="shared" si="12"/>
        <v>A</v>
      </c>
      <c r="I408" s="15" t="str">
        <f t="shared" si="13"/>
        <v>The Commissioner &amp; Chief Constable are satisfied the spend represents VFM in accordance with the requirements of Category A</v>
      </c>
      <c r="L408" s="17"/>
      <c r="M408" s="17"/>
    </row>
    <row r="409" spans="1:13" s="20" customFormat="1" x14ac:dyDescent="0.2">
      <c r="A409" s="10" t="s">
        <v>8</v>
      </c>
      <c r="B409" s="11" t="s">
        <v>9</v>
      </c>
      <c r="C409" s="75"/>
      <c r="D409" s="86"/>
      <c r="E409" s="85"/>
      <c r="F409" s="12"/>
      <c r="G409" s="13"/>
      <c r="H409" s="14" t="str">
        <f t="shared" si="12"/>
        <v>A</v>
      </c>
      <c r="I409" s="15" t="str">
        <f t="shared" si="13"/>
        <v>The Commissioner &amp; Chief Constable are satisfied the spend represents VFM in accordance with the requirements of Category A</v>
      </c>
      <c r="L409" s="17"/>
      <c r="M409" s="17"/>
    </row>
    <row r="410" spans="1:13" s="20" customFormat="1" x14ac:dyDescent="0.2">
      <c r="A410" s="10" t="s">
        <v>8</v>
      </c>
      <c r="B410" s="11" t="s">
        <v>9</v>
      </c>
      <c r="C410" s="75"/>
      <c r="D410" s="86"/>
      <c r="E410" s="85"/>
      <c r="F410" s="12"/>
      <c r="G410" s="13"/>
      <c r="H410" s="14" t="str">
        <f t="shared" si="12"/>
        <v>A</v>
      </c>
      <c r="I410" s="15" t="str">
        <f t="shared" si="13"/>
        <v>The Commissioner &amp; Chief Constable are satisfied the spend represents VFM in accordance with the requirements of Category A</v>
      </c>
      <c r="L410" s="17"/>
      <c r="M410" s="17"/>
    </row>
    <row r="411" spans="1:13" s="20" customFormat="1" x14ac:dyDescent="0.2">
      <c r="A411" s="10" t="s">
        <v>8</v>
      </c>
      <c r="B411" s="11" t="s">
        <v>9</v>
      </c>
      <c r="C411" s="75"/>
      <c r="D411" s="86"/>
      <c r="E411" s="85"/>
      <c r="F411" s="12"/>
      <c r="G411" s="13"/>
      <c r="H411" s="14" t="str">
        <f t="shared" si="12"/>
        <v>A</v>
      </c>
      <c r="I411" s="15" t="str">
        <f t="shared" si="13"/>
        <v>The Commissioner &amp; Chief Constable are satisfied the spend represents VFM in accordance with the requirements of Category A</v>
      </c>
      <c r="L411" s="17"/>
      <c r="M411" s="17"/>
    </row>
    <row r="412" spans="1:13" s="20" customFormat="1" x14ac:dyDescent="0.2">
      <c r="A412" s="10" t="s">
        <v>8</v>
      </c>
      <c r="B412" s="11" t="s">
        <v>9</v>
      </c>
      <c r="C412" s="77"/>
      <c r="D412" s="86"/>
      <c r="E412" s="85"/>
      <c r="F412" s="12"/>
      <c r="G412" s="13"/>
      <c r="H412" s="14" t="str">
        <f t="shared" si="12"/>
        <v>A</v>
      </c>
      <c r="I412" s="15" t="str">
        <f t="shared" si="13"/>
        <v>The Commissioner &amp; Chief Constable are satisfied the spend represents VFM in accordance with the requirements of Category A</v>
      </c>
      <c r="L412" s="17"/>
      <c r="M412" s="17"/>
    </row>
    <row r="413" spans="1:13" s="20" customFormat="1" x14ac:dyDescent="0.2">
      <c r="A413" s="10" t="s">
        <v>8</v>
      </c>
      <c r="B413" s="11" t="s">
        <v>9</v>
      </c>
      <c r="C413" s="75"/>
      <c r="D413" s="86"/>
      <c r="E413" s="85"/>
      <c r="F413" s="12"/>
      <c r="G413" s="13"/>
      <c r="H413" s="14" t="str">
        <f t="shared" si="12"/>
        <v>A</v>
      </c>
      <c r="I413" s="15" t="str">
        <f t="shared" si="13"/>
        <v>The Commissioner &amp; Chief Constable are satisfied the spend represents VFM in accordance with the requirements of Category A</v>
      </c>
      <c r="L413" s="17"/>
      <c r="M413" s="17"/>
    </row>
    <row r="414" spans="1:13" s="20" customFormat="1" x14ac:dyDescent="0.2">
      <c r="A414" s="10" t="s">
        <v>8</v>
      </c>
      <c r="B414" s="11" t="s">
        <v>9</v>
      </c>
      <c r="C414" s="75"/>
      <c r="D414" s="86"/>
      <c r="E414" s="85"/>
      <c r="F414" s="12"/>
      <c r="G414" s="13"/>
      <c r="H414" s="14" t="str">
        <f t="shared" si="12"/>
        <v>A</v>
      </c>
      <c r="I414" s="15" t="str">
        <f t="shared" si="13"/>
        <v>The Commissioner &amp; Chief Constable are satisfied the spend represents VFM in accordance with the requirements of Category A</v>
      </c>
      <c r="L414" s="17"/>
      <c r="M414" s="17"/>
    </row>
    <row r="415" spans="1:13" s="20" customFormat="1" x14ac:dyDescent="0.2">
      <c r="A415" s="10" t="s">
        <v>8</v>
      </c>
      <c r="B415" s="11" t="s">
        <v>9</v>
      </c>
      <c r="C415" s="75"/>
      <c r="D415" s="86"/>
      <c r="E415" s="85"/>
      <c r="F415" s="12"/>
      <c r="G415" s="13"/>
      <c r="H415" s="14" t="str">
        <f t="shared" si="12"/>
        <v>A</v>
      </c>
      <c r="I415" s="15" t="str">
        <f t="shared" si="13"/>
        <v>The Commissioner &amp; Chief Constable are satisfied the spend represents VFM in accordance with the requirements of Category A</v>
      </c>
      <c r="L415" s="17"/>
      <c r="M415" s="17"/>
    </row>
    <row r="416" spans="1:13" s="20" customFormat="1" x14ac:dyDescent="0.2">
      <c r="A416" s="10" t="s">
        <v>8</v>
      </c>
      <c r="B416" s="11" t="s">
        <v>9</v>
      </c>
      <c r="C416" s="75"/>
      <c r="D416" s="86"/>
      <c r="E416" s="85"/>
      <c r="F416" s="12"/>
      <c r="G416" s="13"/>
      <c r="H416" s="14" t="str">
        <f t="shared" si="12"/>
        <v>A</v>
      </c>
      <c r="I416" s="15" t="str">
        <f t="shared" si="13"/>
        <v>The Commissioner &amp; Chief Constable are satisfied the spend represents VFM in accordance with the requirements of Category A</v>
      </c>
      <c r="L416" s="17"/>
      <c r="M416" s="17"/>
    </row>
    <row r="417" spans="1:13" s="20" customFormat="1" x14ac:dyDescent="0.2">
      <c r="A417" s="10" t="s">
        <v>8</v>
      </c>
      <c r="B417" s="11" t="s">
        <v>9</v>
      </c>
      <c r="C417" s="75"/>
      <c r="D417" s="86"/>
      <c r="E417" s="85"/>
      <c r="F417" s="12"/>
      <c r="G417" s="13"/>
      <c r="H417" s="14" t="str">
        <f t="shared" si="12"/>
        <v>A</v>
      </c>
      <c r="I417" s="15" t="str">
        <f t="shared" si="13"/>
        <v>The Commissioner &amp; Chief Constable are satisfied the spend represents VFM in accordance with the requirements of Category A</v>
      </c>
      <c r="L417" s="17"/>
      <c r="M417" s="17"/>
    </row>
    <row r="418" spans="1:13" s="20" customFormat="1" x14ac:dyDescent="0.2">
      <c r="A418" s="10" t="s">
        <v>8</v>
      </c>
      <c r="B418" s="11" t="s">
        <v>9</v>
      </c>
      <c r="C418" s="75"/>
      <c r="D418" s="86"/>
      <c r="E418" s="85"/>
      <c r="F418" s="12"/>
      <c r="G418" s="13"/>
      <c r="H418" s="14" t="str">
        <f t="shared" si="12"/>
        <v>A</v>
      </c>
      <c r="I418" s="15" t="str">
        <f t="shared" si="13"/>
        <v>The Commissioner &amp; Chief Constable are satisfied the spend represents VFM in accordance with the requirements of Category A</v>
      </c>
      <c r="L418" s="17"/>
      <c r="M418" s="17"/>
    </row>
    <row r="419" spans="1:13" s="20" customFormat="1" x14ac:dyDescent="0.2">
      <c r="A419" s="10" t="s">
        <v>8</v>
      </c>
      <c r="B419" s="11" t="s">
        <v>9</v>
      </c>
      <c r="C419" s="75"/>
      <c r="D419" s="86"/>
      <c r="E419" s="85"/>
      <c r="F419" s="12"/>
      <c r="G419" s="13"/>
      <c r="H419" s="14" t="str">
        <f t="shared" si="12"/>
        <v>A</v>
      </c>
      <c r="I419" s="15" t="str">
        <f t="shared" si="13"/>
        <v>The Commissioner &amp; Chief Constable are satisfied the spend represents VFM in accordance with the requirements of Category A</v>
      </c>
      <c r="L419" s="17"/>
      <c r="M419" s="17"/>
    </row>
    <row r="420" spans="1:13" s="20" customFormat="1" x14ac:dyDescent="0.2">
      <c r="A420" s="10" t="s">
        <v>8</v>
      </c>
      <c r="B420" s="11" t="s">
        <v>9</v>
      </c>
      <c r="C420" s="75"/>
      <c r="D420" s="86"/>
      <c r="E420" s="85"/>
      <c r="F420" s="12"/>
      <c r="G420" s="13"/>
      <c r="H420" s="14" t="str">
        <f t="shared" si="12"/>
        <v>A</v>
      </c>
      <c r="I420" s="15" t="str">
        <f t="shared" si="13"/>
        <v>The Commissioner &amp; Chief Constable are satisfied the spend represents VFM in accordance with the requirements of Category A</v>
      </c>
      <c r="L420" s="17"/>
      <c r="M420" s="17"/>
    </row>
    <row r="421" spans="1:13" s="20" customFormat="1" x14ac:dyDescent="0.2">
      <c r="A421" s="10" t="s">
        <v>8</v>
      </c>
      <c r="B421" s="11" t="s">
        <v>9</v>
      </c>
      <c r="C421" s="75"/>
      <c r="D421" s="86"/>
      <c r="E421" s="85"/>
      <c r="F421" s="12"/>
      <c r="G421" s="13"/>
      <c r="H421" s="14" t="str">
        <f t="shared" si="12"/>
        <v>A</v>
      </c>
      <c r="I421" s="15" t="str">
        <f t="shared" si="13"/>
        <v>The Commissioner &amp; Chief Constable are satisfied the spend represents VFM in accordance with the requirements of Category A</v>
      </c>
      <c r="L421" s="17"/>
      <c r="M421" s="17"/>
    </row>
    <row r="422" spans="1:13" s="20" customFormat="1" x14ac:dyDescent="0.2">
      <c r="A422" s="10" t="s">
        <v>8</v>
      </c>
      <c r="B422" s="11" t="s">
        <v>9</v>
      </c>
      <c r="C422" s="75"/>
      <c r="D422" s="86"/>
      <c r="E422" s="85"/>
      <c r="F422" s="12"/>
      <c r="G422" s="13"/>
      <c r="H422" s="14" t="str">
        <f t="shared" si="12"/>
        <v>A</v>
      </c>
      <c r="I422" s="15" t="str">
        <f t="shared" si="13"/>
        <v>The Commissioner &amp; Chief Constable are satisfied the spend represents VFM in accordance with the requirements of Category A</v>
      </c>
      <c r="L422" s="17"/>
      <c r="M422" s="17"/>
    </row>
    <row r="423" spans="1:13" s="20" customFormat="1" x14ac:dyDescent="0.2">
      <c r="A423" s="10" t="s">
        <v>8</v>
      </c>
      <c r="B423" s="11" t="s">
        <v>9</v>
      </c>
      <c r="C423" s="75"/>
      <c r="D423" s="86"/>
      <c r="E423" s="85"/>
      <c r="F423" s="12"/>
      <c r="G423" s="13"/>
      <c r="H423" s="14" t="str">
        <f t="shared" si="12"/>
        <v>A</v>
      </c>
      <c r="I423" s="15" t="str">
        <f t="shared" si="13"/>
        <v>The Commissioner &amp; Chief Constable are satisfied the spend represents VFM in accordance with the requirements of Category A</v>
      </c>
      <c r="L423" s="17"/>
      <c r="M423" s="17"/>
    </row>
    <row r="424" spans="1:13" s="20" customFormat="1" x14ac:dyDescent="0.2">
      <c r="A424" s="10" t="s">
        <v>8</v>
      </c>
      <c r="B424" s="11" t="s">
        <v>9</v>
      </c>
      <c r="C424" s="75"/>
      <c r="D424" s="86"/>
      <c r="E424" s="85"/>
      <c r="F424" s="12"/>
      <c r="G424" s="13"/>
      <c r="H424" s="14" t="str">
        <f t="shared" si="12"/>
        <v>A</v>
      </c>
      <c r="I424" s="15" t="str">
        <f t="shared" si="13"/>
        <v>The Commissioner &amp; Chief Constable are satisfied the spend represents VFM in accordance with the requirements of Category A</v>
      </c>
      <c r="L424" s="17"/>
      <c r="M424" s="17"/>
    </row>
    <row r="425" spans="1:13" s="20" customFormat="1" x14ac:dyDescent="0.2">
      <c r="A425" s="10" t="s">
        <v>8</v>
      </c>
      <c r="B425" s="11" t="s">
        <v>9</v>
      </c>
      <c r="C425" s="75"/>
      <c r="D425" s="86"/>
      <c r="E425" s="85"/>
      <c r="F425" s="12"/>
      <c r="G425" s="13"/>
      <c r="H425" s="14" t="str">
        <f t="shared" si="12"/>
        <v>A</v>
      </c>
      <c r="I425" s="15" t="str">
        <f t="shared" si="13"/>
        <v>The Commissioner &amp; Chief Constable are satisfied the spend represents VFM in accordance with the requirements of Category A</v>
      </c>
      <c r="L425" s="17"/>
      <c r="M425" s="17"/>
    </row>
    <row r="426" spans="1:13" s="20" customFormat="1" x14ac:dyDescent="0.2">
      <c r="A426" s="10" t="s">
        <v>8</v>
      </c>
      <c r="B426" s="11" t="s">
        <v>9</v>
      </c>
      <c r="C426" s="75"/>
      <c r="D426" s="86"/>
      <c r="E426" s="85"/>
      <c r="F426" s="12"/>
      <c r="G426" s="13"/>
      <c r="H426" s="14" t="str">
        <f t="shared" si="12"/>
        <v>A</v>
      </c>
      <c r="I426" s="15" t="str">
        <f t="shared" si="13"/>
        <v>The Commissioner &amp; Chief Constable are satisfied the spend represents VFM in accordance with the requirements of Category A</v>
      </c>
      <c r="L426" s="17"/>
      <c r="M426" s="17"/>
    </row>
    <row r="427" spans="1:13" s="20" customFormat="1" x14ac:dyDescent="0.2">
      <c r="A427" s="10" t="s">
        <v>8</v>
      </c>
      <c r="B427" s="11" t="s">
        <v>9</v>
      </c>
      <c r="C427" s="75"/>
      <c r="D427" s="86"/>
      <c r="E427" s="85"/>
      <c r="F427" s="12"/>
      <c r="G427" s="13"/>
      <c r="H427" s="14" t="str">
        <f t="shared" si="12"/>
        <v>A</v>
      </c>
      <c r="I427" s="15" t="str">
        <f t="shared" si="13"/>
        <v>The Commissioner &amp; Chief Constable are satisfied the spend represents VFM in accordance with the requirements of Category A</v>
      </c>
      <c r="L427" s="17"/>
      <c r="M427" s="17"/>
    </row>
    <row r="428" spans="1:13" s="20" customFormat="1" x14ac:dyDescent="0.2">
      <c r="A428" s="10" t="s">
        <v>8</v>
      </c>
      <c r="B428" s="11" t="s">
        <v>9</v>
      </c>
      <c r="C428" s="75"/>
      <c r="D428" s="86"/>
      <c r="E428" s="85"/>
      <c r="F428" s="12"/>
      <c r="G428" s="13"/>
      <c r="H428" s="14" t="str">
        <f t="shared" si="12"/>
        <v>A</v>
      </c>
      <c r="I428" s="15" t="str">
        <f t="shared" si="13"/>
        <v>The Commissioner &amp; Chief Constable are satisfied the spend represents VFM in accordance with the requirements of Category A</v>
      </c>
      <c r="L428" s="17"/>
      <c r="M428" s="17"/>
    </row>
    <row r="429" spans="1:13" s="20" customFormat="1" x14ac:dyDescent="0.2">
      <c r="A429" s="10" t="s">
        <v>8</v>
      </c>
      <c r="B429" s="11" t="s">
        <v>9</v>
      </c>
      <c r="C429" s="75"/>
      <c r="D429" s="86"/>
      <c r="E429" s="85"/>
      <c r="F429" s="12"/>
      <c r="G429" s="13"/>
      <c r="H429" s="14" t="str">
        <f t="shared" si="12"/>
        <v>A</v>
      </c>
      <c r="I429" s="15" t="str">
        <f t="shared" si="13"/>
        <v>The Commissioner &amp; Chief Constable are satisfied the spend represents VFM in accordance with the requirements of Category A</v>
      </c>
      <c r="L429" s="17"/>
      <c r="M429" s="17"/>
    </row>
    <row r="430" spans="1:13" s="20" customFormat="1" x14ac:dyDescent="0.2">
      <c r="A430" s="10" t="s">
        <v>8</v>
      </c>
      <c r="B430" s="11" t="s">
        <v>9</v>
      </c>
      <c r="C430" s="75"/>
      <c r="D430" s="86"/>
      <c r="E430" s="85"/>
      <c r="F430" s="12"/>
      <c r="G430" s="13"/>
      <c r="H430" s="14" t="str">
        <f t="shared" si="12"/>
        <v>A</v>
      </c>
      <c r="I430" s="15" t="str">
        <f t="shared" si="13"/>
        <v>The Commissioner &amp; Chief Constable are satisfied the spend represents VFM in accordance with the requirements of Category A</v>
      </c>
      <c r="L430" s="17"/>
      <c r="M430" s="17"/>
    </row>
    <row r="431" spans="1:13" s="20" customFormat="1" x14ac:dyDescent="0.2">
      <c r="A431" s="10" t="s">
        <v>8</v>
      </c>
      <c r="B431" s="11" t="s">
        <v>9</v>
      </c>
      <c r="C431" s="75"/>
      <c r="D431" s="86"/>
      <c r="E431" s="85"/>
      <c r="F431" s="12"/>
      <c r="G431" s="13"/>
      <c r="H431" s="14" t="str">
        <f t="shared" si="12"/>
        <v>A</v>
      </c>
      <c r="I431" s="15" t="str">
        <f t="shared" si="13"/>
        <v>The Commissioner &amp; Chief Constable are satisfied the spend represents VFM in accordance with the requirements of Category A</v>
      </c>
      <c r="L431" s="17"/>
      <c r="M431" s="17"/>
    </row>
    <row r="432" spans="1:13" s="20" customFormat="1" x14ac:dyDescent="0.2">
      <c r="A432" s="10" t="s">
        <v>8</v>
      </c>
      <c r="B432" s="11" t="s">
        <v>9</v>
      </c>
      <c r="C432" s="75"/>
      <c r="D432" s="86"/>
      <c r="E432" s="85"/>
      <c r="F432" s="12"/>
      <c r="G432" s="13"/>
      <c r="H432" s="14" t="str">
        <f t="shared" si="12"/>
        <v>A</v>
      </c>
      <c r="I432" s="15" t="str">
        <f t="shared" si="13"/>
        <v>The Commissioner &amp; Chief Constable are satisfied the spend represents VFM in accordance with the requirements of Category A</v>
      </c>
      <c r="L432" s="17"/>
      <c r="M432" s="17"/>
    </row>
    <row r="433" spans="1:13" s="20" customFormat="1" x14ac:dyDescent="0.2">
      <c r="A433" s="10" t="s">
        <v>8</v>
      </c>
      <c r="B433" s="11" t="s">
        <v>9</v>
      </c>
      <c r="C433" s="75"/>
      <c r="D433" s="86"/>
      <c r="E433" s="85"/>
      <c r="F433" s="12"/>
      <c r="G433" s="13"/>
      <c r="H433" s="14" t="str">
        <f t="shared" si="12"/>
        <v>A</v>
      </c>
      <c r="I433" s="15" t="str">
        <f t="shared" si="13"/>
        <v>The Commissioner &amp; Chief Constable are satisfied the spend represents VFM in accordance with the requirements of Category A</v>
      </c>
      <c r="L433" s="17"/>
      <c r="M433" s="17"/>
    </row>
    <row r="434" spans="1:13" s="20" customFormat="1" x14ac:dyDescent="0.2">
      <c r="A434" s="10" t="s">
        <v>8</v>
      </c>
      <c r="B434" s="11" t="s">
        <v>9</v>
      </c>
      <c r="C434" s="75"/>
      <c r="D434" s="86"/>
      <c r="E434" s="85"/>
      <c r="F434" s="12"/>
      <c r="G434" s="13"/>
      <c r="H434" s="14" t="str">
        <f t="shared" si="12"/>
        <v>A</v>
      </c>
      <c r="I434" s="15" t="str">
        <f t="shared" si="13"/>
        <v>The Commissioner &amp; Chief Constable are satisfied the spend represents VFM in accordance with the requirements of Category A</v>
      </c>
      <c r="L434" s="17"/>
      <c r="M434" s="17"/>
    </row>
    <row r="435" spans="1:13" s="20" customFormat="1" x14ac:dyDescent="0.2">
      <c r="A435" s="10" t="s">
        <v>8</v>
      </c>
      <c r="B435" s="11" t="s">
        <v>9</v>
      </c>
      <c r="C435" s="75"/>
      <c r="D435" s="86"/>
      <c r="E435" s="85"/>
      <c r="F435" s="12"/>
      <c r="G435" s="13"/>
      <c r="H435" s="14" t="str">
        <f t="shared" si="12"/>
        <v>A</v>
      </c>
      <c r="I435" s="15" t="str">
        <f t="shared" si="13"/>
        <v>The Commissioner &amp; Chief Constable are satisfied the spend represents VFM in accordance with the requirements of Category A</v>
      </c>
      <c r="L435" s="17"/>
      <c r="M435" s="17"/>
    </row>
    <row r="436" spans="1:13" s="20" customFormat="1" x14ac:dyDescent="0.2">
      <c r="A436" s="10" t="s">
        <v>8</v>
      </c>
      <c r="B436" s="11" t="s">
        <v>9</v>
      </c>
      <c r="C436" s="75"/>
      <c r="D436" s="86"/>
      <c r="E436" s="85"/>
      <c r="F436" s="12"/>
      <c r="G436" s="13"/>
      <c r="H436" s="14" t="str">
        <f t="shared" si="12"/>
        <v>A</v>
      </c>
      <c r="I436" s="15" t="str">
        <f t="shared" si="13"/>
        <v>The Commissioner &amp; Chief Constable are satisfied the spend represents VFM in accordance with the requirements of Category A</v>
      </c>
      <c r="L436" s="17"/>
      <c r="M436" s="17"/>
    </row>
    <row r="437" spans="1:13" s="20" customFormat="1" x14ac:dyDescent="0.2">
      <c r="A437" s="10" t="s">
        <v>8</v>
      </c>
      <c r="B437" s="11" t="s">
        <v>9</v>
      </c>
      <c r="C437" s="75"/>
      <c r="D437" s="86"/>
      <c r="E437" s="85"/>
      <c r="F437" s="12"/>
      <c r="G437" s="13"/>
      <c r="H437" s="14" t="str">
        <f t="shared" si="12"/>
        <v>A</v>
      </c>
      <c r="I437" s="15" t="str">
        <f t="shared" si="13"/>
        <v>The Commissioner &amp; Chief Constable are satisfied the spend represents VFM in accordance with the requirements of Category A</v>
      </c>
      <c r="L437" s="17"/>
      <c r="M437" s="17"/>
    </row>
    <row r="438" spans="1:13" s="20" customFormat="1" x14ac:dyDescent="0.2">
      <c r="A438" s="10" t="s">
        <v>8</v>
      </c>
      <c r="B438" s="11" t="s">
        <v>9</v>
      </c>
      <c r="C438" s="75"/>
      <c r="D438" s="86"/>
      <c r="E438" s="85"/>
      <c r="F438" s="12"/>
      <c r="G438" s="13"/>
      <c r="H438" s="14" t="str">
        <f t="shared" si="12"/>
        <v>A</v>
      </c>
      <c r="I438" s="15" t="str">
        <f t="shared" si="13"/>
        <v>The Commissioner &amp; Chief Constable are satisfied the spend represents VFM in accordance with the requirements of Category A</v>
      </c>
      <c r="L438" s="17"/>
      <c r="M438" s="17"/>
    </row>
    <row r="439" spans="1:13" s="20" customFormat="1" x14ac:dyDescent="0.2">
      <c r="A439" s="10" t="s">
        <v>8</v>
      </c>
      <c r="B439" s="11" t="s">
        <v>9</v>
      </c>
      <c r="C439" s="75"/>
      <c r="D439" s="86"/>
      <c r="E439" s="85"/>
      <c r="F439" s="12"/>
      <c r="G439" s="13"/>
      <c r="H439" s="14" t="str">
        <f t="shared" si="12"/>
        <v>A</v>
      </c>
      <c r="I439" s="15" t="str">
        <f t="shared" si="13"/>
        <v>The Commissioner &amp; Chief Constable are satisfied the spend represents VFM in accordance with the requirements of Category A</v>
      </c>
      <c r="L439" s="17"/>
      <c r="M439" s="17"/>
    </row>
    <row r="440" spans="1:13" s="20" customFormat="1" x14ac:dyDescent="0.2">
      <c r="A440" s="10" t="s">
        <v>8</v>
      </c>
      <c r="B440" s="11" t="s">
        <v>9</v>
      </c>
      <c r="C440" s="75"/>
      <c r="D440" s="86"/>
      <c r="E440" s="85"/>
      <c r="F440" s="12"/>
      <c r="G440" s="13"/>
      <c r="H440" s="14" t="str">
        <f t="shared" si="12"/>
        <v>A</v>
      </c>
      <c r="I440" s="15" t="str">
        <f t="shared" si="13"/>
        <v>The Commissioner &amp; Chief Constable are satisfied the spend represents VFM in accordance with the requirements of Category A</v>
      </c>
      <c r="L440" s="17"/>
      <c r="M440" s="17"/>
    </row>
    <row r="441" spans="1:13" s="20" customFormat="1" x14ac:dyDescent="0.2">
      <c r="A441" s="10" t="s">
        <v>8</v>
      </c>
      <c r="B441" s="11" t="s">
        <v>9</v>
      </c>
      <c r="C441" s="75"/>
      <c r="D441" s="86"/>
      <c r="E441" s="85"/>
      <c r="F441" s="12"/>
      <c r="G441" s="13"/>
      <c r="H441" s="14" t="str">
        <f t="shared" si="12"/>
        <v>A</v>
      </c>
      <c r="I441" s="15" t="str">
        <f t="shared" si="13"/>
        <v>The Commissioner &amp; Chief Constable are satisfied the spend represents VFM in accordance with the requirements of Category A</v>
      </c>
      <c r="L441" s="17"/>
      <c r="M441" s="17"/>
    </row>
    <row r="442" spans="1:13" s="20" customFormat="1" x14ac:dyDescent="0.2">
      <c r="A442" s="10" t="s">
        <v>8</v>
      </c>
      <c r="B442" s="11" t="s">
        <v>9</v>
      </c>
      <c r="C442" s="75"/>
      <c r="D442" s="86"/>
      <c r="E442" s="85"/>
      <c r="F442" s="12"/>
      <c r="G442" s="13"/>
      <c r="H442" s="14" t="str">
        <f t="shared" si="12"/>
        <v>A</v>
      </c>
      <c r="I442" s="15" t="str">
        <f t="shared" si="13"/>
        <v>The Commissioner &amp; Chief Constable are satisfied the spend represents VFM in accordance with the requirements of Category A</v>
      </c>
      <c r="L442" s="17"/>
      <c r="M442" s="17"/>
    </row>
    <row r="443" spans="1:13" s="20" customFormat="1" x14ac:dyDescent="0.2">
      <c r="A443" s="10" t="s">
        <v>8</v>
      </c>
      <c r="B443" s="11" t="s">
        <v>9</v>
      </c>
      <c r="C443" s="75"/>
      <c r="D443" s="86"/>
      <c r="E443" s="85"/>
      <c r="F443" s="12"/>
      <c r="G443" s="13"/>
      <c r="H443" s="14" t="str">
        <f t="shared" si="12"/>
        <v>A</v>
      </c>
      <c r="I443" s="15" t="str">
        <f t="shared" si="13"/>
        <v>The Commissioner &amp; Chief Constable are satisfied the spend represents VFM in accordance with the requirements of Category A</v>
      </c>
      <c r="L443" s="17"/>
      <c r="M443" s="17"/>
    </row>
    <row r="444" spans="1:13" s="20" customFormat="1" x14ac:dyDescent="0.2">
      <c r="A444" s="10" t="s">
        <v>8</v>
      </c>
      <c r="B444" s="11" t="s">
        <v>9</v>
      </c>
      <c r="C444" s="75"/>
      <c r="D444" s="86"/>
      <c r="E444" s="85"/>
      <c r="F444" s="12"/>
      <c r="G444" s="13"/>
      <c r="H444" s="14" t="str">
        <f t="shared" si="12"/>
        <v>A</v>
      </c>
      <c r="I444" s="15" t="str">
        <f t="shared" si="13"/>
        <v>The Commissioner &amp; Chief Constable are satisfied the spend represents VFM in accordance with the requirements of Category A</v>
      </c>
      <c r="L444" s="17"/>
      <c r="M444" s="17"/>
    </row>
    <row r="445" spans="1:13" s="20" customFormat="1" x14ac:dyDescent="0.2">
      <c r="A445" s="10" t="s">
        <v>8</v>
      </c>
      <c r="B445" s="11" t="s">
        <v>9</v>
      </c>
      <c r="C445" s="75"/>
      <c r="D445" s="86"/>
      <c r="E445" s="85"/>
      <c r="F445" s="12"/>
      <c r="G445" s="13"/>
      <c r="H445" s="14" t="str">
        <f t="shared" si="12"/>
        <v>A</v>
      </c>
      <c r="I445" s="15" t="str">
        <f t="shared" si="13"/>
        <v>The Commissioner &amp; Chief Constable are satisfied the spend represents VFM in accordance with the requirements of Category A</v>
      </c>
      <c r="L445" s="17"/>
      <c r="M445" s="17"/>
    </row>
    <row r="446" spans="1:13" s="20" customFormat="1" x14ac:dyDescent="0.2">
      <c r="A446" s="10" t="s">
        <v>8</v>
      </c>
      <c r="B446" s="11" t="s">
        <v>9</v>
      </c>
      <c r="C446" s="75"/>
      <c r="D446" s="86"/>
      <c r="E446" s="85"/>
      <c r="F446" s="12"/>
      <c r="G446" s="13"/>
      <c r="H446" s="14" t="str">
        <f t="shared" si="12"/>
        <v>A</v>
      </c>
      <c r="I446" s="15" t="str">
        <f t="shared" si="13"/>
        <v>The Commissioner &amp; Chief Constable are satisfied the spend represents VFM in accordance with the requirements of Category A</v>
      </c>
      <c r="L446" s="17"/>
      <c r="M446" s="17"/>
    </row>
    <row r="447" spans="1:13" x14ac:dyDescent="0.2">
      <c r="A447" s="10" t="s">
        <v>8</v>
      </c>
      <c r="B447" s="11" t="s">
        <v>9</v>
      </c>
      <c r="C447" s="75"/>
      <c r="D447" s="86"/>
      <c r="E447" s="85"/>
      <c r="F447" s="12"/>
      <c r="G447" s="13"/>
      <c r="H447" s="14" t="str">
        <f t="shared" si="12"/>
        <v>A</v>
      </c>
      <c r="I447" s="15" t="str">
        <f t="shared" si="13"/>
        <v>The Commissioner &amp; Chief Constable are satisfied the spend represents VFM in accordance with the requirements of Category A</v>
      </c>
    </row>
    <row r="448" spans="1:13" x14ac:dyDescent="0.2">
      <c r="A448" s="10" t="s">
        <v>8</v>
      </c>
      <c r="B448" s="11" t="s">
        <v>9</v>
      </c>
      <c r="C448" s="75"/>
      <c r="D448" s="86"/>
      <c r="E448" s="85"/>
      <c r="F448" s="12"/>
      <c r="G448" s="13"/>
      <c r="H448" s="14" t="str">
        <f t="shared" si="12"/>
        <v>A</v>
      </c>
      <c r="I448" s="15" t="str">
        <f t="shared" si="13"/>
        <v>The Commissioner &amp; Chief Constable are satisfied the spend represents VFM in accordance with the requirements of Category A</v>
      </c>
    </row>
    <row r="449" spans="1:9" x14ac:dyDescent="0.2">
      <c r="A449" s="10" t="s">
        <v>8</v>
      </c>
      <c r="B449" s="11" t="s">
        <v>9</v>
      </c>
      <c r="C449" s="75"/>
      <c r="D449" s="86"/>
      <c r="E449" s="85"/>
      <c r="F449" s="12"/>
      <c r="G449" s="13"/>
      <c r="H449" s="14" t="str">
        <f t="shared" si="12"/>
        <v>A</v>
      </c>
      <c r="I449" s="15" t="str">
        <f t="shared" si="13"/>
        <v>The Commissioner &amp; Chief Constable are satisfied the spend represents VFM in accordance with the requirements of Category A</v>
      </c>
    </row>
    <row r="450" spans="1:9" x14ac:dyDescent="0.2">
      <c r="A450" s="10" t="s">
        <v>8</v>
      </c>
      <c r="B450" s="11" t="s">
        <v>9</v>
      </c>
      <c r="C450" s="75"/>
      <c r="D450" s="86"/>
      <c r="E450" s="85"/>
      <c r="F450" s="12"/>
      <c r="G450" s="13"/>
      <c r="H450" s="14" t="str">
        <f t="shared" ref="H450:H511" si="14">IF(F450&gt;25000,"C",IF(F450&gt;1000,"B","A"))</f>
        <v>A</v>
      </c>
      <c r="I450" s="15" t="str">
        <f t="shared" ref="I450:I513" si="15">VLOOKUP(H450,$L$2:$M$4,2,FALSE)</f>
        <v>The Commissioner &amp; Chief Constable are satisfied the spend represents VFM in accordance with the requirements of Category A</v>
      </c>
    </row>
    <row r="451" spans="1:9" x14ac:dyDescent="0.2">
      <c r="A451" s="10" t="s">
        <v>8</v>
      </c>
      <c r="B451" s="11" t="s">
        <v>9</v>
      </c>
      <c r="C451" s="75"/>
      <c r="D451" s="86"/>
      <c r="E451" s="85"/>
      <c r="F451" s="12"/>
      <c r="G451" s="13"/>
      <c r="H451" s="14" t="str">
        <f t="shared" si="14"/>
        <v>A</v>
      </c>
      <c r="I451" s="15" t="str">
        <f t="shared" si="15"/>
        <v>The Commissioner &amp; Chief Constable are satisfied the spend represents VFM in accordance with the requirements of Category A</v>
      </c>
    </row>
    <row r="452" spans="1:9" x14ac:dyDescent="0.2">
      <c r="A452" s="10" t="s">
        <v>8</v>
      </c>
      <c r="B452" s="11" t="s">
        <v>9</v>
      </c>
      <c r="C452" s="75"/>
      <c r="D452" s="86"/>
      <c r="E452" s="85"/>
      <c r="F452" s="12"/>
      <c r="G452" s="13"/>
      <c r="H452" s="14" t="str">
        <f t="shared" si="14"/>
        <v>A</v>
      </c>
      <c r="I452" s="15" t="str">
        <f t="shared" si="15"/>
        <v>The Commissioner &amp; Chief Constable are satisfied the spend represents VFM in accordance with the requirements of Category A</v>
      </c>
    </row>
    <row r="453" spans="1:9" x14ac:dyDescent="0.2">
      <c r="A453" s="10" t="s">
        <v>8</v>
      </c>
      <c r="B453" s="11" t="s">
        <v>9</v>
      </c>
      <c r="C453" s="75"/>
      <c r="D453" s="86"/>
      <c r="E453" s="85"/>
      <c r="F453" s="12"/>
      <c r="G453" s="13"/>
      <c r="H453" s="14" t="str">
        <f t="shared" si="14"/>
        <v>A</v>
      </c>
      <c r="I453" s="15" t="str">
        <f t="shared" si="15"/>
        <v>The Commissioner &amp; Chief Constable are satisfied the spend represents VFM in accordance with the requirements of Category A</v>
      </c>
    </row>
    <row r="454" spans="1:9" x14ac:dyDescent="0.2">
      <c r="A454" s="10" t="s">
        <v>8</v>
      </c>
      <c r="B454" s="11" t="s">
        <v>9</v>
      </c>
      <c r="C454" s="75"/>
      <c r="D454" s="86"/>
      <c r="E454" s="85"/>
      <c r="F454" s="12"/>
      <c r="G454" s="13"/>
      <c r="H454" s="14" t="str">
        <f t="shared" si="14"/>
        <v>A</v>
      </c>
      <c r="I454" s="15" t="str">
        <f t="shared" si="15"/>
        <v>The Commissioner &amp; Chief Constable are satisfied the spend represents VFM in accordance with the requirements of Category A</v>
      </c>
    </row>
    <row r="455" spans="1:9" x14ac:dyDescent="0.2">
      <c r="A455" s="10" t="s">
        <v>8</v>
      </c>
      <c r="B455" s="11" t="s">
        <v>9</v>
      </c>
      <c r="C455" s="75"/>
      <c r="D455" s="86"/>
      <c r="E455" s="85"/>
      <c r="F455" s="12"/>
      <c r="G455" s="13"/>
      <c r="H455" s="14" t="str">
        <f t="shared" si="14"/>
        <v>A</v>
      </c>
      <c r="I455" s="15" t="str">
        <f t="shared" si="15"/>
        <v>The Commissioner &amp; Chief Constable are satisfied the spend represents VFM in accordance with the requirements of Category A</v>
      </c>
    </row>
    <row r="456" spans="1:9" x14ac:dyDescent="0.2">
      <c r="A456" s="10" t="s">
        <v>8</v>
      </c>
      <c r="B456" s="11" t="s">
        <v>9</v>
      </c>
      <c r="C456" s="75"/>
      <c r="D456" s="86"/>
      <c r="E456" s="85"/>
      <c r="F456" s="12"/>
      <c r="G456" s="13"/>
      <c r="H456" s="14" t="str">
        <f t="shared" si="14"/>
        <v>A</v>
      </c>
      <c r="I456" s="15" t="str">
        <f t="shared" si="15"/>
        <v>The Commissioner &amp; Chief Constable are satisfied the spend represents VFM in accordance with the requirements of Category A</v>
      </c>
    </row>
    <row r="457" spans="1:9" x14ac:dyDescent="0.2">
      <c r="A457" s="10" t="s">
        <v>8</v>
      </c>
      <c r="B457" s="11" t="s">
        <v>9</v>
      </c>
      <c r="C457" s="75"/>
      <c r="D457" s="86"/>
      <c r="E457" s="85"/>
      <c r="F457" s="12"/>
      <c r="G457" s="13"/>
      <c r="H457" s="14" t="str">
        <f t="shared" si="14"/>
        <v>A</v>
      </c>
      <c r="I457" s="15" t="str">
        <f t="shared" si="15"/>
        <v>The Commissioner &amp; Chief Constable are satisfied the spend represents VFM in accordance with the requirements of Category A</v>
      </c>
    </row>
    <row r="458" spans="1:9" x14ac:dyDescent="0.2">
      <c r="A458" s="10" t="s">
        <v>8</v>
      </c>
      <c r="B458" s="11" t="s">
        <v>9</v>
      </c>
      <c r="C458" s="75"/>
      <c r="D458" s="86"/>
      <c r="E458" s="85"/>
      <c r="F458" s="12"/>
      <c r="G458" s="13"/>
      <c r="H458" s="14" t="str">
        <f t="shared" si="14"/>
        <v>A</v>
      </c>
      <c r="I458" s="15" t="str">
        <f t="shared" si="15"/>
        <v>The Commissioner &amp; Chief Constable are satisfied the spend represents VFM in accordance with the requirements of Category A</v>
      </c>
    </row>
    <row r="459" spans="1:9" x14ac:dyDescent="0.2">
      <c r="A459" s="10" t="s">
        <v>8</v>
      </c>
      <c r="B459" s="11" t="s">
        <v>9</v>
      </c>
      <c r="C459" s="75"/>
      <c r="D459" s="86"/>
      <c r="E459" s="85"/>
      <c r="F459" s="12"/>
      <c r="G459" s="13"/>
      <c r="H459" s="14" t="str">
        <f t="shared" si="14"/>
        <v>A</v>
      </c>
      <c r="I459" s="15" t="str">
        <f t="shared" si="15"/>
        <v>The Commissioner &amp; Chief Constable are satisfied the spend represents VFM in accordance with the requirements of Category A</v>
      </c>
    </row>
    <row r="460" spans="1:9" x14ac:dyDescent="0.2">
      <c r="A460" s="10" t="s">
        <v>8</v>
      </c>
      <c r="B460" s="11" t="s">
        <v>9</v>
      </c>
      <c r="C460" s="75"/>
      <c r="D460" s="86"/>
      <c r="E460" s="85"/>
      <c r="F460" s="12"/>
      <c r="G460" s="13"/>
      <c r="H460" s="14" t="str">
        <f t="shared" si="14"/>
        <v>A</v>
      </c>
      <c r="I460" s="15" t="str">
        <f t="shared" si="15"/>
        <v>The Commissioner &amp; Chief Constable are satisfied the spend represents VFM in accordance with the requirements of Category A</v>
      </c>
    </row>
    <row r="461" spans="1:9" x14ac:dyDescent="0.2">
      <c r="A461" s="10" t="s">
        <v>8</v>
      </c>
      <c r="B461" s="11" t="s">
        <v>9</v>
      </c>
      <c r="C461" s="75"/>
      <c r="D461" s="86"/>
      <c r="E461" s="85"/>
      <c r="F461" s="12"/>
      <c r="G461" s="13"/>
      <c r="H461" s="14" t="str">
        <f t="shared" si="14"/>
        <v>A</v>
      </c>
      <c r="I461" s="15" t="str">
        <f t="shared" si="15"/>
        <v>The Commissioner &amp; Chief Constable are satisfied the spend represents VFM in accordance with the requirements of Category A</v>
      </c>
    </row>
    <row r="462" spans="1:9" x14ac:dyDescent="0.2">
      <c r="A462" s="10" t="s">
        <v>8</v>
      </c>
      <c r="B462" s="11" t="s">
        <v>9</v>
      </c>
      <c r="C462" s="75"/>
      <c r="D462" s="86"/>
      <c r="E462" s="85"/>
      <c r="F462" s="12"/>
      <c r="G462" s="13"/>
      <c r="H462" s="14" t="str">
        <f t="shared" si="14"/>
        <v>A</v>
      </c>
      <c r="I462" s="15" t="str">
        <f t="shared" si="15"/>
        <v>The Commissioner &amp; Chief Constable are satisfied the spend represents VFM in accordance with the requirements of Category A</v>
      </c>
    </row>
    <row r="463" spans="1:9" x14ac:dyDescent="0.2">
      <c r="A463" s="10" t="s">
        <v>8</v>
      </c>
      <c r="B463" s="11" t="s">
        <v>9</v>
      </c>
      <c r="C463" s="75"/>
      <c r="D463" s="86"/>
      <c r="E463" s="85"/>
      <c r="F463" s="12"/>
      <c r="G463" s="13"/>
      <c r="H463" s="14" t="str">
        <f t="shared" si="14"/>
        <v>A</v>
      </c>
      <c r="I463" s="15" t="str">
        <f t="shared" si="15"/>
        <v>The Commissioner &amp; Chief Constable are satisfied the spend represents VFM in accordance with the requirements of Category A</v>
      </c>
    </row>
    <row r="464" spans="1:9" x14ac:dyDescent="0.2">
      <c r="A464" s="10" t="s">
        <v>8</v>
      </c>
      <c r="B464" s="11" t="s">
        <v>9</v>
      </c>
      <c r="C464" s="75"/>
      <c r="D464" s="86"/>
      <c r="E464" s="85"/>
      <c r="F464" s="12"/>
      <c r="G464" s="13"/>
      <c r="H464" s="14" t="str">
        <f t="shared" si="14"/>
        <v>A</v>
      </c>
      <c r="I464" s="15" t="str">
        <f t="shared" si="15"/>
        <v>The Commissioner &amp; Chief Constable are satisfied the spend represents VFM in accordance with the requirements of Category A</v>
      </c>
    </row>
    <row r="465" spans="1:9" x14ac:dyDescent="0.2">
      <c r="A465" s="10" t="s">
        <v>8</v>
      </c>
      <c r="B465" s="11" t="s">
        <v>9</v>
      </c>
      <c r="C465" s="75"/>
      <c r="D465" s="86"/>
      <c r="E465" s="85"/>
      <c r="F465" s="12"/>
      <c r="G465" s="13"/>
      <c r="H465" s="14" t="str">
        <f t="shared" si="14"/>
        <v>A</v>
      </c>
      <c r="I465" s="15" t="str">
        <f t="shared" si="15"/>
        <v>The Commissioner &amp; Chief Constable are satisfied the spend represents VFM in accordance with the requirements of Category A</v>
      </c>
    </row>
    <row r="466" spans="1:9" x14ac:dyDescent="0.2">
      <c r="A466" s="10" t="s">
        <v>8</v>
      </c>
      <c r="B466" s="11" t="s">
        <v>9</v>
      </c>
      <c r="C466" s="75"/>
      <c r="D466" s="86"/>
      <c r="E466" s="85"/>
      <c r="F466" s="12"/>
      <c r="G466" s="13"/>
      <c r="H466" s="14" t="str">
        <f t="shared" si="14"/>
        <v>A</v>
      </c>
      <c r="I466" s="15" t="str">
        <f t="shared" si="15"/>
        <v>The Commissioner &amp; Chief Constable are satisfied the spend represents VFM in accordance with the requirements of Category A</v>
      </c>
    </row>
    <row r="467" spans="1:9" x14ac:dyDescent="0.2">
      <c r="A467" s="10" t="s">
        <v>8</v>
      </c>
      <c r="B467" s="11" t="s">
        <v>9</v>
      </c>
      <c r="C467" s="75"/>
      <c r="D467" s="86"/>
      <c r="E467" s="85"/>
      <c r="F467" s="12"/>
      <c r="G467" s="13"/>
      <c r="H467" s="14" t="str">
        <f t="shared" si="14"/>
        <v>A</v>
      </c>
      <c r="I467" s="15" t="str">
        <f t="shared" si="15"/>
        <v>The Commissioner &amp; Chief Constable are satisfied the spend represents VFM in accordance with the requirements of Category A</v>
      </c>
    </row>
    <row r="468" spans="1:9" x14ac:dyDescent="0.2">
      <c r="A468" s="10" t="s">
        <v>8</v>
      </c>
      <c r="B468" s="11" t="s">
        <v>9</v>
      </c>
      <c r="C468" s="75"/>
      <c r="D468" s="86"/>
      <c r="E468" s="85"/>
      <c r="F468" s="12"/>
      <c r="G468" s="13"/>
      <c r="H468" s="14" t="str">
        <f t="shared" si="14"/>
        <v>A</v>
      </c>
      <c r="I468" s="15" t="str">
        <f t="shared" si="15"/>
        <v>The Commissioner &amp; Chief Constable are satisfied the spend represents VFM in accordance with the requirements of Category A</v>
      </c>
    </row>
    <row r="469" spans="1:9" x14ac:dyDescent="0.2">
      <c r="A469" s="10" t="s">
        <v>8</v>
      </c>
      <c r="B469" s="11" t="s">
        <v>9</v>
      </c>
      <c r="C469" s="75"/>
      <c r="D469" s="86"/>
      <c r="E469" s="85"/>
      <c r="F469" s="12"/>
      <c r="G469" s="13"/>
      <c r="H469" s="14" t="str">
        <f t="shared" si="14"/>
        <v>A</v>
      </c>
      <c r="I469" s="15" t="str">
        <f t="shared" si="15"/>
        <v>The Commissioner &amp; Chief Constable are satisfied the spend represents VFM in accordance with the requirements of Category A</v>
      </c>
    </row>
    <row r="470" spans="1:9" x14ac:dyDescent="0.2">
      <c r="A470" s="10" t="s">
        <v>8</v>
      </c>
      <c r="B470" s="11" t="s">
        <v>9</v>
      </c>
      <c r="C470" s="75"/>
      <c r="D470" s="86"/>
      <c r="E470" s="85"/>
      <c r="F470" s="12"/>
      <c r="G470" s="13"/>
      <c r="H470" s="14" t="str">
        <f t="shared" si="14"/>
        <v>A</v>
      </c>
      <c r="I470" s="15" t="str">
        <f t="shared" si="15"/>
        <v>The Commissioner &amp; Chief Constable are satisfied the spend represents VFM in accordance with the requirements of Category A</v>
      </c>
    </row>
    <row r="471" spans="1:9" x14ac:dyDescent="0.2">
      <c r="A471" s="10" t="s">
        <v>8</v>
      </c>
      <c r="B471" s="11" t="s">
        <v>9</v>
      </c>
      <c r="C471" s="75"/>
      <c r="D471" s="86"/>
      <c r="E471" s="85"/>
      <c r="F471" s="12"/>
      <c r="G471" s="13"/>
      <c r="H471" s="14" t="str">
        <f t="shared" si="14"/>
        <v>A</v>
      </c>
      <c r="I471" s="15" t="str">
        <f t="shared" si="15"/>
        <v>The Commissioner &amp; Chief Constable are satisfied the spend represents VFM in accordance with the requirements of Category A</v>
      </c>
    </row>
    <row r="472" spans="1:9" x14ac:dyDescent="0.2">
      <c r="A472" s="10" t="s">
        <v>8</v>
      </c>
      <c r="B472" s="11" t="s">
        <v>9</v>
      </c>
      <c r="C472" s="75"/>
      <c r="D472" s="86"/>
      <c r="E472" s="85"/>
      <c r="F472" s="12"/>
      <c r="G472" s="13"/>
      <c r="H472" s="14" t="str">
        <f t="shared" si="14"/>
        <v>A</v>
      </c>
      <c r="I472" s="15" t="str">
        <f t="shared" si="15"/>
        <v>The Commissioner &amp; Chief Constable are satisfied the spend represents VFM in accordance with the requirements of Category A</v>
      </c>
    </row>
    <row r="473" spans="1:9" x14ac:dyDescent="0.2">
      <c r="A473" s="10" t="s">
        <v>8</v>
      </c>
      <c r="B473" s="11" t="s">
        <v>9</v>
      </c>
      <c r="C473" s="75"/>
      <c r="D473" s="86"/>
      <c r="E473" s="85"/>
      <c r="F473" s="12"/>
      <c r="G473" s="13"/>
      <c r="H473" s="14" t="str">
        <f t="shared" si="14"/>
        <v>A</v>
      </c>
      <c r="I473" s="15" t="str">
        <f t="shared" si="15"/>
        <v>The Commissioner &amp; Chief Constable are satisfied the spend represents VFM in accordance with the requirements of Category A</v>
      </c>
    </row>
    <row r="474" spans="1:9" x14ac:dyDescent="0.2">
      <c r="A474" s="10" t="s">
        <v>8</v>
      </c>
      <c r="B474" s="11" t="s">
        <v>9</v>
      </c>
      <c r="C474" s="75"/>
      <c r="D474" s="86"/>
      <c r="E474" s="85"/>
      <c r="F474" s="12"/>
      <c r="G474" s="13"/>
      <c r="H474" s="14" t="str">
        <f t="shared" si="14"/>
        <v>A</v>
      </c>
      <c r="I474" s="15" t="str">
        <f t="shared" si="15"/>
        <v>The Commissioner &amp; Chief Constable are satisfied the spend represents VFM in accordance with the requirements of Category A</v>
      </c>
    </row>
    <row r="475" spans="1:9" x14ac:dyDescent="0.2">
      <c r="A475" s="10" t="s">
        <v>8</v>
      </c>
      <c r="B475" s="11" t="s">
        <v>9</v>
      </c>
      <c r="C475" s="75"/>
      <c r="D475" s="86"/>
      <c r="E475" s="85"/>
      <c r="F475" s="12"/>
      <c r="G475" s="13"/>
      <c r="H475" s="14" t="str">
        <f t="shared" si="14"/>
        <v>A</v>
      </c>
      <c r="I475" s="15" t="str">
        <f t="shared" si="15"/>
        <v>The Commissioner &amp; Chief Constable are satisfied the spend represents VFM in accordance with the requirements of Category A</v>
      </c>
    </row>
    <row r="476" spans="1:9" x14ac:dyDescent="0.2">
      <c r="A476" s="10" t="s">
        <v>8</v>
      </c>
      <c r="B476" s="11" t="s">
        <v>9</v>
      </c>
      <c r="C476" s="75"/>
      <c r="D476" s="86"/>
      <c r="E476" s="85"/>
      <c r="F476" s="12"/>
      <c r="G476" s="13"/>
      <c r="H476" s="14" t="str">
        <f t="shared" si="14"/>
        <v>A</v>
      </c>
      <c r="I476" s="15" t="str">
        <f t="shared" si="15"/>
        <v>The Commissioner &amp; Chief Constable are satisfied the spend represents VFM in accordance with the requirements of Category A</v>
      </c>
    </row>
    <row r="477" spans="1:9" x14ac:dyDescent="0.2">
      <c r="A477" s="10" t="s">
        <v>8</v>
      </c>
      <c r="B477" s="11" t="s">
        <v>9</v>
      </c>
      <c r="C477" s="75"/>
      <c r="D477" s="86"/>
      <c r="E477" s="85"/>
      <c r="F477" s="12"/>
      <c r="G477" s="13"/>
      <c r="H477" s="14" t="str">
        <f t="shared" si="14"/>
        <v>A</v>
      </c>
      <c r="I477" s="15" t="str">
        <f t="shared" si="15"/>
        <v>The Commissioner &amp; Chief Constable are satisfied the spend represents VFM in accordance with the requirements of Category A</v>
      </c>
    </row>
    <row r="478" spans="1:9" x14ac:dyDescent="0.2">
      <c r="A478" s="10" t="s">
        <v>8</v>
      </c>
      <c r="B478" s="11" t="s">
        <v>9</v>
      </c>
      <c r="C478" s="75"/>
      <c r="D478" s="86"/>
      <c r="E478" s="85"/>
      <c r="F478" s="12"/>
      <c r="G478" s="13"/>
      <c r="H478" s="14" t="str">
        <f t="shared" si="14"/>
        <v>A</v>
      </c>
      <c r="I478" s="15" t="str">
        <f t="shared" si="15"/>
        <v>The Commissioner &amp; Chief Constable are satisfied the spend represents VFM in accordance with the requirements of Category A</v>
      </c>
    </row>
    <row r="479" spans="1:9" x14ac:dyDescent="0.2">
      <c r="A479" s="10" t="s">
        <v>8</v>
      </c>
      <c r="B479" s="11" t="s">
        <v>9</v>
      </c>
      <c r="C479" s="75"/>
      <c r="D479" s="86"/>
      <c r="E479" s="85"/>
      <c r="F479" s="12"/>
      <c r="G479" s="13"/>
      <c r="H479" s="14" t="str">
        <f t="shared" si="14"/>
        <v>A</v>
      </c>
      <c r="I479" s="15" t="str">
        <f t="shared" si="15"/>
        <v>The Commissioner &amp; Chief Constable are satisfied the spend represents VFM in accordance with the requirements of Category A</v>
      </c>
    </row>
    <row r="480" spans="1:9" x14ac:dyDescent="0.2">
      <c r="A480" s="10" t="s">
        <v>8</v>
      </c>
      <c r="B480" s="11" t="s">
        <v>9</v>
      </c>
      <c r="C480" s="75"/>
      <c r="D480" s="86"/>
      <c r="E480" s="85"/>
      <c r="F480" s="12"/>
      <c r="G480" s="13"/>
      <c r="H480" s="14" t="str">
        <f t="shared" si="14"/>
        <v>A</v>
      </c>
      <c r="I480" s="15" t="str">
        <f t="shared" si="15"/>
        <v>The Commissioner &amp; Chief Constable are satisfied the spend represents VFM in accordance with the requirements of Category A</v>
      </c>
    </row>
    <row r="481" spans="1:9" x14ac:dyDescent="0.2">
      <c r="A481" s="10" t="s">
        <v>8</v>
      </c>
      <c r="B481" s="11" t="s">
        <v>9</v>
      </c>
      <c r="C481" s="75"/>
      <c r="D481" s="86"/>
      <c r="E481" s="85"/>
      <c r="F481" s="12"/>
      <c r="G481" s="13"/>
      <c r="H481" s="14" t="str">
        <f t="shared" si="14"/>
        <v>A</v>
      </c>
      <c r="I481" s="15" t="str">
        <f t="shared" si="15"/>
        <v>The Commissioner &amp; Chief Constable are satisfied the spend represents VFM in accordance with the requirements of Category A</v>
      </c>
    </row>
    <row r="482" spans="1:9" x14ac:dyDescent="0.2">
      <c r="A482" s="10" t="s">
        <v>8</v>
      </c>
      <c r="B482" s="11" t="s">
        <v>9</v>
      </c>
      <c r="C482" s="75"/>
      <c r="D482" s="86"/>
      <c r="E482" s="85"/>
      <c r="F482" s="12"/>
      <c r="G482" s="13"/>
      <c r="H482" s="14" t="str">
        <f t="shared" si="14"/>
        <v>A</v>
      </c>
      <c r="I482" s="15" t="str">
        <f t="shared" si="15"/>
        <v>The Commissioner &amp; Chief Constable are satisfied the spend represents VFM in accordance with the requirements of Category A</v>
      </c>
    </row>
    <row r="483" spans="1:9" x14ac:dyDescent="0.2">
      <c r="A483" s="10" t="s">
        <v>8</v>
      </c>
      <c r="B483" s="11" t="s">
        <v>9</v>
      </c>
      <c r="C483" s="75"/>
      <c r="D483" s="86"/>
      <c r="E483" s="85"/>
      <c r="F483" s="12"/>
      <c r="G483" s="13"/>
      <c r="H483" s="14" t="str">
        <f t="shared" si="14"/>
        <v>A</v>
      </c>
      <c r="I483" s="15" t="str">
        <f t="shared" si="15"/>
        <v>The Commissioner &amp; Chief Constable are satisfied the spend represents VFM in accordance with the requirements of Category A</v>
      </c>
    </row>
    <row r="484" spans="1:9" x14ac:dyDescent="0.2">
      <c r="A484" s="10" t="s">
        <v>8</v>
      </c>
      <c r="B484" s="11" t="s">
        <v>9</v>
      </c>
      <c r="C484" s="75"/>
      <c r="D484" s="86"/>
      <c r="E484" s="85"/>
      <c r="F484" s="12"/>
      <c r="G484" s="13"/>
      <c r="H484" s="14" t="str">
        <f t="shared" si="14"/>
        <v>A</v>
      </c>
      <c r="I484" s="15" t="str">
        <f t="shared" si="15"/>
        <v>The Commissioner &amp; Chief Constable are satisfied the spend represents VFM in accordance with the requirements of Category A</v>
      </c>
    </row>
    <row r="485" spans="1:9" x14ac:dyDescent="0.2">
      <c r="A485" s="10" t="s">
        <v>8</v>
      </c>
      <c r="B485" s="11" t="s">
        <v>9</v>
      </c>
      <c r="C485" s="75"/>
      <c r="D485" s="86"/>
      <c r="E485" s="85"/>
      <c r="F485" s="12"/>
      <c r="G485" s="13"/>
      <c r="H485" s="14" t="str">
        <f t="shared" si="14"/>
        <v>A</v>
      </c>
      <c r="I485" s="15" t="str">
        <f t="shared" si="15"/>
        <v>The Commissioner &amp; Chief Constable are satisfied the spend represents VFM in accordance with the requirements of Category A</v>
      </c>
    </row>
    <row r="486" spans="1:9" x14ac:dyDescent="0.2">
      <c r="A486" s="10" t="s">
        <v>8</v>
      </c>
      <c r="B486" s="11" t="s">
        <v>9</v>
      </c>
      <c r="C486" s="75"/>
      <c r="D486" s="86"/>
      <c r="E486" s="85"/>
      <c r="F486" s="12"/>
      <c r="G486" s="13"/>
      <c r="H486" s="14" t="str">
        <f t="shared" si="14"/>
        <v>A</v>
      </c>
      <c r="I486" s="15" t="str">
        <f t="shared" si="15"/>
        <v>The Commissioner &amp; Chief Constable are satisfied the spend represents VFM in accordance with the requirements of Category A</v>
      </c>
    </row>
    <row r="487" spans="1:9" x14ac:dyDescent="0.2">
      <c r="A487" s="10" t="s">
        <v>8</v>
      </c>
      <c r="B487" s="11" t="s">
        <v>9</v>
      </c>
      <c r="C487" s="75"/>
      <c r="D487" s="86"/>
      <c r="E487" s="85"/>
      <c r="F487" s="12"/>
      <c r="G487" s="13"/>
      <c r="H487" s="14" t="str">
        <f t="shared" si="14"/>
        <v>A</v>
      </c>
      <c r="I487" s="15" t="str">
        <f t="shared" si="15"/>
        <v>The Commissioner &amp; Chief Constable are satisfied the spend represents VFM in accordance with the requirements of Category A</v>
      </c>
    </row>
    <row r="488" spans="1:9" x14ac:dyDescent="0.2">
      <c r="A488" s="10" t="s">
        <v>8</v>
      </c>
      <c r="B488" s="11" t="s">
        <v>9</v>
      </c>
      <c r="C488" s="75"/>
      <c r="D488" s="86"/>
      <c r="E488" s="85"/>
      <c r="F488" s="12"/>
      <c r="G488" s="13"/>
      <c r="H488" s="14" t="str">
        <f t="shared" si="14"/>
        <v>A</v>
      </c>
      <c r="I488" s="15" t="str">
        <f t="shared" si="15"/>
        <v>The Commissioner &amp; Chief Constable are satisfied the spend represents VFM in accordance with the requirements of Category A</v>
      </c>
    </row>
    <row r="489" spans="1:9" x14ac:dyDescent="0.2">
      <c r="A489" s="10" t="s">
        <v>8</v>
      </c>
      <c r="B489" s="11" t="s">
        <v>9</v>
      </c>
      <c r="C489" s="75"/>
      <c r="D489" s="86"/>
      <c r="E489" s="85"/>
      <c r="F489" s="12"/>
      <c r="G489" s="13"/>
      <c r="H489" s="14" t="str">
        <f t="shared" si="14"/>
        <v>A</v>
      </c>
      <c r="I489" s="15" t="str">
        <f t="shared" si="15"/>
        <v>The Commissioner &amp; Chief Constable are satisfied the spend represents VFM in accordance with the requirements of Category A</v>
      </c>
    </row>
    <row r="490" spans="1:9" x14ac:dyDescent="0.2">
      <c r="A490" s="10" t="s">
        <v>8</v>
      </c>
      <c r="B490" s="11" t="s">
        <v>9</v>
      </c>
      <c r="C490" s="75"/>
      <c r="D490" s="86"/>
      <c r="E490" s="85"/>
      <c r="F490" s="12"/>
      <c r="G490" s="13"/>
      <c r="H490" s="14" t="str">
        <f t="shared" si="14"/>
        <v>A</v>
      </c>
      <c r="I490" s="15" t="str">
        <f t="shared" si="15"/>
        <v>The Commissioner &amp; Chief Constable are satisfied the spend represents VFM in accordance with the requirements of Category A</v>
      </c>
    </row>
    <row r="491" spans="1:9" x14ac:dyDescent="0.2">
      <c r="A491" s="10" t="s">
        <v>8</v>
      </c>
      <c r="B491" s="11" t="s">
        <v>9</v>
      </c>
      <c r="C491" s="75"/>
      <c r="D491" s="86"/>
      <c r="E491" s="85"/>
      <c r="F491" s="12"/>
      <c r="G491" s="13"/>
      <c r="H491" s="14" t="str">
        <f t="shared" si="14"/>
        <v>A</v>
      </c>
      <c r="I491" s="15" t="str">
        <f t="shared" si="15"/>
        <v>The Commissioner &amp; Chief Constable are satisfied the spend represents VFM in accordance with the requirements of Category A</v>
      </c>
    </row>
    <row r="492" spans="1:9" x14ac:dyDescent="0.2">
      <c r="A492" s="10" t="s">
        <v>8</v>
      </c>
      <c r="B492" s="11" t="s">
        <v>9</v>
      </c>
      <c r="C492" s="75"/>
      <c r="D492" s="86"/>
      <c r="E492" s="85"/>
      <c r="F492" s="12"/>
      <c r="G492" s="13"/>
      <c r="H492" s="14" t="str">
        <f t="shared" si="14"/>
        <v>A</v>
      </c>
      <c r="I492" s="15" t="str">
        <f t="shared" si="15"/>
        <v>The Commissioner &amp; Chief Constable are satisfied the spend represents VFM in accordance with the requirements of Category A</v>
      </c>
    </row>
    <row r="493" spans="1:9" x14ac:dyDescent="0.2">
      <c r="A493" s="10" t="s">
        <v>8</v>
      </c>
      <c r="B493" s="11" t="s">
        <v>9</v>
      </c>
      <c r="C493" s="75"/>
      <c r="D493" s="86"/>
      <c r="E493" s="85"/>
      <c r="F493" s="12"/>
      <c r="G493" s="13"/>
      <c r="H493" s="14" t="str">
        <f t="shared" si="14"/>
        <v>A</v>
      </c>
      <c r="I493" s="15" t="str">
        <f t="shared" si="15"/>
        <v>The Commissioner &amp; Chief Constable are satisfied the spend represents VFM in accordance with the requirements of Category A</v>
      </c>
    </row>
    <row r="494" spans="1:9" x14ac:dyDescent="0.2">
      <c r="A494" s="10" t="s">
        <v>8</v>
      </c>
      <c r="B494" s="11" t="s">
        <v>9</v>
      </c>
      <c r="C494" s="75"/>
      <c r="D494" s="86"/>
      <c r="E494" s="85"/>
      <c r="F494" s="12"/>
      <c r="G494" s="13"/>
      <c r="H494" s="14" t="str">
        <f t="shared" si="14"/>
        <v>A</v>
      </c>
      <c r="I494" s="15" t="str">
        <f t="shared" si="15"/>
        <v>The Commissioner &amp; Chief Constable are satisfied the spend represents VFM in accordance with the requirements of Category A</v>
      </c>
    </row>
    <row r="495" spans="1:9" x14ac:dyDescent="0.2">
      <c r="A495" s="10" t="s">
        <v>8</v>
      </c>
      <c r="B495" s="11" t="s">
        <v>9</v>
      </c>
      <c r="C495" s="75"/>
      <c r="D495" s="86"/>
      <c r="E495" s="85"/>
      <c r="F495" s="12"/>
      <c r="G495" s="13"/>
      <c r="H495" s="14" t="str">
        <f t="shared" si="14"/>
        <v>A</v>
      </c>
      <c r="I495" s="15" t="str">
        <f t="shared" si="15"/>
        <v>The Commissioner &amp; Chief Constable are satisfied the spend represents VFM in accordance with the requirements of Category A</v>
      </c>
    </row>
    <row r="496" spans="1:9" x14ac:dyDescent="0.2">
      <c r="A496" s="10" t="s">
        <v>8</v>
      </c>
      <c r="B496" s="11" t="s">
        <v>9</v>
      </c>
      <c r="C496" s="75"/>
      <c r="D496" s="86"/>
      <c r="E496" s="85"/>
      <c r="F496" s="12"/>
      <c r="G496" s="13"/>
      <c r="H496" s="14" t="str">
        <f t="shared" si="14"/>
        <v>A</v>
      </c>
      <c r="I496" s="15" t="str">
        <f t="shared" si="15"/>
        <v>The Commissioner &amp; Chief Constable are satisfied the spend represents VFM in accordance with the requirements of Category A</v>
      </c>
    </row>
    <row r="497" spans="1:9" x14ac:dyDescent="0.2">
      <c r="A497" s="10" t="s">
        <v>8</v>
      </c>
      <c r="B497" s="11" t="s">
        <v>9</v>
      </c>
      <c r="C497" s="75"/>
      <c r="D497" s="86"/>
      <c r="E497" s="85"/>
      <c r="F497" s="12"/>
      <c r="G497" s="13"/>
      <c r="H497" s="14" t="str">
        <f t="shared" si="14"/>
        <v>A</v>
      </c>
      <c r="I497" s="15" t="str">
        <f t="shared" si="15"/>
        <v>The Commissioner &amp; Chief Constable are satisfied the spend represents VFM in accordance with the requirements of Category A</v>
      </c>
    </row>
    <row r="498" spans="1:9" x14ac:dyDescent="0.2">
      <c r="A498" s="10" t="s">
        <v>8</v>
      </c>
      <c r="B498" s="11" t="s">
        <v>9</v>
      </c>
      <c r="C498" s="75"/>
      <c r="D498" s="86"/>
      <c r="E498" s="85"/>
      <c r="F498" s="12"/>
      <c r="G498" s="13"/>
      <c r="H498" s="14" t="str">
        <f t="shared" si="14"/>
        <v>A</v>
      </c>
      <c r="I498" s="15" t="str">
        <f t="shared" si="15"/>
        <v>The Commissioner &amp; Chief Constable are satisfied the spend represents VFM in accordance with the requirements of Category A</v>
      </c>
    </row>
    <row r="499" spans="1:9" x14ac:dyDescent="0.2">
      <c r="A499" s="10" t="s">
        <v>8</v>
      </c>
      <c r="B499" s="11" t="s">
        <v>9</v>
      </c>
      <c r="C499" s="75"/>
      <c r="D499" s="86"/>
      <c r="E499" s="85"/>
      <c r="F499" s="12"/>
      <c r="G499" s="13"/>
      <c r="H499" s="14" t="str">
        <f t="shared" si="14"/>
        <v>A</v>
      </c>
      <c r="I499" s="15" t="str">
        <f t="shared" si="15"/>
        <v>The Commissioner &amp; Chief Constable are satisfied the spend represents VFM in accordance with the requirements of Category A</v>
      </c>
    </row>
    <row r="500" spans="1:9" x14ac:dyDescent="0.2">
      <c r="A500" s="10" t="s">
        <v>8</v>
      </c>
      <c r="B500" s="11" t="s">
        <v>9</v>
      </c>
      <c r="C500" s="75"/>
      <c r="D500" s="86"/>
      <c r="E500" s="85"/>
      <c r="F500" s="12"/>
      <c r="G500" s="13"/>
      <c r="H500" s="14" t="str">
        <f t="shared" si="14"/>
        <v>A</v>
      </c>
      <c r="I500" s="15" t="str">
        <f t="shared" si="15"/>
        <v>The Commissioner &amp; Chief Constable are satisfied the spend represents VFM in accordance with the requirements of Category A</v>
      </c>
    </row>
    <row r="501" spans="1:9" x14ac:dyDescent="0.2">
      <c r="A501" s="10" t="s">
        <v>8</v>
      </c>
      <c r="B501" s="11" t="s">
        <v>9</v>
      </c>
      <c r="C501" s="75"/>
      <c r="D501" s="86"/>
      <c r="E501" s="85"/>
      <c r="F501" s="12"/>
      <c r="G501" s="13"/>
      <c r="H501" s="14" t="str">
        <f t="shared" si="14"/>
        <v>A</v>
      </c>
      <c r="I501" s="15" t="str">
        <f t="shared" si="15"/>
        <v>The Commissioner &amp; Chief Constable are satisfied the spend represents VFM in accordance with the requirements of Category A</v>
      </c>
    </row>
    <row r="502" spans="1:9" x14ac:dyDescent="0.2">
      <c r="A502" s="10" t="s">
        <v>8</v>
      </c>
      <c r="B502" s="11" t="s">
        <v>9</v>
      </c>
      <c r="C502" s="75"/>
      <c r="D502" s="86"/>
      <c r="E502" s="85"/>
      <c r="F502" s="12"/>
      <c r="G502" s="13"/>
      <c r="H502" s="14" t="str">
        <f t="shared" si="14"/>
        <v>A</v>
      </c>
      <c r="I502" s="15" t="str">
        <f t="shared" si="15"/>
        <v>The Commissioner &amp; Chief Constable are satisfied the spend represents VFM in accordance with the requirements of Category A</v>
      </c>
    </row>
    <row r="503" spans="1:9" x14ac:dyDescent="0.2">
      <c r="A503" s="10" t="s">
        <v>8</v>
      </c>
      <c r="B503" s="11" t="s">
        <v>9</v>
      </c>
      <c r="C503" s="75"/>
      <c r="D503" s="86"/>
      <c r="E503" s="85"/>
      <c r="F503" s="12"/>
      <c r="G503" s="13"/>
      <c r="H503" s="14" t="str">
        <f t="shared" si="14"/>
        <v>A</v>
      </c>
      <c r="I503" s="15" t="str">
        <f t="shared" si="15"/>
        <v>The Commissioner &amp; Chief Constable are satisfied the spend represents VFM in accordance with the requirements of Category A</v>
      </c>
    </row>
    <row r="504" spans="1:9" x14ac:dyDescent="0.2">
      <c r="A504" s="10" t="s">
        <v>8</v>
      </c>
      <c r="B504" s="11" t="s">
        <v>9</v>
      </c>
      <c r="C504" s="75"/>
      <c r="D504" s="86"/>
      <c r="E504" s="85"/>
      <c r="F504" s="12"/>
      <c r="G504" s="13"/>
      <c r="H504" s="14" t="str">
        <f t="shared" si="14"/>
        <v>A</v>
      </c>
      <c r="I504" s="15" t="str">
        <f t="shared" si="15"/>
        <v>The Commissioner &amp; Chief Constable are satisfied the spend represents VFM in accordance with the requirements of Category A</v>
      </c>
    </row>
    <row r="505" spans="1:9" x14ac:dyDescent="0.2">
      <c r="A505" s="10" t="s">
        <v>8</v>
      </c>
      <c r="B505" s="11" t="s">
        <v>9</v>
      </c>
      <c r="C505" s="75"/>
      <c r="D505" s="86"/>
      <c r="E505" s="85"/>
      <c r="F505" s="12"/>
      <c r="G505" s="13"/>
      <c r="H505" s="14" t="str">
        <f t="shared" si="14"/>
        <v>A</v>
      </c>
      <c r="I505" s="15" t="str">
        <f t="shared" si="15"/>
        <v>The Commissioner &amp; Chief Constable are satisfied the spend represents VFM in accordance with the requirements of Category A</v>
      </c>
    </row>
    <row r="506" spans="1:9" x14ac:dyDescent="0.2">
      <c r="A506" s="10" t="s">
        <v>8</v>
      </c>
      <c r="B506" s="11" t="s">
        <v>9</v>
      </c>
      <c r="C506" s="75"/>
      <c r="D506" s="86"/>
      <c r="E506" s="85"/>
      <c r="F506" s="12"/>
      <c r="G506" s="13"/>
      <c r="H506" s="14" t="str">
        <f t="shared" si="14"/>
        <v>A</v>
      </c>
      <c r="I506" s="15" t="str">
        <f t="shared" si="15"/>
        <v>The Commissioner &amp; Chief Constable are satisfied the spend represents VFM in accordance with the requirements of Category A</v>
      </c>
    </row>
    <row r="507" spans="1:9" x14ac:dyDescent="0.2">
      <c r="A507" s="10" t="s">
        <v>8</v>
      </c>
      <c r="B507" s="11" t="s">
        <v>9</v>
      </c>
      <c r="C507" s="75"/>
      <c r="D507" s="86"/>
      <c r="E507" s="85"/>
      <c r="F507" s="12"/>
      <c r="G507" s="13"/>
      <c r="H507" s="14" t="str">
        <f t="shared" si="14"/>
        <v>A</v>
      </c>
      <c r="I507" s="15" t="str">
        <f t="shared" si="15"/>
        <v>The Commissioner &amp; Chief Constable are satisfied the spend represents VFM in accordance with the requirements of Category A</v>
      </c>
    </row>
    <row r="508" spans="1:9" x14ac:dyDescent="0.2">
      <c r="A508" s="10" t="s">
        <v>8</v>
      </c>
      <c r="B508" s="11" t="s">
        <v>9</v>
      </c>
      <c r="C508" s="75"/>
      <c r="D508" s="86"/>
      <c r="E508" s="85"/>
      <c r="F508" s="12"/>
      <c r="G508" s="13"/>
      <c r="H508" s="14" t="str">
        <f t="shared" si="14"/>
        <v>A</v>
      </c>
      <c r="I508" s="15" t="str">
        <f t="shared" si="15"/>
        <v>The Commissioner &amp; Chief Constable are satisfied the spend represents VFM in accordance with the requirements of Category A</v>
      </c>
    </row>
    <row r="509" spans="1:9" x14ac:dyDescent="0.2">
      <c r="A509" s="10" t="s">
        <v>8</v>
      </c>
      <c r="B509" s="11" t="s">
        <v>9</v>
      </c>
      <c r="C509" s="75"/>
      <c r="D509" s="86"/>
      <c r="E509" s="85"/>
      <c r="F509" s="12"/>
      <c r="G509" s="13"/>
      <c r="H509" s="14" t="str">
        <f t="shared" si="14"/>
        <v>A</v>
      </c>
      <c r="I509" s="15" t="str">
        <f t="shared" si="15"/>
        <v>The Commissioner &amp; Chief Constable are satisfied the spend represents VFM in accordance with the requirements of Category A</v>
      </c>
    </row>
    <row r="510" spans="1:9" x14ac:dyDescent="0.2">
      <c r="A510" s="10" t="s">
        <v>8</v>
      </c>
      <c r="B510" s="11" t="s">
        <v>9</v>
      </c>
      <c r="C510" s="75"/>
      <c r="D510" s="86"/>
      <c r="E510" s="85"/>
      <c r="F510" s="12"/>
      <c r="G510" s="13"/>
      <c r="H510" s="14" t="str">
        <f t="shared" si="14"/>
        <v>A</v>
      </c>
      <c r="I510" s="15" t="str">
        <f t="shared" si="15"/>
        <v>The Commissioner &amp; Chief Constable are satisfied the spend represents VFM in accordance with the requirements of Category A</v>
      </c>
    </row>
    <row r="511" spans="1:9" x14ac:dyDescent="0.2">
      <c r="A511" s="10" t="s">
        <v>8</v>
      </c>
      <c r="B511" s="11" t="s">
        <v>9</v>
      </c>
      <c r="C511" s="75"/>
      <c r="D511" s="86"/>
      <c r="E511" s="85"/>
      <c r="F511" s="12"/>
      <c r="G511" s="13"/>
      <c r="H511" s="14" t="str">
        <f t="shared" si="14"/>
        <v>A</v>
      </c>
      <c r="I511" s="15" t="str">
        <f t="shared" si="15"/>
        <v>The Commissioner &amp; Chief Constable are satisfied the spend represents VFM in accordance with the requirements of Category A</v>
      </c>
    </row>
    <row r="512" spans="1:9" x14ac:dyDescent="0.2">
      <c r="C512" s="75"/>
      <c r="D512" s="86"/>
      <c r="E512" s="85"/>
      <c r="F512" s="12"/>
      <c r="G512" s="13"/>
    </row>
    <row r="513" spans="3:7" x14ac:dyDescent="0.2">
      <c r="C513" s="75"/>
      <c r="D513" s="86"/>
      <c r="E513" s="85"/>
      <c r="F513" s="12"/>
      <c r="G513" s="13"/>
    </row>
    <row r="514" spans="3:7" x14ac:dyDescent="0.2">
      <c r="C514" s="75"/>
      <c r="D514" s="86"/>
      <c r="E514" s="85"/>
      <c r="F514" s="12"/>
      <c r="G514" s="13"/>
    </row>
  </sheetData>
  <autoFilter ref="A1:N511" xr:uid="{272ED5F8-8732-4656-9BAD-7C67FFCB84A6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26C2-A210-4494-8468-3AB28B93D9BE}">
  <dimension ref="A1:M511"/>
  <sheetViews>
    <sheetView zoomScaleNormal="100" workbookViewId="0">
      <selection activeCell="B32" sqref="B32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20" style="71" customWidth="1"/>
    <col min="5" max="5" width="10.28515625" style="22" customWidth="1"/>
    <col min="6" max="6" width="11.140625" style="23" bestFit="1" customWidth="1"/>
    <col min="7" max="7" width="38.85546875" style="20" bestFit="1" customWidth="1"/>
    <col min="8" max="8" width="11.7109375" style="24" bestFit="1" customWidth="1"/>
    <col min="9" max="9" width="93.42578125" style="20" bestFit="1" customWidth="1"/>
    <col min="10" max="10" width="1.7109375" style="20" customWidth="1"/>
    <col min="11" max="11" width="16.140625" style="20" bestFit="1" customWidth="1"/>
    <col min="12" max="13" width="5.7109375" style="17" hidden="1" customWidth="1"/>
    <col min="14" max="14" width="5.7109375" style="17" bestFit="1" customWidth="1"/>
    <col min="15" max="16384" width="9.140625" style="17"/>
  </cols>
  <sheetData>
    <row r="1" spans="1:13" s="8" customFormat="1" ht="32.25" thickBot="1" x14ac:dyDescent="0.3">
      <c r="A1" s="1" t="s">
        <v>0</v>
      </c>
      <c r="B1" s="2" t="s">
        <v>1</v>
      </c>
      <c r="C1" s="3"/>
      <c r="D1" s="78"/>
      <c r="E1" s="4"/>
      <c r="F1" s="5"/>
      <c r="G1" s="6"/>
      <c r="H1" s="6" t="s">
        <v>6</v>
      </c>
      <c r="I1" s="7" t="s">
        <v>7</v>
      </c>
      <c r="K1" s="9"/>
    </row>
    <row r="2" spans="1:13" x14ac:dyDescent="0.2">
      <c r="A2" s="10" t="s">
        <v>8</v>
      </c>
      <c r="B2" s="11" t="s">
        <v>9</v>
      </c>
      <c r="C2" s="75" t="s">
        <v>18</v>
      </c>
      <c r="D2" s="86">
        <v>9036151</v>
      </c>
      <c r="E2" s="85">
        <v>45558</v>
      </c>
      <c r="F2" s="12">
        <v>650535.08000000007</v>
      </c>
      <c r="G2" s="13" t="s">
        <v>19</v>
      </c>
      <c r="H2" s="14" t="str">
        <f t="shared" ref="H2:H65" si="0">IF(F2&gt;25000,"C",IF(F2&gt;1000,"B","A"))</f>
        <v>C</v>
      </c>
      <c r="I2" s="15" t="str">
        <f t="shared" ref="I2:I65" si="1">VLOOKUP(H2,$L$2:$M$4,2,FALSE)</f>
        <v>The Commissioner &amp; Chief Constable are satisfied the spend represents VFM in accordance with the requirements of Category C</v>
      </c>
      <c r="J2" s="16"/>
      <c r="K2" s="16"/>
      <c r="L2" s="17" t="s">
        <v>12</v>
      </c>
      <c r="M2" s="15" t="s">
        <v>13</v>
      </c>
    </row>
    <row r="3" spans="1:13" x14ac:dyDescent="0.2">
      <c r="A3" s="10" t="s">
        <v>8</v>
      </c>
      <c r="B3" s="11" t="s">
        <v>9</v>
      </c>
      <c r="C3" s="75" t="s">
        <v>10</v>
      </c>
      <c r="D3" s="86">
        <v>7177329</v>
      </c>
      <c r="E3" s="85">
        <v>45560</v>
      </c>
      <c r="F3" s="12">
        <v>386471.24</v>
      </c>
      <c r="G3" s="13" t="s">
        <v>11</v>
      </c>
      <c r="H3" s="14" t="str">
        <f t="shared" si="0"/>
        <v>C</v>
      </c>
      <c r="I3" s="15" t="str">
        <f t="shared" si="1"/>
        <v>The Commissioner &amp; Chief Constable are satisfied the spend represents VFM in accordance with the requirements of Category C</v>
      </c>
      <c r="J3" s="16"/>
      <c r="K3" s="16"/>
      <c r="L3" s="17" t="s">
        <v>16</v>
      </c>
      <c r="M3" s="15" t="s">
        <v>17</v>
      </c>
    </row>
    <row r="4" spans="1:13" x14ac:dyDescent="0.2">
      <c r="A4" s="10" t="s">
        <v>8</v>
      </c>
      <c r="B4" s="11" t="s">
        <v>9</v>
      </c>
      <c r="C4" s="75" t="s">
        <v>908</v>
      </c>
      <c r="D4" s="86">
        <v>7176759</v>
      </c>
      <c r="E4" s="85">
        <v>45544</v>
      </c>
      <c r="F4" s="12">
        <v>213884.56</v>
      </c>
      <c r="G4" s="13" t="s">
        <v>164</v>
      </c>
      <c r="H4" s="14" t="str">
        <f t="shared" si="0"/>
        <v>C</v>
      </c>
      <c r="I4" s="15" t="str">
        <f t="shared" si="1"/>
        <v>The Commissioner &amp; Chief Constable are satisfied the spend represents VFM in accordance with the requirements of Category C</v>
      </c>
      <c r="J4" s="16"/>
      <c r="K4" s="16"/>
      <c r="L4" s="17" t="s">
        <v>20</v>
      </c>
      <c r="M4" s="15" t="s">
        <v>21</v>
      </c>
    </row>
    <row r="5" spans="1:13" x14ac:dyDescent="0.2">
      <c r="A5" s="10" t="s">
        <v>8</v>
      </c>
      <c r="B5" s="11" t="s">
        <v>9</v>
      </c>
      <c r="C5" s="75" t="s">
        <v>352</v>
      </c>
      <c r="D5" s="86">
        <v>7177190</v>
      </c>
      <c r="E5" s="85">
        <v>45552</v>
      </c>
      <c r="F5" s="12">
        <v>143846.25</v>
      </c>
      <c r="G5" s="13" t="s">
        <v>494</v>
      </c>
      <c r="H5" s="14" t="str">
        <f t="shared" si="0"/>
        <v>C</v>
      </c>
      <c r="I5" s="15" t="str">
        <f t="shared" si="1"/>
        <v>The Commissioner &amp; Chief Constable are satisfied the spend represents VFM in accordance with the requirements of Category C</v>
      </c>
      <c r="J5" s="16"/>
      <c r="K5" s="16"/>
    </row>
    <row r="6" spans="1:13" x14ac:dyDescent="0.2">
      <c r="A6" s="10" t="s">
        <v>8</v>
      </c>
      <c r="B6" s="11" t="s">
        <v>9</v>
      </c>
      <c r="C6" s="77" t="s">
        <v>493</v>
      </c>
      <c r="D6" s="86">
        <v>7176958</v>
      </c>
      <c r="E6" s="85">
        <v>45553</v>
      </c>
      <c r="F6" s="12">
        <v>125863.5</v>
      </c>
      <c r="G6" s="13" t="s">
        <v>27</v>
      </c>
      <c r="H6" s="14" t="str">
        <f t="shared" si="0"/>
        <v>C</v>
      </c>
      <c r="I6" s="15" t="str">
        <f t="shared" si="1"/>
        <v>The Commissioner &amp; Chief Constable are satisfied the spend represents VFM in accordance with the requirements of Category C</v>
      </c>
      <c r="J6" s="16"/>
      <c r="K6" s="16"/>
    </row>
    <row r="7" spans="1:13" x14ac:dyDescent="0.2">
      <c r="A7" s="10" t="s">
        <v>8</v>
      </c>
      <c r="B7" s="11" t="s">
        <v>9</v>
      </c>
      <c r="C7" s="75" t="s">
        <v>33</v>
      </c>
      <c r="D7" s="86">
        <v>7177360</v>
      </c>
      <c r="E7" s="85">
        <v>45558</v>
      </c>
      <c r="F7" s="12">
        <v>124494</v>
      </c>
      <c r="G7" s="13" t="s">
        <v>58</v>
      </c>
      <c r="H7" s="14" t="str">
        <f t="shared" si="0"/>
        <v>C</v>
      </c>
      <c r="I7" s="15" t="str">
        <f t="shared" si="1"/>
        <v>The Commissioner &amp; Chief Constable are satisfied the spend represents VFM in accordance with the requirements of Category C</v>
      </c>
      <c r="J7" s="16"/>
      <c r="K7" s="16"/>
    </row>
    <row r="8" spans="1:13" x14ac:dyDescent="0.2">
      <c r="A8" s="10" t="s">
        <v>8</v>
      </c>
      <c r="B8" s="11" t="s">
        <v>9</v>
      </c>
      <c r="C8" s="77" t="s">
        <v>140</v>
      </c>
      <c r="D8" s="86">
        <v>7176031</v>
      </c>
      <c r="E8" s="85">
        <v>45546</v>
      </c>
      <c r="F8" s="12">
        <v>117119.03</v>
      </c>
      <c r="G8" s="13" t="s">
        <v>34</v>
      </c>
      <c r="H8" s="14" t="str">
        <f t="shared" si="0"/>
        <v>C</v>
      </c>
      <c r="I8" s="15" t="str">
        <f t="shared" si="1"/>
        <v>The Commissioner &amp; Chief Constable are satisfied the spend represents VFM in accordance with the requirements of Category C</v>
      </c>
      <c r="J8" s="16"/>
      <c r="K8" s="16"/>
    </row>
    <row r="9" spans="1:13" x14ac:dyDescent="0.2">
      <c r="A9" s="10" t="s">
        <v>8</v>
      </c>
      <c r="B9" s="11" t="s">
        <v>9</v>
      </c>
      <c r="C9" s="75" t="s">
        <v>140</v>
      </c>
      <c r="D9" s="86">
        <v>7175644</v>
      </c>
      <c r="E9" s="85">
        <v>45544</v>
      </c>
      <c r="F9" s="12">
        <v>115694.66</v>
      </c>
      <c r="G9" s="13" t="s">
        <v>34</v>
      </c>
      <c r="H9" s="14" t="str">
        <f t="shared" si="0"/>
        <v>C</v>
      </c>
      <c r="I9" s="15" t="str">
        <f t="shared" si="1"/>
        <v>The Commissioner &amp; Chief Constable are satisfied the spend represents VFM in accordance with the requirements of Category C</v>
      </c>
      <c r="J9" s="16"/>
      <c r="K9" s="16"/>
    </row>
    <row r="10" spans="1:13" x14ac:dyDescent="0.2">
      <c r="A10" s="10" t="s">
        <v>8</v>
      </c>
      <c r="B10" s="11" t="s">
        <v>9</v>
      </c>
      <c r="C10" s="75" t="s">
        <v>23</v>
      </c>
      <c r="D10" s="86">
        <v>7177376</v>
      </c>
      <c r="E10" s="85">
        <v>45558</v>
      </c>
      <c r="F10" s="12">
        <v>111317.73</v>
      </c>
      <c r="G10" s="13" t="s">
        <v>24</v>
      </c>
      <c r="H10" s="14" t="str">
        <f t="shared" si="0"/>
        <v>C</v>
      </c>
      <c r="I10" s="15" t="str">
        <f t="shared" si="1"/>
        <v>The Commissioner &amp; Chief Constable are satisfied the spend represents VFM in accordance with the requirements of Category C</v>
      </c>
      <c r="J10" s="16"/>
      <c r="K10" s="16"/>
    </row>
    <row r="11" spans="1:13" x14ac:dyDescent="0.2">
      <c r="A11" s="10" t="s">
        <v>8</v>
      </c>
      <c r="B11" s="11" t="s">
        <v>9</v>
      </c>
      <c r="C11" s="75" t="s">
        <v>30</v>
      </c>
      <c r="D11" s="86">
        <v>7176686</v>
      </c>
      <c r="E11" s="85">
        <v>45538</v>
      </c>
      <c r="F11" s="18">
        <v>98807.94</v>
      </c>
      <c r="G11" s="13" t="s">
        <v>31</v>
      </c>
      <c r="H11" s="14" t="str">
        <f t="shared" si="0"/>
        <v>C</v>
      </c>
      <c r="I11" s="15" t="str">
        <f t="shared" si="1"/>
        <v>The Commissioner &amp; Chief Constable are satisfied the spend represents VFM in accordance with the requirements of Category C</v>
      </c>
      <c r="J11" s="16"/>
      <c r="K11" s="16"/>
    </row>
    <row r="12" spans="1:13" x14ac:dyDescent="0.2">
      <c r="A12" s="10" t="s">
        <v>8</v>
      </c>
      <c r="B12" s="11" t="s">
        <v>9</v>
      </c>
      <c r="C12" s="75" t="s">
        <v>46</v>
      </c>
      <c r="D12" s="86">
        <v>7176659</v>
      </c>
      <c r="E12" s="85">
        <v>45537</v>
      </c>
      <c r="F12" s="12">
        <v>80949.009999999995</v>
      </c>
      <c r="G12" s="19" t="s">
        <v>47</v>
      </c>
      <c r="H12" s="14" t="str">
        <f t="shared" si="0"/>
        <v>C</v>
      </c>
      <c r="I12" s="15" t="str">
        <f t="shared" si="1"/>
        <v>The Commissioner &amp; Chief Constable are satisfied the spend represents VFM in accordance with the requirements of Category C</v>
      </c>
      <c r="J12" s="16"/>
      <c r="K12" s="16"/>
    </row>
    <row r="13" spans="1:13" x14ac:dyDescent="0.2">
      <c r="A13" s="10" t="s">
        <v>8</v>
      </c>
      <c r="B13" s="11" t="s">
        <v>9</v>
      </c>
      <c r="C13" s="77" t="s">
        <v>267</v>
      </c>
      <c r="D13" s="86">
        <v>7176847</v>
      </c>
      <c r="E13" s="85">
        <v>45547</v>
      </c>
      <c r="F13" s="18">
        <v>79748</v>
      </c>
      <c r="G13" s="13" t="s">
        <v>133</v>
      </c>
      <c r="H13" s="14" t="str">
        <f t="shared" si="0"/>
        <v>C</v>
      </c>
      <c r="I13" s="15" t="str">
        <f t="shared" si="1"/>
        <v>The Commissioner &amp; Chief Constable are satisfied the spend represents VFM in accordance with the requirements of Category C</v>
      </c>
      <c r="J13" s="16"/>
      <c r="K13" s="16"/>
    </row>
    <row r="14" spans="1:13" x14ac:dyDescent="0.2">
      <c r="A14" s="10" t="s">
        <v>8</v>
      </c>
      <c r="B14" s="11" t="s">
        <v>9</v>
      </c>
      <c r="C14" s="75" t="s">
        <v>415</v>
      </c>
      <c r="D14" s="86">
        <v>7177100</v>
      </c>
      <c r="E14" s="85">
        <v>45548</v>
      </c>
      <c r="F14" s="18">
        <v>68681.77</v>
      </c>
      <c r="G14" s="13" t="s">
        <v>164</v>
      </c>
      <c r="H14" s="14" t="str">
        <f t="shared" si="0"/>
        <v>C</v>
      </c>
      <c r="I14" s="15" t="str">
        <f t="shared" si="1"/>
        <v>The Commissioner &amp; Chief Constable are satisfied the spend represents VFM in accordance with the requirements of Category C</v>
      </c>
      <c r="J14" s="16"/>
      <c r="K14" s="16"/>
    </row>
    <row r="15" spans="1:13" x14ac:dyDescent="0.2">
      <c r="A15" s="10" t="s">
        <v>8</v>
      </c>
      <c r="B15" s="11" t="s">
        <v>9</v>
      </c>
      <c r="C15" s="75" t="s">
        <v>26</v>
      </c>
      <c r="D15" s="86">
        <v>7176957</v>
      </c>
      <c r="E15" s="85">
        <v>45544</v>
      </c>
      <c r="F15" s="18">
        <v>65352.07</v>
      </c>
      <c r="G15" s="19" t="s">
        <v>53</v>
      </c>
      <c r="H15" s="14" t="str">
        <f t="shared" si="0"/>
        <v>C</v>
      </c>
      <c r="I15" s="15" t="str">
        <f t="shared" si="1"/>
        <v>The Commissioner &amp; Chief Constable are satisfied the spend represents VFM in accordance with the requirements of Category C</v>
      </c>
      <c r="J15" s="16"/>
      <c r="K15" s="16"/>
    </row>
    <row r="16" spans="1:13" x14ac:dyDescent="0.2">
      <c r="A16" s="10" t="s">
        <v>8</v>
      </c>
      <c r="B16" s="11" t="s">
        <v>9</v>
      </c>
      <c r="C16" s="75" t="s">
        <v>71</v>
      </c>
      <c r="D16" s="86">
        <v>7177081</v>
      </c>
      <c r="E16" s="85">
        <v>45551</v>
      </c>
      <c r="F16" s="18">
        <v>64876.01</v>
      </c>
      <c r="G16" s="13" t="s">
        <v>15</v>
      </c>
      <c r="H16" s="14" t="str">
        <f t="shared" si="0"/>
        <v>C</v>
      </c>
      <c r="I16" s="15" t="str">
        <f t="shared" si="1"/>
        <v>The Commissioner &amp; Chief Constable are satisfied the spend represents VFM in accordance with the requirements of Category C</v>
      </c>
      <c r="J16" s="16"/>
      <c r="K16" s="16"/>
    </row>
    <row r="17" spans="1:11" x14ac:dyDescent="0.2">
      <c r="A17" s="10" t="s">
        <v>8</v>
      </c>
      <c r="B17" s="11" t="s">
        <v>9</v>
      </c>
      <c r="C17" s="77" t="s">
        <v>77</v>
      </c>
      <c r="D17" s="86">
        <v>7176819</v>
      </c>
      <c r="E17" s="85">
        <v>45541</v>
      </c>
      <c r="F17" s="18">
        <v>60873</v>
      </c>
      <c r="G17" s="13" t="s">
        <v>22</v>
      </c>
      <c r="H17" s="14" t="str">
        <f t="shared" si="0"/>
        <v>C</v>
      </c>
      <c r="I17" s="15" t="str">
        <f t="shared" si="1"/>
        <v>The Commissioner &amp; Chief Constable are satisfied the spend represents VFM in accordance with the requirements of Category C</v>
      </c>
      <c r="J17" s="16"/>
      <c r="K17" s="16"/>
    </row>
    <row r="18" spans="1:11" x14ac:dyDescent="0.2">
      <c r="A18" s="10" t="s">
        <v>8</v>
      </c>
      <c r="B18" s="11" t="s">
        <v>9</v>
      </c>
      <c r="C18" s="75" t="s">
        <v>52</v>
      </c>
      <c r="D18" s="86">
        <v>7176909</v>
      </c>
      <c r="E18" s="85">
        <v>45544</v>
      </c>
      <c r="F18" s="18">
        <v>60440</v>
      </c>
      <c r="G18" s="13" t="s">
        <v>45</v>
      </c>
      <c r="H18" s="14" t="str">
        <f t="shared" si="0"/>
        <v>C</v>
      </c>
      <c r="I18" s="15" t="str">
        <f t="shared" si="1"/>
        <v>The Commissioner &amp; Chief Constable are satisfied the spend represents VFM in accordance with the requirements of Category C</v>
      </c>
      <c r="J18" s="16"/>
      <c r="K18" s="16"/>
    </row>
    <row r="19" spans="1:11" x14ac:dyDescent="0.2">
      <c r="A19" s="10" t="s">
        <v>8</v>
      </c>
      <c r="B19" s="11" t="s">
        <v>9</v>
      </c>
      <c r="C19" s="77" t="s">
        <v>799</v>
      </c>
      <c r="D19" s="86">
        <v>7176850</v>
      </c>
      <c r="E19" s="85">
        <v>45544</v>
      </c>
      <c r="F19" s="18">
        <v>56047.7</v>
      </c>
      <c r="G19" s="13" t="s">
        <v>164</v>
      </c>
      <c r="H19" s="14" t="str">
        <f t="shared" si="0"/>
        <v>C</v>
      </c>
      <c r="I19" s="15" t="str">
        <f t="shared" si="1"/>
        <v>The Commissioner &amp; Chief Constable are satisfied the spend represents VFM in accordance with the requirements of Category C</v>
      </c>
      <c r="J19" s="16"/>
      <c r="K19" s="16"/>
    </row>
    <row r="20" spans="1:11" x14ac:dyDescent="0.2">
      <c r="A20" s="10" t="s">
        <v>8</v>
      </c>
      <c r="B20" s="11" t="s">
        <v>9</v>
      </c>
      <c r="C20" s="75" t="s">
        <v>44</v>
      </c>
      <c r="D20" s="86">
        <v>7176910</v>
      </c>
      <c r="E20" s="85">
        <v>45544</v>
      </c>
      <c r="F20" s="18">
        <v>54896</v>
      </c>
      <c r="G20" s="13" t="s">
        <v>45</v>
      </c>
      <c r="H20" s="14" t="str">
        <f t="shared" si="0"/>
        <v>C</v>
      </c>
      <c r="I20" s="15" t="str">
        <f t="shared" si="1"/>
        <v>The Commissioner &amp; Chief Constable are satisfied the spend represents VFM in accordance with the requirements of Category C</v>
      </c>
      <c r="J20" s="16"/>
      <c r="K20" s="16"/>
    </row>
    <row r="21" spans="1:11" x14ac:dyDescent="0.2">
      <c r="A21" s="10" t="s">
        <v>8</v>
      </c>
      <c r="B21" s="11" t="s">
        <v>9</v>
      </c>
      <c r="C21" s="77" t="s">
        <v>55</v>
      </c>
      <c r="D21" s="86">
        <v>7177121</v>
      </c>
      <c r="E21" s="85">
        <v>45553</v>
      </c>
      <c r="F21" s="18">
        <v>54833.75</v>
      </c>
      <c r="G21" s="13" t="s">
        <v>27</v>
      </c>
      <c r="H21" s="14" t="str">
        <f t="shared" si="0"/>
        <v>C</v>
      </c>
      <c r="I21" s="15" t="str">
        <f t="shared" si="1"/>
        <v>The Commissioner &amp; Chief Constable are satisfied the spend represents VFM in accordance with the requirements of Category C</v>
      </c>
      <c r="J21" s="16"/>
      <c r="K21" s="16"/>
    </row>
    <row r="22" spans="1:11" x14ac:dyDescent="0.2">
      <c r="A22" s="10" t="s">
        <v>8</v>
      </c>
      <c r="B22" s="11" t="s">
        <v>9</v>
      </c>
      <c r="C22" s="75" t="s">
        <v>907</v>
      </c>
      <c r="D22" s="86">
        <v>7177051</v>
      </c>
      <c r="E22" s="85">
        <v>45547</v>
      </c>
      <c r="F22" s="18">
        <v>43200</v>
      </c>
      <c r="G22" s="13" t="s">
        <v>15</v>
      </c>
      <c r="H22" s="14" t="str">
        <f t="shared" si="0"/>
        <v>C</v>
      </c>
      <c r="I22" s="15" t="str">
        <f t="shared" si="1"/>
        <v>The Commissioner &amp; Chief Constable are satisfied the spend represents VFM in accordance with the requirements of Category C</v>
      </c>
      <c r="J22" s="16"/>
      <c r="K22" s="16"/>
    </row>
    <row r="23" spans="1:11" x14ac:dyDescent="0.2">
      <c r="A23" s="10" t="s">
        <v>8</v>
      </c>
      <c r="B23" s="11" t="s">
        <v>9</v>
      </c>
      <c r="C23" s="75" t="s">
        <v>26</v>
      </c>
      <c r="D23" s="86">
        <v>7176683</v>
      </c>
      <c r="E23" s="85">
        <v>45553</v>
      </c>
      <c r="F23" s="12">
        <v>43164</v>
      </c>
      <c r="G23" s="13" t="s">
        <v>27</v>
      </c>
      <c r="H23" s="14" t="str">
        <f t="shared" si="0"/>
        <v>C</v>
      </c>
      <c r="I23" s="15" t="str">
        <f t="shared" si="1"/>
        <v>The Commissioner &amp; Chief Constable are satisfied the spend represents VFM in accordance with the requirements of Category C</v>
      </c>
      <c r="J23" s="16"/>
      <c r="K23" s="16"/>
    </row>
    <row r="24" spans="1:11" x14ac:dyDescent="0.2">
      <c r="A24" s="10" t="s">
        <v>8</v>
      </c>
      <c r="B24" s="11" t="s">
        <v>9</v>
      </c>
      <c r="C24" s="75" t="s">
        <v>74</v>
      </c>
      <c r="D24" s="86">
        <v>7177016</v>
      </c>
      <c r="E24" s="85">
        <v>45546</v>
      </c>
      <c r="F24" s="12">
        <v>34931.480000000003</v>
      </c>
      <c r="G24" s="13" t="s">
        <v>15</v>
      </c>
      <c r="H24" s="14" t="str">
        <f t="shared" si="0"/>
        <v>C</v>
      </c>
      <c r="I24" s="15" t="str">
        <f t="shared" si="1"/>
        <v>The Commissioner &amp; Chief Constable are satisfied the spend represents VFM in accordance with the requirements of Category C</v>
      </c>
      <c r="J24" s="16"/>
      <c r="K24" s="16"/>
    </row>
    <row r="25" spans="1:11" x14ac:dyDescent="0.2">
      <c r="A25" s="10" t="s">
        <v>8</v>
      </c>
      <c r="B25" s="11" t="s">
        <v>9</v>
      </c>
      <c r="C25" s="77" t="s">
        <v>90</v>
      </c>
      <c r="D25" s="86">
        <v>7177473</v>
      </c>
      <c r="E25" s="85">
        <v>45560</v>
      </c>
      <c r="F25" s="12">
        <v>33877.089999999997</v>
      </c>
      <c r="G25" s="13" t="s">
        <v>164</v>
      </c>
      <c r="H25" s="14" t="str">
        <f t="shared" si="0"/>
        <v>C</v>
      </c>
      <c r="I25" s="15" t="str">
        <f t="shared" si="1"/>
        <v>The Commissioner &amp; Chief Constable are satisfied the spend represents VFM in accordance with the requirements of Category C</v>
      </c>
      <c r="J25" s="16"/>
      <c r="K25" s="16"/>
    </row>
    <row r="26" spans="1:11" x14ac:dyDescent="0.2">
      <c r="A26" s="10" t="s">
        <v>8</v>
      </c>
      <c r="B26" s="11" t="s">
        <v>9</v>
      </c>
      <c r="C26" s="75" t="s">
        <v>448</v>
      </c>
      <c r="D26" s="86">
        <v>7177297</v>
      </c>
      <c r="E26" s="85">
        <v>45559</v>
      </c>
      <c r="F26" s="12">
        <v>33733.75</v>
      </c>
      <c r="G26" s="13" t="s">
        <v>27</v>
      </c>
      <c r="H26" s="14" t="str">
        <f t="shared" si="0"/>
        <v>C</v>
      </c>
      <c r="I26" s="15" t="str">
        <f t="shared" si="1"/>
        <v>The Commissioner &amp; Chief Constable are satisfied the spend represents VFM in accordance with the requirements of Category C</v>
      </c>
      <c r="J26" s="16"/>
      <c r="K26" s="16"/>
    </row>
    <row r="27" spans="1:11" x14ac:dyDescent="0.2">
      <c r="A27" s="10" t="s">
        <v>8</v>
      </c>
      <c r="B27" s="11" t="s">
        <v>9</v>
      </c>
      <c r="C27" s="75" t="s">
        <v>48</v>
      </c>
      <c r="D27" s="86">
        <v>7175376</v>
      </c>
      <c r="E27" s="85">
        <v>45546</v>
      </c>
      <c r="F27" s="12">
        <v>32710</v>
      </c>
      <c r="G27" s="13" t="s">
        <v>58</v>
      </c>
      <c r="H27" s="14" t="str">
        <f t="shared" si="0"/>
        <v>C</v>
      </c>
      <c r="I27" s="15" t="str">
        <f t="shared" si="1"/>
        <v>The Commissioner &amp; Chief Constable are satisfied the spend represents VFM in accordance with the requirements of Category C</v>
      </c>
      <c r="J27" s="16"/>
      <c r="K27" s="16"/>
    </row>
    <row r="28" spans="1:11" x14ac:dyDescent="0.2">
      <c r="A28" s="10" t="s">
        <v>8</v>
      </c>
      <c r="B28" s="11" t="s">
        <v>9</v>
      </c>
      <c r="C28" s="75" t="s">
        <v>488</v>
      </c>
      <c r="D28" s="86">
        <v>3068500</v>
      </c>
      <c r="E28" s="85">
        <v>45545</v>
      </c>
      <c r="F28" s="12">
        <v>30286.45</v>
      </c>
      <c r="G28" s="13" t="s">
        <v>579</v>
      </c>
      <c r="H28" s="14" t="str">
        <f t="shared" si="0"/>
        <v>C</v>
      </c>
      <c r="I28" s="15" t="str">
        <f t="shared" si="1"/>
        <v>The Commissioner &amp; Chief Constable are satisfied the spend represents VFM in accordance with the requirements of Category C</v>
      </c>
      <c r="J28" s="16"/>
      <c r="K28" s="16"/>
    </row>
    <row r="29" spans="1:11" x14ac:dyDescent="0.2">
      <c r="A29" s="10" t="s">
        <v>8</v>
      </c>
      <c r="B29" s="11" t="s">
        <v>9</v>
      </c>
      <c r="C29" s="75" t="s">
        <v>488</v>
      </c>
      <c r="D29" s="86">
        <v>3068591</v>
      </c>
      <c r="E29" s="85">
        <v>45562</v>
      </c>
      <c r="F29" s="12">
        <v>30036.89</v>
      </c>
      <c r="G29" s="13" t="s">
        <v>579</v>
      </c>
      <c r="H29" s="14" t="str">
        <f t="shared" si="0"/>
        <v>C</v>
      </c>
      <c r="I29" s="15" t="str">
        <f t="shared" si="1"/>
        <v>The Commissioner &amp; Chief Constable are satisfied the spend represents VFM in accordance with the requirements of Category C</v>
      </c>
      <c r="J29" s="16"/>
      <c r="K29" s="16"/>
    </row>
    <row r="30" spans="1:11" x14ac:dyDescent="0.2">
      <c r="A30" s="10" t="s">
        <v>8</v>
      </c>
      <c r="B30" s="11" t="s">
        <v>9</v>
      </c>
      <c r="C30" s="75" t="s">
        <v>897</v>
      </c>
      <c r="D30" s="86">
        <v>7177278</v>
      </c>
      <c r="E30" s="85">
        <v>45558</v>
      </c>
      <c r="F30" s="12">
        <v>29703</v>
      </c>
      <c r="G30" s="19" t="s">
        <v>131</v>
      </c>
      <c r="H30" s="14" t="str">
        <f t="shared" si="0"/>
        <v>C</v>
      </c>
      <c r="I30" s="15" t="str">
        <f t="shared" si="1"/>
        <v>The Commissioner &amp; Chief Constable are satisfied the spend represents VFM in accordance with the requirements of Category C</v>
      </c>
      <c r="J30" s="16"/>
      <c r="K30" s="16"/>
    </row>
    <row r="31" spans="1:11" x14ac:dyDescent="0.2">
      <c r="A31" s="10" t="s">
        <v>8</v>
      </c>
      <c r="B31" s="11" t="s">
        <v>9</v>
      </c>
      <c r="C31" s="75" t="s">
        <v>26</v>
      </c>
      <c r="D31" s="86">
        <v>7177384</v>
      </c>
      <c r="E31" s="85">
        <v>45558</v>
      </c>
      <c r="F31" s="12">
        <v>29055.719999999998</v>
      </c>
      <c r="G31" s="19" t="s">
        <v>88</v>
      </c>
      <c r="H31" s="14" t="str">
        <f t="shared" si="0"/>
        <v>C</v>
      </c>
      <c r="I31" s="15" t="str">
        <f t="shared" si="1"/>
        <v>The Commissioner &amp; Chief Constable are satisfied the spend represents VFM in accordance with the requirements of Category C</v>
      </c>
      <c r="J31" s="16"/>
      <c r="K31" s="16"/>
    </row>
    <row r="32" spans="1:11" x14ac:dyDescent="0.2">
      <c r="A32" s="10" t="s">
        <v>8</v>
      </c>
      <c r="B32" s="11" t="s">
        <v>9</v>
      </c>
      <c r="C32" s="75" t="s">
        <v>48</v>
      </c>
      <c r="D32" s="86">
        <v>7176577</v>
      </c>
      <c r="E32" s="85">
        <v>45544</v>
      </c>
      <c r="F32" s="12">
        <v>27520.13</v>
      </c>
      <c r="G32" s="19" t="s">
        <v>58</v>
      </c>
      <c r="H32" s="14" t="str">
        <f t="shared" si="0"/>
        <v>C</v>
      </c>
      <c r="I32" s="15" t="str">
        <f t="shared" si="1"/>
        <v>The Commissioner &amp; Chief Constable are satisfied the spend represents VFM in accordance with the requirements of Category C</v>
      </c>
      <c r="J32" s="16"/>
      <c r="K32" s="16"/>
    </row>
    <row r="33" spans="1:11" x14ac:dyDescent="0.2">
      <c r="A33" s="10" t="s">
        <v>8</v>
      </c>
      <c r="B33" s="11" t="s">
        <v>9</v>
      </c>
      <c r="C33" s="75" t="s">
        <v>72</v>
      </c>
      <c r="D33" s="86">
        <v>7176617</v>
      </c>
      <c r="E33" s="85">
        <v>45541</v>
      </c>
      <c r="F33" s="12">
        <v>26981.13</v>
      </c>
      <c r="G33" s="19" t="s">
        <v>27</v>
      </c>
      <c r="H33" s="14" t="str">
        <f t="shared" si="0"/>
        <v>C</v>
      </c>
      <c r="I33" s="15" t="str">
        <f t="shared" si="1"/>
        <v>The Commissioner &amp; Chief Constable are satisfied the spend represents VFM in accordance with the requirements of Category C</v>
      </c>
      <c r="J33" s="16"/>
      <c r="K33" s="16"/>
    </row>
    <row r="34" spans="1:11" x14ac:dyDescent="0.2">
      <c r="A34" s="10" t="s">
        <v>8</v>
      </c>
      <c r="B34" s="11" t="s">
        <v>9</v>
      </c>
      <c r="C34" s="77" t="s">
        <v>488</v>
      </c>
      <c r="D34" s="86">
        <v>7177070</v>
      </c>
      <c r="E34" s="85">
        <v>45552</v>
      </c>
      <c r="F34" s="12">
        <v>25000</v>
      </c>
      <c r="G34" s="19" t="s">
        <v>89</v>
      </c>
      <c r="H34" s="14" t="str">
        <f t="shared" si="0"/>
        <v>B</v>
      </c>
      <c r="I34" s="15" t="str">
        <f t="shared" si="1"/>
        <v>The Commissioner &amp; Chief Constable are satisfied the spend represents VFM in accordance with the requirements of Category B</v>
      </c>
      <c r="J34" s="16"/>
      <c r="K34" s="16"/>
    </row>
    <row r="35" spans="1:11" x14ac:dyDescent="0.2">
      <c r="A35" s="10" t="s">
        <v>8</v>
      </c>
      <c r="B35" s="11" t="s">
        <v>9</v>
      </c>
      <c r="C35" s="75" t="s">
        <v>48</v>
      </c>
      <c r="D35" s="86">
        <v>7176553</v>
      </c>
      <c r="E35" s="85">
        <v>45544</v>
      </c>
      <c r="F35" s="12">
        <v>24782.44</v>
      </c>
      <c r="G35" s="19" t="s">
        <v>58</v>
      </c>
      <c r="H35" s="14" t="str">
        <f t="shared" si="0"/>
        <v>B</v>
      </c>
      <c r="I35" s="15" t="str">
        <f t="shared" si="1"/>
        <v>The Commissioner &amp; Chief Constable are satisfied the spend represents VFM in accordance with the requirements of Category B</v>
      </c>
      <c r="J35" s="16"/>
      <c r="K35" s="16"/>
    </row>
    <row r="36" spans="1:11" x14ac:dyDescent="0.2">
      <c r="A36" s="10" t="s">
        <v>8</v>
      </c>
      <c r="B36" s="11" t="s">
        <v>9</v>
      </c>
      <c r="C36" s="75" t="s">
        <v>52</v>
      </c>
      <c r="D36" s="86">
        <v>7176745</v>
      </c>
      <c r="E36" s="85">
        <v>45547</v>
      </c>
      <c r="F36" s="12">
        <v>1353</v>
      </c>
      <c r="G36" s="19" t="s">
        <v>45</v>
      </c>
      <c r="H36" s="14" t="str">
        <f t="shared" si="0"/>
        <v>B</v>
      </c>
      <c r="I36" s="15" t="str">
        <f t="shared" si="1"/>
        <v>The Commissioner &amp; Chief Constable are satisfied the spend represents VFM in accordance with the requirements of Category B</v>
      </c>
      <c r="J36" s="16"/>
      <c r="K36" s="16"/>
    </row>
    <row r="37" spans="1:11" x14ac:dyDescent="0.2">
      <c r="A37" s="10" t="s">
        <v>8</v>
      </c>
      <c r="B37" s="11" t="s">
        <v>9</v>
      </c>
      <c r="C37" s="75" t="s">
        <v>52</v>
      </c>
      <c r="D37" s="86">
        <v>7176745</v>
      </c>
      <c r="E37" s="85">
        <v>45547</v>
      </c>
      <c r="F37" s="12">
        <v>16856.5</v>
      </c>
      <c r="G37" s="19" t="s">
        <v>81</v>
      </c>
      <c r="H37" s="14" t="str">
        <f t="shared" si="0"/>
        <v>B</v>
      </c>
      <c r="I37" s="15" t="str">
        <f t="shared" si="1"/>
        <v>The Commissioner &amp; Chief Constable are satisfied the spend represents VFM in accordance with the requirements of Category B</v>
      </c>
      <c r="J37" s="16"/>
      <c r="K37" s="16"/>
    </row>
    <row r="38" spans="1:11" x14ac:dyDescent="0.2">
      <c r="A38" s="10" t="s">
        <v>8</v>
      </c>
      <c r="B38" s="11" t="s">
        <v>9</v>
      </c>
      <c r="C38" s="75" t="s">
        <v>52</v>
      </c>
      <c r="D38" s="86">
        <v>7176745</v>
      </c>
      <c r="E38" s="85">
        <v>45547</v>
      </c>
      <c r="F38" s="18">
        <v>6348</v>
      </c>
      <c r="G38" s="13" t="s">
        <v>82</v>
      </c>
      <c r="H38" s="14" t="str">
        <f t="shared" si="0"/>
        <v>B</v>
      </c>
      <c r="I38" s="15" t="str">
        <f t="shared" si="1"/>
        <v>The Commissioner &amp; Chief Constable are satisfied the spend represents VFM in accordance with the requirements of Category B</v>
      </c>
      <c r="J38" s="16"/>
      <c r="K38" s="16"/>
    </row>
    <row r="39" spans="1:11" x14ac:dyDescent="0.2">
      <c r="A39" s="10" t="s">
        <v>8</v>
      </c>
      <c r="B39" s="11" t="s">
        <v>9</v>
      </c>
      <c r="C39" s="75" t="s">
        <v>877</v>
      </c>
      <c r="D39" s="86">
        <v>7176893</v>
      </c>
      <c r="E39" s="85">
        <v>45545</v>
      </c>
      <c r="F39" s="12">
        <v>23413</v>
      </c>
      <c r="G39" s="13" t="s">
        <v>22</v>
      </c>
      <c r="H39" s="14" t="str">
        <f t="shared" si="0"/>
        <v>B</v>
      </c>
      <c r="I39" s="15" t="str">
        <f t="shared" si="1"/>
        <v>The Commissioner &amp; Chief Constable are satisfied the spend represents VFM in accordance with the requirements of Category B</v>
      </c>
      <c r="J39" s="16"/>
      <c r="K39" s="16"/>
    </row>
    <row r="40" spans="1:11" x14ac:dyDescent="0.2">
      <c r="A40" s="10" t="s">
        <v>8</v>
      </c>
      <c r="B40" s="11" t="s">
        <v>9</v>
      </c>
      <c r="C40" s="75" t="s">
        <v>74</v>
      </c>
      <c r="D40" s="86">
        <v>7177092</v>
      </c>
      <c r="E40" s="85">
        <v>45558</v>
      </c>
      <c r="F40" s="12">
        <v>23393.4</v>
      </c>
      <c r="G40" s="13" t="s">
        <v>131</v>
      </c>
      <c r="H40" s="14" t="str">
        <f t="shared" si="0"/>
        <v>B</v>
      </c>
      <c r="I40" s="15" t="str">
        <f t="shared" si="1"/>
        <v>The Commissioner &amp; Chief Constable are satisfied the spend represents VFM in accordance with the requirements of Category B</v>
      </c>
      <c r="J40" s="16"/>
      <c r="K40" s="16"/>
    </row>
    <row r="41" spans="1:11" x14ac:dyDescent="0.2">
      <c r="A41" s="10" t="s">
        <v>8</v>
      </c>
      <c r="B41" s="11" t="s">
        <v>9</v>
      </c>
      <c r="C41" s="75" t="s">
        <v>26</v>
      </c>
      <c r="D41" s="86">
        <v>7176750</v>
      </c>
      <c r="E41" s="85">
        <v>45539</v>
      </c>
      <c r="F41" s="12">
        <v>23037.88</v>
      </c>
      <c r="G41" s="13" t="s">
        <v>88</v>
      </c>
      <c r="H41" s="14" t="str">
        <f t="shared" si="0"/>
        <v>B</v>
      </c>
      <c r="I41" s="15" t="str">
        <f t="shared" si="1"/>
        <v>The Commissioner &amp; Chief Constable are satisfied the spend represents VFM in accordance with the requirements of Category B</v>
      </c>
      <c r="J41" s="16"/>
      <c r="K41" s="16"/>
    </row>
    <row r="42" spans="1:11" x14ac:dyDescent="0.2">
      <c r="A42" s="10" t="s">
        <v>8</v>
      </c>
      <c r="B42" s="11" t="s">
        <v>9</v>
      </c>
      <c r="C42" s="75" t="s">
        <v>395</v>
      </c>
      <c r="D42" s="86">
        <v>7176970</v>
      </c>
      <c r="E42" s="85">
        <v>45554</v>
      </c>
      <c r="F42" s="12">
        <v>22875</v>
      </c>
      <c r="G42" s="13" t="s">
        <v>75</v>
      </c>
      <c r="H42" s="14" t="str">
        <f t="shared" si="0"/>
        <v>B</v>
      </c>
      <c r="I42" s="15" t="str">
        <f t="shared" si="1"/>
        <v>The Commissioner &amp; Chief Constable are satisfied the spend represents VFM in accordance with the requirements of Category B</v>
      </c>
      <c r="J42" s="16"/>
      <c r="K42" s="16"/>
    </row>
    <row r="43" spans="1:11" x14ac:dyDescent="0.2">
      <c r="A43" s="10" t="s">
        <v>8</v>
      </c>
      <c r="B43" s="11" t="s">
        <v>9</v>
      </c>
      <c r="C43" s="75" t="s">
        <v>44</v>
      </c>
      <c r="D43" s="86">
        <v>7176674</v>
      </c>
      <c r="E43" s="85">
        <v>45538</v>
      </c>
      <c r="F43" s="12">
        <v>3015</v>
      </c>
      <c r="G43" s="13" t="s">
        <v>45</v>
      </c>
      <c r="H43" s="14" t="str">
        <f t="shared" si="0"/>
        <v>B</v>
      </c>
      <c r="I43" s="15" t="str">
        <f t="shared" si="1"/>
        <v>The Commissioner &amp; Chief Constable are satisfied the spend represents VFM in accordance with the requirements of Category B</v>
      </c>
      <c r="J43" s="16"/>
      <c r="K43" s="16"/>
    </row>
    <row r="44" spans="1:11" x14ac:dyDescent="0.2">
      <c r="A44" s="10" t="s">
        <v>8</v>
      </c>
      <c r="B44" s="11" t="s">
        <v>9</v>
      </c>
      <c r="C44" s="75" t="s">
        <v>44</v>
      </c>
      <c r="D44" s="86">
        <v>7176674</v>
      </c>
      <c r="E44" s="85">
        <v>45538</v>
      </c>
      <c r="F44" s="12">
        <v>11302</v>
      </c>
      <c r="G44" s="13" t="s">
        <v>81</v>
      </c>
      <c r="H44" s="14" t="str">
        <f t="shared" si="0"/>
        <v>B</v>
      </c>
      <c r="I44" s="15" t="str">
        <f t="shared" si="1"/>
        <v>The Commissioner &amp; Chief Constable are satisfied the spend represents VFM in accordance with the requirements of Category B</v>
      </c>
      <c r="J44" s="16"/>
      <c r="K44" s="16"/>
    </row>
    <row r="45" spans="1:11" x14ac:dyDescent="0.2">
      <c r="A45" s="10" t="s">
        <v>8</v>
      </c>
      <c r="B45" s="11" t="s">
        <v>9</v>
      </c>
      <c r="C45" s="75" t="s">
        <v>44</v>
      </c>
      <c r="D45" s="86">
        <v>7176674</v>
      </c>
      <c r="E45" s="85">
        <v>45538</v>
      </c>
      <c r="F45" s="12">
        <v>8242</v>
      </c>
      <c r="G45" s="13" t="s">
        <v>82</v>
      </c>
      <c r="H45" s="14" t="str">
        <f t="shared" si="0"/>
        <v>B</v>
      </c>
      <c r="I45" s="15" t="str">
        <f t="shared" si="1"/>
        <v>The Commissioner &amp; Chief Constable are satisfied the spend represents VFM in accordance with the requirements of Category B</v>
      </c>
      <c r="J45" s="16"/>
      <c r="K45" s="16"/>
    </row>
    <row r="46" spans="1:11" x14ac:dyDescent="0.2">
      <c r="A46" s="10" t="s">
        <v>8</v>
      </c>
      <c r="B46" s="11" t="s">
        <v>9</v>
      </c>
      <c r="C46" s="75" t="s">
        <v>800</v>
      </c>
      <c r="D46" s="86">
        <v>7176068</v>
      </c>
      <c r="E46" s="85">
        <v>45548</v>
      </c>
      <c r="F46" s="12">
        <v>22376.21</v>
      </c>
      <c r="G46" s="13" t="s">
        <v>27</v>
      </c>
      <c r="H46" s="14" t="str">
        <f t="shared" si="0"/>
        <v>B</v>
      </c>
      <c r="I46" s="15" t="str">
        <f t="shared" si="1"/>
        <v>The Commissioner &amp; Chief Constable are satisfied the spend represents VFM in accordance with the requirements of Category B</v>
      </c>
      <c r="J46" s="16"/>
      <c r="K46" s="16"/>
    </row>
    <row r="47" spans="1:11" x14ac:dyDescent="0.2">
      <c r="A47" s="10" t="s">
        <v>8</v>
      </c>
      <c r="B47" s="11" t="s">
        <v>9</v>
      </c>
      <c r="C47" s="75" t="s">
        <v>800</v>
      </c>
      <c r="D47" s="86">
        <v>7176067</v>
      </c>
      <c r="E47" s="85">
        <v>45539</v>
      </c>
      <c r="F47" s="12">
        <v>22376.21</v>
      </c>
      <c r="G47" s="13" t="s">
        <v>27</v>
      </c>
      <c r="H47" s="14" t="str">
        <f t="shared" si="0"/>
        <v>B</v>
      </c>
      <c r="I47" s="15" t="str">
        <f t="shared" si="1"/>
        <v>The Commissioner &amp; Chief Constable are satisfied the spend represents VFM in accordance with the requirements of Category B</v>
      </c>
      <c r="J47" s="16"/>
      <c r="K47" s="16"/>
    </row>
    <row r="48" spans="1:11" x14ac:dyDescent="0.2">
      <c r="A48" s="10" t="s">
        <v>8</v>
      </c>
      <c r="B48" s="11" t="s">
        <v>9</v>
      </c>
      <c r="C48" s="75" t="s">
        <v>877</v>
      </c>
      <c r="D48" s="86">
        <v>7175987</v>
      </c>
      <c r="E48" s="85">
        <v>45540</v>
      </c>
      <c r="F48" s="12">
        <v>22152.5</v>
      </c>
      <c r="G48" s="13" t="s">
        <v>54</v>
      </c>
      <c r="H48" s="14" t="str">
        <f t="shared" si="0"/>
        <v>B</v>
      </c>
      <c r="I48" s="15" t="str">
        <f t="shared" si="1"/>
        <v>The Commissioner &amp; Chief Constable are satisfied the spend represents VFM in accordance with the requirements of Category B</v>
      </c>
      <c r="J48" s="16"/>
      <c r="K48" s="16"/>
    </row>
    <row r="49" spans="1:11" x14ac:dyDescent="0.2">
      <c r="A49" s="10" t="s">
        <v>8</v>
      </c>
      <c r="B49" s="11" t="s">
        <v>9</v>
      </c>
      <c r="C49" s="75" t="s">
        <v>26</v>
      </c>
      <c r="D49" s="86">
        <v>7176884</v>
      </c>
      <c r="E49" s="85">
        <v>45544</v>
      </c>
      <c r="F49" s="12">
        <v>21825.42</v>
      </c>
      <c r="G49" s="13" t="s">
        <v>88</v>
      </c>
      <c r="H49" s="14" t="str">
        <f t="shared" si="0"/>
        <v>B</v>
      </c>
      <c r="I49" s="15" t="str">
        <f t="shared" si="1"/>
        <v>The Commissioner &amp; Chief Constable are satisfied the spend represents VFM in accordance with the requirements of Category B</v>
      </c>
      <c r="J49" s="16"/>
      <c r="K49" s="16"/>
    </row>
    <row r="50" spans="1:11" x14ac:dyDescent="0.2">
      <c r="A50" s="10" t="s">
        <v>8</v>
      </c>
      <c r="B50" s="11" t="s">
        <v>9</v>
      </c>
      <c r="C50" s="75" t="s">
        <v>26</v>
      </c>
      <c r="D50" s="86">
        <v>7176886</v>
      </c>
      <c r="E50" s="85">
        <v>45547</v>
      </c>
      <c r="F50" s="12">
        <v>21715.86</v>
      </c>
      <c r="G50" s="13" t="s">
        <v>88</v>
      </c>
      <c r="H50" s="14" t="str">
        <f t="shared" si="0"/>
        <v>B</v>
      </c>
      <c r="I50" s="15" t="str">
        <f t="shared" si="1"/>
        <v>The Commissioner &amp; Chief Constable are satisfied the spend represents VFM in accordance with the requirements of Category B</v>
      </c>
      <c r="J50" s="16"/>
      <c r="K50" s="16"/>
    </row>
    <row r="51" spans="1:11" x14ac:dyDescent="0.2">
      <c r="A51" s="10" t="s">
        <v>8</v>
      </c>
      <c r="B51" s="11" t="s">
        <v>9</v>
      </c>
      <c r="C51" s="75" t="s">
        <v>74</v>
      </c>
      <c r="D51" s="86">
        <v>7176932</v>
      </c>
      <c r="E51" s="85">
        <v>45544</v>
      </c>
      <c r="F51" s="18">
        <v>21116.76</v>
      </c>
      <c r="G51" s="13" t="s">
        <v>15</v>
      </c>
      <c r="H51" s="14" t="str">
        <f t="shared" si="0"/>
        <v>B</v>
      </c>
      <c r="I51" s="15" t="str">
        <f t="shared" si="1"/>
        <v>The Commissioner &amp; Chief Constable are satisfied the spend represents VFM in accordance with the requirements of Category B</v>
      </c>
      <c r="J51" s="16"/>
      <c r="K51" s="16"/>
    </row>
    <row r="52" spans="1:11" x14ac:dyDescent="0.2">
      <c r="A52" s="10" t="s">
        <v>8</v>
      </c>
      <c r="B52" s="11" t="s">
        <v>9</v>
      </c>
      <c r="C52" s="75" t="s">
        <v>583</v>
      </c>
      <c r="D52" s="86">
        <v>7176552</v>
      </c>
      <c r="E52" s="85">
        <v>45539</v>
      </c>
      <c r="F52" s="12">
        <v>20000</v>
      </c>
      <c r="G52" s="13" t="s">
        <v>27</v>
      </c>
      <c r="H52" s="14" t="str">
        <f t="shared" si="0"/>
        <v>B</v>
      </c>
      <c r="I52" s="15" t="str">
        <f t="shared" si="1"/>
        <v>The Commissioner &amp; Chief Constable are satisfied the spend represents VFM in accordance with the requirements of Category B</v>
      </c>
      <c r="J52" s="16"/>
      <c r="K52" s="16"/>
    </row>
    <row r="53" spans="1:11" x14ac:dyDescent="0.2">
      <c r="A53" s="10" t="s">
        <v>8</v>
      </c>
      <c r="B53" s="11" t="s">
        <v>9</v>
      </c>
      <c r="C53" s="75" t="s">
        <v>85</v>
      </c>
      <c r="D53" s="86">
        <v>7176938</v>
      </c>
      <c r="E53" s="85">
        <v>45548</v>
      </c>
      <c r="F53" s="18">
        <v>18776.919999999998</v>
      </c>
      <c r="G53" s="13" t="s">
        <v>27</v>
      </c>
      <c r="H53" s="14" t="str">
        <f t="shared" si="0"/>
        <v>B</v>
      </c>
      <c r="I53" s="15" t="str">
        <f t="shared" si="1"/>
        <v>The Commissioner &amp; Chief Constable are satisfied the spend represents VFM in accordance with the requirements of Category B</v>
      </c>
      <c r="J53" s="16"/>
      <c r="K53" s="16"/>
    </row>
    <row r="54" spans="1:11" x14ac:dyDescent="0.2">
      <c r="A54" s="10" t="s">
        <v>8</v>
      </c>
      <c r="B54" s="11" t="s">
        <v>9</v>
      </c>
      <c r="C54" s="75" t="s">
        <v>894</v>
      </c>
      <c r="D54" s="86">
        <v>7176788</v>
      </c>
      <c r="E54" s="85">
        <v>45541</v>
      </c>
      <c r="F54" s="12">
        <v>18551.599999999999</v>
      </c>
      <c r="G54" s="13" t="s">
        <v>94</v>
      </c>
      <c r="H54" s="14" t="str">
        <f t="shared" si="0"/>
        <v>B</v>
      </c>
      <c r="I54" s="15" t="str">
        <f t="shared" si="1"/>
        <v>The Commissioner &amp; Chief Constable are satisfied the spend represents VFM in accordance with the requirements of Category B</v>
      </c>
      <c r="J54" s="16"/>
      <c r="K54" s="16"/>
    </row>
    <row r="55" spans="1:11" x14ac:dyDescent="0.2">
      <c r="A55" s="10" t="s">
        <v>8</v>
      </c>
      <c r="B55" s="11" t="s">
        <v>9</v>
      </c>
      <c r="C55" s="75" t="s">
        <v>26</v>
      </c>
      <c r="D55" s="86">
        <v>7176528</v>
      </c>
      <c r="E55" s="85">
        <v>45547</v>
      </c>
      <c r="F55" s="18">
        <v>18377.019999999997</v>
      </c>
      <c r="G55" s="19" t="s">
        <v>76</v>
      </c>
      <c r="H55" s="14" t="str">
        <f t="shared" si="0"/>
        <v>B</v>
      </c>
      <c r="I55" s="15" t="str">
        <f t="shared" si="1"/>
        <v>The Commissioner &amp; Chief Constable are satisfied the spend represents VFM in accordance with the requirements of Category B</v>
      </c>
      <c r="J55" s="16"/>
      <c r="K55" s="16"/>
    </row>
    <row r="56" spans="1:11" x14ac:dyDescent="0.2">
      <c r="A56" s="10" t="s">
        <v>8</v>
      </c>
      <c r="B56" s="11" t="s">
        <v>9</v>
      </c>
      <c r="C56" s="75" t="s">
        <v>486</v>
      </c>
      <c r="D56" s="86">
        <v>7177174</v>
      </c>
      <c r="E56" s="85">
        <v>45553</v>
      </c>
      <c r="F56" s="12">
        <v>18098</v>
      </c>
      <c r="G56" s="19" t="s">
        <v>91</v>
      </c>
      <c r="H56" s="14" t="str">
        <f t="shared" si="0"/>
        <v>B</v>
      </c>
      <c r="I56" s="15" t="str">
        <f t="shared" si="1"/>
        <v>The Commissioner &amp; Chief Constable are satisfied the spend represents VFM in accordance with the requirements of Category B</v>
      </c>
      <c r="J56" s="16"/>
      <c r="K56" s="16"/>
    </row>
    <row r="57" spans="1:11" x14ac:dyDescent="0.2">
      <c r="A57" s="10" t="s">
        <v>8</v>
      </c>
      <c r="B57" s="11" t="s">
        <v>9</v>
      </c>
      <c r="C57" s="75" t="s">
        <v>48</v>
      </c>
      <c r="D57" s="86">
        <v>7177243</v>
      </c>
      <c r="E57" s="85">
        <v>45555</v>
      </c>
      <c r="F57" s="18">
        <v>18077.95</v>
      </c>
      <c r="G57" s="13" t="s">
        <v>58</v>
      </c>
      <c r="H57" s="14" t="str">
        <f t="shared" si="0"/>
        <v>B</v>
      </c>
      <c r="I57" s="15" t="str">
        <f t="shared" si="1"/>
        <v>The Commissioner &amp; Chief Constable are satisfied the spend represents VFM in accordance with the requirements of Category B</v>
      </c>
      <c r="J57" s="16"/>
      <c r="K57" s="16"/>
    </row>
    <row r="58" spans="1:11" x14ac:dyDescent="0.2">
      <c r="A58" s="10" t="s">
        <v>8</v>
      </c>
      <c r="B58" s="11" t="s">
        <v>9</v>
      </c>
      <c r="C58" s="75" t="s">
        <v>137</v>
      </c>
      <c r="D58" s="86">
        <v>7176574</v>
      </c>
      <c r="E58" s="85">
        <v>45544</v>
      </c>
      <c r="F58" s="12">
        <v>17553.2</v>
      </c>
      <c r="G58" s="19" t="s">
        <v>138</v>
      </c>
      <c r="H58" s="14" t="str">
        <f t="shared" si="0"/>
        <v>B</v>
      </c>
      <c r="I58" s="15" t="str">
        <f t="shared" si="1"/>
        <v>The Commissioner &amp; Chief Constable are satisfied the spend represents VFM in accordance with the requirements of Category B</v>
      </c>
      <c r="J58" s="16"/>
      <c r="K58" s="16"/>
    </row>
    <row r="59" spans="1:11" x14ac:dyDescent="0.2">
      <c r="A59" s="10" t="s">
        <v>8</v>
      </c>
      <c r="B59" s="11" t="s">
        <v>9</v>
      </c>
      <c r="C59" s="77" t="s">
        <v>107</v>
      </c>
      <c r="D59" s="86">
        <v>7176871</v>
      </c>
      <c r="E59" s="85">
        <v>45541</v>
      </c>
      <c r="F59" s="18">
        <v>16402.88</v>
      </c>
      <c r="G59" s="13" t="s">
        <v>108</v>
      </c>
      <c r="H59" s="14" t="str">
        <f t="shared" si="0"/>
        <v>B</v>
      </c>
      <c r="I59" s="15" t="str">
        <f t="shared" si="1"/>
        <v>The Commissioner &amp; Chief Constable are satisfied the spend represents VFM in accordance with the requirements of Category B</v>
      </c>
      <c r="J59" s="16"/>
      <c r="K59" s="16"/>
    </row>
    <row r="60" spans="1:11" x14ac:dyDescent="0.2">
      <c r="A60" s="10" t="s">
        <v>8</v>
      </c>
      <c r="B60" s="11" t="s">
        <v>9</v>
      </c>
      <c r="C60" s="75" t="s">
        <v>903</v>
      </c>
      <c r="D60" s="86">
        <v>7176609</v>
      </c>
      <c r="E60" s="85">
        <v>45540</v>
      </c>
      <c r="F60" s="12">
        <v>15701.25</v>
      </c>
      <c r="G60" s="19" t="s">
        <v>177</v>
      </c>
      <c r="H60" s="14" t="str">
        <f t="shared" si="0"/>
        <v>B</v>
      </c>
      <c r="I60" s="15" t="str">
        <f t="shared" si="1"/>
        <v>The Commissioner &amp; Chief Constable are satisfied the spend represents VFM in accordance with the requirements of Category B</v>
      </c>
      <c r="J60" s="16"/>
      <c r="K60" s="16"/>
    </row>
    <row r="61" spans="1:11" x14ac:dyDescent="0.2">
      <c r="A61" s="10" t="s">
        <v>8</v>
      </c>
      <c r="B61" s="11" t="s">
        <v>9</v>
      </c>
      <c r="C61" s="75" t="s">
        <v>103</v>
      </c>
      <c r="D61" s="86">
        <v>7177175</v>
      </c>
      <c r="E61" s="85">
        <v>45553</v>
      </c>
      <c r="F61" s="18">
        <v>15552.6</v>
      </c>
      <c r="G61" s="13" t="s">
        <v>91</v>
      </c>
      <c r="H61" s="14" t="str">
        <f t="shared" si="0"/>
        <v>B</v>
      </c>
      <c r="I61" s="15" t="str">
        <f t="shared" si="1"/>
        <v>The Commissioner &amp; Chief Constable are satisfied the spend represents VFM in accordance with the requirements of Category B</v>
      </c>
      <c r="J61" s="16"/>
      <c r="K61" s="16"/>
    </row>
    <row r="62" spans="1:11" x14ac:dyDescent="0.2">
      <c r="A62" s="10" t="s">
        <v>8</v>
      </c>
      <c r="B62" s="11" t="s">
        <v>9</v>
      </c>
      <c r="C62" s="75" t="s">
        <v>906</v>
      </c>
      <c r="D62" s="86">
        <v>7177005</v>
      </c>
      <c r="E62" s="85">
        <v>45551</v>
      </c>
      <c r="F62" s="12">
        <v>15483.5</v>
      </c>
      <c r="G62" s="13" t="s">
        <v>131</v>
      </c>
      <c r="H62" s="14" t="str">
        <f t="shared" si="0"/>
        <v>B</v>
      </c>
      <c r="I62" s="15" t="str">
        <f t="shared" si="1"/>
        <v>The Commissioner &amp; Chief Constable are satisfied the spend represents VFM in accordance with the requirements of Category B</v>
      </c>
      <c r="J62" s="16"/>
      <c r="K62" s="16"/>
    </row>
    <row r="63" spans="1:11" x14ac:dyDescent="0.2">
      <c r="A63" s="10" t="s">
        <v>8</v>
      </c>
      <c r="B63" s="11" t="s">
        <v>9</v>
      </c>
      <c r="C63" s="75" t="s">
        <v>170</v>
      </c>
      <c r="D63" s="86">
        <v>7177249</v>
      </c>
      <c r="E63" s="85">
        <v>45554</v>
      </c>
      <c r="F63" s="12">
        <v>15393.22</v>
      </c>
      <c r="G63" s="13" t="s">
        <v>27</v>
      </c>
      <c r="H63" s="14" t="str">
        <f t="shared" si="0"/>
        <v>B</v>
      </c>
      <c r="I63" s="15" t="str">
        <f t="shared" si="1"/>
        <v>The Commissioner &amp; Chief Constable are satisfied the spend represents VFM in accordance with the requirements of Category B</v>
      </c>
      <c r="J63" s="16"/>
      <c r="K63" s="16"/>
    </row>
    <row r="64" spans="1:11" x14ac:dyDescent="0.2">
      <c r="A64" s="10" t="s">
        <v>8</v>
      </c>
      <c r="B64" s="11" t="s">
        <v>9</v>
      </c>
      <c r="C64" s="77" t="s">
        <v>79</v>
      </c>
      <c r="D64" s="86">
        <v>9035988</v>
      </c>
      <c r="E64" s="85">
        <v>45545</v>
      </c>
      <c r="F64" s="18">
        <v>15262.4</v>
      </c>
      <c r="G64" s="13" t="s">
        <v>80</v>
      </c>
      <c r="H64" s="14" t="str">
        <f t="shared" si="0"/>
        <v>B</v>
      </c>
      <c r="I64" s="15" t="str">
        <f t="shared" si="1"/>
        <v>The Commissioner &amp; Chief Constable are satisfied the spend represents VFM in accordance with the requirements of Category B</v>
      </c>
      <c r="J64" s="16"/>
      <c r="K64" s="16"/>
    </row>
    <row r="65" spans="1:11" x14ac:dyDescent="0.2">
      <c r="A65" s="10" t="s">
        <v>8</v>
      </c>
      <c r="B65" s="11" t="s">
        <v>9</v>
      </c>
      <c r="C65" s="77" t="s">
        <v>86</v>
      </c>
      <c r="D65" s="86">
        <v>7176744</v>
      </c>
      <c r="E65" s="85">
        <v>45539</v>
      </c>
      <c r="F65" s="18">
        <v>15222.23</v>
      </c>
      <c r="G65" s="13" t="s">
        <v>87</v>
      </c>
      <c r="H65" s="14" t="str">
        <f t="shared" si="0"/>
        <v>B</v>
      </c>
      <c r="I65" s="15" t="str">
        <f t="shared" si="1"/>
        <v>The Commissioner &amp; Chief Constable are satisfied the spend represents VFM in accordance with the requirements of Category B</v>
      </c>
      <c r="J65" s="16"/>
      <c r="K65" s="16"/>
    </row>
    <row r="66" spans="1:11" x14ac:dyDescent="0.2">
      <c r="A66" s="10" t="s">
        <v>8</v>
      </c>
      <c r="B66" s="11" t="s">
        <v>9</v>
      </c>
      <c r="C66" s="75" t="s">
        <v>28</v>
      </c>
      <c r="D66" s="86">
        <v>7177247</v>
      </c>
      <c r="E66" s="85">
        <v>45554</v>
      </c>
      <c r="F66" s="12">
        <v>14579.51</v>
      </c>
      <c r="G66" s="13" t="s">
        <v>27</v>
      </c>
      <c r="H66" s="14" t="str">
        <f t="shared" ref="H66:H129" si="2">IF(F66&gt;25000,"C",IF(F66&gt;1000,"B","A"))</f>
        <v>B</v>
      </c>
      <c r="I66" s="15" t="str">
        <f t="shared" ref="I66:I129" si="3">VLOOKUP(H66,$L$2:$M$4,2,FALSE)</f>
        <v>The Commissioner &amp; Chief Constable are satisfied the spend represents VFM in accordance with the requirements of Category B</v>
      </c>
      <c r="J66" s="16"/>
      <c r="K66" s="16"/>
    </row>
    <row r="67" spans="1:11" x14ac:dyDescent="0.2">
      <c r="A67" s="10" t="s">
        <v>8</v>
      </c>
      <c r="B67" s="11" t="s">
        <v>9</v>
      </c>
      <c r="C67" s="77" t="s">
        <v>74</v>
      </c>
      <c r="D67" s="86">
        <v>7177485</v>
      </c>
      <c r="E67" s="85">
        <v>45561</v>
      </c>
      <c r="F67" s="12">
        <v>14348.84</v>
      </c>
      <c r="G67" s="13" t="s">
        <v>84</v>
      </c>
      <c r="H67" s="14" t="str">
        <f t="shared" si="2"/>
        <v>B</v>
      </c>
      <c r="I67" s="15" t="str">
        <f t="shared" si="3"/>
        <v>The Commissioner &amp; Chief Constable are satisfied the spend represents VFM in accordance with the requirements of Category B</v>
      </c>
      <c r="J67" s="16"/>
      <c r="K67" s="16"/>
    </row>
    <row r="68" spans="1:11" x14ac:dyDescent="0.2">
      <c r="A68" s="10" t="s">
        <v>8</v>
      </c>
      <c r="B68" s="11" t="s">
        <v>9</v>
      </c>
      <c r="C68" s="77" t="s">
        <v>107</v>
      </c>
      <c r="D68" s="86">
        <v>7176869</v>
      </c>
      <c r="E68" s="85">
        <v>45541</v>
      </c>
      <c r="F68" s="18">
        <v>14335.98</v>
      </c>
      <c r="G68" s="13" t="s">
        <v>108</v>
      </c>
      <c r="H68" s="14" t="str">
        <f t="shared" si="2"/>
        <v>B</v>
      </c>
      <c r="I68" s="15" t="str">
        <f t="shared" si="3"/>
        <v>The Commissioner &amp; Chief Constable are satisfied the spend represents VFM in accordance with the requirements of Category B</v>
      </c>
      <c r="J68" s="16"/>
      <c r="K68" s="16"/>
    </row>
    <row r="69" spans="1:11" x14ac:dyDescent="0.2">
      <c r="A69" s="10" t="s">
        <v>8</v>
      </c>
      <c r="B69" s="11" t="s">
        <v>9</v>
      </c>
      <c r="C69" s="75" t="s">
        <v>26</v>
      </c>
      <c r="D69" s="86">
        <v>7176755</v>
      </c>
      <c r="E69" s="85">
        <v>45539</v>
      </c>
      <c r="F69" s="12">
        <v>14147.48</v>
      </c>
      <c r="G69" s="13" t="s">
        <v>88</v>
      </c>
      <c r="H69" s="14" t="str">
        <f t="shared" si="2"/>
        <v>B</v>
      </c>
      <c r="I69" s="15" t="str">
        <f t="shared" si="3"/>
        <v>The Commissioner &amp; Chief Constable are satisfied the spend represents VFM in accordance with the requirements of Category B</v>
      </c>
      <c r="J69" s="16"/>
      <c r="K69" s="16"/>
    </row>
    <row r="70" spans="1:11" x14ac:dyDescent="0.2">
      <c r="A70" s="10" t="s">
        <v>8</v>
      </c>
      <c r="B70" s="11" t="s">
        <v>9</v>
      </c>
      <c r="C70" s="77" t="s">
        <v>26</v>
      </c>
      <c r="D70" s="86">
        <v>7176527</v>
      </c>
      <c r="E70" s="85">
        <v>45547</v>
      </c>
      <c r="F70" s="12">
        <v>13908.470000000001</v>
      </c>
      <c r="G70" s="13" t="s">
        <v>76</v>
      </c>
      <c r="H70" s="14" t="str">
        <f t="shared" si="2"/>
        <v>B</v>
      </c>
      <c r="I70" s="15" t="str">
        <f t="shared" si="3"/>
        <v>The Commissioner &amp; Chief Constable are satisfied the spend represents VFM in accordance with the requirements of Category B</v>
      </c>
      <c r="J70" s="16"/>
      <c r="K70" s="16"/>
    </row>
    <row r="71" spans="1:11" x14ac:dyDescent="0.2">
      <c r="A71" s="10" t="s">
        <v>8</v>
      </c>
      <c r="B71" s="11" t="s">
        <v>9</v>
      </c>
      <c r="C71" s="77" t="s">
        <v>101</v>
      </c>
      <c r="D71" s="86">
        <v>7177122</v>
      </c>
      <c r="E71" s="85">
        <v>45551</v>
      </c>
      <c r="F71" s="12">
        <v>13500</v>
      </c>
      <c r="G71" s="13" t="s">
        <v>102</v>
      </c>
      <c r="H71" s="14" t="str">
        <f t="shared" si="2"/>
        <v>B</v>
      </c>
      <c r="I71" s="15" t="str">
        <f t="shared" si="3"/>
        <v>The Commissioner &amp; Chief Constable are satisfied the spend represents VFM in accordance with the requirements of Category B</v>
      </c>
      <c r="J71" s="16"/>
      <c r="K71" s="16"/>
    </row>
    <row r="72" spans="1:11" x14ac:dyDescent="0.2">
      <c r="A72" s="10" t="s">
        <v>8</v>
      </c>
      <c r="B72" s="11" t="s">
        <v>9</v>
      </c>
      <c r="C72" s="75" t="s">
        <v>130</v>
      </c>
      <c r="D72" s="86">
        <v>7176511</v>
      </c>
      <c r="E72" s="85">
        <v>45558</v>
      </c>
      <c r="F72" s="12">
        <v>13148</v>
      </c>
      <c r="G72" s="13" t="s">
        <v>38</v>
      </c>
      <c r="H72" s="14" t="str">
        <f t="shared" si="2"/>
        <v>B</v>
      </c>
      <c r="I72" s="15" t="str">
        <f t="shared" si="3"/>
        <v>The Commissioner &amp; Chief Constable are satisfied the spend represents VFM in accordance with the requirements of Category B</v>
      </c>
      <c r="J72" s="16"/>
      <c r="K72" s="16"/>
    </row>
    <row r="73" spans="1:11" x14ac:dyDescent="0.2">
      <c r="A73" s="10" t="s">
        <v>8</v>
      </c>
      <c r="B73" s="11" t="s">
        <v>9</v>
      </c>
      <c r="C73" s="77" t="s">
        <v>110</v>
      </c>
      <c r="D73" s="86">
        <v>7176187</v>
      </c>
      <c r="E73" s="85">
        <v>45565</v>
      </c>
      <c r="F73" s="12">
        <v>12922.83</v>
      </c>
      <c r="G73" s="19" t="s">
        <v>49</v>
      </c>
      <c r="H73" s="14" t="str">
        <f t="shared" si="2"/>
        <v>B</v>
      </c>
      <c r="I73" s="15" t="str">
        <f t="shared" si="3"/>
        <v>The Commissioner &amp; Chief Constable are satisfied the spend represents VFM in accordance with the requirements of Category B</v>
      </c>
      <c r="J73" s="16"/>
      <c r="K73" s="16"/>
    </row>
    <row r="74" spans="1:11" x14ac:dyDescent="0.2">
      <c r="A74" s="10" t="s">
        <v>8</v>
      </c>
      <c r="B74" s="11" t="s">
        <v>9</v>
      </c>
      <c r="C74" s="77" t="s">
        <v>110</v>
      </c>
      <c r="D74" s="86">
        <v>7176776</v>
      </c>
      <c r="E74" s="85">
        <v>45565</v>
      </c>
      <c r="F74" s="12">
        <v>12922.83</v>
      </c>
      <c r="G74" s="19" t="s">
        <v>49</v>
      </c>
      <c r="H74" s="14" t="str">
        <f t="shared" si="2"/>
        <v>B</v>
      </c>
      <c r="I74" s="15" t="str">
        <f t="shared" si="3"/>
        <v>The Commissioner &amp; Chief Constable are satisfied the spend represents VFM in accordance with the requirements of Category B</v>
      </c>
      <c r="J74" s="16"/>
      <c r="K74" s="16"/>
    </row>
    <row r="75" spans="1:11" x14ac:dyDescent="0.2">
      <c r="A75" s="10" t="s">
        <v>8</v>
      </c>
      <c r="B75" s="11" t="s">
        <v>9</v>
      </c>
      <c r="C75" s="75" t="s">
        <v>124</v>
      </c>
      <c r="D75" s="86">
        <v>7176485</v>
      </c>
      <c r="E75" s="85">
        <v>45547</v>
      </c>
      <c r="F75" s="12">
        <v>12755.44</v>
      </c>
      <c r="G75" s="13" t="s">
        <v>376</v>
      </c>
      <c r="H75" s="14" t="str">
        <f t="shared" si="2"/>
        <v>B</v>
      </c>
      <c r="I75" s="15" t="str">
        <f t="shared" si="3"/>
        <v>The Commissioner &amp; Chief Constable are satisfied the spend represents VFM in accordance with the requirements of Category B</v>
      </c>
      <c r="J75" s="16"/>
      <c r="K75" s="16"/>
    </row>
    <row r="76" spans="1:11" x14ac:dyDescent="0.2">
      <c r="A76" s="10" t="s">
        <v>8</v>
      </c>
      <c r="B76" s="11" t="s">
        <v>9</v>
      </c>
      <c r="C76" s="77" t="s">
        <v>905</v>
      </c>
      <c r="D76" s="86">
        <v>7177184</v>
      </c>
      <c r="E76" s="85">
        <v>45558</v>
      </c>
      <c r="F76" s="12">
        <v>12500</v>
      </c>
      <c r="G76" s="13" t="s">
        <v>27</v>
      </c>
      <c r="H76" s="14" t="str">
        <f t="shared" si="2"/>
        <v>B</v>
      </c>
      <c r="I76" s="15" t="str">
        <f t="shared" si="3"/>
        <v>The Commissioner &amp; Chief Constable are satisfied the spend represents VFM in accordance with the requirements of Category B</v>
      </c>
      <c r="J76" s="16"/>
      <c r="K76" s="16"/>
    </row>
    <row r="77" spans="1:11" x14ac:dyDescent="0.2">
      <c r="A77" s="10" t="s">
        <v>8</v>
      </c>
      <c r="B77" s="11" t="s">
        <v>9</v>
      </c>
      <c r="C77" s="77" t="s">
        <v>109</v>
      </c>
      <c r="D77" s="86">
        <v>7176692</v>
      </c>
      <c r="E77" s="85">
        <v>45551</v>
      </c>
      <c r="F77" s="12">
        <v>12500</v>
      </c>
      <c r="G77" s="19" t="s">
        <v>27</v>
      </c>
      <c r="H77" s="14" t="str">
        <f t="shared" si="2"/>
        <v>B</v>
      </c>
      <c r="I77" s="15" t="str">
        <f t="shared" si="3"/>
        <v>The Commissioner &amp; Chief Constable are satisfied the spend represents VFM in accordance with the requirements of Category B</v>
      </c>
      <c r="J77" s="16"/>
      <c r="K77" s="16"/>
    </row>
    <row r="78" spans="1:11" x14ac:dyDescent="0.2">
      <c r="A78" s="10" t="s">
        <v>8</v>
      </c>
      <c r="B78" s="11" t="s">
        <v>9</v>
      </c>
      <c r="C78" s="75" t="s">
        <v>121</v>
      </c>
      <c r="D78" s="86">
        <v>7176682</v>
      </c>
      <c r="E78" s="85">
        <v>45538</v>
      </c>
      <c r="F78" s="12">
        <v>12467.06</v>
      </c>
      <c r="G78" s="13" t="s">
        <v>122</v>
      </c>
      <c r="H78" s="14" t="str">
        <f t="shared" si="2"/>
        <v>B</v>
      </c>
      <c r="I78" s="15" t="str">
        <f t="shared" si="3"/>
        <v>The Commissioner &amp; Chief Constable are satisfied the spend represents VFM in accordance with the requirements of Category B</v>
      </c>
      <c r="J78" s="16"/>
      <c r="K78" s="16"/>
    </row>
    <row r="79" spans="1:11" x14ac:dyDescent="0.2">
      <c r="A79" s="10" t="s">
        <v>8</v>
      </c>
      <c r="B79" s="11" t="s">
        <v>9</v>
      </c>
      <c r="C79" s="77" t="s">
        <v>266</v>
      </c>
      <c r="D79" s="86">
        <v>7177038</v>
      </c>
      <c r="E79" s="85">
        <v>45547</v>
      </c>
      <c r="F79" s="12">
        <v>12275.1</v>
      </c>
      <c r="G79" s="19" t="s">
        <v>84</v>
      </c>
      <c r="H79" s="14" t="str">
        <f t="shared" si="2"/>
        <v>B</v>
      </c>
      <c r="I79" s="15" t="str">
        <f t="shared" si="3"/>
        <v>The Commissioner &amp; Chief Constable are satisfied the spend represents VFM in accordance with the requirements of Category B</v>
      </c>
      <c r="J79" s="16"/>
      <c r="K79" s="16"/>
    </row>
    <row r="80" spans="1:11" x14ac:dyDescent="0.2">
      <c r="A80" s="10" t="s">
        <v>8</v>
      </c>
      <c r="B80" s="11" t="s">
        <v>9</v>
      </c>
      <c r="C80" s="77" t="s">
        <v>126</v>
      </c>
      <c r="D80" s="86">
        <v>7175922</v>
      </c>
      <c r="E80" s="85">
        <v>45545</v>
      </c>
      <c r="F80" s="12">
        <v>12112.47</v>
      </c>
      <c r="G80" s="13" t="s">
        <v>41</v>
      </c>
      <c r="H80" s="14" t="str">
        <f t="shared" si="2"/>
        <v>B</v>
      </c>
      <c r="I80" s="15" t="str">
        <f t="shared" si="3"/>
        <v>The Commissioner &amp; Chief Constable are satisfied the spend represents VFM in accordance with the requirements of Category B</v>
      </c>
      <c r="J80" s="16"/>
      <c r="K80" s="16"/>
    </row>
    <row r="81" spans="1:11" x14ac:dyDescent="0.2">
      <c r="A81" s="10" t="s">
        <v>8</v>
      </c>
      <c r="B81" s="11" t="s">
        <v>9</v>
      </c>
      <c r="C81" s="75" t="s">
        <v>99</v>
      </c>
      <c r="D81" s="86">
        <v>7177331</v>
      </c>
      <c r="E81" s="85">
        <v>45559</v>
      </c>
      <c r="F81" s="12">
        <v>12101.1</v>
      </c>
      <c r="G81" s="19" t="s">
        <v>94</v>
      </c>
      <c r="H81" s="14" t="str">
        <f t="shared" si="2"/>
        <v>B</v>
      </c>
      <c r="I81" s="15" t="str">
        <f t="shared" si="3"/>
        <v>The Commissioner &amp; Chief Constable are satisfied the spend represents VFM in accordance with the requirements of Category B</v>
      </c>
      <c r="J81" s="16"/>
      <c r="K81" s="16"/>
    </row>
    <row r="82" spans="1:11" x14ac:dyDescent="0.2">
      <c r="A82" s="10" t="s">
        <v>8</v>
      </c>
      <c r="B82" s="11" t="s">
        <v>9</v>
      </c>
      <c r="C82" s="77" t="s">
        <v>126</v>
      </c>
      <c r="D82" s="86">
        <v>7176919</v>
      </c>
      <c r="E82" s="85">
        <v>45545</v>
      </c>
      <c r="F82" s="12">
        <v>11760.47</v>
      </c>
      <c r="G82" s="13" t="s">
        <v>41</v>
      </c>
      <c r="H82" s="14" t="str">
        <f t="shared" si="2"/>
        <v>B</v>
      </c>
      <c r="I82" s="15" t="str">
        <f t="shared" si="3"/>
        <v>The Commissioner &amp; Chief Constable are satisfied the spend represents VFM in accordance with the requirements of Category B</v>
      </c>
      <c r="J82" s="16"/>
      <c r="K82" s="16"/>
    </row>
    <row r="83" spans="1:11" x14ac:dyDescent="0.2">
      <c r="A83" s="10" t="s">
        <v>8</v>
      </c>
      <c r="B83" s="11" t="s">
        <v>9</v>
      </c>
      <c r="C83" s="77" t="s">
        <v>448</v>
      </c>
      <c r="D83" s="86">
        <v>7177295</v>
      </c>
      <c r="E83" s="85">
        <v>45559</v>
      </c>
      <c r="F83" s="12">
        <v>11662.58</v>
      </c>
      <c r="G83" s="13" t="s">
        <v>27</v>
      </c>
      <c r="H83" s="14" t="str">
        <f t="shared" si="2"/>
        <v>B</v>
      </c>
      <c r="I83" s="15" t="str">
        <f t="shared" si="3"/>
        <v>The Commissioner &amp; Chief Constable are satisfied the spend represents VFM in accordance with the requirements of Category B</v>
      </c>
      <c r="J83" s="16"/>
      <c r="K83" s="16"/>
    </row>
    <row r="84" spans="1:11" x14ac:dyDescent="0.2">
      <c r="A84" s="10" t="s">
        <v>8</v>
      </c>
      <c r="B84" s="11" t="s">
        <v>9</v>
      </c>
      <c r="C84" s="75" t="s">
        <v>486</v>
      </c>
      <c r="D84" s="86">
        <v>7176694</v>
      </c>
      <c r="E84" s="85">
        <v>45565</v>
      </c>
      <c r="F84" s="12">
        <v>11600</v>
      </c>
      <c r="G84" s="19" t="s">
        <v>91</v>
      </c>
      <c r="H84" s="14" t="str">
        <f t="shared" si="2"/>
        <v>B</v>
      </c>
      <c r="I84" s="15" t="str">
        <f t="shared" si="3"/>
        <v>The Commissioner &amp; Chief Constable are satisfied the spend represents VFM in accordance with the requirements of Category B</v>
      </c>
      <c r="J84" s="16"/>
      <c r="K84" s="16"/>
    </row>
    <row r="85" spans="1:11" x14ac:dyDescent="0.2">
      <c r="A85" s="10" t="s">
        <v>8</v>
      </c>
      <c r="B85" s="11" t="s">
        <v>9</v>
      </c>
      <c r="C85" s="77" t="s">
        <v>117</v>
      </c>
      <c r="D85" s="86">
        <v>7176079</v>
      </c>
      <c r="E85" s="85">
        <v>45541</v>
      </c>
      <c r="F85" s="12">
        <v>11483</v>
      </c>
      <c r="G85" s="13" t="s">
        <v>118</v>
      </c>
      <c r="H85" s="14" t="str">
        <f t="shared" si="2"/>
        <v>B</v>
      </c>
      <c r="I85" s="15" t="str">
        <f t="shared" si="3"/>
        <v>The Commissioner &amp; Chief Constable are satisfied the spend represents VFM in accordance with the requirements of Category B</v>
      </c>
      <c r="J85" s="16"/>
      <c r="K85" s="16"/>
    </row>
    <row r="86" spans="1:11" x14ac:dyDescent="0.2">
      <c r="A86" s="10" t="s">
        <v>8</v>
      </c>
      <c r="B86" s="11" t="s">
        <v>9</v>
      </c>
      <c r="C86" s="77" t="s">
        <v>113</v>
      </c>
      <c r="D86" s="86">
        <v>7177177</v>
      </c>
      <c r="E86" s="85">
        <v>45553</v>
      </c>
      <c r="F86" s="12">
        <v>11462.64</v>
      </c>
      <c r="G86" s="19" t="s">
        <v>114</v>
      </c>
      <c r="H86" s="14" t="str">
        <f t="shared" si="2"/>
        <v>B</v>
      </c>
      <c r="I86" s="15" t="str">
        <f t="shared" si="3"/>
        <v>The Commissioner &amp; Chief Constable are satisfied the spend represents VFM in accordance with the requirements of Category B</v>
      </c>
      <c r="J86" s="16"/>
      <c r="K86" s="16"/>
    </row>
    <row r="87" spans="1:11" x14ac:dyDescent="0.2">
      <c r="A87" s="10" t="s">
        <v>8</v>
      </c>
      <c r="B87" s="11" t="s">
        <v>9</v>
      </c>
      <c r="C87" s="75" t="s">
        <v>124</v>
      </c>
      <c r="D87" s="86">
        <v>7176648</v>
      </c>
      <c r="E87" s="85">
        <v>45537</v>
      </c>
      <c r="F87" s="12">
        <v>11119</v>
      </c>
      <c r="G87" s="13" t="s">
        <v>376</v>
      </c>
      <c r="H87" s="14" t="str">
        <f t="shared" si="2"/>
        <v>B</v>
      </c>
      <c r="I87" s="15" t="str">
        <f t="shared" si="3"/>
        <v>The Commissioner &amp; Chief Constable are satisfied the spend represents VFM in accordance with the requirements of Category B</v>
      </c>
      <c r="J87" s="16"/>
      <c r="K87" s="16"/>
    </row>
    <row r="88" spans="1:11" x14ac:dyDescent="0.2">
      <c r="A88" s="10" t="s">
        <v>8</v>
      </c>
      <c r="B88" s="11" t="s">
        <v>9</v>
      </c>
      <c r="C88" s="77" t="s">
        <v>468</v>
      </c>
      <c r="D88" s="86">
        <v>7177251</v>
      </c>
      <c r="E88" s="85">
        <v>45554</v>
      </c>
      <c r="F88" s="12">
        <v>10766.88</v>
      </c>
      <c r="G88" s="19" t="s">
        <v>27</v>
      </c>
      <c r="H88" s="14" t="str">
        <f t="shared" si="2"/>
        <v>B</v>
      </c>
      <c r="I88" s="15" t="str">
        <f t="shared" si="3"/>
        <v>The Commissioner &amp; Chief Constable are satisfied the spend represents VFM in accordance with the requirements of Category B</v>
      </c>
      <c r="J88" s="16"/>
      <c r="K88" s="16"/>
    </row>
    <row r="89" spans="1:11" x14ac:dyDescent="0.2">
      <c r="A89" s="10" t="s">
        <v>8</v>
      </c>
      <c r="B89" s="11" t="s">
        <v>9</v>
      </c>
      <c r="C89" s="77" t="s">
        <v>50</v>
      </c>
      <c r="D89" s="86">
        <v>7177398</v>
      </c>
      <c r="E89" s="85">
        <v>45559</v>
      </c>
      <c r="F89" s="12">
        <v>10252.73</v>
      </c>
      <c r="G89" s="13" t="s">
        <v>36</v>
      </c>
      <c r="H89" s="14" t="str">
        <f t="shared" si="2"/>
        <v>B</v>
      </c>
      <c r="I89" s="15" t="str">
        <f t="shared" si="3"/>
        <v>The Commissioner &amp; Chief Constable are satisfied the spend represents VFM in accordance with the requirements of Category B</v>
      </c>
      <c r="J89" s="16"/>
      <c r="K89" s="16"/>
    </row>
    <row r="90" spans="1:11" x14ac:dyDescent="0.2">
      <c r="A90" s="10" t="s">
        <v>8</v>
      </c>
      <c r="B90" s="11" t="s">
        <v>9</v>
      </c>
      <c r="C90" s="75" t="s">
        <v>163</v>
      </c>
      <c r="D90" s="86">
        <v>7177054</v>
      </c>
      <c r="E90" s="85">
        <v>45547</v>
      </c>
      <c r="F90" s="12">
        <v>10165</v>
      </c>
      <c r="G90" s="13" t="s">
        <v>45</v>
      </c>
      <c r="H90" s="14" t="str">
        <f t="shared" si="2"/>
        <v>B</v>
      </c>
      <c r="I90" s="15" t="str">
        <f t="shared" si="3"/>
        <v>The Commissioner &amp; Chief Constable are satisfied the spend represents VFM in accordance with the requirements of Category B</v>
      </c>
      <c r="J90" s="16"/>
      <c r="K90" s="16"/>
    </row>
    <row r="91" spans="1:11" x14ac:dyDescent="0.2">
      <c r="A91" s="10" t="s">
        <v>8</v>
      </c>
      <c r="B91" s="11" t="s">
        <v>9</v>
      </c>
      <c r="C91" s="77" t="s">
        <v>904</v>
      </c>
      <c r="D91" s="86">
        <v>7176649</v>
      </c>
      <c r="E91" s="85">
        <v>45552</v>
      </c>
      <c r="F91" s="12">
        <v>10158</v>
      </c>
      <c r="G91" s="13" t="s">
        <v>22</v>
      </c>
      <c r="H91" s="14" t="str">
        <f t="shared" si="2"/>
        <v>B</v>
      </c>
      <c r="I91" s="15" t="str">
        <f t="shared" si="3"/>
        <v>The Commissioner &amp; Chief Constable are satisfied the spend represents VFM in accordance with the requirements of Category B</v>
      </c>
      <c r="J91" s="16"/>
      <c r="K91" s="16"/>
    </row>
    <row r="92" spans="1:11" x14ac:dyDescent="0.2">
      <c r="A92" s="10" t="s">
        <v>8</v>
      </c>
      <c r="B92" s="11" t="s">
        <v>9</v>
      </c>
      <c r="C92" s="77" t="s">
        <v>26</v>
      </c>
      <c r="D92" s="86">
        <v>7177517</v>
      </c>
      <c r="E92" s="85">
        <v>45561</v>
      </c>
      <c r="F92" s="12">
        <v>9791.42</v>
      </c>
      <c r="G92" s="13" t="s">
        <v>88</v>
      </c>
      <c r="H92" s="14" t="str">
        <f t="shared" si="2"/>
        <v>B</v>
      </c>
      <c r="I92" s="15" t="str">
        <f t="shared" si="3"/>
        <v>The Commissioner &amp; Chief Constable are satisfied the spend represents VFM in accordance with the requirements of Category B</v>
      </c>
      <c r="J92" s="16"/>
      <c r="K92" s="16"/>
    </row>
    <row r="93" spans="1:11" x14ac:dyDescent="0.2">
      <c r="A93" s="10" t="s">
        <v>8</v>
      </c>
      <c r="B93" s="11" t="s">
        <v>9</v>
      </c>
      <c r="C93" s="75" t="s">
        <v>181</v>
      </c>
      <c r="D93" s="86">
        <v>7177248</v>
      </c>
      <c r="E93" s="85">
        <v>45555</v>
      </c>
      <c r="F93" s="12">
        <v>9559.9500000000007</v>
      </c>
      <c r="G93" s="13" t="s">
        <v>98</v>
      </c>
      <c r="H93" s="14" t="str">
        <f t="shared" si="2"/>
        <v>B</v>
      </c>
      <c r="I93" s="15" t="str">
        <f t="shared" si="3"/>
        <v>The Commissioner &amp; Chief Constable are satisfied the spend represents VFM in accordance with the requirements of Category B</v>
      </c>
      <c r="J93" s="16"/>
      <c r="K93" s="16"/>
    </row>
    <row r="94" spans="1:11" x14ac:dyDescent="0.2">
      <c r="A94" s="10" t="s">
        <v>8</v>
      </c>
      <c r="B94" s="11" t="s">
        <v>9</v>
      </c>
      <c r="C94" s="77" t="s">
        <v>157</v>
      </c>
      <c r="D94" s="86">
        <v>7176537</v>
      </c>
      <c r="E94" s="85">
        <v>45544</v>
      </c>
      <c r="F94" s="12">
        <v>9544.33</v>
      </c>
      <c r="G94" s="13" t="s">
        <v>43</v>
      </c>
      <c r="H94" s="14" t="str">
        <f t="shared" si="2"/>
        <v>B</v>
      </c>
      <c r="I94" s="15" t="str">
        <f t="shared" si="3"/>
        <v>The Commissioner &amp; Chief Constable are satisfied the spend represents VFM in accordance with the requirements of Category B</v>
      </c>
      <c r="J94" s="16"/>
      <c r="K94" s="16"/>
    </row>
    <row r="95" spans="1:11" x14ac:dyDescent="0.2">
      <c r="A95" s="10" t="s">
        <v>8</v>
      </c>
      <c r="B95" s="11" t="s">
        <v>9</v>
      </c>
      <c r="C95" s="77" t="s">
        <v>117</v>
      </c>
      <c r="D95" s="86">
        <v>7177049</v>
      </c>
      <c r="E95" s="85">
        <v>45546</v>
      </c>
      <c r="F95" s="12">
        <v>9188.35</v>
      </c>
      <c r="G95" s="13" t="s">
        <v>118</v>
      </c>
      <c r="H95" s="14" t="str">
        <f t="shared" si="2"/>
        <v>B</v>
      </c>
      <c r="I95" s="15" t="str">
        <f t="shared" si="3"/>
        <v>The Commissioner &amp; Chief Constable are satisfied the spend represents VFM in accordance with the requirements of Category B</v>
      </c>
      <c r="J95" s="16"/>
      <c r="K95" s="16"/>
    </row>
    <row r="96" spans="1:11" x14ac:dyDescent="0.2">
      <c r="A96" s="10" t="s">
        <v>8</v>
      </c>
      <c r="B96" s="11" t="s">
        <v>9</v>
      </c>
      <c r="C96" s="75" t="s">
        <v>636</v>
      </c>
      <c r="D96" s="86">
        <v>7177439</v>
      </c>
      <c r="E96" s="85">
        <v>45561</v>
      </c>
      <c r="F96" s="12">
        <v>8640</v>
      </c>
      <c r="G96" s="13" t="s">
        <v>251</v>
      </c>
      <c r="H96" s="14" t="str">
        <f t="shared" si="2"/>
        <v>B</v>
      </c>
      <c r="I96" s="15" t="str">
        <f t="shared" si="3"/>
        <v>The Commissioner &amp; Chief Constable are satisfied the spend represents VFM in accordance with the requirements of Category B</v>
      </c>
      <c r="J96" s="16"/>
      <c r="K96" s="16"/>
    </row>
    <row r="97" spans="1:11" x14ac:dyDescent="0.2">
      <c r="A97" s="10" t="s">
        <v>8</v>
      </c>
      <c r="B97" s="11" t="s">
        <v>9</v>
      </c>
      <c r="C97" s="77" t="s">
        <v>119</v>
      </c>
      <c r="D97" s="86">
        <v>7177422</v>
      </c>
      <c r="E97" s="85">
        <v>45561</v>
      </c>
      <c r="F97" s="12">
        <v>8364.36</v>
      </c>
      <c r="G97" s="13" t="s">
        <v>120</v>
      </c>
      <c r="H97" s="14" t="str">
        <f t="shared" si="2"/>
        <v>B</v>
      </c>
      <c r="I97" s="15" t="str">
        <f t="shared" si="3"/>
        <v>The Commissioner &amp; Chief Constable are satisfied the spend represents VFM in accordance with the requirements of Category B</v>
      </c>
      <c r="J97" s="16"/>
      <c r="K97" s="16"/>
    </row>
    <row r="98" spans="1:11" x14ac:dyDescent="0.2">
      <c r="A98" s="10" t="s">
        <v>8</v>
      </c>
      <c r="B98" s="11" t="s">
        <v>9</v>
      </c>
      <c r="C98" s="77" t="s">
        <v>109</v>
      </c>
      <c r="D98" s="86">
        <v>7176719</v>
      </c>
      <c r="E98" s="85">
        <v>45548</v>
      </c>
      <c r="F98" s="12">
        <v>8325.58</v>
      </c>
      <c r="G98" s="13" t="s">
        <v>27</v>
      </c>
      <c r="H98" s="14" t="str">
        <f t="shared" si="2"/>
        <v>B</v>
      </c>
      <c r="I98" s="15" t="str">
        <f t="shared" si="3"/>
        <v>The Commissioner &amp; Chief Constable are satisfied the spend represents VFM in accordance with the requirements of Category B</v>
      </c>
      <c r="J98" s="16"/>
      <c r="K98" s="16"/>
    </row>
    <row r="99" spans="1:11" x14ac:dyDescent="0.2">
      <c r="A99" s="10" t="s">
        <v>8</v>
      </c>
      <c r="B99" s="11" t="s">
        <v>9</v>
      </c>
      <c r="C99" s="75" t="s">
        <v>181</v>
      </c>
      <c r="D99" s="86">
        <v>7177250</v>
      </c>
      <c r="E99" s="85">
        <v>45554</v>
      </c>
      <c r="F99" s="12">
        <v>8316</v>
      </c>
      <c r="G99" s="13" t="s">
        <v>106</v>
      </c>
      <c r="H99" s="14" t="str">
        <f t="shared" si="2"/>
        <v>B</v>
      </c>
      <c r="I99" s="15" t="str">
        <f t="shared" si="3"/>
        <v>The Commissioner &amp; Chief Constable are satisfied the spend represents VFM in accordance with the requirements of Category B</v>
      </c>
      <c r="J99" s="16"/>
      <c r="K99" s="16"/>
    </row>
    <row r="100" spans="1:11" x14ac:dyDescent="0.2">
      <c r="A100" s="10" t="s">
        <v>8</v>
      </c>
      <c r="B100" s="11" t="s">
        <v>9</v>
      </c>
      <c r="C100" s="77" t="s">
        <v>811</v>
      </c>
      <c r="D100" s="86">
        <v>7177010</v>
      </c>
      <c r="E100" s="85">
        <v>45552</v>
      </c>
      <c r="F100" s="12">
        <v>8214</v>
      </c>
      <c r="G100" s="13" t="s">
        <v>123</v>
      </c>
      <c r="H100" s="14" t="str">
        <f t="shared" si="2"/>
        <v>B</v>
      </c>
      <c r="I100" s="15" t="str">
        <f t="shared" si="3"/>
        <v>The Commissioner &amp; Chief Constable are satisfied the spend represents VFM in accordance with the requirements of Category B</v>
      </c>
      <c r="J100" s="16"/>
      <c r="K100" s="16"/>
    </row>
    <row r="101" spans="1:11" x14ac:dyDescent="0.2">
      <c r="A101" s="10" t="s">
        <v>8</v>
      </c>
      <c r="B101" s="11" t="s">
        <v>9</v>
      </c>
      <c r="C101" s="75" t="s">
        <v>903</v>
      </c>
      <c r="D101" s="86">
        <v>7176607</v>
      </c>
      <c r="E101" s="85">
        <v>45540</v>
      </c>
      <c r="F101" s="12">
        <v>8127.5</v>
      </c>
      <c r="G101" s="13" t="s">
        <v>177</v>
      </c>
      <c r="H101" s="14" t="str">
        <f t="shared" si="2"/>
        <v>B</v>
      </c>
      <c r="I101" s="15" t="str">
        <f t="shared" si="3"/>
        <v>The Commissioner &amp; Chief Constable are satisfied the spend represents VFM in accordance with the requirements of Category B</v>
      </c>
      <c r="J101" s="16"/>
      <c r="K101" s="16"/>
    </row>
    <row r="102" spans="1:11" x14ac:dyDescent="0.2">
      <c r="A102" s="10" t="s">
        <v>8</v>
      </c>
      <c r="B102" s="11" t="s">
        <v>9</v>
      </c>
      <c r="C102" s="75" t="s">
        <v>270</v>
      </c>
      <c r="D102" s="86">
        <v>7176793</v>
      </c>
      <c r="E102" s="85">
        <v>45545</v>
      </c>
      <c r="F102" s="12">
        <v>7848.75</v>
      </c>
      <c r="G102" s="13" t="s">
        <v>133</v>
      </c>
      <c r="H102" s="14" t="str">
        <f t="shared" si="2"/>
        <v>B</v>
      </c>
      <c r="I102" s="15" t="str">
        <f t="shared" si="3"/>
        <v>The Commissioner &amp; Chief Constable are satisfied the spend represents VFM in accordance with the requirements of Category B</v>
      </c>
      <c r="J102" s="16"/>
      <c r="K102" s="16"/>
    </row>
    <row r="103" spans="1:11" x14ac:dyDescent="0.2">
      <c r="A103" s="10" t="s">
        <v>8</v>
      </c>
      <c r="B103" s="11" t="s">
        <v>9</v>
      </c>
      <c r="C103" s="75" t="s">
        <v>222</v>
      </c>
      <c r="D103" s="86">
        <v>7177023</v>
      </c>
      <c r="E103" s="85">
        <v>45559</v>
      </c>
      <c r="F103" s="12">
        <v>7794.4</v>
      </c>
      <c r="G103" s="13" t="s">
        <v>22</v>
      </c>
      <c r="H103" s="14" t="str">
        <f t="shared" si="2"/>
        <v>B</v>
      </c>
      <c r="I103" s="15" t="str">
        <f t="shared" si="3"/>
        <v>The Commissioner &amp; Chief Constable are satisfied the spend represents VFM in accordance with the requirements of Category B</v>
      </c>
      <c r="J103" s="16"/>
      <c r="K103" s="16"/>
    </row>
    <row r="104" spans="1:11" x14ac:dyDescent="0.2">
      <c r="A104" s="10" t="s">
        <v>8</v>
      </c>
      <c r="B104" s="11" t="s">
        <v>9</v>
      </c>
      <c r="C104" s="75" t="s">
        <v>159</v>
      </c>
      <c r="D104" s="86">
        <v>7176665</v>
      </c>
      <c r="E104" s="85">
        <v>45537</v>
      </c>
      <c r="F104" s="12">
        <v>7585.23</v>
      </c>
      <c r="G104" s="13" t="s">
        <v>22</v>
      </c>
      <c r="H104" s="14" t="str">
        <f t="shared" si="2"/>
        <v>B</v>
      </c>
      <c r="I104" s="15" t="str">
        <f t="shared" si="3"/>
        <v>The Commissioner &amp; Chief Constable are satisfied the spend represents VFM in accordance with the requirements of Category B</v>
      </c>
      <c r="J104" s="16"/>
      <c r="K104" s="16"/>
    </row>
    <row r="105" spans="1:11" x14ac:dyDescent="0.2">
      <c r="A105" s="10" t="s">
        <v>8</v>
      </c>
      <c r="B105" s="11" t="s">
        <v>9</v>
      </c>
      <c r="C105" s="75" t="s">
        <v>144</v>
      </c>
      <c r="D105" s="86">
        <v>7176301</v>
      </c>
      <c r="E105" s="85">
        <v>45541</v>
      </c>
      <c r="F105" s="12">
        <v>7005</v>
      </c>
      <c r="G105" s="13" t="s">
        <v>145</v>
      </c>
      <c r="H105" s="14" t="str">
        <f t="shared" si="2"/>
        <v>B</v>
      </c>
      <c r="I105" s="15" t="str">
        <f t="shared" si="3"/>
        <v>The Commissioner &amp; Chief Constable are satisfied the spend represents VFM in accordance with the requirements of Category B</v>
      </c>
      <c r="J105" s="16"/>
      <c r="K105" s="16"/>
    </row>
    <row r="106" spans="1:11" x14ac:dyDescent="0.2">
      <c r="A106" s="10" t="s">
        <v>8</v>
      </c>
      <c r="B106" s="11" t="s">
        <v>9</v>
      </c>
      <c r="C106" s="77" t="s">
        <v>127</v>
      </c>
      <c r="D106" s="86">
        <v>7176636</v>
      </c>
      <c r="E106" s="85">
        <v>45537</v>
      </c>
      <c r="F106" s="12">
        <v>6963.3</v>
      </c>
      <c r="G106" s="13" t="s">
        <v>49</v>
      </c>
      <c r="H106" s="14" t="str">
        <f t="shared" si="2"/>
        <v>B</v>
      </c>
      <c r="I106" s="15" t="str">
        <f t="shared" si="3"/>
        <v>The Commissioner &amp; Chief Constable are satisfied the spend represents VFM in accordance with the requirements of Category B</v>
      </c>
      <c r="J106" s="16"/>
      <c r="K106" s="16"/>
    </row>
    <row r="107" spans="1:11" x14ac:dyDescent="0.2">
      <c r="A107" s="10" t="s">
        <v>8</v>
      </c>
      <c r="B107" s="11" t="s">
        <v>9</v>
      </c>
      <c r="C107" s="75" t="s">
        <v>902</v>
      </c>
      <c r="D107" s="86">
        <v>7176661</v>
      </c>
      <c r="E107" s="85">
        <v>45541</v>
      </c>
      <c r="F107" s="12">
        <v>6960</v>
      </c>
      <c r="G107" s="13" t="s">
        <v>75</v>
      </c>
      <c r="H107" s="14" t="str">
        <f t="shared" si="2"/>
        <v>B</v>
      </c>
      <c r="I107" s="15" t="str">
        <f t="shared" si="3"/>
        <v>The Commissioner &amp; Chief Constable are satisfied the spend represents VFM in accordance with the requirements of Category B</v>
      </c>
      <c r="J107" s="16"/>
      <c r="K107" s="16"/>
    </row>
    <row r="108" spans="1:11" x14ac:dyDescent="0.2">
      <c r="A108" s="10" t="s">
        <v>8</v>
      </c>
      <c r="B108" s="11" t="s">
        <v>9</v>
      </c>
      <c r="C108" s="75" t="s">
        <v>26</v>
      </c>
      <c r="D108" s="86">
        <v>7176691</v>
      </c>
      <c r="E108" s="85">
        <v>45538</v>
      </c>
      <c r="F108" s="12">
        <v>6878.2</v>
      </c>
      <c r="G108" s="13" t="s">
        <v>76</v>
      </c>
      <c r="H108" s="14" t="str">
        <f t="shared" si="2"/>
        <v>B</v>
      </c>
      <c r="I108" s="15" t="str">
        <f t="shared" si="3"/>
        <v>The Commissioner &amp; Chief Constable are satisfied the spend represents VFM in accordance with the requirements of Category B</v>
      </c>
      <c r="J108" s="16"/>
      <c r="K108" s="16"/>
    </row>
    <row r="109" spans="1:11" x14ac:dyDescent="0.2">
      <c r="A109" s="10" t="s">
        <v>8</v>
      </c>
      <c r="B109" s="11" t="s">
        <v>9</v>
      </c>
      <c r="C109" s="75" t="s">
        <v>26</v>
      </c>
      <c r="D109" s="86">
        <v>7176585</v>
      </c>
      <c r="E109" s="85">
        <v>45537</v>
      </c>
      <c r="F109" s="12">
        <v>6761.72</v>
      </c>
      <c r="G109" s="13" t="s">
        <v>88</v>
      </c>
      <c r="H109" s="14" t="str">
        <f t="shared" si="2"/>
        <v>B</v>
      </c>
      <c r="I109" s="15" t="str">
        <f t="shared" si="3"/>
        <v>The Commissioner &amp; Chief Constable are satisfied the spend represents VFM in accordance with the requirements of Category B</v>
      </c>
      <c r="J109" s="16"/>
      <c r="K109" s="16"/>
    </row>
    <row r="110" spans="1:11" x14ac:dyDescent="0.2">
      <c r="A110" s="10" t="s">
        <v>8</v>
      </c>
      <c r="B110" s="11" t="s">
        <v>9</v>
      </c>
      <c r="C110" s="75" t="s">
        <v>195</v>
      </c>
      <c r="D110" s="86">
        <v>7176738</v>
      </c>
      <c r="E110" s="85">
        <v>45539</v>
      </c>
      <c r="F110" s="12">
        <v>6739.31</v>
      </c>
      <c r="G110" s="13" t="s">
        <v>22</v>
      </c>
      <c r="H110" s="14" t="str">
        <f t="shared" si="2"/>
        <v>B</v>
      </c>
      <c r="I110" s="15" t="str">
        <f t="shared" si="3"/>
        <v>The Commissioner &amp; Chief Constable are satisfied the spend represents VFM in accordance with the requirements of Category B</v>
      </c>
      <c r="J110" s="16"/>
      <c r="K110" s="16"/>
    </row>
    <row r="111" spans="1:11" x14ac:dyDescent="0.2">
      <c r="A111" s="10" t="s">
        <v>8</v>
      </c>
      <c r="B111" s="11" t="s">
        <v>9</v>
      </c>
      <c r="C111" s="75" t="s">
        <v>142</v>
      </c>
      <c r="D111" s="86">
        <v>7177207</v>
      </c>
      <c r="E111" s="85">
        <v>45558</v>
      </c>
      <c r="F111" s="12">
        <v>6691.3</v>
      </c>
      <c r="G111" s="13" t="s">
        <v>143</v>
      </c>
      <c r="H111" s="14" t="str">
        <f t="shared" si="2"/>
        <v>B</v>
      </c>
      <c r="I111" s="15" t="str">
        <f t="shared" si="3"/>
        <v>The Commissioner &amp; Chief Constable are satisfied the spend represents VFM in accordance with the requirements of Category B</v>
      </c>
      <c r="J111" s="16"/>
      <c r="K111" s="16"/>
    </row>
    <row r="112" spans="1:11" x14ac:dyDescent="0.2">
      <c r="A112" s="10" t="s">
        <v>8</v>
      </c>
      <c r="B112" s="11" t="s">
        <v>9</v>
      </c>
      <c r="C112" s="75" t="s">
        <v>222</v>
      </c>
      <c r="D112" s="86">
        <v>7177021</v>
      </c>
      <c r="E112" s="85">
        <v>45547</v>
      </c>
      <c r="F112" s="12">
        <v>6618.75</v>
      </c>
      <c r="G112" s="13" t="s">
        <v>22</v>
      </c>
      <c r="H112" s="14" t="str">
        <f t="shared" si="2"/>
        <v>B</v>
      </c>
      <c r="I112" s="15" t="str">
        <f t="shared" si="3"/>
        <v>The Commissioner &amp; Chief Constable are satisfied the spend represents VFM in accordance with the requirements of Category B</v>
      </c>
      <c r="J112" s="16"/>
      <c r="K112" s="16"/>
    </row>
    <row r="113" spans="1:11" x14ac:dyDescent="0.2">
      <c r="A113" s="10" t="s">
        <v>8</v>
      </c>
      <c r="B113" s="11" t="s">
        <v>9</v>
      </c>
      <c r="C113" s="75" t="s">
        <v>48</v>
      </c>
      <c r="D113" s="86">
        <v>7177274</v>
      </c>
      <c r="E113" s="85">
        <v>45555</v>
      </c>
      <c r="F113" s="12">
        <v>6506.35</v>
      </c>
      <c r="G113" s="13" t="s">
        <v>58</v>
      </c>
      <c r="H113" s="14" t="str">
        <f t="shared" si="2"/>
        <v>B</v>
      </c>
      <c r="I113" s="15" t="str">
        <f t="shared" si="3"/>
        <v>The Commissioner &amp; Chief Constable are satisfied the spend represents VFM in accordance with the requirements of Category B</v>
      </c>
      <c r="J113" s="16"/>
      <c r="K113" s="16"/>
    </row>
    <row r="114" spans="1:11" x14ac:dyDescent="0.2">
      <c r="A114" s="10" t="s">
        <v>8</v>
      </c>
      <c r="B114" s="11" t="s">
        <v>9</v>
      </c>
      <c r="C114" s="77" t="s">
        <v>33</v>
      </c>
      <c r="D114" s="86">
        <v>7174626</v>
      </c>
      <c r="E114" s="85">
        <v>45548</v>
      </c>
      <c r="F114" s="12">
        <v>6329.04</v>
      </c>
      <c r="G114" s="13" t="s">
        <v>58</v>
      </c>
      <c r="H114" s="14" t="str">
        <f t="shared" si="2"/>
        <v>B</v>
      </c>
      <c r="I114" s="15" t="str">
        <f t="shared" si="3"/>
        <v>The Commissioner &amp; Chief Constable are satisfied the spend represents VFM in accordance with the requirements of Category B</v>
      </c>
      <c r="J114" s="16"/>
      <c r="K114" s="16"/>
    </row>
    <row r="115" spans="1:11" x14ac:dyDescent="0.2">
      <c r="A115" s="10" t="s">
        <v>8</v>
      </c>
      <c r="B115" s="11" t="s">
        <v>9</v>
      </c>
      <c r="C115" s="75" t="s">
        <v>196</v>
      </c>
      <c r="D115" s="86">
        <v>7177152</v>
      </c>
      <c r="E115" s="85">
        <v>45561</v>
      </c>
      <c r="F115" s="12">
        <v>6032.09</v>
      </c>
      <c r="G115" s="13" t="s">
        <v>169</v>
      </c>
      <c r="H115" s="14" t="str">
        <f t="shared" si="2"/>
        <v>B</v>
      </c>
      <c r="I115" s="15" t="str">
        <f t="shared" si="3"/>
        <v>The Commissioner &amp; Chief Constable are satisfied the spend represents VFM in accordance with the requirements of Category B</v>
      </c>
      <c r="J115" s="16"/>
      <c r="K115" s="16"/>
    </row>
    <row r="116" spans="1:11" x14ac:dyDescent="0.2">
      <c r="A116" s="10" t="s">
        <v>8</v>
      </c>
      <c r="B116" s="11" t="s">
        <v>9</v>
      </c>
      <c r="C116" s="75" t="s">
        <v>196</v>
      </c>
      <c r="D116" s="86">
        <v>7176708</v>
      </c>
      <c r="E116" s="85">
        <v>45538</v>
      </c>
      <c r="F116" s="12">
        <v>6018.67</v>
      </c>
      <c r="G116" s="13" t="s">
        <v>169</v>
      </c>
      <c r="H116" s="14" t="str">
        <f t="shared" si="2"/>
        <v>B</v>
      </c>
      <c r="I116" s="15" t="str">
        <f t="shared" si="3"/>
        <v>The Commissioner &amp; Chief Constable are satisfied the spend represents VFM in accordance with the requirements of Category B</v>
      </c>
    </row>
    <row r="117" spans="1:11" x14ac:dyDescent="0.2">
      <c r="A117" s="10" t="s">
        <v>8</v>
      </c>
      <c r="B117" s="11" t="s">
        <v>9</v>
      </c>
      <c r="C117" s="75" t="s">
        <v>142</v>
      </c>
      <c r="D117" s="86">
        <v>7177421</v>
      </c>
      <c r="E117" s="85">
        <v>45560</v>
      </c>
      <c r="F117" s="12">
        <v>5921.3</v>
      </c>
      <c r="G117" s="13" t="s">
        <v>143</v>
      </c>
      <c r="H117" s="14" t="str">
        <f t="shared" si="2"/>
        <v>B</v>
      </c>
      <c r="I117" s="15" t="str">
        <f t="shared" si="3"/>
        <v>The Commissioner &amp; Chief Constable are satisfied the spend represents VFM in accordance with the requirements of Category B</v>
      </c>
    </row>
    <row r="118" spans="1:11" x14ac:dyDescent="0.2">
      <c r="A118" s="10" t="s">
        <v>8</v>
      </c>
      <c r="B118" s="11" t="s">
        <v>9</v>
      </c>
      <c r="C118" s="75" t="s">
        <v>142</v>
      </c>
      <c r="D118" s="86">
        <v>7176578</v>
      </c>
      <c r="E118" s="85">
        <v>45558</v>
      </c>
      <c r="F118" s="12">
        <v>5852</v>
      </c>
      <c r="G118" s="13" t="s">
        <v>143</v>
      </c>
      <c r="H118" s="14" t="str">
        <f t="shared" si="2"/>
        <v>B</v>
      </c>
      <c r="I118" s="15" t="str">
        <f t="shared" si="3"/>
        <v>The Commissioner &amp; Chief Constable are satisfied the spend represents VFM in accordance with the requirements of Category B</v>
      </c>
    </row>
    <row r="119" spans="1:11" x14ac:dyDescent="0.2">
      <c r="A119" s="10" t="s">
        <v>8</v>
      </c>
      <c r="B119" s="11" t="s">
        <v>9</v>
      </c>
      <c r="C119" s="75" t="s">
        <v>161</v>
      </c>
      <c r="D119" s="86">
        <v>7177201</v>
      </c>
      <c r="E119" s="85">
        <v>45552</v>
      </c>
      <c r="F119" s="12">
        <v>5728.37</v>
      </c>
      <c r="G119" s="13" t="s">
        <v>390</v>
      </c>
      <c r="H119" s="14" t="str">
        <f t="shared" si="2"/>
        <v>B</v>
      </c>
      <c r="I119" s="15" t="str">
        <f t="shared" si="3"/>
        <v>The Commissioner &amp; Chief Constable are satisfied the spend represents VFM in accordance with the requirements of Category B</v>
      </c>
    </row>
    <row r="120" spans="1:11" x14ac:dyDescent="0.2">
      <c r="A120" s="10" t="s">
        <v>8</v>
      </c>
      <c r="B120" s="11" t="s">
        <v>9</v>
      </c>
      <c r="C120" s="75" t="s">
        <v>536</v>
      </c>
      <c r="D120" s="86">
        <v>7177233</v>
      </c>
      <c r="E120" s="85">
        <v>45561</v>
      </c>
      <c r="F120" s="12">
        <v>5633.98</v>
      </c>
      <c r="G120" s="13" t="s">
        <v>319</v>
      </c>
      <c r="H120" s="14" t="str">
        <f t="shared" si="2"/>
        <v>B</v>
      </c>
      <c r="I120" s="15" t="str">
        <f t="shared" si="3"/>
        <v>The Commissioner &amp; Chief Constable are satisfied the spend represents VFM in accordance with the requirements of Category B</v>
      </c>
    </row>
    <row r="121" spans="1:11" x14ac:dyDescent="0.2">
      <c r="A121" s="10" t="s">
        <v>8</v>
      </c>
      <c r="B121" s="11" t="s">
        <v>9</v>
      </c>
      <c r="C121" s="75" t="s">
        <v>183</v>
      </c>
      <c r="D121" s="86">
        <v>7175518</v>
      </c>
      <c r="E121" s="85">
        <v>45552</v>
      </c>
      <c r="F121" s="12">
        <v>5500</v>
      </c>
      <c r="G121" s="13" t="s">
        <v>131</v>
      </c>
      <c r="H121" s="14" t="str">
        <f t="shared" si="2"/>
        <v>B</v>
      </c>
      <c r="I121" s="15" t="str">
        <f t="shared" si="3"/>
        <v>The Commissioner &amp; Chief Constable are satisfied the spend represents VFM in accordance with the requirements of Category B</v>
      </c>
    </row>
    <row r="122" spans="1:11" x14ac:dyDescent="0.2">
      <c r="A122" s="10" t="s">
        <v>8</v>
      </c>
      <c r="B122" s="11" t="s">
        <v>9</v>
      </c>
      <c r="C122" s="75" t="s">
        <v>128</v>
      </c>
      <c r="D122" s="86">
        <v>7176598</v>
      </c>
      <c r="E122" s="85">
        <v>45541</v>
      </c>
      <c r="F122" s="12">
        <v>5499.19</v>
      </c>
      <c r="G122" s="13" t="s">
        <v>129</v>
      </c>
      <c r="H122" s="14" t="str">
        <f t="shared" si="2"/>
        <v>B</v>
      </c>
      <c r="I122" s="15" t="str">
        <f t="shared" si="3"/>
        <v>The Commissioner &amp; Chief Constable are satisfied the spend represents VFM in accordance with the requirements of Category B</v>
      </c>
    </row>
    <row r="123" spans="1:11" x14ac:dyDescent="0.2">
      <c r="A123" s="10" t="s">
        <v>8</v>
      </c>
      <c r="B123" s="11" t="s">
        <v>9</v>
      </c>
      <c r="C123" s="75" t="s">
        <v>74</v>
      </c>
      <c r="D123" s="86">
        <v>7176436</v>
      </c>
      <c r="E123" s="85">
        <v>45545</v>
      </c>
      <c r="F123" s="12">
        <v>5143.46</v>
      </c>
      <c r="G123" s="13" t="s">
        <v>75</v>
      </c>
      <c r="H123" s="14" t="str">
        <f t="shared" si="2"/>
        <v>B</v>
      </c>
      <c r="I123" s="15" t="str">
        <f t="shared" si="3"/>
        <v>The Commissioner &amp; Chief Constable are satisfied the spend represents VFM in accordance with the requirements of Category B</v>
      </c>
    </row>
    <row r="124" spans="1:11" x14ac:dyDescent="0.2">
      <c r="A124" s="10" t="s">
        <v>8</v>
      </c>
      <c r="B124" s="11" t="s">
        <v>9</v>
      </c>
      <c r="C124" s="75" t="s">
        <v>242</v>
      </c>
      <c r="D124" s="86">
        <v>7177209</v>
      </c>
      <c r="E124" s="85">
        <v>45565</v>
      </c>
      <c r="F124" s="12">
        <v>5093.76</v>
      </c>
      <c r="G124" s="13" t="s">
        <v>94</v>
      </c>
      <c r="H124" s="14" t="str">
        <f t="shared" si="2"/>
        <v>B</v>
      </c>
      <c r="I124" s="15" t="str">
        <f t="shared" si="3"/>
        <v>The Commissioner &amp; Chief Constable are satisfied the spend represents VFM in accordance with the requirements of Category B</v>
      </c>
    </row>
    <row r="125" spans="1:11" x14ac:dyDescent="0.2">
      <c r="A125" s="10" t="s">
        <v>8</v>
      </c>
      <c r="B125" s="11" t="s">
        <v>9</v>
      </c>
      <c r="C125" s="75" t="s">
        <v>48</v>
      </c>
      <c r="D125" s="86">
        <v>7177273</v>
      </c>
      <c r="E125" s="85">
        <v>45555</v>
      </c>
      <c r="F125" s="12">
        <v>5019.3500000000004</v>
      </c>
      <c r="G125" s="13" t="s">
        <v>58</v>
      </c>
      <c r="H125" s="14" t="str">
        <f t="shared" si="2"/>
        <v>B</v>
      </c>
      <c r="I125" s="15" t="str">
        <f t="shared" si="3"/>
        <v>The Commissioner &amp; Chief Constable are satisfied the spend represents VFM in accordance with the requirements of Category B</v>
      </c>
    </row>
    <row r="126" spans="1:11" x14ac:dyDescent="0.2">
      <c r="A126" s="10" t="s">
        <v>8</v>
      </c>
      <c r="B126" s="11" t="s">
        <v>9</v>
      </c>
      <c r="C126" s="75" t="s">
        <v>168</v>
      </c>
      <c r="D126" s="86">
        <v>3068517</v>
      </c>
      <c r="E126" s="85">
        <v>45548</v>
      </c>
      <c r="F126" s="12">
        <v>5000</v>
      </c>
      <c r="G126" s="13" t="s">
        <v>169</v>
      </c>
      <c r="H126" s="14" t="str">
        <f t="shared" si="2"/>
        <v>B</v>
      </c>
      <c r="I126" s="15" t="str">
        <f t="shared" si="3"/>
        <v>The Commissioner &amp; Chief Constable are satisfied the spend represents VFM in accordance with the requirements of Category B</v>
      </c>
    </row>
    <row r="127" spans="1:11" x14ac:dyDescent="0.2">
      <c r="A127" s="10" t="s">
        <v>8</v>
      </c>
      <c r="B127" s="11" t="s">
        <v>9</v>
      </c>
      <c r="C127" s="75" t="s">
        <v>448</v>
      </c>
      <c r="D127" s="86">
        <v>7177301</v>
      </c>
      <c r="E127" s="85">
        <v>45559</v>
      </c>
      <c r="F127" s="12">
        <v>5000</v>
      </c>
      <c r="G127" s="13" t="s">
        <v>27</v>
      </c>
      <c r="H127" s="14" t="str">
        <f t="shared" si="2"/>
        <v>B</v>
      </c>
      <c r="I127" s="15" t="str">
        <f t="shared" si="3"/>
        <v>The Commissioner &amp; Chief Constable are satisfied the spend represents VFM in accordance with the requirements of Category B</v>
      </c>
    </row>
    <row r="128" spans="1:11" x14ac:dyDescent="0.2">
      <c r="A128" s="10" t="s">
        <v>8</v>
      </c>
      <c r="B128" s="11" t="s">
        <v>9</v>
      </c>
      <c r="C128" s="77" t="s">
        <v>168</v>
      </c>
      <c r="D128" s="86">
        <v>3068593</v>
      </c>
      <c r="E128" s="85">
        <v>45562</v>
      </c>
      <c r="F128" s="12">
        <v>5000</v>
      </c>
      <c r="G128" s="13" t="s">
        <v>169</v>
      </c>
      <c r="H128" s="14" t="str">
        <f t="shared" si="2"/>
        <v>B</v>
      </c>
      <c r="I128" s="15" t="str">
        <f t="shared" si="3"/>
        <v>The Commissioner &amp; Chief Constable are satisfied the spend represents VFM in accordance with the requirements of Category B</v>
      </c>
    </row>
    <row r="129" spans="1:13" x14ac:dyDescent="0.2">
      <c r="A129" s="10" t="s">
        <v>8</v>
      </c>
      <c r="B129" s="11" t="s">
        <v>9</v>
      </c>
      <c r="C129" s="77" t="s">
        <v>163</v>
      </c>
      <c r="D129" s="86">
        <v>7177053</v>
      </c>
      <c r="E129" s="85">
        <v>45547</v>
      </c>
      <c r="F129" s="12">
        <v>866</v>
      </c>
      <c r="G129" s="13" t="s">
        <v>45</v>
      </c>
      <c r="H129" s="14" t="str">
        <f t="shared" si="2"/>
        <v>A</v>
      </c>
      <c r="I129" s="15" t="str">
        <f t="shared" si="3"/>
        <v>The Commissioner &amp; Chief Constable are satisfied the spend represents VFM in accordance with the requirements of Category A</v>
      </c>
    </row>
    <row r="130" spans="1:13" x14ac:dyDescent="0.2">
      <c r="A130" s="10" t="s">
        <v>8</v>
      </c>
      <c r="B130" s="11" t="s">
        <v>9</v>
      </c>
      <c r="C130" s="75" t="s">
        <v>163</v>
      </c>
      <c r="D130" s="86">
        <v>7177053</v>
      </c>
      <c r="E130" s="85">
        <v>45547</v>
      </c>
      <c r="F130" s="12">
        <v>3085.5</v>
      </c>
      <c r="G130" s="13" t="s">
        <v>81</v>
      </c>
      <c r="H130" s="14" t="str">
        <f t="shared" ref="H130:H193" si="4">IF(F130&gt;25000,"C",IF(F130&gt;1000,"B","A"))</f>
        <v>B</v>
      </c>
      <c r="I130" s="15" t="str">
        <f t="shared" ref="I130:I193" si="5">VLOOKUP(H130,$L$2:$M$4,2,FALSE)</f>
        <v>The Commissioner &amp; Chief Constable are satisfied the spend represents VFM in accordance with the requirements of Category B</v>
      </c>
    </row>
    <row r="131" spans="1:13" x14ac:dyDescent="0.2">
      <c r="A131" s="10" t="s">
        <v>8</v>
      </c>
      <c r="B131" s="11" t="s">
        <v>9</v>
      </c>
      <c r="C131" s="75" t="s">
        <v>163</v>
      </c>
      <c r="D131" s="86">
        <v>7177053</v>
      </c>
      <c r="E131" s="85">
        <v>45547</v>
      </c>
      <c r="F131" s="12">
        <v>1014</v>
      </c>
      <c r="G131" s="13" t="s">
        <v>82</v>
      </c>
      <c r="H131" s="14" t="str">
        <f t="shared" si="4"/>
        <v>B</v>
      </c>
      <c r="I131" s="15" t="str">
        <f t="shared" si="5"/>
        <v>The Commissioner &amp; Chief Constable are satisfied the spend represents VFM in accordance with the requirements of Category B</v>
      </c>
    </row>
    <row r="132" spans="1:13" x14ac:dyDescent="0.2">
      <c r="A132" s="10" t="s">
        <v>8</v>
      </c>
      <c r="B132" s="11" t="s">
        <v>9</v>
      </c>
      <c r="C132" s="75" t="s">
        <v>181</v>
      </c>
      <c r="D132" s="86">
        <v>7176939</v>
      </c>
      <c r="E132" s="85">
        <v>45565</v>
      </c>
      <c r="F132" s="12">
        <v>4950</v>
      </c>
      <c r="G132" s="13" t="s">
        <v>106</v>
      </c>
      <c r="H132" s="14" t="str">
        <f t="shared" si="4"/>
        <v>B</v>
      </c>
      <c r="I132" s="15" t="str">
        <f t="shared" si="5"/>
        <v>The Commissioner &amp; Chief Constable are satisfied the spend represents VFM in accordance with the requirements of Category B</v>
      </c>
    </row>
    <row r="133" spans="1:13" x14ac:dyDescent="0.2">
      <c r="A133" s="10" t="s">
        <v>8</v>
      </c>
      <c r="B133" s="11" t="s">
        <v>9</v>
      </c>
      <c r="C133" s="75" t="s">
        <v>128</v>
      </c>
      <c r="D133" s="86">
        <v>7177597</v>
      </c>
      <c r="E133" s="85">
        <v>45565</v>
      </c>
      <c r="F133" s="12">
        <v>4942.3100000000004</v>
      </c>
      <c r="G133" s="13" t="s">
        <v>129</v>
      </c>
      <c r="H133" s="14" t="str">
        <f t="shared" si="4"/>
        <v>B</v>
      </c>
      <c r="I133" s="15" t="str">
        <f t="shared" si="5"/>
        <v>The Commissioner &amp; Chief Constable are satisfied the spend represents VFM in accordance with the requirements of Category B</v>
      </c>
    </row>
    <row r="134" spans="1:13" x14ac:dyDescent="0.2">
      <c r="A134" s="10" t="s">
        <v>8</v>
      </c>
      <c r="B134" s="11" t="s">
        <v>9</v>
      </c>
      <c r="C134" s="75" t="s">
        <v>469</v>
      </c>
      <c r="D134" s="86">
        <v>7176593</v>
      </c>
      <c r="E134" s="85">
        <v>45537</v>
      </c>
      <c r="F134" s="12">
        <v>4793.3</v>
      </c>
      <c r="G134" s="13" t="s">
        <v>94</v>
      </c>
      <c r="H134" s="14" t="str">
        <f t="shared" si="4"/>
        <v>B</v>
      </c>
      <c r="I134" s="15" t="str">
        <f t="shared" si="5"/>
        <v>The Commissioner &amp; Chief Constable are satisfied the spend represents VFM in accordance with the requirements of Category B</v>
      </c>
    </row>
    <row r="135" spans="1:13" s="20" customFormat="1" x14ac:dyDescent="0.2">
      <c r="A135" s="10" t="s">
        <v>8</v>
      </c>
      <c r="B135" s="11" t="s">
        <v>9</v>
      </c>
      <c r="C135" s="77" t="s">
        <v>23</v>
      </c>
      <c r="D135" s="86">
        <v>7176962</v>
      </c>
      <c r="E135" s="85">
        <v>45545</v>
      </c>
      <c r="F135" s="12">
        <v>4763.67</v>
      </c>
      <c r="G135" s="13" t="s">
        <v>24</v>
      </c>
      <c r="H135" s="14" t="str">
        <f t="shared" si="4"/>
        <v>B</v>
      </c>
      <c r="I135" s="15" t="str">
        <f t="shared" si="5"/>
        <v>The Commissioner &amp; Chief Constable are satisfied the spend represents VFM in accordance with the requirements of Category B</v>
      </c>
      <c r="L135" s="17"/>
      <c r="M135" s="17"/>
    </row>
    <row r="136" spans="1:13" s="20" customFormat="1" x14ac:dyDescent="0.2">
      <c r="A136" s="10" t="s">
        <v>8</v>
      </c>
      <c r="B136" s="11" t="s">
        <v>9</v>
      </c>
      <c r="C136" s="75" t="s">
        <v>127</v>
      </c>
      <c r="D136" s="86">
        <v>7177171</v>
      </c>
      <c r="E136" s="85">
        <v>45552</v>
      </c>
      <c r="F136" s="12">
        <v>4705.92</v>
      </c>
      <c r="G136" s="13" t="s">
        <v>49</v>
      </c>
      <c r="H136" s="14" t="str">
        <f t="shared" si="4"/>
        <v>B</v>
      </c>
      <c r="I136" s="15" t="str">
        <f t="shared" si="5"/>
        <v>The Commissioner &amp; Chief Constable are satisfied the spend represents VFM in accordance with the requirements of Category B</v>
      </c>
      <c r="L136" s="17"/>
      <c r="M136" s="17"/>
    </row>
    <row r="137" spans="1:13" s="20" customFormat="1" x14ac:dyDescent="0.2">
      <c r="A137" s="10" t="s">
        <v>8</v>
      </c>
      <c r="B137" s="11" t="s">
        <v>9</v>
      </c>
      <c r="C137" s="75" t="s">
        <v>119</v>
      </c>
      <c r="D137" s="86">
        <v>7177424</v>
      </c>
      <c r="E137" s="85">
        <v>45561</v>
      </c>
      <c r="F137" s="12">
        <v>4650.8999999999996</v>
      </c>
      <c r="G137" s="13" t="s">
        <v>120</v>
      </c>
      <c r="H137" s="14" t="str">
        <f t="shared" si="4"/>
        <v>B</v>
      </c>
      <c r="I137" s="15" t="str">
        <f t="shared" si="5"/>
        <v>The Commissioner &amp; Chief Constable are satisfied the spend represents VFM in accordance with the requirements of Category B</v>
      </c>
      <c r="L137" s="17"/>
      <c r="M137" s="17"/>
    </row>
    <row r="138" spans="1:13" s="20" customFormat="1" x14ac:dyDescent="0.2">
      <c r="A138" s="10" t="s">
        <v>8</v>
      </c>
      <c r="B138" s="11" t="s">
        <v>9</v>
      </c>
      <c r="C138" s="75" t="s">
        <v>701</v>
      </c>
      <c r="D138" s="86">
        <v>7177129</v>
      </c>
      <c r="E138" s="85">
        <v>45555</v>
      </c>
      <c r="F138" s="12">
        <v>4625</v>
      </c>
      <c r="G138" s="13" t="s">
        <v>177</v>
      </c>
      <c r="H138" s="14" t="str">
        <f t="shared" si="4"/>
        <v>B</v>
      </c>
      <c r="I138" s="15" t="str">
        <f t="shared" si="5"/>
        <v>The Commissioner &amp; Chief Constable are satisfied the spend represents VFM in accordance with the requirements of Category B</v>
      </c>
      <c r="L138" s="17"/>
      <c r="M138" s="17"/>
    </row>
    <row r="139" spans="1:13" s="20" customFormat="1" x14ac:dyDescent="0.2">
      <c r="A139" s="10" t="s">
        <v>8</v>
      </c>
      <c r="B139" s="11" t="s">
        <v>9</v>
      </c>
      <c r="C139" s="75" t="s">
        <v>901</v>
      </c>
      <c r="D139" s="86">
        <v>7176823</v>
      </c>
      <c r="E139" s="85">
        <v>45540</v>
      </c>
      <c r="F139" s="12">
        <v>4487</v>
      </c>
      <c r="G139" s="13" t="s">
        <v>319</v>
      </c>
      <c r="H139" s="14" t="str">
        <f t="shared" si="4"/>
        <v>B</v>
      </c>
      <c r="I139" s="15" t="str">
        <f t="shared" si="5"/>
        <v>The Commissioner &amp; Chief Constable are satisfied the spend represents VFM in accordance with the requirements of Category B</v>
      </c>
      <c r="L139" s="17"/>
      <c r="M139" s="17"/>
    </row>
    <row r="140" spans="1:13" s="20" customFormat="1" x14ac:dyDescent="0.2">
      <c r="A140" s="10" t="s">
        <v>8</v>
      </c>
      <c r="B140" s="11" t="s">
        <v>9</v>
      </c>
      <c r="C140" s="75" t="s">
        <v>900</v>
      </c>
      <c r="D140" s="86">
        <v>7177318</v>
      </c>
      <c r="E140" s="85">
        <v>45555</v>
      </c>
      <c r="F140" s="12">
        <v>4485</v>
      </c>
      <c r="G140" s="13" t="s">
        <v>131</v>
      </c>
      <c r="H140" s="14" t="str">
        <f t="shared" si="4"/>
        <v>B</v>
      </c>
      <c r="I140" s="15" t="str">
        <f t="shared" si="5"/>
        <v>The Commissioner &amp; Chief Constable are satisfied the spend represents VFM in accordance with the requirements of Category B</v>
      </c>
      <c r="L140" s="17"/>
      <c r="M140" s="17"/>
    </row>
    <row r="141" spans="1:13" s="20" customFormat="1" x14ac:dyDescent="0.2">
      <c r="A141" s="10" t="s">
        <v>8</v>
      </c>
      <c r="B141" s="11" t="s">
        <v>9</v>
      </c>
      <c r="C141" s="75" t="s">
        <v>142</v>
      </c>
      <c r="D141" s="86">
        <v>7176875</v>
      </c>
      <c r="E141" s="85">
        <v>45558</v>
      </c>
      <c r="F141" s="12">
        <v>4365.8999999999996</v>
      </c>
      <c r="G141" s="13" t="s">
        <v>143</v>
      </c>
      <c r="H141" s="14" t="str">
        <f t="shared" si="4"/>
        <v>B</v>
      </c>
      <c r="I141" s="15" t="str">
        <f t="shared" si="5"/>
        <v>The Commissioner &amp; Chief Constable are satisfied the spend represents VFM in accordance with the requirements of Category B</v>
      </c>
      <c r="L141" s="17"/>
      <c r="M141" s="17"/>
    </row>
    <row r="142" spans="1:13" s="20" customFormat="1" x14ac:dyDescent="0.2">
      <c r="A142" s="10" t="s">
        <v>8</v>
      </c>
      <c r="B142" s="11" t="s">
        <v>9</v>
      </c>
      <c r="C142" s="75" t="s">
        <v>899</v>
      </c>
      <c r="D142" s="86">
        <v>7176752</v>
      </c>
      <c r="E142" s="85">
        <v>45541</v>
      </c>
      <c r="F142" s="12">
        <v>4325</v>
      </c>
      <c r="G142" s="13" t="s">
        <v>345</v>
      </c>
      <c r="H142" s="14" t="str">
        <f t="shared" si="4"/>
        <v>B</v>
      </c>
      <c r="I142" s="15" t="str">
        <f t="shared" si="5"/>
        <v>The Commissioner &amp; Chief Constable are satisfied the spend represents VFM in accordance with the requirements of Category B</v>
      </c>
      <c r="L142" s="17"/>
      <c r="M142" s="17"/>
    </row>
    <row r="143" spans="1:13" s="20" customFormat="1" x14ac:dyDescent="0.2">
      <c r="A143" s="10" t="s">
        <v>8</v>
      </c>
      <c r="B143" s="11" t="s">
        <v>9</v>
      </c>
      <c r="C143" s="77" t="s">
        <v>252</v>
      </c>
      <c r="D143" s="86">
        <v>7177569</v>
      </c>
      <c r="E143" s="85">
        <v>45565</v>
      </c>
      <c r="F143" s="12">
        <v>4316</v>
      </c>
      <c r="G143" s="13" t="s">
        <v>148</v>
      </c>
      <c r="H143" s="14" t="str">
        <f t="shared" si="4"/>
        <v>B</v>
      </c>
      <c r="I143" s="15" t="str">
        <f t="shared" si="5"/>
        <v>The Commissioner &amp; Chief Constable are satisfied the spend represents VFM in accordance with the requirements of Category B</v>
      </c>
      <c r="L143" s="17"/>
      <c r="M143" s="17"/>
    </row>
    <row r="144" spans="1:13" s="20" customFormat="1" x14ac:dyDescent="0.2">
      <c r="A144" s="10" t="s">
        <v>8</v>
      </c>
      <c r="B144" s="11" t="s">
        <v>9</v>
      </c>
      <c r="C144" s="75" t="s">
        <v>140</v>
      </c>
      <c r="D144" s="86">
        <v>7177205</v>
      </c>
      <c r="E144" s="85">
        <v>45553</v>
      </c>
      <c r="F144" s="12">
        <v>4315.8500000000004</v>
      </c>
      <c r="G144" s="13" t="s">
        <v>156</v>
      </c>
      <c r="H144" s="14" t="str">
        <f t="shared" si="4"/>
        <v>B</v>
      </c>
      <c r="I144" s="15" t="str">
        <f t="shared" si="5"/>
        <v>The Commissioner &amp; Chief Constable are satisfied the spend represents VFM in accordance with the requirements of Category B</v>
      </c>
      <c r="L144" s="17"/>
      <c r="M144" s="17"/>
    </row>
    <row r="145" spans="1:13" s="20" customFormat="1" x14ac:dyDescent="0.2">
      <c r="A145" s="10" t="s">
        <v>8</v>
      </c>
      <c r="B145" s="11" t="s">
        <v>9</v>
      </c>
      <c r="C145" s="75" t="s">
        <v>176</v>
      </c>
      <c r="D145" s="86">
        <v>7176753</v>
      </c>
      <c r="E145" s="85">
        <v>45539</v>
      </c>
      <c r="F145" s="12">
        <v>4270</v>
      </c>
      <c r="G145" s="13" t="s">
        <v>131</v>
      </c>
      <c r="H145" s="14" t="str">
        <f t="shared" si="4"/>
        <v>B</v>
      </c>
      <c r="I145" s="15" t="str">
        <f t="shared" si="5"/>
        <v>The Commissioner &amp; Chief Constable are satisfied the spend represents VFM in accordance with the requirements of Category B</v>
      </c>
      <c r="L145" s="17"/>
      <c r="M145" s="17"/>
    </row>
    <row r="146" spans="1:13" s="20" customFormat="1" x14ac:dyDescent="0.2">
      <c r="A146" s="10" t="s">
        <v>8</v>
      </c>
      <c r="B146" s="11" t="s">
        <v>9</v>
      </c>
      <c r="C146" s="77" t="s">
        <v>419</v>
      </c>
      <c r="D146" s="86">
        <v>7177513</v>
      </c>
      <c r="E146" s="85">
        <v>45562</v>
      </c>
      <c r="F146" s="12">
        <v>4225</v>
      </c>
      <c r="G146" s="13" t="s">
        <v>131</v>
      </c>
      <c r="H146" s="14" t="str">
        <f t="shared" si="4"/>
        <v>B</v>
      </c>
      <c r="I146" s="15" t="str">
        <f t="shared" si="5"/>
        <v>The Commissioner &amp; Chief Constable are satisfied the spend represents VFM in accordance with the requirements of Category B</v>
      </c>
      <c r="L146" s="17"/>
      <c r="M146" s="17"/>
    </row>
    <row r="147" spans="1:13" s="20" customFormat="1" x14ac:dyDescent="0.2">
      <c r="A147" s="10" t="s">
        <v>8</v>
      </c>
      <c r="B147" s="11" t="s">
        <v>9</v>
      </c>
      <c r="C147" s="77" t="s">
        <v>74</v>
      </c>
      <c r="D147" s="86">
        <v>7176625</v>
      </c>
      <c r="E147" s="85">
        <v>45538</v>
      </c>
      <c r="F147" s="18">
        <v>4102.5600000000004</v>
      </c>
      <c r="G147" s="13" t="s">
        <v>75</v>
      </c>
      <c r="H147" s="14" t="str">
        <f t="shared" si="4"/>
        <v>B</v>
      </c>
      <c r="I147" s="15" t="str">
        <f t="shared" si="5"/>
        <v>The Commissioner &amp; Chief Constable are satisfied the spend represents VFM in accordance with the requirements of Category B</v>
      </c>
      <c r="L147" s="17"/>
      <c r="M147" s="17"/>
    </row>
    <row r="148" spans="1:13" s="20" customFormat="1" x14ac:dyDescent="0.2">
      <c r="A148" s="10" t="s">
        <v>8</v>
      </c>
      <c r="B148" s="11" t="s">
        <v>9</v>
      </c>
      <c r="C148" s="75" t="s">
        <v>207</v>
      </c>
      <c r="D148" s="86">
        <v>7176727</v>
      </c>
      <c r="E148" s="85">
        <v>45545</v>
      </c>
      <c r="F148" s="18">
        <v>4014</v>
      </c>
      <c r="G148" s="13" t="s">
        <v>114</v>
      </c>
      <c r="H148" s="14" t="str">
        <f t="shared" si="4"/>
        <v>B</v>
      </c>
      <c r="I148" s="15" t="str">
        <f t="shared" si="5"/>
        <v>The Commissioner &amp; Chief Constable are satisfied the spend represents VFM in accordance with the requirements of Category B</v>
      </c>
      <c r="L148" s="17"/>
      <c r="M148" s="17"/>
    </row>
    <row r="149" spans="1:13" s="20" customFormat="1" x14ac:dyDescent="0.2">
      <c r="A149" s="10" t="s">
        <v>8</v>
      </c>
      <c r="B149" s="11" t="s">
        <v>9</v>
      </c>
      <c r="C149" s="75" t="s">
        <v>890</v>
      </c>
      <c r="D149" s="86">
        <v>7177046</v>
      </c>
      <c r="E149" s="85">
        <v>45553</v>
      </c>
      <c r="F149" s="18">
        <v>4000</v>
      </c>
      <c r="G149" s="13" t="s">
        <v>98</v>
      </c>
      <c r="H149" s="14" t="str">
        <f t="shared" si="4"/>
        <v>B</v>
      </c>
      <c r="I149" s="15" t="str">
        <f t="shared" si="5"/>
        <v>The Commissioner &amp; Chief Constable are satisfied the spend represents VFM in accordance with the requirements of Category B</v>
      </c>
      <c r="L149" s="17"/>
      <c r="M149" s="17"/>
    </row>
    <row r="150" spans="1:13" s="20" customFormat="1" x14ac:dyDescent="0.2">
      <c r="A150" s="10" t="s">
        <v>8</v>
      </c>
      <c r="B150" s="11" t="s">
        <v>9</v>
      </c>
      <c r="C150" s="75" t="s">
        <v>153</v>
      </c>
      <c r="D150" s="86">
        <v>7177478</v>
      </c>
      <c r="E150" s="85">
        <v>45560</v>
      </c>
      <c r="F150" s="12">
        <v>3941</v>
      </c>
      <c r="G150" s="13" t="s">
        <v>39</v>
      </c>
      <c r="H150" s="14" t="str">
        <f t="shared" si="4"/>
        <v>B</v>
      </c>
      <c r="I150" s="15" t="str">
        <f t="shared" si="5"/>
        <v>The Commissioner &amp; Chief Constable are satisfied the spend represents VFM in accordance with the requirements of Category B</v>
      </c>
      <c r="L150" s="17"/>
      <c r="M150" s="17"/>
    </row>
    <row r="151" spans="1:13" s="20" customFormat="1" x14ac:dyDescent="0.2">
      <c r="A151" s="10" t="s">
        <v>8</v>
      </c>
      <c r="B151" s="11" t="s">
        <v>9</v>
      </c>
      <c r="C151" s="75" t="s">
        <v>452</v>
      </c>
      <c r="D151" s="86">
        <v>9036175</v>
      </c>
      <c r="E151" s="85">
        <v>45560</v>
      </c>
      <c r="F151" s="12">
        <v>3920.38</v>
      </c>
      <c r="G151" s="13" t="s">
        <v>452</v>
      </c>
      <c r="H151" s="14" t="str">
        <f t="shared" si="4"/>
        <v>B</v>
      </c>
      <c r="I151" s="15" t="str">
        <f t="shared" si="5"/>
        <v>The Commissioner &amp; Chief Constable are satisfied the spend represents VFM in accordance with the requirements of Category B</v>
      </c>
      <c r="L151" s="17"/>
      <c r="M151" s="17"/>
    </row>
    <row r="152" spans="1:13" s="20" customFormat="1" x14ac:dyDescent="0.2">
      <c r="A152" s="10" t="s">
        <v>8</v>
      </c>
      <c r="B152" s="11" t="s">
        <v>9</v>
      </c>
      <c r="C152" s="75" t="s">
        <v>10</v>
      </c>
      <c r="D152" s="86">
        <v>7177279</v>
      </c>
      <c r="E152" s="85">
        <v>45560</v>
      </c>
      <c r="F152" s="12">
        <v>3905</v>
      </c>
      <c r="G152" s="13" t="s">
        <v>11</v>
      </c>
      <c r="H152" s="14" t="str">
        <f t="shared" si="4"/>
        <v>B</v>
      </c>
      <c r="I152" s="15" t="str">
        <f t="shared" si="5"/>
        <v>The Commissioner &amp; Chief Constable are satisfied the spend represents VFM in accordance with the requirements of Category B</v>
      </c>
      <c r="L152" s="17"/>
      <c r="M152" s="17"/>
    </row>
    <row r="153" spans="1:13" s="20" customFormat="1" x14ac:dyDescent="0.2">
      <c r="A153" s="10" t="s">
        <v>8</v>
      </c>
      <c r="B153" s="11" t="s">
        <v>9</v>
      </c>
      <c r="C153" s="75" t="s">
        <v>898</v>
      </c>
      <c r="D153" s="86">
        <v>7176641</v>
      </c>
      <c r="E153" s="85">
        <v>45541</v>
      </c>
      <c r="F153" s="12">
        <v>3900</v>
      </c>
      <c r="G153" s="13" t="s">
        <v>131</v>
      </c>
      <c r="H153" s="14" t="str">
        <f t="shared" si="4"/>
        <v>B</v>
      </c>
      <c r="I153" s="15" t="str">
        <f t="shared" si="5"/>
        <v>The Commissioner &amp; Chief Constable are satisfied the spend represents VFM in accordance with the requirements of Category B</v>
      </c>
      <c r="L153" s="17"/>
      <c r="M153" s="17"/>
    </row>
    <row r="154" spans="1:13" s="20" customFormat="1" x14ac:dyDescent="0.2">
      <c r="A154" s="10" t="s">
        <v>8</v>
      </c>
      <c r="B154" s="11" t="s">
        <v>9</v>
      </c>
      <c r="C154" s="75" t="s">
        <v>277</v>
      </c>
      <c r="D154" s="86">
        <v>7176954</v>
      </c>
      <c r="E154" s="85">
        <v>45546</v>
      </c>
      <c r="F154" s="12">
        <v>3860</v>
      </c>
      <c r="G154" s="13" t="s">
        <v>278</v>
      </c>
      <c r="H154" s="14" t="str">
        <f t="shared" si="4"/>
        <v>B</v>
      </c>
      <c r="I154" s="15" t="str">
        <f t="shared" si="5"/>
        <v>The Commissioner &amp; Chief Constable are satisfied the spend represents VFM in accordance with the requirements of Category B</v>
      </c>
      <c r="L154" s="17"/>
      <c r="M154" s="17"/>
    </row>
    <row r="155" spans="1:13" s="20" customFormat="1" x14ac:dyDescent="0.2">
      <c r="A155" s="10" t="s">
        <v>8</v>
      </c>
      <c r="B155" s="11" t="s">
        <v>9</v>
      </c>
      <c r="C155" s="75" t="s">
        <v>173</v>
      </c>
      <c r="D155" s="86">
        <v>7177518</v>
      </c>
      <c r="E155" s="85">
        <v>45565</v>
      </c>
      <c r="F155" s="12">
        <v>3799.66</v>
      </c>
      <c r="G155" s="13" t="s">
        <v>80</v>
      </c>
      <c r="H155" s="14" t="str">
        <f t="shared" si="4"/>
        <v>B</v>
      </c>
      <c r="I155" s="15" t="str">
        <f t="shared" si="5"/>
        <v>The Commissioner &amp; Chief Constable are satisfied the spend represents VFM in accordance with the requirements of Category B</v>
      </c>
      <c r="L155" s="17"/>
      <c r="M155" s="17"/>
    </row>
    <row r="156" spans="1:13" s="20" customFormat="1" x14ac:dyDescent="0.2">
      <c r="A156" s="10" t="s">
        <v>8</v>
      </c>
      <c r="B156" s="11" t="s">
        <v>9</v>
      </c>
      <c r="C156" s="75" t="s">
        <v>74</v>
      </c>
      <c r="D156" s="86">
        <v>7176478</v>
      </c>
      <c r="E156" s="85">
        <v>45543</v>
      </c>
      <c r="F156" s="12">
        <v>3706.65</v>
      </c>
      <c r="G156" s="13" t="s">
        <v>177</v>
      </c>
      <c r="H156" s="14" t="str">
        <f t="shared" si="4"/>
        <v>B</v>
      </c>
      <c r="I156" s="15" t="str">
        <f t="shared" si="5"/>
        <v>The Commissioner &amp; Chief Constable are satisfied the spend represents VFM in accordance with the requirements of Category B</v>
      </c>
      <c r="L156" s="17"/>
      <c r="M156" s="17"/>
    </row>
    <row r="157" spans="1:13" s="20" customFormat="1" x14ac:dyDescent="0.2">
      <c r="A157" s="10" t="s">
        <v>8</v>
      </c>
      <c r="B157" s="11" t="s">
        <v>9</v>
      </c>
      <c r="C157" s="75" t="s">
        <v>660</v>
      </c>
      <c r="D157" s="86">
        <v>3068610</v>
      </c>
      <c r="E157" s="85">
        <v>45565</v>
      </c>
      <c r="F157" s="12">
        <v>3600</v>
      </c>
      <c r="G157" s="13" t="s">
        <v>106</v>
      </c>
      <c r="H157" s="14" t="str">
        <f t="shared" si="4"/>
        <v>B</v>
      </c>
      <c r="I157" s="15" t="str">
        <f t="shared" si="5"/>
        <v>The Commissioner &amp; Chief Constable are satisfied the spend represents VFM in accordance with the requirements of Category B</v>
      </c>
      <c r="L157" s="17"/>
      <c r="M157" s="17"/>
    </row>
    <row r="158" spans="1:13" s="20" customFormat="1" x14ac:dyDescent="0.2">
      <c r="A158" s="10" t="s">
        <v>8</v>
      </c>
      <c r="B158" s="11" t="s">
        <v>9</v>
      </c>
      <c r="C158" s="77" t="s">
        <v>897</v>
      </c>
      <c r="D158" s="86">
        <v>7177277</v>
      </c>
      <c r="E158" s="85">
        <v>45554</v>
      </c>
      <c r="F158" s="12">
        <v>3550</v>
      </c>
      <c r="G158" s="13" t="s">
        <v>131</v>
      </c>
      <c r="H158" s="14" t="str">
        <f t="shared" si="4"/>
        <v>B</v>
      </c>
      <c r="I158" s="15" t="str">
        <f t="shared" si="5"/>
        <v>The Commissioner &amp; Chief Constable are satisfied the spend represents VFM in accordance with the requirements of Category B</v>
      </c>
      <c r="L158" s="17"/>
      <c r="M158" s="17"/>
    </row>
    <row r="159" spans="1:13" s="20" customFormat="1" x14ac:dyDescent="0.2">
      <c r="A159" s="10" t="s">
        <v>8</v>
      </c>
      <c r="B159" s="11" t="s">
        <v>9</v>
      </c>
      <c r="C159" s="75" t="s">
        <v>150</v>
      </c>
      <c r="D159" s="86">
        <v>7175720</v>
      </c>
      <c r="E159" s="85">
        <v>45541</v>
      </c>
      <c r="F159" s="12">
        <v>3499.8</v>
      </c>
      <c r="G159" s="13" t="s">
        <v>131</v>
      </c>
      <c r="H159" s="14" t="str">
        <f t="shared" si="4"/>
        <v>B</v>
      </c>
      <c r="I159" s="15" t="str">
        <f t="shared" si="5"/>
        <v>The Commissioner &amp; Chief Constable are satisfied the spend represents VFM in accordance with the requirements of Category B</v>
      </c>
      <c r="L159" s="17"/>
      <c r="M159" s="17"/>
    </row>
    <row r="160" spans="1:13" s="20" customFormat="1" x14ac:dyDescent="0.2">
      <c r="A160" s="10" t="s">
        <v>8</v>
      </c>
      <c r="B160" s="11" t="s">
        <v>9</v>
      </c>
      <c r="C160" s="75" t="s">
        <v>154</v>
      </c>
      <c r="D160" s="86">
        <v>7177371</v>
      </c>
      <c r="E160" s="85">
        <v>45558</v>
      </c>
      <c r="F160" s="12">
        <v>3450</v>
      </c>
      <c r="G160" s="13" t="s">
        <v>22</v>
      </c>
      <c r="H160" s="14" t="str">
        <f t="shared" si="4"/>
        <v>B</v>
      </c>
      <c r="I160" s="15" t="str">
        <f t="shared" si="5"/>
        <v>The Commissioner &amp; Chief Constable are satisfied the spend represents VFM in accordance with the requirements of Category B</v>
      </c>
      <c r="L160" s="17"/>
      <c r="M160" s="17"/>
    </row>
    <row r="161" spans="1:13" s="20" customFormat="1" x14ac:dyDescent="0.2">
      <c r="A161" s="10" t="s">
        <v>8</v>
      </c>
      <c r="B161" s="11" t="s">
        <v>9</v>
      </c>
      <c r="C161" s="75" t="s">
        <v>162</v>
      </c>
      <c r="D161" s="86">
        <v>7177197</v>
      </c>
      <c r="E161" s="85">
        <v>45553</v>
      </c>
      <c r="F161" s="12">
        <v>3431</v>
      </c>
      <c r="G161" s="13" t="s">
        <v>39</v>
      </c>
      <c r="H161" s="14" t="str">
        <f t="shared" si="4"/>
        <v>B</v>
      </c>
      <c r="I161" s="15" t="str">
        <f t="shared" si="5"/>
        <v>The Commissioner &amp; Chief Constable are satisfied the spend represents VFM in accordance with the requirements of Category B</v>
      </c>
      <c r="L161" s="17"/>
      <c r="M161" s="17"/>
    </row>
    <row r="162" spans="1:13" s="20" customFormat="1" x14ac:dyDescent="0.2">
      <c r="A162" s="10" t="s">
        <v>8</v>
      </c>
      <c r="B162" s="11" t="s">
        <v>9</v>
      </c>
      <c r="C162" s="75" t="s">
        <v>202</v>
      </c>
      <c r="D162" s="86">
        <v>7177588</v>
      </c>
      <c r="E162" s="85">
        <v>45565</v>
      </c>
      <c r="F162" s="12">
        <v>3417.5</v>
      </c>
      <c r="G162" s="13" t="s">
        <v>203</v>
      </c>
      <c r="H162" s="14" t="str">
        <f t="shared" si="4"/>
        <v>B</v>
      </c>
      <c r="I162" s="15" t="str">
        <f t="shared" si="5"/>
        <v>The Commissioner &amp; Chief Constable are satisfied the spend represents VFM in accordance with the requirements of Category B</v>
      </c>
      <c r="L162" s="17"/>
      <c r="M162" s="17"/>
    </row>
    <row r="163" spans="1:13" s="20" customFormat="1" x14ac:dyDescent="0.2">
      <c r="A163" s="10" t="s">
        <v>8</v>
      </c>
      <c r="B163" s="11" t="s">
        <v>9</v>
      </c>
      <c r="C163" s="75" t="s">
        <v>287</v>
      </c>
      <c r="D163" s="86">
        <v>7177149</v>
      </c>
      <c r="E163" s="85">
        <v>45560</v>
      </c>
      <c r="F163" s="12">
        <v>3403.1</v>
      </c>
      <c r="G163" s="13" t="s">
        <v>131</v>
      </c>
      <c r="H163" s="14" t="str">
        <f t="shared" si="4"/>
        <v>B</v>
      </c>
      <c r="I163" s="15" t="str">
        <f t="shared" si="5"/>
        <v>The Commissioner &amp; Chief Constable are satisfied the spend represents VFM in accordance with the requirements of Category B</v>
      </c>
      <c r="L163" s="17"/>
      <c r="M163" s="17"/>
    </row>
    <row r="164" spans="1:13" s="20" customFormat="1" x14ac:dyDescent="0.2">
      <c r="A164" s="10" t="s">
        <v>8</v>
      </c>
      <c r="B164" s="11" t="s">
        <v>9</v>
      </c>
      <c r="C164" s="75" t="s">
        <v>448</v>
      </c>
      <c r="D164" s="86">
        <v>7177300</v>
      </c>
      <c r="E164" s="85">
        <v>45559</v>
      </c>
      <c r="F164" s="12">
        <v>3325</v>
      </c>
      <c r="G164" s="13" t="s">
        <v>27</v>
      </c>
      <c r="H164" s="14" t="str">
        <f t="shared" si="4"/>
        <v>B</v>
      </c>
      <c r="I164" s="15" t="str">
        <f t="shared" si="5"/>
        <v>The Commissioner &amp; Chief Constable are satisfied the spend represents VFM in accordance with the requirements of Category B</v>
      </c>
      <c r="L164" s="17"/>
      <c r="M164" s="17"/>
    </row>
    <row r="165" spans="1:13" s="20" customFormat="1" x14ac:dyDescent="0.2">
      <c r="A165" s="10" t="s">
        <v>8</v>
      </c>
      <c r="B165" s="11" t="s">
        <v>9</v>
      </c>
      <c r="C165" s="75" t="s">
        <v>193</v>
      </c>
      <c r="D165" s="86">
        <v>7176921</v>
      </c>
      <c r="E165" s="85">
        <v>45544</v>
      </c>
      <c r="F165" s="12">
        <v>3321</v>
      </c>
      <c r="G165" s="13" t="s">
        <v>22</v>
      </c>
      <c r="H165" s="14" t="str">
        <f t="shared" si="4"/>
        <v>B</v>
      </c>
      <c r="I165" s="15" t="str">
        <f t="shared" si="5"/>
        <v>The Commissioner &amp; Chief Constable are satisfied the spend represents VFM in accordance with the requirements of Category B</v>
      </c>
      <c r="L165" s="17"/>
      <c r="M165" s="17"/>
    </row>
    <row r="166" spans="1:13" s="20" customFormat="1" x14ac:dyDescent="0.2">
      <c r="A166" s="10" t="s">
        <v>8</v>
      </c>
      <c r="B166" s="11" t="s">
        <v>9</v>
      </c>
      <c r="C166" s="75" t="s">
        <v>193</v>
      </c>
      <c r="D166" s="86">
        <v>7176913</v>
      </c>
      <c r="E166" s="85">
        <v>45544</v>
      </c>
      <c r="F166" s="12">
        <v>3321</v>
      </c>
      <c r="G166" s="13" t="s">
        <v>22</v>
      </c>
      <c r="H166" s="14" t="str">
        <f t="shared" si="4"/>
        <v>B</v>
      </c>
      <c r="I166" s="15" t="str">
        <f t="shared" si="5"/>
        <v>The Commissioner &amp; Chief Constable are satisfied the spend represents VFM in accordance with the requirements of Category B</v>
      </c>
      <c r="L166" s="17"/>
      <c r="M166" s="17"/>
    </row>
    <row r="167" spans="1:13" s="20" customFormat="1" x14ac:dyDescent="0.2">
      <c r="A167" s="10" t="s">
        <v>8</v>
      </c>
      <c r="B167" s="11" t="s">
        <v>9</v>
      </c>
      <c r="C167" s="75" t="s">
        <v>193</v>
      </c>
      <c r="D167" s="86">
        <v>7176920</v>
      </c>
      <c r="E167" s="85">
        <v>45544</v>
      </c>
      <c r="F167" s="12">
        <v>3321</v>
      </c>
      <c r="G167" s="13" t="s">
        <v>22</v>
      </c>
      <c r="H167" s="14" t="str">
        <f t="shared" si="4"/>
        <v>B</v>
      </c>
      <c r="I167" s="15" t="str">
        <f t="shared" si="5"/>
        <v>The Commissioner &amp; Chief Constable are satisfied the spend represents VFM in accordance with the requirements of Category B</v>
      </c>
      <c r="L167" s="17"/>
      <c r="M167" s="17"/>
    </row>
    <row r="168" spans="1:13" s="20" customFormat="1" x14ac:dyDescent="0.2">
      <c r="A168" s="10" t="s">
        <v>8</v>
      </c>
      <c r="B168" s="11" t="s">
        <v>9</v>
      </c>
      <c r="C168" s="75" t="s">
        <v>894</v>
      </c>
      <c r="D168" s="86">
        <v>7176319</v>
      </c>
      <c r="E168" s="85">
        <v>45547</v>
      </c>
      <c r="F168" s="12">
        <v>3229.3</v>
      </c>
      <c r="G168" s="13" t="s">
        <v>94</v>
      </c>
      <c r="H168" s="14" t="str">
        <f t="shared" si="4"/>
        <v>B</v>
      </c>
      <c r="I168" s="15" t="str">
        <f t="shared" si="5"/>
        <v>The Commissioner &amp; Chief Constable are satisfied the spend represents VFM in accordance with the requirements of Category B</v>
      </c>
      <c r="L168" s="17"/>
      <c r="M168" s="17"/>
    </row>
    <row r="169" spans="1:13" s="20" customFormat="1" x14ac:dyDescent="0.2">
      <c r="A169" s="10" t="s">
        <v>8</v>
      </c>
      <c r="B169" s="11" t="s">
        <v>9</v>
      </c>
      <c r="C169" s="75" t="s">
        <v>333</v>
      </c>
      <c r="D169" s="86">
        <v>7176618</v>
      </c>
      <c r="E169" s="85">
        <v>45548</v>
      </c>
      <c r="F169" s="12">
        <v>3123</v>
      </c>
      <c r="G169" s="13" t="s">
        <v>39</v>
      </c>
      <c r="H169" s="14" t="str">
        <f t="shared" si="4"/>
        <v>B</v>
      </c>
      <c r="I169" s="15" t="str">
        <f t="shared" si="5"/>
        <v>The Commissioner &amp; Chief Constable are satisfied the spend represents VFM in accordance with the requirements of Category B</v>
      </c>
      <c r="L169" s="17"/>
      <c r="M169" s="17"/>
    </row>
    <row r="170" spans="1:13" s="20" customFormat="1" x14ac:dyDescent="0.2">
      <c r="A170" s="10" t="s">
        <v>8</v>
      </c>
      <c r="B170" s="11" t="s">
        <v>9</v>
      </c>
      <c r="C170" s="75" t="s">
        <v>334</v>
      </c>
      <c r="D170" s="86">
        <v>7176781</v>
      </c>
      <c r="E170" s="85">
        <v>45558</v>
      </c>
      <c r="F170" s="12">
        <v>3088.4</v>
      </c>
      <c r="G170" s="13" t="s">
        <v>39</v>
      </c>
      <c r="H170" s="14" t="str">
        <f t="shared" si="4"/>
        <v>B</v>
      </c>
      <c r="I170" s="15" t="str">
        <f t="shared" si="5"/>
        <v>The Commissioner &amp; Chief Constable are satisfied the spend represents VFM in accordance with the requirements of Category B</v>
      </c>
      <c r="L170" s="17"/>
      <c r="M170" s="17"/>
    </row>
    <row r="171" spans="1:13" s="20" customFormat="1" x14ac:dyDescent="0.2">
      <c r="A171" s="10" t="s">
        <v>8</v>
      </c>
      <c r="B171" s="11" t="s">
        <v>9</v>
      </c>
      <c r="C171" s="75" t="s">
        <v>252</v>
      </c>
      <c r="D171" s="86">
        <v>7176704</v>
      </c>
      <c r="E171" s="85">
        <v>45559</v>
      </c>
      <c r="F171" s="12">
        <v>3068</v>
      </c>
      <c r="G171" s="13" t="s">
        <v>148</v>
      </c>
      <c r="H171" s="14" t="str">
        <f t="shared" si="4"/>
        <v>B</v>
      </c>
      <c r="I171" s="15" t="str">
        <f t="shared" si="5"/>
        <v>The Commissioner &amp; Chief Constable are satisfied the spend represents VFM in accordance with the requirements of Category B</v>
      </c>
      <c r="L171" s="17"/>
      <c r="M171" s="17"/>
    </row>
    <row r="172" spans="1:13" s="20" customFormat="1" x14ac:dyDescent="0.2">
      <c r="A172" s="10" t="s">
        <v>8</v>
      </c>
      <c r="B172" s="11" t="s">
        <v>9</v>
      </c>
      <c r="C172" s="75" t="s">
        <v>896</v>
      </c>
      <c r="D172" s="86">
        <v>7176476</v>
      </c>
      <c r="E172" s="85">
        <v>45548</v>
      </c>
      <c r="F172" s="12">
        <v>3060</v>
      </c>
      <c r="G172" s="13" t="s">
        <v>27</v>
      </c>
      <c r="H172" s="14" t="str">
        <f t="shared" si="4"/>
        <v>B</v>
      </c>
      <c r="I172" s="15" t="str">
        <f t="shared" si="5"/>
        <v>The Commissioner &amp; Chief Constable are satisfied the spend represents VFM in accordance with the requirements of Category B</v>
      </c>
      <c r="L172" s="17"/>
      <c r="M172" s="17"/>
    </row>
    <row r="173" spans="1:13" s="20" customFormat="1" x14ac:dyDescent="0.2">
      <c r="A173" s="10" t="s">
        <v>8</v>
      </c>
      <c r="B173" s="11" t="s">
        <v>9</v>
      </c>
      <c r="C173" s="75" t="s">
        <v>895</v>
      </c>
      <c r="D173" s="86">
        <v>7177383</v>
      </c>
      <c r="E173" s="85">
        <v>45561</v>
      </c>
      <c r="F173" s="12">
        <v>3050</v>
      </c>
      <c r="G173" s="13" t="s">
        <v>106</v>
      </c>
      <c r="H173" s="14" t="str">
        <f t="shared" si="4"/>
        <v>B</v>
      </c>
      <c r="I173" s="15" t="str">
        <f t="shared" si="5"/>
        <v>The Commissioner &amp; Chief Constable are satisfied the spend represents VFM in accordance with the requirements of Category B</v>
      </c>
      <c r="L173" s="17"/>
      <c r="M173" s="17"/>
    </row>
    <row r="174" spans="1:13" s="20" customFormat="1" x14ac:dyDescent="0.2">
      <c r="A174" s="10" t="s">
        <v>8</v>
      </c>
      <c r="B174" s="11" t="s">
        <v>9</v>
      </c>
      <c r="C174" s="75" t="s">
        <v>352</v>
      </c>
      <c r="D174" s="86">
        <v>7176513</v>
      </c>
      <c r="E174" s="85">
        <v>45544</v>
      </c>
      <c r="F174" s="12">
        <v>3021.88</v>
      </c>
      <c r="G174" s="13" t="s">
        <v>58</v>
      </c>
      <c r="H174" s="14" t="str">
        <f t="shared" si="4"/>
        <v>B</v>
      </c>
      <c r="I174" s="15" t="str">
        <f t="shared" si="5"/>
        <v>The Commissioner &amp; Chief Constable are satisfied the spend represents VFM in accordance with the requirements of Category B</v>
      </c>
      <c r="L174" s="17"/>
      <c r="M174" s="17"/>
    </row>
    <row r="175" spans="1:13" s="20" customFormat="1" x14ac:dyDescent="0.2">
      <c r="A175" s="10" t="s">
        <v>8</v>
      </c>
      <c r="B175" s="11" t="s">
        <v>9</v>
      </c>
      <c r="C175" s="75" t="s">
        <v>172</v>
      </c>
      <c r="D175" s="86">
        <v>7177348</v>
      </c>
      <c r="E175" s="85">
        <v>45558</v>
      </c>
      <c r="F175" s="12">
        <v>2975</v>
      </c>
      <c r="G175" s="13" t="s">
        <v>112</v>
      </c>
      <c r="H175" s="14" t="str">
        <f t="shared" si="4"/>
        <v>B</v>
      </c>
      <c r="I175" s="15" t="str">
        <f t="shared" si="5"/>
        <v>The Commissioner &amp; Chief Constable are satisfied the spend represents VFM in accordance with the requirements of Category B</v>
      </c>
      <c r="L175" s="17"/>
      <c r="M175" s="17"/>
    </row>
    <row r="176" spans="1:13" s="20" customFormat="1" x14ac:dyDescent="0.2">
      <c r="A176" s="10" t="s">
        <v>8</v>
      </c>
      <c r="B176" s="11" t="s">
        <v>9</v>
      </c>
      <c r="C176" s="75" t="s">
        <v>172</v>
      </c>
      <c r="D176" s="86">
        <v>7177321</v>
      </c>
      <c r="E176" s="85">
        <v>45558</v>
      </c>
      <c r="F176" s="12">
        <v>2941.66</v>
      </c>
      <c r="G176" s="13" t="s">
        <v>112</v>
      </c>
      <c r="H176" s="14" t="str">
        <f t="shared" si="4"/>
        <v>B</v>
      </c>
      <c r="I176" s="15" t="str">
        <f t="shared" si="5"/>
        <v>The Commissioner &amp; Chief Constable are satisfied the spend represents VFM in accordance with the requirements of Category B</v>
      </c>
      <c r="L176" s="17"/>
      <c r="M176" s="17"/>
    </row>
    <row r="177" spans="1:13" s="20" customFormat="1" x14ac:dyDescent="0.2">
      <c r="A177" s="10" t="s">
        <v>8</v>
      </c>
      <c r="B177" s="11" t="s">
        <v>9</v>
      </c>
      <c r="C177" s="75" t="s">
        <v>497</v>
      </c>
      <c r="D177" s="86">
        <v>7177577</v>
      </c>
      <c r="E177" s="85">
        <v>45562</v>
      </c>
      <c r="F177" s="12">
        <v>2881.72</v>
      </c>
      <c r="G177" s="13" t="s">
        <v>37</v>
      </c>
      <c r="H177" s="14" t="str">
        <f t="shared" si="4"/>
        <v>B</v>
      </c>
      <c r="I177" s="15" t="str">
        <f t="shared" si="5"/>
        <v>The Commissioner &amp; Chief Constable are satisfied the spend represents VFM in accordance with the requirements of Category B</v>
      </c>
      <c r="L177" s="17"/>
      <c r="M177" s="17"/>
    </row>
    <row r="178" spans="1:13" s="20" customFormat="1" x14ac:dyDescent="0.2">
      <c r="A178" s="10" t="s">
        <v>8</v>
      </c>
      <c r="B178" s="11" t="s">
        <v>9</v>
      </c>
      <c r="C178" s="75" t="s">
        <v>894</v>
      </c>
      <c r="D178" s="86">
        <v>7177139</v>
      </c>
      <c r="E178" s="85">
        <v>45548</v>
      </c>
      <c r="F178" s="12">
        <v>2858</v>
      </c>
      <c r="G178" s="13" t="s">
        <v>94</v>
      </c>
      <c r="H178" s="14" t="str">
        <f t="shared" si="4"/>
        <v>B</v>
      </c>
      <c r="I178" s="15" t="str">
        <f t="shared" si="5"/>
        <v>The Commissioner &amp; Chief Constable are satisfied the spend represents VFM in accordance with the requirements of Category B</v>
      </c>
      <c r="L178" s="17"/>
      <c r="M178" s="17"/>
    </row>
    <row r="179" spans="1:13" s="20" customFormat="1" x14ac:dyDescent="0.2">
      <c r="A179" s="10" t="s">
        <v>8</v>
      </c>
      <c r="B179" s="11" t="s">
        <v>9</v>
      </c>
      <c r="C179" s="75" t="s">
        <v>128</v>
      </c>
      <c r="D179" s="86">
        <v>7176880</v>
      </c>
      <c r="E179" s="85">
        <v>45552</v>
      </c>
      <c r="F179" s="12">
        <v>2835</v>
      </c>
      <c r="G179" s="13" t="s">
        <v>131</v>
      </c>
      <c r="H179" s="14" t="str">
        <f t="shared" si="4"/>
        <v>B</v>
      </c>
      <c r="I179" s="15" t="str">
        <f t="shared" si="5"/>
        <v>The Commissioner &amp; Chief Constable are satisfied the spend represents VFM in accordance with the requirements of Category B</v>
      </c>
      <c r="L179" s="17"/>
      <c r="M179" s="17"/>
    </row>
    <row r="180" spans="1:13" s="20" customFormat="1" x14ac:dyDescent="0.2">
      <c r="A180" s="10" t="s">
        <v>8</v>
      </c>
      <c r="B180" s="11" t="s">
        <v>9</v>
      </c>
      <c r="C180" s="75" t="s">
        <v>30</v>
      </c>
      <c r="D180" s="86">
        <v>7176684</v>
      </c>
      <c r="E180" s="85">
        <v>45538</v>
      </c>
      <c r="F180" s="12">
        <v>2795.65</v>
      </c>
      <c r="G180" s="13" t="s">
        <v>31</v>
      </c>
      <c r="H180" s="14" t="str">
        <f t="shared" si="4"/>
        <v>B</v>
      </c>
      <c r="I180" s="15" t="str">
        <f t="shared" si="5"/>
        <v>The Commissioner &amp; Chief Constable are satisfied the spend represents VFM in accordance with the requirements of Category B</v>
      </c>
      <c r="L180" s="17"/>
      <c r="M180" s="17"/>
    </row>
    <row r="181" spans="1:13" s="20" customFormat="1" x14ac:dyDescent="0.2">
      <c r="A181" s="10" t="s">
        <v>8</v>
      </c>
      <c r="B181" s="11" t="s">
        <v>9</v>
      </c>
      <c r="C181" s="75" t="s">
        <v>870</v>
      </c>
      <c r="D181" s="86">
        <v>7176826</v>
      </c>
      <c r="E181" s="85">
        <v>45565</v>
      </c>
      <c r="F181" s="12">
        <v>2730.98</v>
      </c>
      <c r="G181" s="13" t="s">
        <v>457</v>
      </c>
      <c r="H181" s="14" t="str">
        <f t="shared" si="4"/>
        <v>B</v>
      </c>
      <c r="I181" s="15" t="str">
        <f t="shared" si="5"/>
        <v>The Commissioner &amp; Chief Constable are satisfied the spend represents VFM in accordance with the requirements of Category B</v>
      </c>
      <c r="L181" s="17"/>
      <c r="M181" s="17"/>
    </row>
    <row r="182" spans="1:13" s="20" customFormat="1" x14ac:dyDescent="0.2">
      <c r="A182" s="10" t="s">
        <v>8</v>
      </c>
      <c r="B182" s="11" t="s">
        <v>9</v>
      </c>
      <c r="C182" s="75" t="s">
        <v>221</v>
      </c>
      <c r="D182" s="86">
        <v>7176806</v>
      </c>
      <c r="E182" s="85">
        <v>45545</v>
      </c>
      <c r="F182" s="12">
        <v>2726</v>
      </c>
      <c r="G182" s="13" t="s">
        <v>106</v>
      </c>
      <c r="H182" s="14" t="str">
        <f t="shared" si="4"/>
        <v>B</v>
      </c>
      <c r="I182" s="15" t="str">
        <f t="shared" si="5"/>
        <v>The Commissioner &amp; Chief Constable are satisfied the spend represents VFM in accordance with the requirements of Category B</v>
      </c>
      <c r="L182" s="17"/>
      <c r="M182" s="17"/>
    </row>
    <row r="183" spans="1:13" s="20" customFormat="1" x14ac:dyDescent="0.2">
      <c r="A183" s="10" t="s">
        <v>8</v>
      </c>
      <c r="B183" s="11" t="s">
        <v>9</v>
      </c>
      <c r="C183" s="75" t="s">
        <v>289</v>
      </c>
      <c r="D183" s="86">
        <v>7176620</v>
      </c>
      <c r="E183" s="85">
        <v>45548</v>
      </c>
      <c r="F183" s="12">
        <v>2718.1</v>
      </c>
      <c r="G183" s="13" t="s">
        <v>75</v>
      </c>
      <c r="H183" s="14" t="str">
        <f t="shared" si="4"/>
        <v>B</v>
      </c>
      <c r="I183" s="15" t="str">
        <f t="shared" si="5"/>
        <v>The Commissioner &amp; Chief Constable are satisfied the spend represents VFM in accordance with the requirements of Category B</v>
      </c>
      <c r="L183" s="17"/>
      <c r="M183" s="17"/>
    </row>
    <row r="184" spans="1:13" s="20" customFormat="1" x14ac:dyDescent="0.2">
      <c r="A184" s="10" t="s">
        <v>8</v>
      </c>
      <c r="B184" s="11" t="s">
        <v>9</v>
      </c>
      <c r="C184" s="75" t="s">
        <v>181</v>
      </c>
      <c r="D184" s="86">
        <v>7177366</v>
      </c>
      <c r="E184" s="85">
        <v>45560</v>
      </c>
      <c r="F184" s="12">
        <v>2669</v>
      </c>
      <c r="G184" s="13" t="s">
        <v>106</v>
      </c>
      <c r="H184" s="14" t="str">
        <f t="shared" si="4"/>
        <v>B</v>
      </c>
      <c r="I184" s="15" t="str">
        <f t="shared" si="5"/>
        <v>The Commissioner &amp; Chief Constable are satisfied the spend represents VFM in accordance with the requirements of Category B</v>
      </c>
      <c r="L184" s="17"/>
      <c r="M184" s="17"/>
    </row>
    <row r="185" spans="1:13" s="20" customFormat="1" x14ac:dyDescent="0.2">
      <c r="A185" s="10" t="s">
        <v>8</v>
      </c>
      <c r="B185" s="11" t="s">
        <v>9</v>
      </c>
      <c r="C185" s="75" t="s">
        <v>181</v>
      </c>
      <c r="D185" s="86">
        <v>7177367</v>
      </c>
      <c r="E185" s="85">
        <v>45560</v>
      </c>
      <c r="F185" s="12">
        <v>2669</v>
      </c>
      <c r="G185" s="13" t="s">
        <v>106</v>
      </c>
      <c r="H185" s="14" t="str">
        <f t="shared" si="4"/>
        <v>B</v>
      </c>
      <c r="I185" s="15" t="str">
        <f t="shared" si="5"/>
        <v>The Commissioner &amp; Chief Constable are satisfied the spend represents VFM in accordance with the requirements of Category B</v>
      </c>
      <c r="L185" s="17"/>
      <c r="M185" s="17"/>
    </row>
    <row r="186" spans="1:13" s="20" customFormat="1" x14ac:dyDescent="0.2">
      <c r="A186" s="10" t="s">
        <v>8</v>
      </c>
      <c r="B186" s="11" t="s">
        <v>9</v>
      </c>
      <c r="C186" s="75" t="s">
        <v>497</v>
      </c>
      <c r="D186" s="86">
        <v>7177578</v>
      </c>
      <c r="E186" s="85">
        <v>45562</v>
      </c>
      <c r="F186" s="12">
        <v>2619.75</v>
      </c>
      <c r="G186" s="13" t="s">
        <v>37</v>
      </c>
      <c r="H186" s="14" t="str">
        <f t="shared" si="4"/>
        <v>B</v>
      </c>
      <c r="I186" s="15" t="str">
        <f t="shared" si="5"/>
        <v>The Commissioner &amp; Chief Constable are satisfied the spend represents VFM in accordance with the requirements of Category B</v>
      </c>
      <c r="L186" s="17"/>
      <c r="M186" s="17"/>
    </row>
    <row r="187" spans="1:13" s="20" customFormat="1" x14ac:dyDescent="0.2">
      <c r="A187" s="10" t="s">
        <v>8</v>
      </c>
      <c r="B187" s="11" t="s">
        <v>9</v>
      </c>
      <c r="C187" s="75" t="s">
        <v>624</v>
      </c>
      <c r="D187" s="86">
        <v>7176303</v>
      </c>
      <c r="E187" s="85">
        <v>45548</v>
      </c>
      <c r="F187" s="12">
        <v>2600</v>
      </c>
      <c r="G187" s="13" t="s">
        <v>106</v>
      </c>
      <c r="H187" s="14" t="str">
        <f t="shared" si="4"/>
        <v>B</v>
      </c>
      <c r="I187" s="15" t="str">
        <f t="shared" si="5"/>
        <v>The Commissioner &amp; Chief Constable are satisfied the spend represents VFM in accordance with the requirements of Category B</v>
      </c>
      <c r="L187" s="17"/>
      <c r="M187" s="17"/>
    </row>
    <row r="188" spans="1:13" s="20" customFormat="1" x14ac:dyDescent="0.2">
      <c r="A188" s="10" t="s">
        <v>8</v>
      </c>
      <c r="B188" s="11" t="s">
        <v>9</v>
      </c>
      <c r="C188" s="75" t="s">
        <v>624</v>
      </c>
      <c r="D188" s="86">
        <v>7177173</v>
      </c>
      <c r="E188" s="85">
        <v>45552</v>
      </c>
      <c r="F188" s="12">
        <v>2600</v>
      </c>
      <c r="G188" s="13" t="s">
        <v>106</v>
      </c>
      <c r="H188" s="14" t="str">
        <f t="shared" si="4"/>
        <v>B</v>
      </c>
      <c r="I188" s="15" t="str">
        <f t="shared" si="5"/>
        <v>The Commissioner &amp; Chief Constable are satisfied the spend represents VFM in accordance with the requirements of Category B</v>
      </c>
      <c r="L188" s="17"/>
      <c r="M188" s="17"/>
    </row>
    <row r="189" spans="1:13" s="20" customFormat="1" x14ac:dyDescent="0.2">
      <c r="A189" s="10" t="s">
        <v>8</v>
      </c>
      <c r="B189" s="11" t="s">
        <v>9</v>
      </c>
      <c r="C189" s="75" t="s">
        <v>124</v>
      </c>
      <c r="D189" s="86">
        <v>7177472</v>
      </c>
      <c r="E189" s="85">
        <v>45561</v>
      </c>
      <c r="F189" s="12">
        <v>2591.3000000000002</v>
      </c>
      <c r="G189" s="13" t="s">
        <v>91</v>
      </c>
      <c r="H189" s="14" t="str">
        <f t="shared" si="4"/>
        <v>B</v>
      </c>
      <c r="I189" s="15" t="str">
        <f t="shared" si="5"/>
        <v>The Commissioner &amp; Chief Constable are satisfied the spend represents VFM in accordance with the requirements of Category B</v>
      </c>
      <c r="L189" s="17"/>
      <c r="M189" s="17"/>
    </row>
    <row r="190" spans="1:13" s="20" customFormat="1" x14ac:dyDescent="0.2">
      <c r="A190" s="10" t="s">
        <v>8</v>
      </c>
      <c r="B190" s="11" t="s">
        <v>9</v>
      </c>
      <c r="C190" s="75" t="s">
        <v>119</v>
      </c>
      <c r="D190" s="86">
        <v>7177423</v>
      </c>
      <c r="E190" s="85">
        <v>45561</v>
      </c>
      <c r="F190" s="12">
        <v>2569.4699999999998</v>
      </c>
      <c r="G190" s="13" t="s">
        <v>120</v>
      </c>
      <c r="H190" s="14" t="str">
        <f t="shared" si="4"/>
        <v>B</v>
      </c>
      <c r="I190" s="15" t="str">
        <f t="shared" si="5"/>
        <v>The Commissioner &amp; Chief Constable are satisfied the spend represents VFM in accordance with the requirements of Category B</v>
      </c>
      <c r="L190" s="17"/>
      <c r="M190" s="17"/>
    </row>
    <row r="191" spans="1:13" s="20" customFormat="1" x14ac:dyDescent="0.2">
      <c r="A191" s="10" t="s">
        <v>8</v>
      </c>
      <c r="B191" s="11" t="s">
        <v>9</v>
      </c>
      <c r="C191" s="75" t="s">
        <v>196</v>
      </c>
      <c r="D191" s="86">
        <v>7176490</v>
      </c>
      <c r="E191" s="85">
        <v>45538</v>
      </c>
      <c r="F191" s="12">
        <v>2557.48</v>
      </c>
      <c r="G191" s="13" t="s">
        <v>169</v>
      </c>
      <c r="H191" s="14" t="str">
        <f t="shared" si="4"/>
        <v>B</v>
      </c>
      <c r="I191" s="15" t="str">
        <f t="shared" si="5"/>
        <v>The Commissioner &amp; Chief Constable are satisfied the spend represents VFM in accordance with the requirements of Category B</v>
      </c>
      <c r="L191" s="17"/>
      <c r="M191" s="17"/>
    </row>
    <row r="192" spans="1:13" s="20" customFormat="1" x14ac:dyDescent="0.2">
      <c r="A192" s="10" t="s">
        <v>8</v>
      </c>
      <c r="B192" s="11" t="s">
        <v>9</v>
      </c>
      <c r="C192" s="75" t="s">
        <v>497</v>
      </c>
      <c r="D192" s="86">
        <v>7177579</v>
      </c>
      <c r="E192" s="85">
        <v>45562</v>
      </c>
      <c r="F192" s="12">
        <v>2495</v>
      </c>
      <c r="G192" s="13" t="s">
        <v>37</v>
      </c>
      <c r="H192" s="14" t="str">
        <f t="shared" si="4"/>
        <v>B</v>
      </c>
      <c r="I192" s="15" t="str">
        <f t="shared" si="5"/>
        <v>The Commissioner &amp; Chief Constable are satisfied the spend represents VFM in accordance with the requirements of Category B</v>
      </c>
      <c r="L192" s="17"/>
      <c r="M192" s="17"/>
    </row>
    <row r="193" spans="1:13" s="20" customFormat="1" x14ac:dyDescent="0.2">
      <c r="A193" s="10" t="s">
        <v>8</v>
      </c>
      <c r="B193" s="11" t="s">
        <v>9</v>
      </c>
      <c r="C193" s="75" t="s">
        <v>162</v>
      </c>
      <c r="D193" s="86">
        <v>7176713</v>
      </c>
      <c r="E193" s="85">
        <v>45538</v>
      </c>
      <c r="F193" s="12">
        <v>2494</v>
      </c>
      <c r="G193" s="13" t="s">
        <v>38</v>
      </c>
      <c r="H193" s="14" t="str">
        <f t="shared" si="4"/>
        <v>B</v>
      </c>
      <c r="I193" s="15" t="str">
        <f t="shared" si="5"/>
        <v>The Commissioner &amp; Chief Constable are satisfied the spend represents VFM in accordance with the requirements of Category B</v>
      </c>
      <c r="L193" s="17"/>
      <c r="M193" s="17"/>
    </row>
    <row r="194" spans="1:13" s="20" customFormat="1" x14ac:dyDescent="0.2">
      <c r="A194" s="10" t="s">
        <v>8</v>
      </c>
      <c r="B194" s="11" t="s">
        <v>9</v>
      </c>
      <c r="C194" s="75" t="s">
        <v>208</v>
      </c>
      <c r="D194" s="86">
        <v>7176995</v>
      </c>
      <c r="E194" s="85">
        <v>45545</v>
      </c>
      <c r="F194" s="12">
        <v>2493.85</v>
      </c>
      <c r="G194" s="13" t="s">
        <v>209</v>
      </c>
      <c r="H194" s="14" t="str">
        <f t="shared" ref="H194:H257" si="6">IF(F194&gt;25000,"C",IF(F194&gt;1000,"B","A"))</f>
        <v>B</v>
      </c>
      <c r="I194" s="15" t="str">
        <f t="shared" ref="I194:I257" si="7">VLOOKUP(H194,$L$2:$M$4,2,FALSE)</f>
        <v>The Commissioner &amp; Chief Constable are satisfied the spend represents VFM in accordance with the requirements of Category B</v>
      </c>
      <c r="L194" s="17"/>
      <c r="M194" s="17"/>
    </row>
    <row r="195" spans="1:13" s="20" customFormat="1" x14ac:dyDescent="0.2">
      <c r="A195" s="10" t="s">
        <v>8</v>
      </c>
      <c r="B195" s="11" t="s">
        <v>9</v>
      </c>
      <c r="C195" s="75" t="s">
        <v>210</v>
      </c>
      <c r="D195" s="86">
        <v>7177102</v>
      </c>
      <c r="E195" s="85">
        <v>45548</v>
      </c>
      <c r="F195" s="12">
        <v>2490</v>
      </c>
      <c r="G195" s="13" t="s">
        <v>27</v>
      </c>
      <c r="H195" s="14" t="str">
        <f t="shared" si="6"/>
        <v>B</v>
      </c>
      <c r="I195" s="15" t="str">
        <f t="shared" si="7"/>
        <v>The Commissioner &amp; Chief Constable are satisfied the spend represents VFM in accordance with the requirements of Category B</v>
      </c>
      <c r="L195" s="17"/>
      <c r="M195" s="17"/>
    </row>
    <row r="196" spans="1:13" s="20" customFormat="1" x14ac:dyDescent="0.2">
      <c r="A196" s="10" t="s">
        <v>8</v>
      </c>
      <c r="B196" s="11" t="s">
        <v>9</v>
      </c>
      <c r="C196" s="75" t="s">
        <v>68</v>
      </c>
      <c r="D196" s="86">
        <v>7177030</v>
      </c>
      <c r="E196" s="85">
        <v>45546</v>
      </c>
      <c r="F196" s="12">
        <v>2450</v>
      </c>
      <c r="G196" s="13" t="s">
        <v>43</v>
      </c>
      <c r="H196" s="14" t="str">
        <f t="shared" si="6"/>
        <v>B</v>
      </c>
      <c r="I196" s="15" t="str">
        <f t="shared" si="7"/>
        <v>The Commissioner &amp; Chief Constable are satisfied the spend represents VFM in accordance with the requirements of Category B</v>
      </c>
      <c r="L196" s="17"/>
      <c r="M196" s="17"/>
    </row>
    <row r="197" spans="1:13" s="20" customFormat="1" x14ac:dyDescent="0.2">
      <c r="A197" s="10" t="s">
        <v>8</v>
      </c>
      <c r="B197" s="11" t="s">
        <v>9</v>
      </c>
      <c r="C197" s="75" t="s">
        <v>893</v>
      </c>
      <c r="D197" s="86">
        <v>7177573</v>
      </c>
      <c r="E197" s="85">
        <v>45565</v>
      </c>
      <c r="F197" s="18">
        <v>2444</v>
      </c>
      <c r="G197" s="13" t="s">
        <v>106</v>
      </c>
      <c r="H197" s="14" t="str">
        <f t="shared" si="6"/>
        <v>B</v>
      </c>
      <c r="I197" s="15" t="str">
        <f t="shared" si="7"/>
        <v>The Commissioner &amp; Chief Constable are satisfied the spend represents VFM in accordance with the requirements of Category B</v>
      </c>
      <c r="L197" s="17"/>
      <c r="M197" s="17"/>
    </row>
    <row r="198" spans="1:13" s="20" customFormat="1" x14ac:dyDescent="0.2">
      <c r="A198" s="10" t="s">
        <v>8</v>
      </c>
      <c r="B198" s="11" t="s">
        <v>9</v>
      </c>
      <c r="C198" s="75" t="s">
        <v>892</v>
      </c>
      <c r="D198" s="86">
        <v>7177392</v>
      </c>
      <c r="E198" s="85">
        <v>45559</v>
      </c>
      <c r="F198" s="12">
        <v>2410</v>
      </c>
      <c r="G198" s="19" t="s">
        <v>106</v>
      </c>
      <c r="H198" s="14" t="str">
        <f t="shared" si="6"/>
        <v>B</v>
      </c>
      <c r="I198" s="15" t="str">
        <f t="shared" si="7"/>
        <v>The Commissioner &amp; Chief Constable are satisfied the spend represents VFM in accordance with the requirements of Category B</v>
      </c>
      <c r="L198" s="17"/>
      <c r="M198" s="17"/>
    </row>
    <row r="199" spans="1:13" s="20" customFormat="1" x14ac:dyDescent="0.2">
      <c r="A199" s="10" t="s">
        <v>8</v>
      </c>
      <c r="B199" s="11" t="s">
        <v>9</v>
      </c>
      <c r="C199" s="75" t="s">
        <v>822</v>
      </c>
      <c r="D199" s="86">
        <v>7176775</v>
      </c>
      <c r="E199" s="85">
        <v>45548</v>
      </c>
      <c r="F199" s="12">
        <v>2322.44</v>
      </c>
      <c r="G199" s="19" t="s">
        <v>91</v>
      </c>
      <c r="H199" s="14" t="str">
        <f t="shared" si="6"/>
        <v>B</v>
      </c>
      <c r="I199" s="15" t="str">
        <f t="shared" si="7"/>
        <v>The Commissioner &amp; Chief Constable are satisfied the spend represents VFM in accordance with the requirements of Category B</v>
      </c>
      <c r="L199" s="17"/>
      <c r="M199" s="17"/>
    </row>
    <row r="200" spans="1:13" s="20" customFormat="1" x14ac:dyDescent="0.2">
      <c r="A200" s="10" t="s">
        <v>8</v>
      </c>
      <c r="B200" s="11" t="s">
        <v>9</v>
      </c>
      <c r="C200" s="75" t="s">
        <v>432</v>
      </c>
      <c r="D200" s="86">
        <v>7176849</v>
      </c>
      <c r="E200" s="85">
        <v>45541</v>
      </c>
      <c r="F200" s="12">
        <v>2320</v>
      </c>
      <c r="G200" s="13" t="s">
        <v>22</v>
      </c>
      <c r="H200" s="14" t="str">
        <f t="shared" si="6"/>
        <v>B</v>
      </c>
      <c r="I200" s="15" t="str">
        <f t="shared" si="7"/>
        <v>The Commissioner &amp; Chief Constable are satisfied the spend represents VFM in accordance with the requirements of Category B</v>
      </c>
      <c r="L200" s="17"/>
      <c r="M200" s="17"/>
    </row>
    <row r="201" spans="1:13" s="20" customFormat="1" x14ac:dyDescent="0.2">
      <c r="A201" s="10" t="s">
        <v>8</v>
      </c>
      <c r="B201" s="11" t="s">
        <v>9</v>
      </c>
      <c r="C201" s="75" t="s">
        <v>240</v>
      </c>
      <c r="D201" s="86">
        <v>7177153</v>
      </c>
      <c r="E201" s="85">
        <v>45552</v>
      </c>
      <c r="F201" s="12">
        <v>2319.52</v>
      </c>
      <c r="G201" s="13" t="s">
        <v>241</v>
      </c>
      <c r="H201" s="14" t="str">
        <f t="shared" si="6"/>
        <v>B</v>
      </c>
      <c r="I201" s="15" t="str">
        <f t="shared" si="7"/>
        <v>The Commissioner &amp; Chief Constable are satisfied the spend represents VFM in accordance with the requirements of Category B</v>
      </c>
      <c r="L201" s="17"/>
      <c r="M201" s="17"/>
    </row>
    <row r="202" spans="1:13" s="20" customFormat="1" x14ac:dyDescent="0.2">
      <c r="A202" s="10" t="s">
        <v>8</v>
      </c>
      <c r="B202" s="11" t="s">
        <v>9</v>
      </c>
      <c r="C202" s="75" t="s">
        <v>348</v>
      </c>
      <c r="D202" s="86">
        <v>7177203</v>
      </c>
      <c r="E202" s="85">
        <v>45552</v>
      </c>
      <c r="F202" s="12">
        <v>2249.6999999999998</v>
      </c>
      <c r="G202" s="13" t="s">
        <v>131</v>
      </c>
      <c r="H202" s="14" t="str">
        <f t="shared" si="6"/>
        <v>B</v>
      </c>
      <c r="I202" s="15" t="str">
        <f t="shared" si="7"/>
        <v>The Commissioner &amp; Chief Constable are satisfied the spend represents VFM in accordance with the requirements of Category B</v>
      </c>
      <c r="L202" s="17"/>
      <c r="M202" s="17"/>
    </row>
    <row r="203" spans="1:13" s="20" customFormat="1" x14ac:dyDescent="0.2">
      <c r="A203" s="10" t="s">
        <v>8</v>
      </c>
      <c r="B203" s="11" t="s">
        <v>9</v>
      </c>
      <c r="C203" s="75" t="s">
        <v>10</v>
      </c>
      <c r="D203" s="86">
        <v>7176996</v>
      </c>
      <c r="E203" s="85">
        <v>45551</v>
      </c>
      <c r="F203" s="12">
        <v>2226</v>
      </c>
      <c r="G203" s="13" t="s">
        <v>131</v>
      </c>
      <c r="H203" s="14" t="str">
        <f t="shared" si="6"/>
        <v>B</v>
      </c>
      <c r="I203" s="15" t="str">
        <f t="shared" si="7"/>
        <v>The Commissioner &amp; Chief Constable are satisfied the spend represents VFM in accordance with the requirements of Category B</v>
      </c>
      <c r="L203" s="17"/>
      <c r="M203" s="17"/>
    </row>
    <row r="204" spans="1:13" s="20" customFormat="1" x14ac:dyDescent="0.2">
      <c r="A204" s="10" t="s">
        <v>8</v>
      </c>
      <c r="B204" s="11" t="s">
        <v>9</v>
      </c>
      <c r="C204" s="75" t="s">
        <v>891</v>
      </c>
      <c r="D204" s="86">
        <v>7177269</v>
      </c>
      <c r="E204" s="85">
        <v>45554</v>
      </c>
      <c r="F204" s="12">
        <v>2226</v>
      </c>
      <c r="G204" s="13" t="s">
        <v>91</v>
      </c>
      <c r="H204" s="14" t="str">
        <f t="shared" si="6"/>
        <v>B</v>
      </c>
      <c r="I204" s="15" t="str">
        <f t="shared" si="7"/>
        <v>The Commissioner &amp; Chief Constable are satisfied the spend represents VFM in accordance with the requirements of Category B</v>
      </c>
      <c r="L204" s="17"/>
      <c r="M204" s="17"/>
    </row>
    <row r="205" spans="1:13" s="20" customFormat="1" x14ac:dyDescent="0.2">
      <c r="A205" s="10" t="s">
        <v>8</v>
      </c>
      <c r="B205" s="11" t="s">
        <v>9</v>
      </c>
      <c r="C205" s="75" t="s">
        <v>707</v>
      </c>
      <c r="D205" s="86">
        <v>7177004</v>
      </c>
      <c r="E205" s="85">
        <v>45554</v>
      </c>
      <c r="F205" s="12">
        <v>2205</v>
      </c>
      <c r="G205" s="13" t="s">
        <v>363</v>
      </c>
      <c r="H205" s="14" t="str">
        <f t="shared" si="6"/>
        <v>B</v>
      </c>
      <c r="I205" s="15" t="str">
        <f t="shared" si="7"/>
        <v>The Commissioner &amp; Chief Constable are satisfied the spend represents VFM in accordance with the requirements of Category B</v>
      </c>
      <c r="L205" s="17"/>
      <c r="M205" s="17"/>
    </row>
    <row r="206" spans="1:13" s="20" customFormat="1" x14ac:dyDescent="0.2">
      <c r="A206" s="10" t="s">
        <v>8</v>
      </c>
      <c r="B206" s="11" t="s">
        <v>9</v>
      </c>
      <c r="C206" s="75" t="s">
        <v>348</v>
      </c>
      <c r="D206" s="86">
        <v>7176758</v>
      </c>
      <c r="E206" s="85">
        <v>45539</v>
      </c>
      <c r="F206" s="12">
        <v>2175.46</v>
      </c>
      <c r="G206" s="13" t="s">
        <v>131</v>
      </c>
      <c r="H206" s="14" t="str">
        <f t="shared" si="6"/>
        <v>B</v>
      </c>
      <c r="I206" s="15" t="str">
        <f t="shared" si="7"/>
        <v>The Commissioner &amp; Chief Constable are satisfied the spend represents VFM in accordance with the requirements of Category B</v>
      </c>
      <c r="L206" s="17"/>
      <c r="M206" s="17"/>
    </row>
    <row r="207" spans="1:13" s="20" customFormat="1" x14ac:dyDescent="0.2">
      <c r="A207" s="10" t="s">
        <v>8</v>
      </c>
      <c r="B207" s="11" t="s">
        <v>9</v>
      </c>
      <c r="C207" s="75" t="s">
        <v>103</v>
      </c>
      <c r="D207" s="86">
        <v>7176999</v>
      </c>
      <c r="E207" s="85">
        <v>45565</v>
      </c>
      <c r="F207" s="12">
        <v>2140</v>
      </c>
      <c r="G207" s="13" t="s">
        <v>91</v>
      </c>
      <c r="H207" s="14" t="str">
        <f t="shared" si="6"/>
        <v>B</v>
      </c>
      <c r="I207" s="15" t="str">
        <f t="shared" si="7"/>
        <v>The Commissioner &amp; Chief Constable are satisfied the spend represents VFM in accordance with the requirements of Category B</v>
      </c>
      <c r="L207" s="17"/>
      <c r="M207" s="17"/>
    </row>
    <row r="208" spans="1:13" s="20" customFormat="1" x14ac:dyDescent="0.2">
      <c r="A208" s="10" t="s">
        <v>8</v>
      </c>
      <c r="B208" s="11" t="s">
        <v>9</v>
      </c>
      <c r="C208" s="75" t="s">
        <v>262</v>
      </c>
      <c r="D208" s="86">
        <v>7176631</v>
      </c>
      <c r="E208" s="85">
        <v>45547</v>
      </c>
      <c r="F208" s="12">
        <v>2113.5</v>
      </c>
      <c r="G208" s="13" t="s">
        <v>263</v>
      </c>
      <c r="H208" s="14" t="str">
        <f t="shared" si="6"/>
        <v>B</v>
      </c>
      <c r="I208" s="15" t="str">
        <f t="shared" si="7"/>
        <v>The Commissioner &amp; Chief Constable are satisfied the spend represents VFM in accordance with the requirements of Category B</v>
      </c>
      <c r="L208" s="17"/>
      <c r="M208" s="17"/>
    </row>
    <row r="209" spans="1:13" s="20" customFormat="1" x14ac:dyDescent="0.2">
      <c r="A209" s="10" t="s">
        <v>8</v>
      </c>
      <c r="B209" s="11" t="s">
        <v>9</v>
      </c>
      <c r="C209" s="75" t="s">
        <v>385</v>
      </c>
      <c r="D209" s="86">
        <v>7175833</v>
      </c>
      <c r="E209" s="85">
        <v>45558</v>
      </c>
      <c r="F209" s="12">
        <v>2098.41</v>
      </c>
      <c r="G209" s="13" t="s">
        <v>112</v>
      </c>
      <c r="H209" s="14" t="str">
        <f t="shared" si="6"/>
        <v>B</v>
      </c>
      <c r="I209" s="15" t="str">
        <f t="shared" si="7"/>
        <v>The Commissioner &amp; Chief Constable are satisfied the spend represents VFM in accordance with the requirements of Category B</v>
      </c>
      <c r="L209" s="17"/>
      <c r="M209" s="17"/>
    </row>
    <row r="210" spans="1:13" s="20" customFormat="1" x14ac:dyDescent="0.2">
      <c r="A210" s="10" t="s">
        <v>8</v>
      </c>
      <c r="B210" s="11" t="s">
        <v>9</v>
      </c>
      <c r="C210" s="75" t="s">
        <v>252</v>
      </c>
      <c r="D210" s="86">
        <v>7177231</v>
      </c>
      <c r="E210" s="85">
        <v>45553</v>
      </c>
      <c r="F210" s="12">
        <v>2080</v>
      </c>
      <c r="G210" s="13" t="s">
        <v>148</v>
      </c>
      <c r="H210" s="14" t="str">
        <f t="shared" si="6"/>
        <v>B</v>
      </c>
      <c r="I210" s="15" t="str">
        <f t="shared" si="7"/>
        <v>The Commissioner &amp; Chief Constable are satisfied the spend represents VFM in accordance with the requirements of Category B</v>
      </c>
      <c r="L210" s="17"/>
      <c r="M210" s="17"/>
    </row>
    <row r="211" spans="1:13" s="20" customFormat="1" x14ac:dyDescent="0.2">
      <c r="A211" s="10" t="s">
        <v>8</v>
      </c>
      <c r="B211" s="11" t="s">
        <v>9</v>
      </c>
      <c r="C211" s="75" t="s">
        <v>385</v>
      </c>
      <c r="D211" s="86">
        <v>7176590</v>
      </c>
      <c r="E211" s="85">
        <v>45555</v>
      </c>
      <c r="F211" s="12">
        <v>2076.64</v>
      </c>
      <c r="G211" s="13" t="s">
        <v>91</v>
      </c>
      <c r="H211" s="14" t="str">
        <f t="shared" si="6"/>
        <v>B</v>
      </c>
      <c r="I211" s="15" t="str">
        <f t="shared" si="7"/>
        <v>The Commissioner &amp; Chief Constable are satisfied the spend represents VFM in accordance with the requirements of Category B</v>
      </c>
      <c r="L211" s="17"/>
      <c r="M211" s="17"/>
    </row>
    <row r="212" spans="1:13" s="20" customFormat="1" x14ac:dyDescent="0.2">
      <c r="A212" s="10" t="s">
        <v>8</v>
      </c>
      <c r="B212" s="11" t="s">
        <v>9</v>
      </c>
      <c r="C212" s="75" t="s">
        <v>497</v>
      </c>
      <c r="D212" s="86">
        <v>7177580</v>
      </c>
      <c r="E212" s="85">
        <v>45562</v>
      </c>
      <c r="F212" s="12">
        <v>2028.81</v>
      </c>
      <c r="G212" s="13" t="s">
        <v>37</v>
      </c>
      <c r="H212" s="14" t="str">
        <f t="shared" si="6"/>
        <v>B</v>
      </c>
      <c r="I212" s="15" t="str">
        <f t="shared" si="7"/>
        <v>The Commissioner &amp; Chief Constable are satisfied the spend represents VFM in accordance with the requirements of Category B</v>
      </c>
      <c r="L212" s="17"/>
      <c r="M212" s="17"/>
    </row>
    <row r="213" spans="1:13" s="20" customFormat="1" x14ac:dyDescent="0.2">
      <c r="A213" s="10" t="s">
        <v>8</v>
      </c>
      <c r="B213" s="11" t="s">
        <v>9</v>
      </c>
      <c r="C213" s="75" t="s">
        <v>399</v>
      </c>
      <c r="D213" s="86">
        <v>7176856</v>
      </c>
      <c r="E213" s="85">
        <v>45545</v>
      </c>
      <c r="F213" s="12">
        <v>1995</v>
      </c>
      <c r="G213" s="13" t="s">
        <v>22</v>
      </c>
      <c r="H213" s="14" t="str">
        <f t="shared" si="6"/>
        <v>B</v>
      </c>
      <c r="I213" s="15" t="str">
        <f t="shared" si="7"/>
        <v>The Commissioner &amp; Chief Constable are satisfied the spend represents VFM in accordance with the requirements of Category B</v>
      </c>
      <c r="L213" s="17"/>
      <c r="M213" s="17"/>
    </row>
    <row r="214" spans="1:13" s="20" customFormat="1" x14ac:dyDescent="0.2">
      <c r="A214" s="10" t="s">
        <v>8</v>
      </c>
      <c r="B214" s="11" t="s">
        <v>9</v>
      </c>
      <c r="C214" s="75" t="s">
        <v>221</v>
      </c>
      <c r="D214" s="86">
        <v>7176839</v>
      </c>
      <c r="E214" s="85">
        <v>45545</v>
      </c>
      <c r="F214" s="12">
        <v>1985</v>
      </c>
      <c r="G214" s="13" t="s">
        <v>106</v>
      </c>
      <c r="H214" s="14" t="str">
        <f t="shared" si="6"/>
        <v>B</v>
      </c>
      <c r="I214" s="15" t="str">
        <f t="shared" si="7"/>
        <v>The Commissioner &amp; Chief Constable are satisfied the spend represents VFM in accordance with the requirements of Category B</v>
      </c>
      <c r="L214" s="17"/>
      <c r="M214" s="17"/>
    </row>
    <row r="215" spans="1:13" s="20" customFormat="1" x14ac:dyDescent="0.2">
      <c r="A215" s="10" t="s">
        <v>8</v>
      </c>
      <c r="B215" s="11" t="s">
        <v>9</v>
      </c>
      <c r="C215" s="75" t="s">
        <v>470</v>
      </c>
      <c r="D215" s="86">
        <v>7177587</v>
      </c>
      <c r="E215" s="85">
        <v>45565</v>
      </c>
      <c r="F215" s="12">
        <v>1982</v>
      </c>
      <c r="G215" s="13" t="s">
        <v>106</v>
      </c>
      <c r="H215" s="14" t="str">
        <f t="shared" si="6"/>
        <v>B</v>
      </c>
      <c r="I215" s="15" t="str">
        <f t="shared" si="7"/>
        <v>The Commissioner &amp; Chief Constable are satisfied the spend represents VFM in accordance with the requirements of Category B</v>
      </c>
      <c r="L215" s="17"/>
      <c r="M215" s="17"/>
    </row>
    <row r="216" spans="1:13" s="20" customFormat="1" x14ac:dyDescent="0.2">
      <c r="A216" s="10" t="s">
        <v>8</v>
      </c>
      <c r="B216" s="11" t="s">
        <v>9</v>
      </c>
      <c r="C216" s="75" t="s">
        <v>219</v>
      </c>
      <c r="D216" s="86">
        <v>7176671</v>
      </c>
      <c r="E216" s="85">
        <v>45544</v>
      </c>
      <c r="F216" s="12">
        <v>1977.25</v>
      </c>
      <c r="G216" s="13" t="s">
        <v>220</v>
      </c>
      <c r="H216" s="14" t="str">
        <f t="shared" si="6"/>
        <v>B</v>
      </c>
      <c r="I216" s="15" t="str">
        <f t="shared" si="7"/>
        <v>The Commissioner &amp; Chief Constable are satisfied the spend represents VFM in accordance with the requirements of Category B</v>
      </c>
      <c r="L216" s="17"/>
      <c r="M216" s="17"/>
    </row>
    <row r="217" spans="1:13" s="20" customFormat="1" x14ac:dyDescent="0.2">
      <c r="A217" s="10" t="s">
        <v>8</v>
      </c>
      <c r="B217" s="11" t="s">
        <v>9</v>
      </c>
      <c r="C217" s="75" t="s">
        <v>260</v>
      </c>
      <c r="D217" s="86">
        <v>7177226</v>
      </c>
      <c r="E217" s="85">
        <v>45553</v>
      </c>
      <c r="F217" s="12">
        <v>1976.04</v>
      </c>
      <c r="G217" s="13" t="s">
        <v>261</v>
      </c>
      <c r="H217" s="14" t="str">
        <f t="shared" si="6"/>
        <v>B</v>
      </c>
      <c r="I217" s="15" t="str">
        <f t="shared" si="7"/>
        <v>The Commissioner &amp; Chief Constable are satisfied the spend represents VFM in accordance with the requirements of Category B</v>
      </c>
      <c r="L217" s="17"/>
      <c r="M217" s="17"/>
    </row>
    <row r="218" spans="1:13" s="20" customFormat="1" x14ac:dyDescent="0.2">
      <c r="A218" s="10" t="s">
        <v>8</v>
      </c>
      <c r="B218" s="11" t="s">
        <v>9</v>
      </c>
      <c r="C218" s="75" t="s">
        <v>333</v>
      </c>
      <c r="D218" s="86">
        <v>7176619</v>
      </c>
      <c r="E218" s="85">
        <v>45548</v>
      </c>
      <c r="F218" s="12">
        <v>1969</v>
      </c>
      <c r="G218" s="13" t="s">
        <v>91</v>
      </c>
      <c r="H218" s="14" t="str">
        <f t="shared" si="6"/>
        <v>B</v>
      </c>
      <c r="I218" s="15" t="str">
        <f t="shared" si="7"/>
        <v>The Commissioner &amp; Chief Constable are satisfied the spend represents VFM in accordance with the requirements of Category B</v>
      </c>
      <c r="L218" s="17"/>
      <c r="M218" s="17"/>
    </row>
    <row r="219" spans="1:13" s="20" customFormat="1" x14ac:dyDescent="0.2">
      <c r="A219" s="10" t="s">
        <v>8</v>
      </c>
      <c r="B219" s="11" t="s">
        <v>9</v>
      </c>
      <c r="C219" s="75" t="s">
        <v>124</v>
      </c>
      <c r="D219" s="86">
        <v>7176846</v>
      </c>
      <c r="E219" s="85">
        <v>45540</v>
      </c>
      <c r="F219" s="12">
        <v>1949.21</v>
      </c>
      <c r="G219" s="13" t="s">
        <v>91</v>
      </c>
      <c r="H219" s="14" t="str">
        <f t="shared" si="6"/>
        <v>B</v>
      </c>
      <c r="I219" s="15" t="str">
        <f t="shared" si="7"/>
        <v>The Commissioner &amp; Chief Constable are satisfied the spend represents VFM in accordance with the requirements of Category B</v>
      </c>
      <c r="L219" s="17"/>
      <c r="M219" s="17"/>
    </row>
    <row r="220" spans="1:13" s="20" customFormat="1" x14ac:dyDescent="0.2">
      <c r="A220" s="10" t="s">
        <v>8</v>
      </c>
      <c r="B220" s="11" t="s">
        <v>9</v>
      </c>
      <c r="C220" s="75" t="s">
        <v>854</v>
      </c>
      <c r="D220" s="86">
        <v>7176964</v>
      </c>
      <c r="E220" s="85">
        <v>45545</v>
      </c>
      <c r="F220" s="12">
        <v>1913.87</v>
      </c>
      <c r="G220" s="13" t="s">
        <v>106</v>
      </c>
      <c r="H220" s="14" t="str">
        <f t="shared" si="6"/>
        <v>B</v>
      </c>
      <c r="I220" s="15" t="str">
        <f t="shared" si="7"/>
        <v>The Commissioner &amp; Chief Constable are satisfied the spend represents VFM in accordance with the requirements of Category B</v>
      </c>
      <c r="L220" s="17"/>
      <c r="M220" s="17"/>
    </row>
    <row r="221" spans="1:13" s="20" customFormat="1" x14ac:dyDescent="0.2">
      <c r="A221" s="10" t="s">
        <v>8</v>
      </c>
      <c r="B221" s="11" t="s">
        <v>9</v>
      </c>
      <c r="C221" s="75" t="s">
        <v>142</v>
      </c>
      <c r="D221" s="86">
        <v>7176423</v>
      </c>
      <c r="E221" s="85">
        <v>45558</v>
      </c>
      <c r="F221" s="12">
        <v>1907.6</v>
      </c>
      <c r="G221" s="13" t="s">
        <v>143</v>
      </c>
      <c r="H221" s="14" t="str">
        <f t="shared" si="6"/>
        <v>B</v>
      </c>
      <c r="I221" s="15" t="str">
        <f t="shared" si="7"/>
        <v>The Commissioner &amp; Chief Constable are satisfied the spend represents VFM in accordance with the requirements of Category B</v>
      </c>
      <c r="L221" s="17"/>
      <c r="M221" s="17"/>
    </row>
    <row r="222" spans="1:13" s="20" customFormat="1" x14ac:dyDescent="0.2">
      <c r="A222" s="10" t="s">
        <v>8</v>
      </c>
      <c r="B222" s="11" t="s">
        <v>9</v>
      </c>
      <c r="C222" s="75" t="s">
        <v>565</v>
      </c>
      <c r="D222" s="86">
        <v>7177571</v>
      </c>
      <c r="E222" s="85">
        <v>45565</v>
      </c>
      <c r="F222" s="12">
        <v>1755</v>
      </c>
      <c r="G222" s="13" t="s">
        <v>22</v>
      </c>
      <c r="H222" s="14" t="str">
        <f t="shared" si="6"/>
        <v>B</v>
      </c>
      <c r="I222" s="15" t="str">
        <f t="shared" si="7"/>
        <v>The Commissioner &amp; Chief Constable are satisfied the spend represents VFM in accordance with the requirements of Category B</v>
      </c>
      <c r="L222" s="17"/>
      <c r="M222" s="17"/>
    </row>
    <row r="223" spans="1:13" s="20" customFormat="1" x14ac:dyDescent="0.2">
      <c r="A223" s="10" t="s">
        <v>8</v>
      </c>
      <c r="B223" s="11" t="s">
        <v>9</v>
      </c>
      <c r="C223" s="75" t="s">
        <v>608</v>
      </c>
      <c r="D223" s="86">
        <v>7176508</v>
      </c>
      <c r="E223" s="85">
        <v>45538</v>
      </c>
      <c r="F223" s="12">
        <v>1750</v>
      </c>
      <c r="G223" s="13" t="s">
        <v>138</v>
      </c>
      <c r="H223" s="14" t="str">
        <f t="shared" si="6"/>
        <v>B</v>
      </c>
      <c r="I223" s="15" t="str">
        <f t="shared" si="7"/>
        <v>The Commissioner &amp; Chief Constable are satisfied the spend represents VFM in accordance with the requirements of Category B</v>
      </c>
      <c r="L223" s="17"/>
      <c r="M223" s="17"/>
    </row>
    <row r="224" spans="1:13" s="20" customFormat="1" x14ac:dyDescent="0.2">
      <c r="A224" s="10" t="s">
        <v>8</v>
      </c>
      <c r="B224" s="11" t="s">
        <v>9</v>
      </c>
      <c r="C224" s="77" t="s">
        <v>172</v>
      </c>
      <c r="D224" s="86">
        <v>7177330</v>
      </c>
      <c r="E224" s="85">
        <v>45555</v>
      </c>
      <c r="F224" s="12">
        <v>1750</v>
      </c>
      <c r="G224" s="13" t="s">
        <v>112</v>
      </c>
      <c r="H224" s="14" t="str">
        <f t="shared" si="6"/>
        <v>B</v>
      </c>
      <c r="I224" s="15" t="str">
        <f t="shared" si="7"/>
        <v>The Commissioner &amp; Chief Constable are satisfied the spend represents VFM in accordance with the requirements of Category B</v>
      </c>
      <c r="L224" s="17"/>
      <c r="M224" s="17"/>
    </row>
    <row r="225" spans="1:13" s="20" customFormat="1" x14ac:dyDescent="0.2">
      <c r="A225" s="10" t="s">
        <v>8</v>
      </c>
      <c r="B225" s="11" t="s">
        <v>9</v>
      </c>
      <c r="C225" s="75" t="s">
        <v>890</v>
      </c>
      <c r="D225" s="86">
        <v>7177045</v>
      </c>
      <c r="E225" s="85">
        <v>45560</v>
      </c>
      <c r="F225" s="12">
        <v>1750</v>
      </c>
      <c r="G225" s="13" t="s">
        <v>98</v>
      </c>
      <c r="H225" s="14" t="str">
        <f t="shared" si="6"/>
        <v>B</v>
      </c>
      <c r="I225" s="15" t="str">
        <f t="shared" si="7"/>
        <v>The Commissioner &amp; Chief Constable are satisfied the spend represents VFM in accordance with the requirements of Category B</v>
      </c>
      <c r="L225" s="17"/>
      <c r="M225" s="17"/>
    </row>
    <row r="226" spans="1:13" s="20" customFormat="1" x14ac:dyDescent="0.2">
      <c r="A226" s="10" t="s">
        <v>8</v>
      </c>
      <c r="B226" s="11" t="s">
        <v>9</v>
      </c>
      <c r="C226" s="75" t="s">
        <v>537</v>
      </c>
      <c r="D226" s="86">
        <v>7176993</v>
      </c>
      <c r="E226" s="85">
        <v>45561</v>
      </c>
      <c r="F226" s="18">
        <v>1717</v>
      </c>
      <c r="G226" s="13" t="s">
        <v>131</v>
      </c>
      <c r="H226" s="14" t="str">
        <f t="shared" si="6"/>
        <v>B</v>
      </c>
      <c r="I226" s="15" t="str">
        <f t="shared" si="7"/>
        <v>The Commissioner &amp; Chief Constable are satisfied the spend represents VFM in accordance with the requirements of Category B</v>
      </c>
      <c r="L226" s="17"/>
      <c r="M226" s="17"/>
    </row>
    <row r="227" spans="1:13" s="20" customFormat="1" x14ac:dyDescent="0.2">
      <c r="A227" s="10" t="s">
        <v>8</v>
      </c>
      <c r="B227" s="11" t="s">
        <v>9</v>
      </c>
      <c r="C227" s="75" t="s">
        <v>213</v>
      </c>
      <c r="D227" s="86">
        <v>7176904</v>
      </c>
      <c r="E227" s="85">
        <v>45544</v>
      </c>
      <c r="F227" s="12">
        <v>1700</v>
      </c>
      <c r="G227" s="13" t="s">
        <v>131</v>
      </c>
      <c r="H227" s="14" t="str">
        <f t="shared" si="6"/>
        <v>B</v>
      </c>
      <c r="I227" s="15" t="str">
        <f t="shared" si="7"/>
        <v>The Commissioner &amp; Chief Constable are satisfied the spend represents VFM in accordance with the requirements of Category B</v>
      </c>
      <c r="L227" s="17"/>
      <c r="M227" s="17"/>
    </row>
    <row r="228" spans="1:13" s="20" customFormat="1" x14ac:dyDescent="0.2">
      <c r="A228" s="10" t="s">
        <v>8</v>
      </c>
      <c r="B228" s="11" t="s">
        <v>9</v>
      </c>
      <c r="C228" s="75" t="s">
        <v>535</v>
      </c>
      <c r="D228" s="86">
        <v>7177624</v>
      </c>
      <c r="E228" s="85">
        <v>45565</v>
      </c>
      <c r="F228" s="12">
        <v>1617</v>
      </c>
      <c r="G228" s="13" t="s">
        <v>39</v>
      </c>
      <c r="H228" s="14" t="str">
        <f t="shared" si="6"/>
        <v>B</v>
      </c>
      <c r="I228" s="15" t="str">
        <f t="shared" si="7"/>
        <v>The Commissioner &amp; Chief Constable are satisfied the spend represents VFM in accordance with the requirements of Category B</v>
      </c>
      <c r="L228" s="17"/>
      <c r="M228" s="17"/>
    </row>
    <row r="229" spans="1:13" s="20" customFormat="1" x14ac:dyDescent="0.2">
      <c r="A229" s="10" t="s">
        <v>8</v>
      </c>
      <c r="B229" s="11" t="s">
        <v>9</v>
      </c>
      <c r="C229" s="75" t="s">
        <v>830</v>
      </c>
      <c r="D229" s="86">
        <v>7176637</v>
      </c>
      <c r="E229" s="85">
        <v>45545</v>
      </c>
      <c r="F229" s="12">
        <v>1608.85</v>
      </c>
      <c r="G229" s="13" t="s">
        <v>131</v>
      </c>
      <c r="H229" s="14" t="str">
        <f t="shared" si="6"/>
        <v>B</v>
      </c>
      <c r="I229" s="15" t="str">
        <f t="shared" si="7"/>
        <v>The Commissioner &amp; Chief Constable are satisfied the spend represents VFM in accordance with the requirements of Category B</v>
      </c>
      <c r="L229" s="17"/>
      <c r="M229" s="17"/>
    </row>
    <row r="230" spans="1:13" s="20" customFormat="1" x14ac:dyDescent="0.2">
      <c r="A230" s="10" t="s">
        <v>8</v>
      </c>
      <c r="B230" s="11" t="s">
        <v>9</v>
      </c>
      <c r="C230" s="75" t="s">
        <v>217</v>
      </c>
      <c r="D230" s="86">
        <v>7177169</v>
      </c>
      <c r="E230" s="85">
        <v>45553</v>
      </c>
      <c r="F230" s="12">
        <v>1542.56</v>
      </c>
      <c r="G230" s="13" t="s">
        <v>84</v>
      </c>
      <c r="H230" s="14" t="str">
        <f t="shared" si="6"/>
        <v>B</v>
      </c>
      <c r="I230" s="15" t="str">
        <f t="shared" si="7"/>
        <v>The Commissioner &amp; Chief Constable are satisfied the spend represents VFM in accordance with the requirements of Category B</v>
      </c>
      <c r="L230" s="17"/>
      <c r="M230" s="17"/>
    </row>
    <row r="231" spans="1:13" s="20" customFormat="1" x14ac:dyDescent="0.2">
      <c r="A231" s="10" t="s">
        <v>8</v>
      </c>
      <c r="B231" s="11" t="s">
        <v>9</v>
      </c>
      <c r="C231" s="75" t="s">
        <v>432</v>
      </c>
      <c r="D231" s="86">
        <v>7175956</v>
      </c>
      <c r="E231" s="85">
        <v>45541</v>
      </c>
      <c r="F231" s="12">
        <v>1535</v>
      </c>
      <c r="G231" s="13" t="s">
        <v>22</v>
      </c>
      <c r="H231" s="14" t="str">
        <f t="shared" si="6"/>
        <v>B</v>
      </c>
      <c r="I231" s="15" t="str">
        <f t="shared" si="7"/>
        <v>The Commissioner &amp; Chief Constable are satisfied the spend represents VFM in accordance with the requirements of Category B</v>
      </c>
      <c r="L231" s="17"/>
      <c r="M231" s="17"/>
    </row>
    <row r="232" spans="1:13" s="20" customFormat="1" x14ac:dyDescent="0.2">
      <c r="A232" s="10" t="s">
        <v>8</v>
      </c>
      <c r="B232" s="11" t="s">
        <v>9</v>
      </c>
      <c r="C232" s="75" t="s">
        <v>142</v>
      </c>
      <c r="D232" s="86">
        <v>7176422</v>
      </c>
      <c r="E232" s="85">
        <v>45558</v>
      </c>
      <c r="F232" s="12">
        <v>1520</v>
      </c>
      <c r="G232" s="13" t="s">
        <v>143</v>
      </c>
      <c r="H232" s="14" t="str">
        <f t="shared" si="6"/>
        <v>B</v>
      </c>
      <c r="I232" s="15" t="str">
        <f t="shared" si="7"/>
        <v>The Commissioner &amp; Chief Constable are satisfied the spend represents VFM in accordance with the requirements of Category B</v>
      </c>
      <c r="L232" s="17"/>
      <c r="M232" s="17"/>
    </row>
    <row r="233" spans="1:13" s="20" customFormat="1" x14ac:dyDescent="0.2">
      <c r="A233" s="10" t="s">
        <v>8</v>
      </c>
      <c r="B233" s="11" t="s">
        <v>9</v>
      </c>
      <c r="C233" s="75" t="s">
        <v>531</v>
      </c>
      <c r="D233" s="86">
        <v>7176914</v>
      </c>
      <c r="E233" s="85">
        <v>45544</v>
      </c>
      <c r="F233" s="12">
        <v>1519.99</v>
      </c>
      <c r="G233" s="13" t="s">
        <v>390</v>
      </c>
      <c r="H233" s="14" t="str">
        <f t="shared" si="6"/>
        <v>B</v>
      </c>
      <c r="I233" s="15" t="str">
        <f t="shared" si="7"/>
        <v>The Commissioner &amp; Chief Constable are satisfied the spend represents VFM in accordance with the requirements of Category B</v>
      </c>
      <c r="L233" s="17"/>
      <c r="M233" s="17"/>
    </row>
    <row r="234" spans="1:13" s="20" customFormat="1" x14ac:dyDescent="0.2">
      <c r="A234" s="10" t="s">
        <v>8</v>
      </c>
      <c r="B234" s="11" t="s">
        <v>9</v>
      </c>
      <c r="C234" s="75" t="s">
        <v>718</v>
      </c>
      <c r="D234" s="86">
        <v>7176589</v>
      </c>
      <c r="E234" s="85">
        <v>45547</v>
      </c>
      <c r="F234" s="12">
        <v>1506</v>
      </c>
      <c r="G234" s="13" t="s">
        <v>94</v>
      </c>
      <c r="H234" s="14" t="str">
        <f t="shared" si="6"/>
        <v>B</v>
      </c>
      <c r="I234" s="15" t="str">
        <f t="shared" si="7"/>
        <v>The Commissioner &amp; Chief Constable are satisfied the spend represents VFM in accordance with the requirements of Category B</v>
      </c>
      <c r="L234" s="17"/>
      <c r="M234" s="17"/>
    </row>
    <row r="235" spans="1:13" s="20" customFormat="1" x14ac:dyDescent="0.2">
      <c r="A235" s="10" t="s">
        <v>8</v>
      </c>
      <c r="B235" s="11" t="s">
        <v>9</v>
      </c>
      <c r="C235" s="75" t="s">
        <v>801</v>
      </c>
      <c r="D235" s="86">
        <v>7176624</v>
      </c>
      <c r="E235" s="85">
        <v>45538</v>
      </c>
      <c r="F235" s="12">
        <v>1500</v>
      </c>
      <c r="G235" s="13" t="s">
        <v>106</v>
      </c>
      <c r="H235" s="14" t="str">
        <f t="shared" si="6"/>
        <v>B</v>
      </c>
      <c r="I235" s="15" t="str">
        <f t="shared" si="7"/>
        <v>The Commissioner &amp; Chief Constable are satisfied the spend represents VFM in accordance with the requirements of Category B</v>
      </c>
      <c r="L235" s="17"/>
      <c r="M235" s="17"/>
    </row>
    <row r="236" spans="1:13" s="20" customFormat="1" x14ac:dyDescent="0.2">
      <c r="A236" s="10" t="s">
        <v>8</v>
      </c>
      <c r="B236" s="11" t="s">
        <v>9</v>
      </c>
      <c r="C236" s="77" t="s">
        <v>33</v>
      </c>
      <c r="D236" s="86">
        <v>7177395</v>
      </c>
      <c r="E236" s="85">
        <v>45558</v>
      </c>
      <c r="F236" s="12">
        <v>1485</v>
      </c>
      <c r="G236" s="13" t="s">
        <v>106</v>
      </c>
      <c r="H236" s="14" t="str">
        <f t="shared" si="6"/>
        <v>B</v>
      </c>
      <c r="I236" s="15" t="str">
        <f t="shared" si="7"/>
        <v>The Commissioner &amp; Chief Constable are satisfied the spend represents VFM in accordance with the requirements of Category B</v>
      </c>
      <c r="L236" s="17"/>
      <c r="M236" s="17"/>
    </row>
    <row r="237" spans="1:13" s="20" customFormat="1" x14ac:dyDescent="0.2">
      <c r="A237" s="10" t="s">
        <v>8</v>
      </c>
      <c r="B237" s="11" t="s">
        <v>9</v>
      </c>
      <c r="C237" s="75" t="s">
        <v>149</v>
      </c>
      <c r="D237" s="86">
        <v>7177189</v>
      </c>
      <c r="E237" s="85">
        <v>45553</v>
      </c>
      <c r="F237" s="12">
        <v>1479.76</v>
      </c>
      <c r="G237" s="13" t="s">
        <v>138</v>
      </c>
      <c r="H237" s="14" t="str">
        <f t="shared" si="6"/>
        <v>B</v>
      </c>
      <c r="I237" s="15" t="str">
        <f t="shared" si="7"/>
        <v>The Commissioner &amp; Chief Constable are satisfied the spend represents VFM in accordance with the requirements of Category B</v>
      </c>
      <c r="L237" s="17"/>
      <c r="M237" s="17"/>
    </row>
    <row r="238" spans="1:13" s="20" customFormat="1" x14ac:dyDescent="0.2">
      <c r="A238" s="10" t="s">
        <v>8</v>
      </c>
      <c r="B238" s="11" t="s">
        <v>9</v>
      </c>
      <c r="C238" s="75" t="s">
        <v>68</v>
      </c>
      <c r="D238" s="86">
        <v>7177028</v>
      </c>
      <c r="E238" s="85">
        <v>45546</v>
      </c>
      <c r="F238" s="12">
        <v>1465</v>
      </c>
      <c r="G238" s="13" t="s">
        <v>43</v>
      </c>
      <c r="H238" s="14" t="str">
        <f t="shared" si="6"/>
        <v>B</v>
      </c>
      <c r="I238" s="15" t="str">
        <f t="shared" si="7"/>
        <v>The Commissioner &amp; Chief Constable are satisfied the spend represents VFM in accordance with the requirements of Category B</v>
      </c>
      <c r="L238" s="17"/>
      <c r="M238" s="17"/>
    </row>
    <row r="239" spans="1:13" s="20" customFormat="1" x14ac:dyDescent="0.2">
      <c r="A239" s="10" t="s">
        <v>8</v>
      </c>
      <c r="B239" s="11" t="s">
        <v>9</v>
      </c>
      <c r="C239" s="75" t="s">
        <v>200</v>
      </c>
      <c r="D239" s="86">
        <v>3068503</v>
      </c>
      <c r="E239" s="85">
        <v>45546</v>
      </c>
      <c r="F239" s="12">
        <v>1460</v>
      </c>
      <c r="G239" s="13" t="s">
        <v>38</v>
      </c>
      <c r="H239" s="14" t="str">
        <f t="shared" si="6"/>
        <v>B</v>
      </c>
      <c r="I239" s="15" t="str">
        <f t="shared" si="7"/>
        <v>The Commissioner &amp; Chief Constable are satisfied the spend represents VFM in accordance with the requirements of Category B</v>
      </c>
      <c r="L239" s="17"/>
      <c r="M239" s="17"/>
    </row>
    <row r="240" spans="1:13" s="20" customFormat="1" x14ac:dyDescent="0.2">
      <c r="A240" s="10" t="s">
        <v>8</v>
      </c>
      <c r="B240" s="11" t="s">
        <v>9</v>
      </c>
      <c r="C240" s="75" t="s">
        <v>135</v>
      </c>
      <c r="D240" s="86">
        <v>7177041</v>
      </c>
      <c r="E240" s="85">
        <v>45546</v>
      </c>
      <c r="F240" s="12">
        <v>1431.8</v>
      </c>
      <c r="G240" s="13" t="s">
        <v>131</v>
      </c>
      <c r="H240" s="14" t="str">
        <f t="shared" si="6"/>
        <v>B</v>
      </c>
      <c r="I240" s="15" t="str">
        <f t="shared" si="7"/>
        <v>The Commissioner &amp; Chief Constable are satisfied the spend represents VFM in accordance with the requirements of Category B</v>
      </c>
      <c r="L240" s="17"/>
      <c r="M240" s="17"/>
    </row>
    <row r="241" spans="1:13" s="20" customFormat="1" x14ac:dyDescent="0.2">
      <c r="A241" s="10" t="s">
        <v>8</v>
      </c>
      <c r="B241" s="11" t="s">
        <v>9</v>
      </c>
      <c r="C241" s="75" t="s">
        <v>412</v>
      </c>
      <c r="D241" s="86">
        <v>7176821</v>
      </c>
      <c r="E241" s="85">
        <v>45546</v>
      </c>
      <c r="F241" s="12">
        <v>1420.3</v>
      </c>
      <c r="G241" s="13" t="s">
        <v>388</v>
      </c>
      <c r="H241" s="14" t="str">
        <f t="shared" si="6"/>
        <v>B</v>
      </c>
      <c r="I241" s="15" t="str">
        <f t="shared" si="7"/>
        <v>The Commissioner &amp; Chief Constable are satisfied the spend represents VFM in accordance with the requirements of Category B</v>
      </c>
      <c r="L241" s="17"/>
      <c r="M241" s="17"/>
    </row>
    <row r="242" spans="1:13" s="20" customFormat="1" x14ac:dyDescent="0.2">
      <c r="A242" s="10" t="s">
        <v>8</v>
      </c>
      <c r="B242" s="11" t="s">
        <v>9</v>
      </c>
      <c r="C242" s="75" t="s">
        <v>213</v>
      </c>
      <c r="D242" s="86">
        <v>7177438</v>
      </c>
      <c r="E242" s="85">
        <v>45560</v>
      </c>
      <c r="F242" s="12">
        <v>1399.5</v>
      </c>
      <c r="G242" s="13" t="s">
        <v>98</v>
      </c>
      <c r="H242" s="14" t="str">
        <f t="shared" si="6"/>
        <v>B</v>
      </c>
      <c r="I242" s="15" t="str">
        <f t="shared" si="7"/>
        <v>The Commissioner &amp; Chief Constable are satisfied the spend represents VFM in accordance with the requirements of Category B</v>
      </c>
      <c r="L242" s="17"/>
      <c r="M242" s="17"/>
    </row>
    <row r="243" spans="1:13" s="20" customFormat="1" x14ac:dyDescent="0.2">
      <c r="A243" s="10" t="s">
        <v>8</v>
      </c>
      <c r="B243" s="11" t="s">
        <v>9</v>
      </c>
      <c r="C243" s="75" t="s">
        <v>745</v>
      </c>
      <c r="D243" s="86">
        <v>7177211</v>
      </c>
      <c r="E243" s="85">
        <v>45553</v>
      </c>
      <c r="F243" s="12">
        <v>1397.4</v>
      </c>
      <c r="G243" s="13" t="s">
        <v>94</v>
      </c>
      <c r="H243" s="14" t="str">
        <f t="shared" si="6"/>
        <v>B</v>
      </c>
      <c r="I243" s="15" t="str">
        <f t="shared" si="7"/>
        <v>The Commissioner &amp; Chief Constable are satisfied the spend represents VFM in accordance with the requirements of Category B</v>
      </c>
      <c r="L243" s="17"/>
      <c r="M243" s="17"/>
    </row>
    <row r="244" spans="1:13" s="20" customFormat="1" x14ac:dyDescent="0.2">
      <c r="A244" s="10" t="s">
        <v>8</v>
      </c>
      <c r="B244" s="11" t="s">
        <v>9</v>
      </c>
      <c r="C244" s="75" t="s">
        <v>266</v>
      </c>
      <c r="D244" s="86">
        <v>7177183</v>
      </c>
      <c r="E244" s="85">
        <v>45554</v>
      </c>
      <c r="F244" s="12">
        <v>1396.83</v>
      </c>
      <c r="G244" s="13" t="s">
        <v>209</v>
      </c>
      <c r="H244" s="14" t="str">
        <f t="shared" si="6"/>
        <v>B</v>
      </c>
      <c r="I244" s="15" t="str">
        <f t="shared" si="7"/>
        <v>The Commissioner &amp; Chief Constable are satisfied the spend represents VFM in accordance with the requirements of Category B</v>
      </c>
      <c r="L244" s="17"/>
      <c r="M244" s="17"/>
    </row>
    <row r="245" spans="1:13" s="20" customFormat="1" x14ac:dyDescent="0.2">
      <c r="A245" s="10" t="s">
        <v>8</v>
      </c>
      <c r="B245" s="11" t="s">
        <v>9</v>
      </c>
      <c r="C245" s="75" t="s">
        <v>202</v>
      </c>
      <c r="D245" s="86">
        <v>7176664</v>
      </c>
      <c r="E245" s="85">
        <v>45537</v>
      </c>
      <c r="F245" s="12">
        <v>1320</v>
      </c>
      <c r="G245" s="13" t="s">
        <v>131</v>
      </c>
      <c r="H245" s="14" t="str">
        <f t="shared" si="6"/>
        <v>B</v>
      </c>
      <c r="I245" s="15" t="str">
        <f t="shared" si="7"/>
        <v>The Commissioner &amp; Chief Constable are satisfied the spend represents VFM in accordance with the requirements of Category B</v>
      </c>
      <c r="L245" s="17"/>
      <c r="M245" s="17"/>
    </row>
    <row r="246" spans="1:13" s="20" customFormat="1" x14ac:dyDescent="0.2">
      <c r="A246" s="10" t="s">
        <v>8</v>
      </c>
      <c r="B246" s="11" t="s">
        <v>9</v>
      </c>
      <c r="C246" s="75" t="s">
        <v>423</v>
      </c>
      <c r="D246" s="86">
        <v>7176623</v>
      </c>
      <c r="E246" s="85">
        <v>45537</v>
      </c>
      <c r="F246" s="12">
        <v>1315.5</v>
      </c>
      <c r="G246" s="13" t="s">
        <v>390</v>
      </c>
      <c r="H246" s="14" t="str">
        <f t="shared" si="6"/>
        <v>B</v>
      </c>
      <c r="I246" s="15" t="str">
        <f t="shared" si="7"/>
        <v>The Commissioner &amp; Chief Constable are satisfied the spend represents VFM in accordance with the requirements of Category B</v>
      </c>
      <c r="L246" s="17"/>
      <c r="M246" s="17"/>
    </row>
    <row r="247" spans="1:13" s="20" customFormat="1" x14ac:dyDescent="0.2">
      <c r="A247" s="10" t="s">
        <v>8</v>
      </c>
      <c r="B247" s="11" t="s">
        <v>9</v>
      </c>
      <c r="C247" s="75" t="s">
        <v>230</v>
      </c>
      <c r="D247" s="86">
        <v>7177516</v>
      </c>
      <c r="E247" s="85">
        <v>45562</v>
      </c>
      <c r="F247" s="12">
        <v>1305</v>
      </c>
      <c r="G247" s="13" t="s">
        <v>40</v>
      </c>
      <c r="H247" s="14" t="str">
        <f t="shared" si="6"/>
        <v>B</v>
      </c>
      <c r="I247" s="15" t="str">
        <f t="shared" si="7"/>
        <v>The Commissioner &amp; Chief Constable are satisfied the spend represents VFM in accordance with the requirements of Category B</v>
      </c>
      <c r="L247" s="17"/>
      <c r="M247" s="17"/>
    </row>
    <row r="248" spans="1:13" s="20" customFormat="1" x14ac:dyDescent="0.2">
      <c r="A248" s="10" t="s">
        <v>8</v>
      </c>
      <c r="B248" s="11" t="s">
        <v>9</v>
      </c>
      <c r="C248" s="75" t="s">
        <v>195</v>
      </c>
      <c r="D248" s="86">
        <v>7177050</v>
      </c>
      <c r="E248" s="85">
        <v>45547</v>
      </c>
      <c r="F248" s="12">
        <v>1295</v>
      </c>
      <c r="G248" s="13" t="s">
        <v>22</v>
      </c>
      <c r="H248" s="14" t="str">
        <f t="shared" si="6"/>
        <v>B</v>
      </c>
      <c r="I248" s="15" t="str">
        <f t="shared" si="7"/>
        <v>The Commissioner &amp; Chief Constable are satisfied the spend represents VFM in accordance with the requirements of Category B</v>
      </c>
      <c r="L248" s="17"/>
      <c r="M248" s="17"/>
    </row>
    <row r="249" spans="1:13" s="20" customFormat="1" x14ac:dyDescent="0.2">
      <c r="A249" s="10" t="s">
        <v>8</v>
      </c>
      <c r="B249" s="11" t="s">
        <v>9</v>
      </c>
      <c r="C249" s="75" t="s">
        <v>279</v>
      </c>
      <c r="D249" s="86">
        <v>7176645</v>
      </c>
      <c r="E249" s="85">
        <v>45537</v>
      </c>
      <c r="F249" s="12">
        <v>1283.08</v>
      </c>
      <c r="G249" s="13" t="s">
        <v>131</v>
      </c>
      <c r="H249" s="14" t="str">
        <f t="shared" si="6"/>
        <v>B</v>
      </c>
      <c r="I249" s="15" t="str">
        <f t="shared" si="7"/>
        <v>The Commissioner &amp; Chief Constable are satisfied the spend represents VFM in accordance with the requirements of Category B</v>
      </c>
      <c r="L249" s="17"/>
      <c r="M249" s="17"/>
    </row>
    <row r="250" spans="1:13" s="20" customFormat="1" x14ac:dyDescent="0.2">
      <c r="A250" s="10" t="s">
        <v>8</v>
      </c>
      <c r="B250" s="11" t="s">
        <v>9</v>
      </c>
      <c r="C250" s="75" t="s">
        <v>811</v>
      </c>
      <c r="D250" s="86">
        <v>7176596</v>
      </c>
      <c r="E250" s="85">
        <v>45538</v>
      </c>
      <c r="F250" s="12">
        <v>1260.3499999999999</v>
      </c>
      <c r="G250" s="13" t="s">
        <v>131</v>
      </c>
      <c r="H250" s="14" t="str">
        <f t="shared" si="6"/>
        <v>B</v>
      </c>
      <c r="I250" s="15" t="str">
        <f t="shared" si="7"/>
        <v>The Commissioner &amp; Chief Constable are satisfied the spend represents VFM in accordance with the requirements of Category B</v>
      </c>
      <c r="L250" s="17"/>
      <c r="M250" s="17"/>
    </row>
    <row r="251" spans="1:13" s="20" customFormat="1" x14ac:dyDescent="0.2">
      <c r="A251" s="10" t="s">
        <v>8</v>
      </c>
      <c r="B251" s="11" t="s">
        <v>9</v>
      </c>
      <c r="C251" s="75" t="s">
        <v>691</v>
      </c>
      <c r="D251" s="86">
        <v>7176768</v>
      </c>
      <c r="E251" s="85">
        <v>45539</v>
      </c>
      <c r="F251" s="12">
        <v>1260</v>
      </c>
      <c r="G251" s="13" t="s">
        <v>138</v>
      </c>
      <c r="H251" s="14" t="str">
        <f t="shared" si="6"/>
        <v>B</v>
      </c>
      <c r="I251" s="15" t="str">
        <f t="shared" si="7"/>
        <v>The Commissioner &amp; Chief Constable are satisfied the spend represents VFM in accordance with the requirements of Category B</v>
      </c>
      <c r="L251" s="17"/>
      <c r="M251" s="17"/>
    </row>
    <row r="252" spans="1:13" s="20" customFormat="1" x14ac:dyDescent="0.2">
      <c r="A252" s="10" t="s">
        <v>8</v>
      </c>
      <c r="B252" s="11" t="s">
        <v>9</v>
      </c>
      <c r="C252" s="75" t="s">
        <v>149</v>
      </c>
      <c r="D252" s="86">
        <v>7176987</v>
      </c>
      <c r="E252" s="85">
        <v>45545</v>
      </c>
      <c r="F252" s="12">
        <v>1230.24</v>
      </c>
      <c r="G252" s="13" t="s">
        <v>138</v>
      </c>
      <c r="H252" s="14" t="str">
        <f t="shared" si="6"/>
        <v>B</v>
      </c>
      <c r="I252" s="15" t="str">
        <f t="shared" si="7"/>
        <v>The Commissioner &amp; Chief Constable are satisfied the spend represents VFM in accordance with the requirements of Category B</v>
      </c>
      <c r="L252" s="17"/>
      <c r="M252" s="17"/>
    </row>
    <row r="253" spans="1:13" s="20" customFormat="1" x14ac:dyDescent="0.2">
      <c r="A253" s="10" t="s">
        <v>8</v>
      </c>
      <c r="B253" s="11" t="s">
        <v>9</v>
      </c>
      <c r="C253" s="75" t="s">
        <v>149</v>
      </c>
      <c r="D253" s="86">
        <v>7177408</v>
      </c>
      <c r="E253" s="85">
        <v>45562</v>
      </c>
      <c r="F253" s="12">
        <v>1211.04</v>
      </c>
      <c r="G253" s="13" t="s">
        <v>138</v>
      </c>
      <c r="H253" s="14" t="str">
        <f t="shared" si="6"/>
        <v>B</v>
      </c>
      <c r="I253" s="15" t="str">
        <f t="shared" si="7"/>
        <v>The Commissioner &amp; Chief Constable are satisfied the spend represents VFM in accordance with the requirements of Category B</v>
      </c>
      <c r="L253" s="17"/>
      <c r="M253" s="17"/>
    </row>
    <row r="254" spans="1:13" s="20" customFormat="1" x14ac:dyDescent="0.2">
      <c r="A254" s="10" t="s">
        <v>8</v>
      </c>
      <c r="B254" s="11" t="s">
        <v>9</v>
      </c>
      <c r="C254" s="75" t="s">
        <v>117</v>
      </c>
      <c r="D254" s="86">
        <v>7176656</v>
      </c>
      <c r="E254" s="85">
        <v>45554</v>
      </c>
      <c r="F254" s="12">
        <v>1200</v>
      </c>
      <c r="G254" s="13" t="s">
        <v>131</v>
      </c>
      <c r="H254" s="14" t="str">
        <f t="shared" si="6"/>
        <v>B</v>
      </c>
      <c r="I254" s="15" t="str">
        <f t="shared" si="7"/>
        <v>The Commissioner &amp; Chief Constable are satisfied the spend represents VFM in accordance with the requirements of Category B</v>
      </c>
      <c r="L254" s="17"/>
      <c r="M254" s="17"/>
    </row>
    <row r="255" spans="1:13" s="20" customFormat="1" x14ac:dyDescent="0.2">
      <c r="A255" s="10" t="s">
        <v>8</v>
      </c>
      <c r="B255" s="11" t="s">
        <v>9</v>
      </c>
      <c r="C255" s="75" t="s">
        <v>281</v>
      </c>
      <c r="D255" s="86">
        <v>7176863</v>
      </c>
      <c r="E255" s="85">
        <v>45545</v>
      </c>
      <c r="F255" s="12">
        <v>1160.6500000000001</v>
      </c>
      <c r="G255" s="19" t="s">
        <v>209</v>
      </c>
      <c r="H255" s="14" t="str">
        <f t="shared" si="6"/>
        <v>B</v>
      </c>
      <c r="I255" s="15" t="str">
        <f t="shared" si="7"/>
        <v>The Commissioner &amp; Chief Constable are satisfied the spend represents VFM in accordance with the requirements of Category B</v>
      </c>
      <c r="L255" s="17"/>
      <c r="M255" s="17"/>
    </row>
    <row r="256" spans="1:13" s="20" customFormat="1" x14ac:dyDescent="0.2">
      <c r="A256" s="10" t="s">
        <v>8</v>
      </c>
      <c r="B256" s="11" t="s">
        <v>9</v>
      </c>
      <c r="C256" s="75" t="s">
        <v>812</v>
      </c>
      <c r="D256" s="86">
        <v>7177393</v>
      </c>
      <c r="E256" s="85">
        <v>45561</v>
      </c>
      <c r="F256" s="12">
        <v>1145.23</v>
      </c>
      <c r="G256" s="13" t="s">
        <v>22</v>
      </c>
      <c r="H256" s="14" t="str">
        <f t="shared" si="6"/>
        <v>B</v>
      </c>
      <c r="I256" s="15" t="str">
        <f t="shared" si="7"/>
        <v>The Commissioner &amp; Chief Constable are satisfied the spend represents VFM in accordance with the requirements of Category B</v>
      </c>
      <c r="L256" s="17"/>
      <c r="M256" s="17"/>
    </row>
    <row r="257" spans="1:13" s="20" customFormat="1" x14ac:dyDescent="0.2">
      <c r="A257" s="10" t="s">
        <v>8</v>
      </c>
      <c r="B257" s="11" t="s">
        <v>9</v>
      </c>
      <c r="C257" s="75" t="s">
        <v>74</v>
      </c>
      <c r="D257" s="86">
        <v>7176644</v>
      </c>
      <c r="E257" s="85">
        <v>45538</v>
      </c>
      <c r="F257" s="18">
        <v>1136.28</v>
      </c>
      <c r="G257" s="13" t="s">
        <v>75</v>
      </c>
      <c r="H257" s="14" t="str">
        <f t="shared" si="6"/>
        <v>B</v>
      </c>
      <c r="I257" s="15" t="str">
        <f t="shared" si="7"/>
        <v>The Commissioner &amp; Chief Constable are satisfied the spend represents VFM in accordance with the requirements of Category B</v>
      </c>
      <c r="L257" s="17"/>
      <c r="M257" s="17"/>
    </row>
    <row r="258" spans="1:13" s="20" customFormat="1" x14ac:dyDescent="0.2">
      <c r="A258" s="10" t="s">
        <v>8</v>
      </c>
      <c r="B258" s="11" t="s">
        <v>9</v>
      </c>
      <c r="C258" s="75" t="s">
        <v>293</v>
      </c>
      <c r="D258" s="86">
        <v>7176680</v>
      </c>
      <c r="E258" s="85">
        <v>45548</v>
      </c>
      <c r="F258" s="12">
        <v>1130.5899999999999</v>
      </c>
      <c r="G258" s="13" t="s">
        <v>133</v>
      </c>
      <c r="H258" s="14" t="str">
        <f t="shared" ref="H258:H321" si="8">IF(F258&gt;25000,"C",IF(F258&gt;1000,"B","A"))</f>
        <v>B</v>
      </c>
      <c r="I258" s="15" t="str">
        <f t="shared" ref="I258:I321" si="9">VLOOKUP(H258,$L$2:$M$4,2,FALSE)</f>
        <v>The Commissioner &amp; Chief Constable are satisfied the spend represents VFM in accordance with the requirements of Category B</v>
      </c>
      <c r="L258" s="17"/>
      <c r="M258" s="17"/>
    </row>
    <row r="259" spans="1:13" s="20" customFormat="1" x14ac:dyDescent="0.2">
      <c r="A259" s="10" t="s">
        <v>8</v>
      </c>
      <c r="B259" s="11" t="s">
        <v>9</v>
      </c>
      <c r="C259" s="75" t="s">
        <v>293</v>
      </c>
      <c r="D259" s="86">
        <v>7174940</v>
      </c>
      <c r="E259" s="85">
        <v>45548</v>
      </c>
      <c r="F259" s="12">
        <v>1130.5899999999999</v>
      </c>
      <c r="G259" s="13" t="s">
        <v>133</v>
      </c>
      <c r="H259" s="14" t="str">
        <f t="shared" si="8"/>
        <v>B</v>
      </c>
      <c r="I259" s="15" t="str">
        <f t="shared" si="9"/>
        <v>The Commissioner &amp; Chief Constable are satisfied the spend represents VFM in accordance with the requirements of Category B</v>
      </c>
      <c r="L259" s="17"/>
      <c r="M259" s="17"/>
    </row>
    <row r="260" spans="1:13" s="20" customFormat="1" x14ac:dyDescent="0.2">
      <c r="A260" s="10" t="s">
        <v>8</v>
      </c>
      <c r="B260" s="11" t="s">
        <v>9</v>
      </c>
      <c r="C260" s="75" t="s">
        <v>130</v>
      </c>
      <c r="D260" s="86">
        <v>7176545</v>
      </c>
      <c r="E260" s="85">
        <v>45558</v>
      </c>
      <c r="F260" s="12">
        <v>1120</v>
      </c>
      <c r="G260" s="13" t="s">
        <v>38</v>
      </c>
      <c r="H260" s="14" t="str">
        <f t="shared" si="8"/>
        <v>B</v>
      </c>
      <c r="I260" s="15" t="str">
        <f t="shared" si="9"/>
        <v>The Commissioner &amp; Chief Constable are satisfied the spend represents VFM in accordance with the requirements of Category B</v>
      </c>
      <c r="L260" s="17"/>
      <c r="M260" s="17"/>
    </row>
    <row r="261" spans="1:13" s="20" customFormat="1" x14ac:dyDescent="0.2">
      <c r="A261" s="10" t="s">
        <v>8</v>
      </c>
      <c r="B261" s="11" t="s">
        <v>9</v>
      </c>
      <c r="C261" s="75" t="s">
        <v>283</v>
      </c>
      <c r="D261" s="86">
        <v>7176747</v>
      </c>
      <c r="E261" s="85">
        <v>45544</v>
      </c>
      <c r="F261" s="12">
        <v>1108.8800000000001</v>
      </c>
      <c r="G261" s="13" t="s">
        <v>40</v>
      </c>
      <c r="H261" s="14" t="str">
        <f t="shared" si="8"/>
        <v>B</v>
      </c>
      <c r="I261" s="15" t="str">
        <f t="shared" si="9"/>
        <v>The Commissioner &amp; Chief Constable are satisfied the spend represents VFM in accordance with the requirements of Category B</v>
      </c>
      <c r="L261" s="17"/>
      <c r="M261" s="17"/>
    </row>
    <row r="262" spans="1:13" s="20" customFormat="1" x14ac:dyDescent="0.2">
      <c r="A262" s="10" t="s">
        <v>8</v>
      </c>
      <c r="B262" s="11" t="s">
        <v>9</v>
      </c>
      <c r="C262" s="75" t="s">
        <v>293</v>
      </c>
      <c r="D262" s="86">
        <v>7176720</v>
      </c>
      <c r="E262" s="85">
        <v>45548</v>
      </c>
      <c r="F262" s="18">
        <v>1106.31</v>
      </c>
      <c r="G262" s="13" t="s">
        <v>133</v>
      </c>
      <c r="H262" s="14" t="str">
        <f t="shared" si="8"/>
        <v>B</v>
      </c>
      <c r="I262" s="15" t="str">
        <f t="shared" si="9"/>
        <v>The Commissioner &amp; Chief Constable are satisfied the spend represents VFM in accordance with the requirements of Category B</v>
      </c>
      <c r="L262" s="17"/>
      <c r="M262" s="17"/>
    </row>
    <row r="263" spans="1:13" s="20" customFormat="1" x14ac:dyDescent="0.2">
      <c r="A263" s="10" t="s">
        <v>8</v>
      </c>
      <c r="B263" s="11" t="s">
        <v>9</v>
      </c>
      <c r="C263" s="75" t="s">
        <v>172</v>
      </c>
      <c r="D263" s="86">
        <v>7177067</v>
      </c>
      <c r="E263" s="85">
        <v>45547</v>
      </c>
      <c r="F263" s="12">
        <v>1100</v>
      </c>
      <c r="G263" s="13" t="s">
        <v>112</v>
      </c>
      <c r="H263" s="14" t="str">
        <f t="shared" si="8"/>
        <v>B</v>
      </c>
      <c r="I263" s="15" t="str">
        <f t="shared" si="9"/>
        <v>The Commissioner &amp; Chief Constable are satisfied the spend represents VFM in accordance with the requirements of Category B</v>
      </c>
      <c r="L263" s="17"/>
      <c r="M263" s="17"/>
    </row>
    <row r="264" spans="1:13" s="20" customFormat="1" x14ac:dyDescent="0.2">
      <c r="A264" s="10" t="s">
        <v>8</v>
      </c>
      <c r="B264" s="11" t="s">
        <v>9</v>
      </c>
      <c r="C264" s="75" t="s">
        <v>172</v>
      </c>
      <c r="D264" s="86">
        <v>7177338</v>
      </c>
      <c r="E264" s="85">
        <v>45558</v>
      </c>
      <c r="F264" s="12">
        <v>1100</v>
      </c>
      <c r="G264" s="13" t="s">
        <v>112</v>
      </c>
      <c r="H264" s="14" t="str">
        <f t="shared" si="8"/>
        <v>B</v>
      </c>
      <c r="I264" s="15" t="str">
        <f t="shared" si="9"/>
        <v>The Commissioner &amp; Chief Constable are satisfied the spend represents VFM in accordance with the requirements of Category B</v>
      </c>
      <c r="L264" s="17"/>
      <c r="M264" s="17"/>
    </row>
    <row r="265" spans="1:13" s="20" customFormat="1" x14ac:dyDescent="0.2">
      <c r="A265" s="10" t="s">
        <v>8</v>
      </c>
      <c r="B265" s="11" t="s">
        <v>9</v>
      </c>
      <c r="C265" s="75" t="s">
        <v>107</v>
      </c>
      <c r="D265" s="86">
        <v>7176872</v>
      </c>
      <c r="E265" s="85">
        <v>45541</v>
      </c>
      <c r="F265" s="12">
        <v>1097.8</v>
      </c>
      <c r="G265" s="13" t="s">
        <v>108</v>
      </c>
      <c r="H265" s="14" t="str">
        <f t="shared" si="8"/>
        <v>B</v>
      </c>
      <c r="I265" s="15" t="str">
        <f t="shared" si="9"/>
        <v>The Commissioner &amp; Chief Constable are satisfied the spend represents VFM in accordance with the requirements of Category B</v>
      </c>
      <c r="L265" s="17"/>
      <c r="M265" s="17"/>
    </row>
    <row r="266" spans="1:13" s="20" customFormat="1" x14ac:dyDescent="0.2">
      <c r="A266" s="10" t="s">
        <v>8</v>
      </c>
      <c r="B266" s="11" t="s">
        <v>9</v>
      </c>
      <c r="C266" s="75" t="s">
        <v>889</v>
      </c>
      <c r="D266" s="86">
        <v>7177400</v>
      </c>
      <c r="E266" s="85">
        <v>45559</v>
      </c>
      <c r="F266" s="12">
        <v>1094.95</v>
      </c>
      <c r="G266" s="13" t="s">
        <v>106</v>
      </c>
      <c r="H266" s="14" t="str">
        <f t="shared" si="8"/>
        <v>B</v>
      </c>
      <c r="I266" s="15" t="str">
        <f t="shared" si="9"/>
        <v>The Commissioner &amp; Chief Constable are satisfied the spend represents VFM in accordance with the requirements of Category B</v>
      </c>
      <c r="L266" s="17"/>
      <c r="M266" s="17"/>
    </row>
    <row r="267" spans="1:13" s="20" customFormat="1" x14ac:dyDescent="0.2">
      <c r="A267" s="10" t="s">
        <v>8</v>
      </c>
      <c r="B267" s="11" t="s">
        <v>9</v>
      </c>
      <c r="C267" s="75" t="s">
        <v>369</v>
      </c>
      <c r="D267" s="86">
        <v>7176563</v>
      </c>
      <c r="E267" s="85">
        <v>45548</v>
      </c>
      <c r="F267" s="12">
        <v>1064</v>
      </c>
      <c r="G267" s="13" t="s">
        <v>112</v>
      </c>
      <c r="H267" s="14" t="str">
        <f t="shared" si="8"/>
        <v>B</v>
      </c>
      <c r="I267" s="15" t="str">
        <f t="shared" si="9"/>
        <v>The Commissioner &amp; Chief Constable are satisfied the spend represents VFM in accordance with the requirements of Category B</v>
      </c>
      <c r="L267" s="17"/>
      <c r="M267" s="17"/>
    </row>
    <row r="268" spans="1:13" s="20" customFormat="1" x14ac:dyDescent="0.2">
      <c r="A268" s="10" t="s">
        <v>8</v>
      </c>
      <c r="B268" s="11" t="s">
        <v>9</v>
      </c>
      <c r="C268" s="77" t="s">
        <v>856</v>
      </c>
      <c r="D268" s="86">
        <v>7175881</v>
      </c>
      <c r="E268" s="85">
        <v>45541</v>
      </c>
      <c r="F268" s="12">
        <v>1057.2</v>
      </c>
      <c r="G268" s="13" t="s">
        <v>131</v>
      </c>
      <c r="H268" s="14" t="str">
        <f t="shared" si="8"/>
        <v>B</v>
      </c>
      <c r="I268" s="15" t="str">
        <f t="shared" si="9"/>
        <v>The Commissioner &amp; Chief Constable are satisfied the spend represents VFM in accordance with the requirements of Category B</v>
      </c>
      <c r="L268" s="17"/>
      <c r="M268" s="17"/>
    </row>
    <row r="269" spans="1:13" s="20" customFormat="1" x14ac:dyDescent="0.2">
      <c r="A269" s="10" t="s">
        <v>8</v>
      </c>
      <c r="B269" s="11" t="s">
        <v>9</v>
      </c>
      <c r="C269" s="75" t="s">
        <v>119</v>
      </c>
      <c r="D269" s="86">
        <v>7177425</v>
      </c>
      <c r="E269" s="85">
        <v>45561</v>
      </c>
      <c r="F269" s="12">
        <v>1055.0999999999999</v>
      </c>
      <c r="G269" s="13" t="s">
        <v>120</v>
      </c>
      <c r="H269" s="14" t="str">
        <f t="shared" si="8"/>
        <v>B</v>
      </c>
      <c r="I269" s="15" t="str">
        <f t="shared" si="9"/>
        <v>The Commissioner &amp; Chief Constable are satisfied the spend represents VFM in accordance with the requirements of Category B</v>
      </c>
      <c r="L269" s="17"/>
      <c r="M269" s="17"/>
    </row>
    <row r="270" spans="1:13" s="20" customFormat="1" x14ac:dyDescent="0.2">
      <c r="A270" s="10" t="s">
        <v>8</v>
      </c>
      <c r="B270" s="11" t="s">
        <v>9</v>
      </c>
      <c r="C270" s="75" t="s">
        <v>181</v>
      </c>
      <c r="D270" s="86">
        <v>7177196</v>
      </c>
      <c r="E270" s="85">
        <v>45552</v>
      </c>
      <c r="F270" s="12">
        <v>1053.5</v>
      </c>
      <c r="G270" s="13" t="s">
        <v>106</v>
      </c>
      <c r="H270" s="14" t="str">
        <f t="shared" si="8"/>
        <v>B</v>
      </c>
      <c r="I270" s="15" t="str">
        <f t="shared" si="9"/>
        <v>The Commissioner &amp; Chief Constable are satisfied the spend represents VFM in accordance with the requirements of Category B</v>
      </c>
      <c r="L270" s="17"/>
      <c r="M270" s="17"/>
    </row>
    <row r="271" spans="1:13" s="20" customFormat="1" x14ac:dyDescent="0.2">
      <c r="A271" s="10" t="s">
        <v>8</v>
      </c>
      <c r="B271" s="11" t="s">
        <v>9</v>
      </c>
      <c r="C271" s="75" t="s">
        <v>68</v>
      </c>
      <c r="D271" s="86">
        <v>7177029</v>
      </c>
      <c r="E271" s="85">
        <v>45546</v>
      </c>
      <c r="F271" s="12">
        <v>1050</v>
      </c>
      <c r="G271" s="13" t="s">
        <v>43</v>
      </c>
      <c r="H271" s="14" t="str">
        <f t="shared" si="8"/>
        <v>B</v>
      </c>
      <c r="I271" s="15" t="str">
        <f t="shared" si="9"/>
        <v>The Commissioner &amp; Chief Constable are satisfied the spend represents VFM in accordance with the requirements of Category B</v>
      </c>
      <c r="L271" s="17"/>
      <c r="M271" s="17"/>
    </row>
    <row r="272" spans="1:13" s="20" customFormat="1" x14ac:dyDescent="0.2">
      <c r="A272" s="10" t="s">
        <v>8</v>
      </c>
      <c r="B272" s="11" t="s">
        <v>9</v>
      </c>
      <c r="C272" s="75" t="s">
        <v>172</v>
      </c>
      <c r="D272" s="86">
        <v>7177339</v>
      </c>
      <c r="E272" s="85">
        <v>45558</v>
      </c>
      <c r="F272" s="12">
        <v>1050</v>
      </c>
      <c r="G272" s="13" t="s">
        <v>112</v>
      </c>
      <c r="H272" s="14" t="str">
        <f t="shared" si="8"/>
        <v>B</v>
      </c>
      <c r="I272" s="15" t="str">
        <f t="shared" si="9"/>
        <v>The Commissioner &amp; Chief Constable are satisfied the spend represents VFM in accordance with the requirements of Category B</v>
      </c>
      <c r="L272" s="17"/>
      <c r="M272" s="17"/>
    </row>
    <row r="273" spans="1:13" s="20" customFormat="1" x14ac:dyDescent="0.2">
      <c r="A273" s="10" t="s">
        <v>8</v>
      </c>
      <c r="B273" s="11" t="s">
        <v>9</v>
      </c>
      <c r="C273" s="75" t="s">
        <v>386</v>
      </c>
      <c r="D273" s="86">
        <v>7177415</v>
      </c>
      <c r="E273" s="85">
        <v>45560</v>
      </c>
      <c r="F273" s="12">
        <v>1050</v>
      </c>
      <c r="G273" s="19" t="s">
        <v>106</v>
      </c>
      <c r="H273" s="14" t="str">
        <f t="shared" si="8"/>
        <v>B</v>
      </c>
      <c r="I273" s="15" t="str">
        <f t="shared" si="9"/>
        <v>The Commissioner &amp; Chief Constable are satisfied the spend represents VFM in accordance with the requirements of Category B</v>
      </c>
      <c r="L273" s="17"/>
      <c r="M273" s="17"/>
    </row>
    <row r="274" spans="1:13" s="20" customFormat="1" x14ac:dyDescent="0.2">
      <c r="A274" s="10" t="s">
        <v>8</v>
      </c>
      <c r="B274" s="11" t="s">
        <v>9</v>
      </c>
      <c r="C274" s="75" t="s">
        <v>633</v>
      </c>
      <c r="D274" s="86">
        <v>7176678</v>
      </c>
      <c r="E274" s="85">
        <v>45551</v>
      </c>
      <c r="F274" s="12">
        <v>1033.3</v>
      </c>
      <c r="G274" s="13" t="s">
        <v>91</v>
      </c>
      <c r="H274" s="14" t="str">
        <f t="shared" si="8"/>
        <v>B</v>
      </c>
      <c r="I274" s="15" t="str">
        <f t="shared" si="9"/>
        <v>The Commissioner &amp; Chief Constable are satisfied the spend represents VFM in accordance with the requirements of Category B</v>
      </c>
      <c r="L274" s="17"/>
      <c r="M274" s="17"/>
    </row>
    <row r="275" spans="1:13" s="20" customFormat="1" x14ac:dyDescent="0.2">
      <c r="A275" s="10" t="s">
        <v>8</v>
      </c>
      <c r="B275" s="11" t="s">
        <v>9</v>
      </c>
      <c r="C275" s="75" t="s">
        <v>124</v>
      </c>
      <c r="D275" s="86">
        <v>7176676</v>
      </c>
      <c r="E275" s="85">
        <v>45538</v>
      </c>
      <c r="F275" s="12">
        <v>1028.31</v>
      </c>
      <c r="G275" s="13" t="s">
        <v>376</v>
      </c>
      <c r="H275" s="14" t="str">
        <f t="shared" si="8"/>
        <v>B</v>
      </c>
      <c r="I275" s="15" t="str">
        <f t="shared" si="9"/>
        <v>The Commissioner &amp; Chief Constable are satisfied the spend represents VFM in accordance with the requirements of Category B</v>
      </c>
      <c r="L275" s="17"/>
      <c r="M275" s="17"/>
    </row>
    <row r="276" spans="1:13" s="20" customFormat="1" x14ac:dyDescent="0.2">
      <c r="A276" s="10" t="s">
        <v>8</v>
      </c>
      <c r="B276" s="11" t="s">
        <v>9</v>
      </c>
      <c r="C276" s="75" t="s">
        <v>423</v>
      </c>
      <c r="D276" s="86">
        <v>7176990</v>
      </c>
      <c r="E276" s="85">
        <v>45546</v>
      </c>
      <c r="F276" s="12">
        <v>1026.45</v>
      </c>
      <c r="G276" s="13" t="s">
        <v>131</v>
      </c>
      <c r="H276" s="14" t="str">
        <f t="shared" si="8"/>
        <v>B</v>
      </c>
      <c r="I276" s="15" t="str">
        <f t="shared" si="9"/>
        <v>The Commissioner &amp; Chief Constable are satisfied the spend represents VFM in accordance with the requirements of Category B</v>
      </c>
      <c r="L276" s="17"/>
      <c r="M276" s="17"/>
    </row>
    <row r="277" spans="1:13" s="20" customFormat="1" x14ac:dyDescent="0.2">
      <c r="A277" s="10" t="s">
        <v>8</v>
      </c>
      <c r="B277" s="11" t="s">
        <v>9</v>
      </c>
      <c r="C277" s="75" t="s">
        <v>498</v>
      </c>
      <c r="D277" s="86">
        <v>7176547</v>
      </c>
      <c r="E277" s="85">
        <v>45538</v>
      </c>
      <c r="F277" s="12">
        <v>1024.8</v>
      </c>
      <c r="G277" s="13" t="s">
        <v>94</v>
      </c>
      <c r="H277" s="14" t="str">
        <f t="shared" si="8"/>
        <v>B</v>
      </c>
      <c r="I277" s="15" t="str">
        <f t="shared" si="9"/>
        <v>The Commissioner &amp; Chief Constable are satisfied the spend represents VFM in accordance with the requirements of Category B</v>
      </c>
      <c r="L277" s="17"/>
      <c r="M277" s="17"/>
    </row>
    <row r="278" spans="1:13" s="20" customFormat="1" x14ac:dyDescent="0.2">
      <c r="A278" s="10" t="s">
        <v>8</v>
      </c>
      <c r="B278" s="11" t="s">
        <v>9</v>
      </c>
      <c r="C278" s="75" t="s">
        <v>130</v>
      </c>
      <c r="D278" s="86">
        <v>7176533</v>
      </c>
      <c r="E278" s="85">
        <v>45558</v>
      </c>
      <c r="F278" s="12">
        <v>1020</v>
      </c>
      <c r="G278" s="13" t="s">
        <v>38</v>
      </c>
      <c r="H278" s="14" t="str">
        <f t="shared" si="8"/>
        <v>B</v>
      </c>
      <c r="I278" s="15" t="str">
        <f t="shared" si="9"/>
        <v>The Commissioner &amp; Chief Constable are satisfied the spend represents VFM in accordance with the requirements of Category B</v>
      </c>
      <c r="L278" s="17"/>
      <c r="M278" s="17"/>
    </row>
    <row r="279" spans="1:13" s="20" customFormat="1" x14ac:dyDescent="0.2">
      <c r="A279" s="10" t="s">
        <v>8</v>
      </c>
      <c r="B279" s="11" t="s">
        <v>9</v>
      </c>
      <c r="C279" s="75" t="s">
        <v>334</v>
      </c>
      <c r="D279" s="86">
        <v>7177420</v>
      </c>
      <c r="E279" s="85">
        <v>45561</v>
      </c>
      <c r="F279" s="12">
        <v>1013.94</v>
      </c>
      <c r="G279" s="13" t="s">
        <v>39</v>
      </c>
      <c r="H279" s="14" t="str">
        <f t="shared" si="8"/>
        <v>B</v>
      </c>
      <c r="I279" s="15" t="str">
        <f t="shared" si="9"/>
        <v>The Commissioner &amp; Chief Constable are satisfied the spend represents VFM in accordance with the requirements of Category B</v>
      </c>
      <c r="L279" s="17"/>
      <c r="M279" s="17"/>
    </row>
    <row r="280" spans="1:13" s="20" customFormat="1" x14ac:dyDescent="0.2">
      <c r="A280" s="10" t="s">
        <v>8</v>
      </c>
      <c r="B280" s="11" t="s">
        <v>9</v>
      </c>
      <c r="C280" s="75" t="s">
        <v>236</v>
      </c>
      <c r="D280" s="86">
        <v>7177560</v>
      </c>
      <c r="E280" s="85">
        <v>45562</v>
      </c>
      <c r="F280" s="12">
        <v>995</v>
      </c>
      <c r="G280" s="13" t="s">
        <v>237</v>
      </c>
      <c r="H280" s="14" t="str">
        <f t="shared" si="8"/>
        <v>A</v>
      </c>
      <c r="I280" s="15" t="str">
        <f t="shared" si="9"/>
        <v>The Commissioner &amp; Chief Constable are satisfied the spend represents VFM in accordance with the requirements of Category A</v>
      </c>
      <c r="L280" s="17"/>
      <c r="M280" s="17"/>
    </row>
    <row r="281" spans="1:13" s="20" customFormat="1" x14ac:dyDescent="0.2">
      <c r="A281" s="10" t="s">
        <v>8</v>
      </c>
      <c r="B281" s="11" t="s">
        <v>9</v>
      </c>
      <c r="C281" s="75" t="s">
        <v>103</v>
      </c>
      <c r="D281" s="86">
        <v>7177567</v>
      </c>
      <c r="E281" s="85">
        <v>45562</v>
      </c>
      <c r="F281" s="12">
        <v>970</v>
      </c>
      <c r="G281" s="13" t="s">
        <v>164</v>
      </c>
      <c r="H281" s="14" t="str">
        <f t="shared" si="8"/>
        <v>A</v>
      </c>
      <c r="I281" s="15" t="str">
        <f t="shared" si="9"/>
        <v>The Commissioner &amp; Chief Constable are satisfied the spend represents VFM in accordance with the requirements of Category A</v>
      </c>
      <c r="L281" s="17"/>
      <c r="M281" s="17"/>
    </row>
    <row r="282" spans="1:13" s="20" customFormat="1" x14ac:dyDescent="0.2">
      <c r="A282" s="10" t="s">
        <v>8</v>
      </c>
      <c r="B282" s="11" t="s">
        <v>9</v>
      </c>
      <c r="C282" s="75" t="s">
        <v>370</v>
      </c>
      <c r="D282" s="86">
        <v>7177048</v>
      </c>
      <c r="E282" s="85">
        <v>45547</v>
      </c>
      <c r="F282" s="12">
        <v>969</v>
      </c>
      <c r="G282" s="13" t="s">
        <v>151</v>
      </c>
      <c r="H282" s="14" t="str">
        <f t="shared" si="8"/>
        <v>A</v>
      </c>
      <c r="I282" s="15" t="str">
        <f t="shared" si="9"/>
        <v>The Commissioner &amp; Chief Constable are satisfied the spend represents VFM in accordance with the requirements of Category A</v>
      </c>
      <c r="L282" s="17"/>
      <c r="M282" s="17"/>
    </row>
    <row r="283" spans="1:13" s="20" customFormat="1" x14ac:dyDescent="0.2">
      <c r="A283" s="10" t="s">
        <v>8</v>
      </c>
      <c r="B283" s="11" t="s">
        <v>9</v>
      </c>
      <c r="C283" s="75" t="s">
        <v>103</v>
      </c>
      <c r="D283" s="86">
        <v>7176760</v>
      </c>
      <c r="E283" s="85">
        <v>45539</v>
      </c>
      <c r="F283" s="12">
        <v>965</v>
      </c>
      <c r="G283" s="13" t="s">
        <v>91</v>
      </c>
      <c r="H283" s="14" t="str">
        <f t="shared" si="8"/>
        <v>A</v>
      </c>
      <c r="I283" s="15" t="str">
        <f t="shared" si="9"/>
        <v>The Commissioner &amp; Chief Constable are satisfied the spend represents VFM in accordance with the requirements of Category A</v>
      </c>
      <c r="L283" s="17"/>
      <c r="M283" s="17"/>
    </row>
    <row r="284" spans="1:13" s="20" customFormat="1" x14ac:dyDescent="0.2">
      <c r="A284" s="10" t="s">
        <v>8</v>
      </c>
      <c r="B284" s="11" t="s">
        <v>9</v>
      </c>
      <c r="C284" s="75" t="s">
        <v>219</v>
      </c>
      <c r="D284" s="86">
        <v>7176672</v>
      </c>
      <c r="E284" s="85">
        <v>45544</v>
      </c>
      <c r="F284" s="12">
        <v>950.55</v>
      </c>
      <c r="G284" s="13" t="s">
        <v>220</v>
      </c>
      <c r="H284" s="14" t="str">
        <f t="shared" si="8"/>
        <v>A</v>
      </c>
      <c r="I284" s="15" t="str">
        <f t="shared" si="9"/>
        <v>The Commissioner &amp; Chief Constable are satisfied the spend represents VFM in accordance with the requirements of Category A</v>
      </c>
      <c r="L284" s="17"/>
      <c r="M284" s="17"/>
    </row>
    <row r="285" spans="1:13" s="20" customFormat="1" x14ac:dyDescent="0.2">
      <c r="A285" s="10" t="s">
        <v>8</v>
      </c>
      <c r="B285" s="11" t="s">
        <v>9</v>
      </c>
      <c r="C285" s="75" t="s">
        <v>888</v>
      </c>
      <c r="D285" s="86">
        <v>7177305</v>
      </c>
      <c r="E285" s="85">
        <v>45561</v>
      </c>
      <c r="F285" s="12">
        <v>937.5</v>
      </c>
      <c r="G285" s="13" t="s">
        <v>123</v>
      </c>
      <c r="H285" s="14" t="str">
        <f t="shared" si="8"/>
        <v>A</v>
      </c>
      <c r="I285" s="15" t="str">
        <f t="shared" si="9"/>
        <v>The Commissioner &amp; Chief Constable are satisfied the spend represents VFM in accordance with the requirements of Category A</v>
      </c>
      <c r="L285" s="17"/>
      <c r="M285" s="17"/>
    </row>
    <row r="286" spans="1:13" s="20" customFormat="1" x14ac:dyDescent="0.2">
      <c r="A286" s="10" t="s">
        <v>8</v>
      </c>
      <c r="B286" s="11" t="s">
        <v>9</v>
      </c>
      <c r="C286" s="75" t="s">
        <v>181</v>
      </c>
      <c r="D286" s="86">
        <v>7176940</v>
      </c>
      <c r="E286" s="85">
        <v>45555</v>
      </c>
      <c r="F286" s="12">
        <v>937.25</v>
      </c>
      <c r="G286" s="13" t="s">
        <v>98</v>
      </c>
      <c r="H286" s="14" t="str">
        <f t="shared" si="8"/>
        <v>A</v>
      </c>
      <c r="I286" s="15" t="str">
        <f t="shared" si="9"/>
        <v>The Commissioner &amp; Chief Constable are satisfied the spend represents VFM in accordance with the requirements of Category A</v>
      </c>
      <c r="L286" s="17"/>
      <c r="M286" s="17"/>
    </row>
    <row r="287" spans="1:13" s="20" customFormat="1" x14ac:dyDescent="0.2">
      <c r="A287" s="10" t="s">
        <v>8</v>
      </c>
      <c r="B287" s="11" t="s">
        <v>9</v>
      </c>
      <c r="C287" s="75" t="s">
        <v>260</v>
      </c>
      <c r="D287" s="86">
        <v>7176757</v>
      </c>
      <c r="E287" s="85">
        <v>45539</v>
      </c>
      <c r="F287" s="12">
        <v>935.18000000000006</v>
      </c>
      <c r="G287" s="13" t="s">
        <v>261</v>
      </c>
      <c r="H287" s="14" t="str">
        <f t="shared" si="8"/>
        <v>A</v>
      </c>
      <c r="I287" s="15" t="str">
        <f t="shared" si="9"/>
        <v>The Commissioner &amp; Chief Constable are satisfied the spend represents VFM in accordance with the requirements of Category A</v>
      </c>
      <c r="L287" s="17"/>
      <c r="M287" s="17"/>
    </row>
    <row r="288" spans="1:13" s="20" customFormat="1" x14ac:dyDescent="0.2">
      <c r="A288" s="10" t="s">
        <v>8</v>
      </c>
      <c r="B288" s="11" t="s">
        <v>9</v>
      </c>
      <c r="C288" s="75" t="s">
        <v>256</v>
      </c>
      <c r="D288" s="86">
        <v>7176985</v>
      </c>
      <c r="E288" s="85">
        <v>45545</v>
      </c>
      <c r="F288" s="12">
        <v>933.79</v>
      </c>
      <c r="G288" s="13" t="s">
        <v>155</v>
      </c>
      <c r="H288" s="14" t="str">
        <f t="shared" si="8"/>
        <v>A</v>
      </c>
      <c r="I288" s="15" t="str">
        <f t="shared" si="9"/>
        <v>The Commissioner &amp; Chief Constable are satisfied the spend represents VFM in accordance with the requirements of Category A</v>
      </c>
      <c r="L288" s="17"/>
      <c r="M288" s="17"/>
    </row>
    <row r="289" spans="1:13" s="20" customFormat="1" x14ac:dyDescent="0.2">
      <c r="A289" s="10" t="s">
        <v>8</v>
      </c>
      <c r="B289" s="11" t="s">
        <v>9</v>
      </c>
      <c r="C289" s="75" t="s">
        <v>124</v>
      </c>
      <c r="D289" s="86">
        <v>7176773</v>
      </c>
      <c r="E289" s="85">
        <v>45539</v>
      </c>
      <c r="F289" s="12">
        <v>929.27</v>
      </c>
      <c r="G289" s="13" t="s">
        <v>112</v>
      </c>
      <c r="H289" s="14" t="str">
        <f t="shared" si="8"/>
        <v>A</v>
      </c>
      <c r="I289" s="15" t="str">
        <f t="shared" si="9"/>
        <v>The Commissioner &amp; Chief Constable are satisfied the spend represents VFM in accordance with the requirements of Category A</v>
      </c>
      <c r="L289" s="17"/>
      <c r="M289" s="17"/>
    </row>
    <row r="290" spans="1:13" s="20" customFormat="1" x14ac:dyDescent="0.2">
      <c r="A290" s="10" t="s">
        <v>8</v>
      </c>
      <c r="B290" s="11" t="s">
        <v>9</v>
      </c>
      <c r="C290" s="75" t="s">
        <v>117</v>
      </c>
      <c r="D290" s="86">
        <v>7176897</v>
      </c>
      <c r="E290" s="85">
        <v>45543</v>
      </c>
      <c r="F290" s="18">
        <v>924.31</v>
      </c>
      <c r="G290" s="13" t="s">
        <v>148</v>
      </c>
      <c r="H290" s="14" t="str">
        <f t="shared" si="8"/>
        <v>A</v>
      </c>
      <c r="I290" s="15" t="str">
        <f t="shared" si="9"/>
        <v>The Commissioner &amp; Chief Constable are satisfied the spend represents VFM in accordance with the requirements of Category A</v>
      </c>
      <c r="L290" s="17"/>
      <c r="M290" s="17"/>
    </row>
    <row r="291" spans="1:13" s="20" customFormat="1" x14ac:dyDescent="0.2">
      <c r="A291" s="10" t="s">
        <v>8</v>
      </c>
      <c r="B291" s="11" t="s">
        <v>9</v>
      </c>
      <c r="C291" s="75" t="s">
        <v>302</v>
      </c>
      <c r="D291" s="86">
        <v>7176852</v>
      </c>
      <c r="E291" s="85">
        <v>45541</v>
      </c>
      <c r="F291" s="12">
        <v>921.71</v>
      </c>
      <c r="G291" s="13" t="s">
        <v>131</v>
      </c>
      <c r="H291" s="14" t="str">
        <f t="shared" si="8"/>
        <v>A</v>
      </c>
      <c r="I291" s="15" t="str">
        <f t="shared" si="9"/>
        <v>The Commissioner &amp; Chief Constable are satisfied the spend represents VFM in accordance with the requirements of Category A</v>
      </c>
      <c r="L291" s="17"/>
      <c r="M291" s="17"/>
    </row>
    <row r="292" spans="1:13" s="20" customFormat="1" x14ac:dyDescent="0.2">
      <c r="A292" s="10" t="s">
        <v>8</v>
      </c>
      <c r="B292" s="11" t="s">
        <v>9</v>
      </c>
      <c r="C292" s="75" t="s">
        <v>822</v>
      </c>
      <c r="D292" s="86">
        <v>7177012</v>
      </c>
      <c r="E292" s="85">
        <v>45558</v>
      </c>
      <c r="F292" s="12">
        <v>920</v>
      </c>
      <c r="G292" s="13" t="s">
        <v>91</v>
      </c>
      <c r="H292" s="14" t="str">
        <f t="shared" si="8"/>
        <v>A</v>
      </c>
      <c r="I292" s="15" t="str">
        <f t="shared" si="9"/>
        <v>The Commissioner &amp; Chief Constable are satisfied the spend represents VFM in accordance with the requirements of Category A</v>
      </c>
      <c r="L292" s="17"/>
      <c r="M292" s="17"/>
    </row>
    <row r="293" spans="1:13" s="20" customFormat="1" x14ac:dyDescent="0.2">
      <c r="A293" s="10" t="s">
        <v>8</v>
      </c>
      <c r="B293" s="11" t="s">
        <v>9</v>
      </c>
      <c r="C293" s="75" t="s">
        <v>822</v>
      </c>
      <c r="D293" s="86">
        <v>7177541</v>
      </c>
      <c r="E293" s="85">
        <v>45565</v>
      </c>
      <c r="F293" s="12">
        <v>920</v>
      </c>
      <c r="G293" s="13" t="s">
        <v>91</v>
      </c>
      <c r="H293" s="14" t="str">
        <f t="shared" si="8"/>
        <v>A</v>
      </c>
      <c r="I293" s="15" t="str">
        <f t="shared" si="9"/>
        <v>The Commissioner &amp; Chief Constable are satisfied the spend represents VFM in accordance with the requirements of Category A</v>
      </c>
      <c r="L293" s="17"/>
      <c r="M293" s="17"/>
    </row>
    <row r="294" spans="1:13" s="20" customFormat="1" x14ac:dyDescent="0.2">
      <c r="A294" s="10" t="s">
        <v>8</v>
      </c>
      <c r="B294" s="11" t="s">
        <v>9</v>
      </c>
      <c r="C294" s="75" t="s">
        <v>246</v>
      </c>
      <c r="D294" s="86">
        <v>7177239</v>
      </c>
      <c r="E294" s="85">
        <v>45554</v>
      </c>
      <c r="F294" s="12">
        <v>913.04</v>
      </c>
      <c r="G294" s="13" t="s">
        <v>131</v>
      </c>
      <c r="H294" s="14" t="str">
        <f t="shared" si="8"/>
        <v>A</v>
      </c>
      <c r="I294" s="15" t="str">
        <f t="shared" si="9"/>
        <v>The Commissioner &amp; Chief Constable are satisfied the spend represents VFM in accordance with the requirements of Category A</v>
      </c>
      <c r="L294" s="17"/>
      <c r="M294" s="17"/>
    </row>
    <row r="295" spans="1:13" s="20" customFormat="1" x14ac:dyDescent="0.2">
      <c r="A295" s="10" t="s">
        <v>8</v>
      </c>
      <c r="B295" s="11" t="s">
        <v>9</v>
      </c>
      <c r="C295" s="75" t="s">
        <v>887</v>
      </c>
      <c r="D295" s="86">
        <v>7176891</v>
      </c>
      <c r="E295" s="85">
        <v>45541</v>
      </c>
      <c r="F295" s="12">
        <v>912.5</v>
      </c>
      <c r="G295" s="13" t="s">
        <v>131</v>
      </c>
      <c r="H295" s="14" t="str">
        <f t="shared" si="8"/>
        <v>A</v>
      </c>
      <c r="I295" s="15" t="str">
        <f t="shared" si="9"/>
        <v>The Commissioner &amp; Chief Constable are satisfied the spend represents VFM in accordance with the requirements of Category A</v>
      </c>
      <c r="L295" s="17"/>
      <c r="M295" s="17"/>
    </row>
    <row r="296" spans="1:13" s="20" customFormat="1" x14ac:dyDescent="0.2">
      <c r="A296" s="10" t="s">
        <v>8</v>
      </c>
      <c r="B296" s="11" t="s">
        <v>9</v>
      </c>
      <c r="C296" s="75" t="s">
        <v>149</v>
      </c>
      <c r="D296" s="86">
        <v>7176802</v>
      </c>
      <c r="E296" s="85">
        <v>45541</v>
      </c>
      <c r="F296" s="12">
        <v>902.86</v>
      </c>
      <c r="G296" s="13" t="s">
        <v>138</v>
      </c>
      <c r="H296" s="14" t="str">
        <f t="shared" si="8"/>
        <v>A</v>
      </c>
      <c r="I296" s="15" t="str">
        <f t="shared" si="9"/>
        <v>The Commissioner &amp; Chief Constable are satisfied the spend represents VFM in accordance with the requirements of Category A</v>
      </c>
      <c r="L296" s="17"/>
      <c r="M296" s="17"/>
    </row>
    <row r="297" spans="1:13" s="20" customFormat="1" x14ac:dyDescent="0.2">
      <c r="A297" s="10" t="s">
        <v>8</v>
      </c>
      <c r="B297" s="11" t="s">
        <v>9</v>
      </c>
      <c r="C297" s="75" t="s">
        <v>199</v>
      </c>
      <c r="D297" s="86">
        <v>7177096</v>
      </c>
      <c r="E297" s="85">
        <v>45555</v>
      </c>
      <c r="F297" s="12">
        <v>901.95</v>
      </c>
      <c r="G297" s="13" t="s">
        <v>148</v>
      </c>
      <c r="H297" s="14" t="str">
        <f t="shared" si="8"/>
        <v>A</v>
      </c>
      <c r="I297" s="15" t="str">
        <f t="shared" si="9"/>
        <v>The Commissioner &amp; Chief Constable are satisfied the spend represents VFM in accordance with the requirements of Category A</v>
      </c>
      <c r="L297" s="17"/>
      <c r="M297" s="17"/>
    </row>
    <row r="298" spans="1:13" x14ac:dyDescent="0.2">
      <c r="A298" s="10" t="s">
        <v>8</v>
      </c>
      <c r="B298" s="11" t="s">
        <v>9</v>
      </c>
      <c r="C298" s="75" t="s">
        <v>256</v>
      </c>
      <c r="D298" s="86">
        <v>7177609</v>
      </c>
      <c r="E298" s="85">
        <v>45565</v>
      </c>
      <c r="F298" s="12">
        <v>900</v>
      </c>
      <c r="G298" s="13" t="s">
        <v>131</v>
      </c>
      <c r="H298" s="14" t="str">
        <f t="shared" si="8"/>
        <v>A</v>
      </c>
      <c r="I298" s="15" t="str">
        <f t="shared" si="9"/>
        <v>The Commissioner &amp; Chief Constable are satisfied the spend represents VFM in accordance with the requirements of Category A</v>
      </c>
    </row>
    <row r="299" spans="1:13" x14ac:dyDescent="0.2">
      <c r="A299" s="10" t="s">
        <v>8</v>
      </c>
      <c r="B299" s="11" t="s">
        <v>9</v>
      </c>
      <c r="C299" s="75" t="s">
        <v>300</v>
      </c>
      <c r="D299" s="86">
        <v>7176803</v>
      </c>
      <c r="E299" s="85">
        <v>45540</v>
      </c>
      <c r="F299" s="12">
        <v>900</v>
      </c>
      <c r="G299" s="13" t="s">
        <v>182</v>
      </c>
      <c r="H299" s="14" t="str">
        <f t="shared" si="8"/>
        <v>A</v>
      </c>
      <c r="I299" s="15" t="str">
        <f t="shared" si="9"/>
        <v>The Commissioner &amp; Chief Constable are satisfied the spend represents VFM in accordance with the requirements of Category A</v>
      </c>
    </row>
    <row r="300" spans="1:13" x14ac:dyDescent="0.2">
      <c r="A300" s="10" t="s">
        <v>8</v>
      </c>
      <c r="B300" s="11" t="s">
        <v>9</v>
      </c>
      <c r="C300" s="75" t="s">
        <v>300</v>
      </c>
      <c r="D300" s="86">
        <v>7176804</v>
      </c>
      <c r="E300" s="85">
        <v>45541</v>
      </c>
      <c r="F300" s="12">
        <v>900</v>
      </c>
      <c r="G300" s="13" t="s">
        <v>182</v>
      </c>
      <c r="H300" s="14" t="str">
        <f t="shared" si="8"/>
        <v>A</v>
      </c>
      <c r="I300" s="15" t="str">
        <f t="shared" si="9"/>
        <v>The Commissioner &amp; Chief Constable are satisfied the spend represents VFM in accordance with the requirements of Category A</v>
      </c>
    </row>
    <row r="301" spans="1:13" x14ac:dyDescent="0.2">
      <c r="A301" s="10" t="s">
        <v>8</v>
      </c>
      <c r="B301" s="11" t="s">
        <v>9</v>
      </c>
      <c r="C301" s="75" t="s">
        <v>886</v>
      </c>
      <c r="D301" s="86">
        <v>7176337</v>
      </c>
      <c r="E301" s="85">
        <v>45547</v>
      </c>
      <c r="F301" s="12">
        <v>896.25</v>
      </c>
      <c r="G301" s="13" t="s">
        <v>22</v>
      </c>
      <c r="H301" s="14" t="str">
        <f t="shared" si="8"/>
        <v>A</v>
      </c>
      <c r="I301" s="15" t="str">
        <f t="shared" si="9"/>
        <v>The Commissioner &amp; Chief Constable are satisfied the spend represents VFM in accordance with the requirements of Category A</v>
      </c>
    </row>
    <row r="302" spans="1:13" x14ac:dyDescent="0.2">
      <c r="A302" s="10" t="s">
        <v>8</v>
      </c>
      <c r="B302" s="11" t="s">
        <v>9</v>
      </c>
      <c r="C302" s="75" t="s">
        <v>124</v>
      </c>
      <c r="D302" s="86">
        <v>7177385</v>
      </c>
      <c r="E302" s="85">
        <v>45561</v>
      </c>
      <c r="F302" s="12">
        <v>894.29</v>
      </c>
      <c r="G302" s="13" t="s">
        <v>376</v>
      </c>
      <c r="H302" s="14" t="str">
        <f t="shared" si="8"/>
        <v>A</v>
      </c>
      <c r="I302" s="15" t="str">
        <f t="shared" si="9"/>
        <v>The Commissioner &amp; Chief Constable are satisfied the spend represents VFM in accordance with the requirements of Category A</v>
      </c>
    </row>
    <row r="303" spans="1:13" x14ac:dyDescent="0.2">
      <c r="A303" s="10" t="s">
        <v>8</v>
      </c>
      <c r="B303" s="11" t="s">
        <v>9</v>
      </c>
      <c r="C303" s="75" t="s">
        <v>423</v>
      </c>
      <c r="D303" s="86">
        <v>7177429</v>
      </c>
      <c r="E303" s="85">
        <v>45560</v>
      </c>
      <c r="F303" s="12">
        <v>893.8</v>
      </c>
      <c r="G303" s="13" t="s">
        <v>390</v>
      </c>
      <c r="H303" s="14" t="str">
        <f t="shared" si="8"/>
        <v>A</v>
      </c>
      <c r="I303" s="15" t="str">
        <f t="shared" si="9"/>
        <v>The Commissioner &amp; Chief Constable are satisfied the spend represents VFM in accordance with the requirements of Category A</v>
      </c>
    </row>
    <row r="304" spans="1:13" x14ac:dyDescent="0.2">
      <c r="A304" s="10" t="s">
        <v>8</v>
      </c>
      <c r="B304" s="11" t="s">
        <v>9</v>
      </c>
      <c r="C304" s="75" t="s">
        <v>885</v>
      </c>
      <c r="D304" s="86">
        <v>7175862</v>
      </c>
      <c r="E304" s="85">
        <v>45537</v>
      </c>
      <c r="F304" s="12">
        <v>877.5</v>
      </c>
      <c r="G304" s="13" t="s">
        <v>131</v>
      </c>
      <c r="H304" s="14" t="str">
        <f t="shared" si="8"/>
        <v>A</v>
      </c>
      <c r="I304" s="15" t="str">
        <f t="shared" si="9"/>
        <v>The Commissioner &amp; Chief Constable are satisfied the spend represents VFM in accordance with the requirements of Category A</v>
      </c>
    </row>
    <row r="305" spans="1:9" x14ac:dyDescent="0.2">
      <c r="A305" s="10" t="s">
        <v>8</v>
      </c>
      <c r="B305" s="11" t="s">
        <v>9</v>
      </c>
      <c r="C305" s="75" t="s">
        <v>181</v>
      </c>
      <c r="D305" s="86">
        <v>7177098</v>
      </c>
      <c r="E305" s="85">
        <v>45548</v>
      </c>
      <c r="F305" s="12">
        <v>872.5</v>
      </c>
      <c r="G305" s="13" t="s">
        <v>106</v>
      </c>
      <c r="H305" s="14" t="str">
        <f t="shared" si="8"/>
        <v>A</v>
      </c>
      <c r="I305" s="15" t="str">
        <f t="shared" si="9"/>
        <v>The Commissioner &amp; Chief Constable are satisfied the spend represents VFM in accordance with the requirements of Category A</v>
      </c>
    </row>
    <row r="306" spans="1:9" x14ac:dyDescent="0.2">
      <c r="A306" s="10" t="s">
        <v>8</v>
      </c>
      <c r="B306" s="11" t="s">
        <v>9</v>
      </c>
      <c r="C306" s="75" t="s">
        <v>884</v>
      </c>
      <c r="D306" s="86">
        <v>7176963</v>
      </c>
      <c r="E306" s="85">
        <v>45544</v>
      </c>
      <c r="F306" s="12">
        <v>870</v>
      </c>
      <c r="G306" s="13" t="s">
        <v>22</v>
      </c>
      <c r="H306" s="14" t="str">
        <f t="shared" si="8"/>
        <v>A</v>
      </c>
      <c r="I306" s="15" t="str">
        <f t="shared" si="9"/>
        <v>The Commissioner &amp; Chief Constable are satisfied the spend represents VFM in accordance with the requirements of Category A</v>
      </c>
    </row>
    <row r="307" spans="1:9" x14ac:dyDescent="0.2">
      <c r="A307" s="10" t="s">
        <v>8</v>
      </c>
      <c r="B307" s="11" t="s">
        <v>9</v>
      </c>
      <c r="C307" s="75" t="s">
        <v>304</v>
      </c>
      <c r="D307" s="86">
        <v>7176525</v>
      </c>
      <c r="E307" s="85">
        <v>45541</v>
      </c>
      <c r="F307" s="12">
        <v>851.5</v>
      </c>
      <c r="G307" s="13" t="s">
        <v>155</v>
      </c>
      <c r="H307" s="14" t="str">
        <f t="shared" si="8"/>
        <v>A</v>
      </c>
      <c r="I307" s="15" t="str">
        <f t="shared" si="9"/>
        <v>The Commissioner &amp; Chief Constable are satisfied the spend represents VFM in accordance with the requirements of Category A</v>
      </c>
    </row>
    <row r="308" spans="1:9" x14ac:dyDescent="0.2">
      <c r="A308" s="10" t="s">
        <v>8</v>
      </c>
      <c r="B308" s="11" t="s">
        <v>9</v>
      </c>
      <c r="C308" s="75" t="s">
        <v>320</v>
      </c>
      <c r="D308" s="86">
        <v>7177542</v>
      </c>
      <c r="E308" s="85">
        <v>45562</v>
      </c>
      <c r="F308" s="12">
        <v>850</v>
      </c>
      <c r="G308" s="13" t="s">
        <v>106</v>
      </c>
      <c r="H308" s="14" t="str">
        <f t="shared" si="8"/>
        <v>A</v>
      </c>
      <c r="I308" s="15" t="str">
        <f t="shared" si="9"/>
        <v>The Commissioner &amp; Chief Constable are satisfied the spend represents VFM in accordance with the requirements of Category A</v>
      </c>
    </row>
    <row r="309" spans="1:9" x14ac:dyDescent="0.2">
      <c r="A309" s="10" t="s">
        <v>8</v>
      </c>
      <c r="B309" s="11" t="s">
        <v>9</v>
      </c>
      <c r="C309" s="75" t="s">
        <v>304</v>
      </c>
      <c r="D309" s="86">
        <v>7177256</v>
      </c>
      <c r="E309" s="85">
        <v>45565</v>
      </c>
      <c r="F309" s="12">
        <v>845.5</v>
      </c>
      <c r="G309" s="13" t="s">
        <v>155</v>
      </c>
      <c r="H309" s="14" t="str">
        <f t="shared" si="8"/>
        <v>A</v>
      </c>
      <c r="I309" s="15" t="str">
        <f t="shared" si="9"/>
        <v>The Commissioner &amp; Chief Constable are satisfied the spend represents VFM in accordance with the requirements of Category A</v>
      </c>
    </row>
    <row r="310" spans="1:9" x14ac:dyDescent="0.2">
      <c r="A310" s="10" t="s">
        <v>8</v>
      </c>
      <c r="B310" s="11" t="s">
        <v>9</v>
      </c>
      <c r="C310" s="75" t="s">
        <v>498</v>
      </c>
      <c r="D310" s="86">
        <v>7176391</v>
      </c>
      <c r="E310" s="85">
        <v>45537</v>
      </c>
      <c r="F310" s="12">
        <v>842.4</v>
      </c>
      <c r="G310" s="13" t="s">
        <v>123</v>
      </c>
      <c r="H310" s="14" t="str">
        <f t="shared" si="8"/>
        <v>A</v>
      </c>
      <c r="I310" s="15" t="str">
        <f t="shared" si="9"/>
        <v>The Commissioner &amp; Chief Constable are satisfied the spend represents VFM in accordance with the requirements of Category A</v>
      </c>
    </row>
    <row r="311" spans="1:9" x14ac:dyDescent="0.2">
      <c r="A311" s="10" t="s">
        <v>8</v>
      </c>
      <c r="B311" s="11" t="s">
        <v>9</v>
      </c>
      <c r="C311" s="75" t="s">
        <v>385</v>
      </c>
      <c r="D311" s="86">
        <v>7176965</v>
      </c>
      <c r="E311" s="85">
        <v>45558</v>
      </c>
      <c r="F311" s="12">
        <v>841.38</v>
      </c>
      <c r="G311" s="13" t="s">
        <v>112</v>
      </c>
      <c r="H311" s="14" t="str">
        <f t="shared" si="8"/>
        <v>A</v>
      </c>
      <c r="I311" s="15" t="str">
        <f t="shared" si="9"/>
        <v>The Commissioner &amp; Chief Constable are satisfied the spend represents VFM in accordance with the requirements of Category A</v>
      </c>
    </row>
    <row r="312" spans="1:9" x14ac:dyDescent="0.2">
      <c r="A312" s="10" t="s">
        <v>8</v>
      </c>
      <c r="B312" s="11" t="s">
        <v>9</v>
      </c>
      <c r="C312" s="75" t="s">
        <v>162</v>
      </c>
      <c r="D312" s="86">
        <v>7176712</v>
      </c>
      <c r="E312" s="85">
        <v>45538</v>
      </c>
      <c r="F312" s="12">
        <v>839</v>
      </c>
      <c r="G312" s="13" t="s">
        <v>38</v>
      </c>
      <c r="H312" s="14" t="str">
        <f t="shared" si="8"/>
        <v>A</v>
      </c>
      <c r="I312" s="15" t="str">
        <f t="shared" si="9"/>
        <v>The Commissioner &amp; Chief Constable are satisfied the spend represents VFM in accordance with the requirements of Category A</v>
      </c>
    </row>
    <row r="313" spans="1:9" x14ac:dyDescent="0.2">
      <c r="A313" s="10" t="s">
        <v>8</v>
      </c>
      <c r="B313" s="11" t="s">
        <v>9</v>
      </c>
      <c r="C313" s="75" t="s">
        <v>385</v>
      </c>
      <c r="D313" s="86">
        <v>7175834</v>
      </c>
      <c r="E313" s="85">
        <v>45558</v>
      </c>
      <c r="F313" s="12">
        <v>838.5</v>
      </c>
      <c r="G313" s="13" t="s">
        <v>112</v>
      </c>
      <c r="H313" s="14" t="str">
        <f t="shared" si="8"/>
        <v>A</v>
      </c>
      <c r="I313" s="15" t="str">
        <f t="shared" si="9"/>
        <v>The Commissioner &amp; Chief Constable are satisfied the spend represents VFM in accordance with the requirements of Category A</v>
      </c>
    </row>
    <row r="314" spans="1:9" x14ac:dyDescent="0.2">
      <c r="A314" s="10" t="s">
        <v>8</v>
      </c>
      <c r="B314" s="11" t="s">
        <v>9</v>
      </c>
      <c r="C314" s="75" t="s">
        <v>316</v>
      </c>
      <c r="D314" s="86">
        <v>7176592</v>
      </c>
      <c r="E314" s="85">
        <v>45537</v>
      </c>
      <c r="F314" s="12">
        <v>837</v>
      </c>
      <c r="G314" s="13" t="s">
        <v>241</v>
      </c>
      <c r="H314" s="14" t="str">
        <f t="shared" si="8"/>
        <v>A</v>
      </c>
      <c r="I314" s="15" t="str">
        <f t="shared" si="9"/>
        <v>The Commissioner &amp; Chief Constable are satisfied the spend represents VFM in accordance with the requirements of Category A</v>
      </c>
    </row>
    <row r="315" spans="1:9" x14ac:dyDescent="0.2">
      <c r="A315" s="10" t="s">
        <v>8</v>
      </c>
      <c r="B315" s="11" t="s">
        <v>9</v>
      </c>
      <c r="C315" s="75" t="s">
        <v>124</v>
      </c>
      <c r="D315" s="86">
        <v>7176841</v>
      </c>
      <c r="E315" s="85">
        <v>45540</v>
      </c>
      <c r="F315" s="12">
        <v>824.25</v>
      </c>
      <c r="G315" s="13" t="s">
        <v>376</v>
      </c>
      <c r="H315" s="14" t="str">
        <f t="shared" si="8"/>
        <v>A</v>
      </c>
      <c r="I315" s="15" t="str">
        <f t="shared" si="9"/>
        <v>The Commissioner &amp; Chief Constable are satisfied the spend represents VFM in accordance with the requirements of Category A</v>
      </c>
    </row>
    <row r="316" spans="1:9" x14ac:dyDescent="0.2">
      <c r="A316" s="10" t="s">
        <v>8</v>
      </c>
      <c r="B316" s="11" t="s">
        <v>9</v>
      </c>
      <c r="C316" s="75" t="s">
        <v>135</v>
      </c>
      <c r="D316" s="86">
        <v>7177040</v>
      </c>
      <c r="E316" s="85">
        <v>45553</v>
      </c>
      <c r="F316" s="12">
        <v>812.5</v>
      </c>
      <c r="G316" s="13" t="s">
        <v>40</v>
      </c>
      <c r="H316" s="14" t="str">
        <f t="shared" si="8"/>
        <v>A</v>
      </c>
      <c r="I316" s="15" t="str">
        <f t="shared" si="9"/>
        <v>The Commissioner &amp; Chief Constable are satisfied the spend represents VFM in accordance with the requirements of Category A</v>
      </c>
    </row>
    <row r="317" spans="1:9" x14ac:dyDescent="0.2">
      <c r="A317" s="10" t="s">
        <v>8</v>
      </c>
      <c r="B317" s="11" t="s">
        <v>9</v>
      </c>
      <c r="C317" s="75" t="s">
        <v>312</v>
      </c>
      <c r="D317" s="86">
        <v>7176441</v>
      </c>
      <c r="E317" s="85">
        <v>45541</v>
      </c>
      <c r="F317" s="12">
        <v>809</v>
      </c>
      <c r="G317" s="13" t="s">
        <v>151</v>
      </c>
      <c r="H317" s="14" t="str">
        <f t="shared" si="8"/>
        <v>A</v>
      </c>
      <c r="I317" s="15" t="str">
        <f t="shared" si="9"/>
        <v>The Commissioner &amp; Chief Constable are satisfied the spend represents VFM in accordance with the requirements of Category A</v>
      </c>
    </row>
    <row r="318" spans="1:9" x14ac:dyDescent="0.2">
      <c r="A318" s="10" t="s">
        <v>8</v>
      </c>
      <c r="B318" s="11" t="s">
        <v>9</v>
      </c>
      <c r="C318" s="75" t="s">
        <v>312</v>
      </c>
      <c r="D318" s="86">
        <v>7177161</v>
      </c>
      <c r="E318" s="85">
        <v>45551</v>
      </c>
      <c r="F318" s="12">
        <v>809</v>
      </c>
      <c r="G318" s="13" t="s">
        <v>151</v>
      </c>
      <c r="H318" s="14" t="str">
        <f t="shared" si="8"/>
        <v>A</v>
      </c>
      <c r="I318" s="15" t="str">
        <f t="shared" si="9"/>
        <v>The Commissioner &amp; Chief Constable are satisfied the spend represents VFM in accordance with the requirements of Category A</v>
      </c>
    </row>
    <row r="319" spans="1:9" x14ac:dyDescent="0.2">
      <c r="A319" s="10" t="s">
        <v>8</v>
      </c>
      <c r="B319" s="11" t="s">
        <v>9</v>
      </c>
      <c r="C319" s="75" t="s">
        <v>883</v>
      </c>
      <c r="D319" s="86">
        <v>7177470</v>
      </c>
      <c r="E319" s="85">
        <v>45560</v>
      </c>
      <c r="F319" s="12">
        <v>804.16</v>
      </c>
      <c r="G319" s="13" t="s">
        <v>106</v>
      </c>
      <c r="H319" s="14" t="str">
        <f t="shared" si="8"/>
        <v>A</v>
      </c>
      <c r="I319" s="15" t="str">
        <f t="shared" si="9"/>
        <v>The Commissioner &amp; Chief Constable are satisfied the spend represents VFM in accordance with the requirements of Category A</v>
      </c>
    </row>
    <row r="320" spans="1:9" x14ac:dyDescent="0.2">
      <c r="A320" s="10" t="s">
        <v>8</v>
      </c>
      <c r="B320" s="11" t="s">
        <v>9</v>
      </c>
      <c r="C320" s="75" t="s">
        <v>882</v>
      </c>
      <c r="D320" s="86">
        <v>7177471</v>
      </c>
      <c r="E320" s="85">
        <v>45560</v>
      </c>
      <c r="F320" s="12">
        <v>790</v>
      </c>
      <c r="G320" s="13" t="s">
        <v>106</v>
      </c>
      <c r="H320" s="14" t="str">
        <f t="shared" si="8"/>
        <v>A</v>
      </c>
      <c r="I320" s="15" t="str">
        <f t="shared" si="9"/>
        <v>The Commissioner &amp; Chief Constable are satisfied the spend represents VFM in accordance with the requirements of Category A</v>
      </c>
    </row>
    <row r="321" spans="1:9" x14ac:dyDescent="0.2">
      <c r="A321" s="10" t="s">
        <v>8</v>
      </c>
      <c r="B321" s="11" t="s">
        <v>9</v>
      </c>
      <c r="C321" s="75" t="s">
        <v>222</v>
      </c>
      <c r="D321" s="86">
        <v>7177019</v>
      </c>
      <c r="E321" s="85">
        <v>45553</v>
      </c>
      <c r="F321" s="12">
        <v>787.5</v>
      </c>
      <c r="G321" s="13" t="s">
        <v>22</v>
      </c>
      <c r="H321" s="14" t="str">
        <f t="shared" si="8"/>
        <v>A</v>
      </c>
      <c r="I321" s="15" t="str">
        <f t="shared" si="9"/>
        <v>The Commissioner &amp; Chief Constable are satisfied the spend represents VFM in accordance with the requirements of Category A</v>
      </c>
    </row>
    <row r="322" spans="1:9" x14ac:dyDescent="0.2">
      <c r="A322" s="10" t="s">
        <v>8</v>
      </c>
      <c r="B322" s="11" t="s">
        <v>9</v>
      </c>
      <c r="C322" s="75" t="s">
        <v>317</v>
      </c>
      <c r="D322" s="86">
        <v>7177310</v>
      </c>
      <c r="E322" s="85">
        <v>45558</v>
      </c>
      <c r="F322" s="12">
        <v>782.86</v>
      </c>
      <c r="G322" s="13" t="s">
        <v>102</v>
      </c>
      <c r="H322" s="14" t="str">
        <f t="shared" ref="H322:H385" si="10">IF(F322&gt;25000,"C",IF(F322&gt;1000,"B","A"))</f>
        <v>A</v>
      </c>
      <c r="I322" s="15" t="str">
        <f t="shared" ref="I322:I385" si="11">VLOOKUP(H322,$L$2:$M$4,2,FALSE)</f>
        <v>The Commissioner &amp; Chief Constable are satisfied the spend represents VFM in accordance with the requirements of Category A</v>
      </c>
    </row>
    <row r="323" spans="1:9" x14ac:dyDescent="0.2">
      <c r="A323" s="10" t="s">
        <v>8</v>
      </c>
      <c r="B323" s="11" t="s">
        <v>9</v>
      </c>
      <c r="C323" s="75" t="s">
        <v>346</v>
      </c>
      <c r="D323" s="86">
        <v>7177323</v>
      </c>
      <c r="E323" s="85">
        <v>45555</v>
      </c>
      <c r="F323" s="12">
        <v>779</v>
      </c>
      <c r="G323" s="13" t="s">
        <v>131</v>
      </c>
      <c r="H323" s="14" t="str">
        <f t="shared" si="10"/>
        <v>A</v>
      </c>
      <c r="I323" s="15" t="str">
        <f t="shared" si="11"/>
        <v>The Commissioner &amp; Chief Constable are satisfied the spend represents VFM in accordance with the requirements of Category A</v>
      </c>
    </row>
    <row r="324" spans="1:9" x14ac:dyDescent="0.2">
      <c r="A324" s="10" t="s">
        <v>8</v>
      </c>
      <c r="B324" s="11" t="s">
        <v>9</v>
      </c>
      <c r="C324" s="75" t="s">
        <v>734</v>
      </c>
      <c r="D324" s="86">
        <v>7176774</v>
      </c>
      <c r="E324" s="85">
        <v>45539</v>
      </c>
      <c r="F324" s="12">
        <v>770</v>
      </c>
      <c r="G324" s="13" t="s">
        <v>106</v>
      </c>
      <c r="H324" s="14" t="str">
        <f t="shared" si="10"/>
        <v>A</v>
      </c>
      <c r="I324" s="15" t="str">
        <f t="shared" si="11"/>
        <v>The Commissioner &amp; Chief Constable are satisfied the spend represents VFM in accordance with the requirements of Category A</v>
      </c>
    </row>
    <row r="325" spans="1:9" x14ac:dyDescent="0.2">
      <c r="A325" s="10" t="s">
        <v>8</v>
      </c>
      <c r="B325" s="11" t="s">
        <v>9</v>
      </c>
      <c r="C325" s="75" t="s">
        <v>272</v>
      </c>
      <c r="D325" s="86">
        <v>7177426</v>
      </c>
      <c r="E325" s="85">
        <v>45561</v>
      </c>
      <c r="F325" s="12">
        <v>760</v>
      </c>
      <c r="G325" s="13" t="s">
        <v>22</v>
      </c>
      <c r="H325" s="14" t="str">
        <f t="shared" si="10"/>
        <v>A</v>
      </c>
      <c r="I325" s="15" t="str">
        <f t="shared" si="11"/>
        <v>The Commissioner &amp; Chief Constable are satisfied the spend represents VFM in accordance with the requirements of Category A</v>
      </c>
    </row>
    <row r="326" spans="1:9" x14ac:dyDescent="0.2">
      <c r="A326" s="10" t="s">
        <v>8</v>
      </c>
      <c r="B326" s="11" t="s">
        <v>9</v>
      </c>
      <c r="C326" s="75" t="s">
        <v>514</v>
      </c>
      <c r="D326" s="86">
        <v>7176857</v>
      </c>
      <c r="E326" s="85">
        <v>45540</v>
      </c>
      <c r="F326" s="12">
        <v>752.7</v>
      </c>
      <c r="G326" s="13" t="s">
        <v>151</v>
      </c>
      <c r="H326" s="14" t="str">
        <f t="shared" si="10"/>
        <v>A</v>
      </c>
      <c r="I326" s="15" t="str">
        <f t="shared" si="11"/>
        <v>The Commissioner &amp; Chief Constable are satisfied the spend represents VFM in accordance with the requirements of Category A</v>
      </c>
    </row>
    <row r="327" spans="1:9" x14ac:dyDescent="0.2">
      <c r="A327" s="10" t="s">
        <v>8</v>
      </c>
      <c r="B327" s="11" t="s">
        <v>9</v>
      </c>
      <c r="C327" s="75" t="s">
        <v>245</v>
      </c>
      <c r="D327" s="86">
        <v>7177047</v>
      </c>
      <c r="E327" s="85">
        <v>45548</v>
      </c>
      <c r="F327" s="12">
        <v>750</v>
      </c>
      <c r="G327" s="13" t="s">
        <v>106</v>
      </c>
      <c r="H327" s="14" t="str">
        <f t="shared" si="10"/>
        <v>A</v>
      </c>
      <c r="I327" s="15" t="str">
        <f t="shared" si="11"/>
        <v>The Commissioner &amp; Chief Constable are satisfied the spend represents VFM in accordance with the requirements of Category A</v>
      </c>
    </row>
    <row r="328" spans="1:9" x14ac:dyDescent="0.2">
      <c r="A328" s="10" t="s">
        <v>8</v>
      </c>
      <c r="B328" s="11" t="s">
        <v>9</v>
      </c>
      <c r="C328" s="77" t="s">
        <v>411</v>
      </c>
      <c r="D328" s="86">
        <v>7177180</v>
      </c>
      <c r="E328" s="85">
        <v>45551</v>
      </c>
      <c r="F328" s="12">
        <v>748.05</v>
      </c>
      <c r="G328" s="13" t="s">
        <v>156</v>
      </c>
      <c r="H328" s="14" t="str">
        <f t="shared" si="10"/>
        <v>A</v>
      </c>
      <c r="I328" s="15" t="str">
        <f t="shared" si="11"/>
        <v>The Commissioner &amp; Chief Constable are satisfied the spend represents VFM in accordance with the requirements of Category A</v>
      </c>
    </row>
    <row r="329" spans="1:9" x14ac:dyDescent="0.2">
      <c r="A329" s="10" t="s">
        <v>8</v>
      </c>
      <c r="B329" s="11" t="s">
        <v>9</v>
      </c>
      <c r="C329" s="75" t="s">
        <v>246</v>
      </c>
      <c r="D329" s="86">
        <v>7177255</v>
      </c>
      <c r="E329" s="85">
        <v>45554</v>
      </c>
      <c r="F329" s="18">
        <v>746</v>
      </c>
      <c r="G329" s="13" t="s">
        <v>131</v>
      </c>
      <c r="H329" s="14" t="str">
        <f t="shared" si="10"/>
        <v>A</v>
      </c>
      <c r="I329" s="15" t="str">
        <f t="shared" si="11"/>
        <v>The Commissioner &amp; Chief Constable are satisfied the spend represents VFM in accordance with the requirements of Category A</v>
      </c>
    </row>
    <row r="330" spans="1:9" x14ac:dyDescent="0.2">
      <c r="A330" s="10" t="s">
        <v>8</v>
      </c>
      <c r="B330" s="11" t="s">
        <v>9</v>
      </c>
      <c r="C330" s="75" t="s">
        <v>332</v>
      </c>
      <c r="D330" s="86">
        <v>7177319</v>
      </c>
      <c r="E330" s="85">
        <v>45555</v>
      </c>
      <c r="F330" s="12">
        <v>740.1</v>
      </c>
      <c r="G330" s="13" t="s">
        <v>155</v>
      </c>
      <c r="H330" s="14" t="str">
        <f t="shared" si="10"/>
        <v>A</v>
      </c>
      <c r="I330" s="15" t="str">
        <f t="shared" si="11"/>
        <v>The Commissioner &amp; Chief Constable are satisfied the spend represents VFM in accordance with the requirements of Category A</v>
      </c>
    </row>
    <row r="331" spans="1:9" x14ac:dyDescent="0.2">
      <c r="A331" s="10" t="s">
        <v>8</v>
      </c>
      <c r="B331" s="11" t="s">
        <v>9</v>
      </c>
      <c r="C331" s="75" t="s">
        <v>881</v>
      </c>
      <c r="D331" s="86">
        <v>7177275</v>
      </c>
      <c r="E331" s="85">
        <v>45554</v>
      </c>
      <c r="F331" s="12">
        <v>734</v>
      </c>
      <c r="G331" s="13" t="s">
        <v>15</v>
      </c>
      <c r="H331" s="14" t="str">
        <f t="shared" si="10"/>
        <v>A</v>
      </c>
      <c r="I331" s="15" t="str">
        <f t="shared" si="11"/>
        <v>The Commissioner &amp; Chief Constable are satisfied the spend represents VFM in accordance with the requirements of Category A</v>
      </c>
    </row>
    <row r="332" spans="1:9" x14ac:dyDescent="0.2">
      <c r="A332" s="10" t="s">
        <v>8</v>
      </c>
      <c r="B332" s="11" t="s">
        <v>9</v>
      </c>
      <c r="C332" s="75" t="s">
        <v>260</v>
      </c>
      <c r="D332" s="86">
        <v>7177101</v>
      </c>
      <c r="E332" s="85">
        <v>45548</v>
      </c>
      <c r="F332" s="12">
        <v>730.65</v>
      </c>
      <c r="G332" s="13" t="s">
        <v>261</v>
      </c>
      <c r="H332" s="14" t="str">
        <f t="shared" si="10"/>
        <v>A</v>
      </c>
      <c r="I332" s="15" t="str">
        <f t="shared" si="11"/>
        <v>The Commissioner &amp; Chief Constable are satisfied the spend represents VFM in accordance with the requirements of Category A</v>
      </c>
    </row>
    <row r="333" spans="1:9" x14ac:dyDescent="0.2">
      <c r="A333" s="10" t="s">
        <v>8</v>
      </c>
      <c r="B333" s="11" t="s">
        <v>9</v>
      </c>
      <c r="C333" s="75" t="s">
        <v>846</v>
      </c>
      <c r="D333" s="86">
        <v>7176971</v>
      </c>
      <c r="E333" s="85">
        <v>45547</v>
      </c>
      <c r="F333" s="12">
        <v>725</v>
      </c>
      <c r="G333" s="13" t="s">
        <v>241</v>
      </c>
      <c r="H333" s="14" t="str">
        <f t="shared" si="10"/>
        <v>A</v>
      </c>
      <c r="I333" s="15" t="str">
        <f t="shared" si="11"/>
        <v>The Commissioner &amp; Chief Constable are satisfied the spend represents VFM in accordance with the requirements of Category A</v>
      </c>
    </row>
    <row r="334" spans="1:9" x14ac:dyDescent="0.2">
      <c r="A334" s="10" t="s">
        <v>8</v>
      </c>
      <c r="B334" s="11" t="s">
        <v>9</v>
      </c>
      <c r="C334" s="75" t="s">
        <v>202</v>
      </c>
      <c r="D334" s="86">
        <v>7177298</v>
      </c>
      <c r="E334" s="85">
        <v>45555</v>
      </c>
      <c r="F334" s="12">
        <v>722.6</v>
      </c>
      <c r="G334" s="13" t="s">
        <v>131</v>
      </c>
      <c r="H334" s="14" t="str">
        <f t="shared" si="10"/>
        <v>A</v>
      </c>
      <c r="I334" s="15" t="str">
        <f t="shared" si="11"/>
        <v>The Commissioner &amp; Chief Constable are satisfied the spend represents VFM in accordance with the requirements of Category A</v>
      </c>
    </row>
    <row r="335" spans="1:9" x14ac:dyDescent="0.2">
      <c r="A335" s="10" t="s">
        <v>8</v>
      </c>
      <c r="B335" s="11" t="s">
        <v>9</v>
      </c>
      <c r="C335" s="75" t="s">
        <v>279</v>
      </c>
      <c r="D335" s="86">
        <v>7176936</v>
      </c>
      <c r="E335" s="85">
        <v>45545</v>
      </c>
      <c r="F335" s="12">
        <v>716.4</v>
      </c>
      <c r="G335" s="13" t="s">
        <v>131</v>
      </c>
      <c r="H335" s="14" t="str">
        <f t="shared" si="10"/>
        <v>A</v>
      </c>
      <c r="I335" s="15" t="str">
        <f t="shared" si="11"/>
        <v>The Commissioner &amp; Chief Constable are satisfied the spend represents VFM in accordance with the requirements of Category A</v>
      </c>
    </row>
    <row r="336" spans="1:9" x14ac:dyDescent="0.2">
      <c r="A336" s="10" t="s">
        <v>8</v>
      </c>
      <c r="B336" s="11" t="s">
        <v>9</v>
      </c>
      <c r="C336" s="75" t="s">
        <v>817</v>
      </c>
      <c r="D336" s="86">
        <v>7176696</v>
      </c>
      <c r="E336" s="85">
        <v>45538</v>
      </c>
      <c r="F336" s="12">
        <v>702</v>
      </c>
      <c r="G336" s="13" t="s">
        <v>138</v>
      </c>
      <c r="H336" s="14" t="str">
        <f t="shared" si="10"/>
        <v>A</v>
      </c>
      <c r="I336" s="15" t="str">
        <f t="shared" si="11"/>
        <v>The Commissioner &amp; Chief Constable are satisfied the spend represents VFM in accordance with the requirements of Category A</v>
      </c>
    </row>
    <row r="337" spans="1:9" x14ac:dyDescent="0.2">
      <c r="A337" s="10" t="s">
        <v>8</v>
      </c>
      <c r="B337" s="11" t="s">
        <v>9</v>
      </c>
      <c r="C337" s="75" t="s">
        <v>130</v>
      </c>
      <c r="D337" s="86">
        <v>7176532</v>
      </c>
      <c r="E337" s="85">
        <v>45558</v>
      </c>
      <c r="F337" s="12">
        <v>700</v>
      </c>
      <c r="G337" s="13" t="s">
        <v>38</v>
      </c>
      <c r="H337" s="14" t="str">
        <f t="shared" si="10"/>
        <v>A</v>
      </c>
      <c r="I337" s="15" t="str">
        <f t="shared" si="11"/>
        <v>The Commissioner &amp; Chief Constable are satisfied the spend represents VFM in accordance with the requirements of Category A</v>
      </c>
    </row>
    <row r="338" spans="1:9" x14ac:dyDescent="0.2">
      <c r="A338" s="10" t="s">
        <v>8</v>
      </c>
      <c r="B338" s="11" t="s">
        <v>9</v>
      </c>
      <c r="C338" s="75" t="s">
        <v>853</v>
      </c>
      <c r="D338" s="86">
        <v>7177443</v>
      </c>
      <c r="E338" s="85">
        <v>45560</v>
      </c>
      <c r="F338" s="12">
        <v>681.5</v>
      </c>
      <c r="G338" s="13" t="s">
        <v>155</v>
      </c>
      <c r="H338" s="14" t="str">
        <f t="shared" si="10"/>
        <v>A</v>
      </c>
      <c r="I338" s="15" t="str">
        <f t="shared" si="11"/>
        <v>The Commissioner &amp; Chief Constable are satisfied the spend represents VFM in accordance with the requirements of Category A</v>
      </c>
    </row>
    <row r="339" spans="1:9" x14ac:dyDescent="0.2">
      <c r="A339" s="10" t="s">
        <v>8</v>
      </c>
      <c r="B339" s="11" t="s">
        <v>9</v>
      </c>
      <c r="C339" s="75" t="s">
        <v>153</v>
      </c>
      <c r="D339" s="86">
        <v>7176992</v>
      </c>
      <c r="E339" s="85">
        <v>45558</v>
      </c>
      <c r="F339" s="12">
        <v>680</v>
      </c>
      <c r="G339" s="13" t="s">
        <v>112</v>
      </c>
      <c r="H339" s="14" t="str">
        <f t="shared" si="10"/>
        <v>A</v>
      </c>
      <c r="I339" s="15" t="str">
        <f t="shared" si="11"/>
        <v>The Commissioner &amp; Chief Constable are satisfied the spend represents VFM in accordance with the requirements of Category A</v>
      </c>
    </row>
    <row r="340" spans="1:9" x14ac:dyDescent="0.2">
      <c r="A340" s="10" t="s">
        <v>8</v>
      </c>
      <c r="B340" s="11" t="s">
        <v>9</v>
      </c>
      <c r="C340" s="75" t="s">
        <v>234</v>
      </c>
      <c r="D340" s="86">
        <v>7175906</v>
      </c>
      <c r="E340" s="85">
        <v>45541</v>
      </c>
      <c r="F340" s="12">
        <v>676.5</v>
      </c>
      <c r="G340" s="13" t="s">
        <v>42</v>
      </c>
      <c r="H340" s="14" t="str">
        <f t="shared" si="10"/>
        <v>A</v>
      </c>
      <c r="I340" s="15" t="str">
        <f t="shared" si="11"/>
        <v>The Commissioner &amp; Chief Constable are satisfied the spend represents VFM in accordance with the requirements of Category A</v>
      </c>
    </row>
    <row r="341" spans="1:9" x14ac:dyDescent="0.2">
      <c r="A341" s="10" t="s">
        <v>8</v>
      </c>
      <c r="B341" s="11" t="s">
        <v>9</v>
      </c>
      <c r="C341" s="75" t="s">
        <v>90</v>
      </c>
      <c r="D341" s="86">
        <v>7177474</v>
      </c>
      <c r="E341" s="85">
        <v>45560</v>
      </c>
      <c r="F341" s="12">
        <v>675.78</v>
      </c>
      <c r="G341" s="13" t="s">
        <v>91</v>
      </c>
      <c r="H341" s="14" t="str">
        <f t="shared" si="10"/>
        <v>A</v>
      </c>
      <c r="I341" s="15" t="str">
        <f t="shared" si="11"/>
        <v>The Commissioner &amp; Chief Constable are satisfied the spend represents VFM in accordance with the requirements of Category A</v>
      </c>
    </row>
    <row r="342" spans="1:9" x14ac:dyDescent="0.2">
      <c r="A342" s="10" t="s">
        <v>8</v>
      </c>
      <c r="B342" s="11" t="s">
        <v>9</v>
      </c>
      <c r="C342" s="75" t="s">
        <v>74</v>
      </c>
      <c r="D342" s="86">
        <v>7176479</v>
      </c>
      <c r="E342" s="85">
        <v>45538</v>
      </c>
      <c r="F342" s="12">
        <v>675.4</v>
      </c>
      <c r="G342" s="13" t="s">
        <v>75</v>
      </c>
      <c r="H342" s="14" t="str">
        <f t="shared" si="10"/>
        <v>A</v>
      </c>
      <c r="I342" s="15" t="str">
        <f t="shared" si="11"/>
        <v>The Commissioner &amp; Chief Constable are satisfied the spend represents VFM in accordance with the requirements of Category A</v>
      </c>
    </row>
    <row r="343" spans="1:9" x14ac:dyDescent="0.2">
      <c r="A343" s="10" t="s">
        <v>8</v>
      </c>
      <c r="B343" s="11" t="s">
        <v>9</v>
      </c>
      <c r="C343" s="75" t="s">
        <v>328</v>
      </c>
      <c r="D343" s="86">
        <v>7176749</v>
      </c>
      <c r="E343" s="85">
        <v>45538</v>
      </c>
      <c r="F343" s="12">
        <v>675</v>
      </c>
      <c r="G343" s="13" t="s">
        <v>131</v>
      </c>
      <c r="H343" s="14" t="str">
        <f t="shared" si="10"/>
        <v>A</v>
      </c>
      <c r="I343" s="15" t="str">
        <f t="shared" si="11"/>
        <v>The Commissioner &amp; Chief Constable are satisfied the spend represents VFM in accordance with the requirements of Category A</v>
      </c>
    </row>
    <row r="344" spans="1:9" x14ac:dyDescent="0.2">
      <c r="A344" s="10" t="s">
        <v>8</v>
      </c>
      <c r="B344" s="11" t="s">
        <v>9</v>
      </c>
      <c r="C344" s="75" t="s">
        <v>195</v>
      </c>
      <c r="D344" s="86">
        <v>7175786</v>
      </c>
      <c r="E344" s="85">
        <v>45539</v>
      </c>
      <c r="F344" s="12">
        <v>664.75</v>
      </c>
      <c r="G344" s="13" t="s">
        <v>22</v>
      </c>
      <c r="H344" s="14" t="str">
        <f t="shared" si="10"/>
        <v>A</v>
      </c>
      <c r="I344" s="15" t="str">
        <f t="shared" si="11"/>
        <v>The Commissioner &amp; Chief Constable are satisfied the spend represents VFM in accordance with the requirements of Category A</v>
      </c>
    </row>
    <row r="345" spans="1:9" x14ac:dyDescent="0.2">
      <c r="A345" s="10" t="s">
        <v>8</v>
      </c>
      <c r="B345" s="11" t="s">
        <v>9</v>
      </c>
      <c r="C345" s="75" t="s">
        <v>359</v>
      </c>
      <c r="D345" s="86">
        <v>7176854</v>
      </c>
      <c r="E345" s="85">
        <v>45541</v>
      </c>
      <c r="F345" s="12">
        <v>660</v>
      </c>
      <c r="G345" s="13" t="s">
        <v>358</v>
      </c>
      <c r="H345" s="14" t="str">
        <f t="shared" si="10"/>
        <v>A</v>
      </c>
      <c r="I345" s="15" t="str">
        <f t="shared" si="11"/>
        <v>The Commissioner &amp; Chief Constable are satisfied the spend represents VFM in accordance with the requirements of Category A</v>
      </c>
    </row>
    <row r="346" spans="1:9" x14ac:dyDescent="0.2">
      <c r="A346" s="10" t="s">
        <v>8</v>
      </c>
      <c r="B346" s="11" t="s">
        <v>9</v>
      </c>
      <c r="C346" s="75" t="s">
        <v>552</v>
      </c>
      <c r="D346" s="86">
        <v>7177006</v>
      </c>
      <c r="E346" s="85">
        <v>45548</v>
      </c>
      <c r="F346" s="12">
        <v>653.25</v>
      </c>
      <c r="G346" s="13" t="s">
        <v>106</v>
      </c>
      <c r="H346" s="14" t="str">
        <f t="shared" si="10"/>
        <v>A</v>
      </c>
      <c r="I346" s="15" t="str">
        <f t="shared" si="11"/>
        <v>The Commissioner &amp; Chief Constable are satisfied the spend represents VFM in accordance with the requirements of Category A</v>
      </c>
    </row>
    <row r="347" spans="1:9" x14ac:dyDescent="0.2">
      <c r="A347" s="10" t="s">
        <v>8</v>
      </c>
      <c r="B347" s="11" t="s">
        <v>9</v>
      </c>
      <c r="C347" s="75" t="s">
        <v>256</v>
      </c>
      <c r="D347" s="86">
        <v>7177512</v>
      </c>
      <c r="E347" s="85">
        <v>45561</v>
      </c>
      <c r="F347" s="12">
        <v>646.08000000000004</v>
      </c>
      <c r="G347" s="13" t="s">
        <v>155</v>
      </c>
      <c r="H347" s="14" t="str">
        <f t="shared" si="10"/>
        <v>A</v>
      </c>
      <c r="I347" s="15" t="str">
        <f t="shared" si="11"/>
        <v>The Commissioner &amp; Chief Constable are satisfied the spend represents VFM in accordance with the requirements of Category A</v>
      </c>
    </row>
    <row r="348" spans="1:9" x14ac:dyDescent="0.2">
      <c r="A348" s="10" t="s">
        <v>8</v>
      </c>
      <c r="B348" s="11" t="s">
        <v>9</v>
      </c>
      <c r="C348" s="75" t="s">
        <v>880</v>
      </c>
      <c r="D348" s="86">
        <v>7177373</v>
      </c>
      <c r="E348" s="85">
        <v>45558</v>
      </c>
      <c r="F348" s="12">
        <v>643.79999999999995</v>
      </c>
      <c r="G348" s="13" t="s">
        <v>22</v>
      </c>
      <c r="H348" s="14" t="str">
        <f t="shared" si="10"/>
        <v>A</v>
      </c>
      <c r="I348" s="15" t="str">
        <f t="shared" si="11"/>
        <v>The Commissioner &amp; Chief Constable are satisfied the spend represents VFM in accordance with the requirements of Category A</v>
      </c>
    </row>
    <row r="349" spans="1:9" x14ac:dyDescent="0.2">
      <c r="A349" s="10" t="s">
        <v>8</v>
      </c>
      <c r="B349" s="11" t="s">
        <v>9</v>
      </c>
      <c r="C349" s="75" t="s">
        <v>74</v>
      </c>
      <c r="D349" s="86">
        <v>7177160</v>
      </c>
      <c r="E349" s="85">
        <v>45551</v>
      </c>
      <c r="F349" s="12">
        <v>640.64</v>
      </c>
      <c r="G349" s="13" t="s">
        <v>529</v>
      </c>
      <c r="H349" s="14" t="str">
        <f t="shared" si="10"/>
        <v>A</v>
      </c>
      <c r="I349" s="15" t="str">
        <f t="shared" si="11"/>
        <v>The Commissioner &amp; Chief Constable are satisfied the spend represents VFM in accordance with the requirements of Category A</v>
      </c>
    </row>
    <row r="350" spans="1:9" x14ac:dyDescent="0.2">
      <c r="A350" s="10" t="s">
        <v>8</v>
      </c>
      <c r="B350" s="11" t="s">
        <v>9</v>
      </c>
      <c r="C350" s="75" t="s">
        <v>124</v>
      </c>
      <c r="D350" s="86">
        <v>7177168</v>
      </c>
      <c r="E350" s="85">
        <v>45551</v>
      </c>
      <c r="F350" s="12">
        <v>638.98</v>
      </c>
      <c r="G350" s="13" t="s">
        <v>91</v>
      </c>
      <c r="H350" s="14" t="str">
        <f t="shared" si="10"/>
        <v>A</v>
      </c>
      <c r="I350" s="15" t="str">
        <f t="shared" si="11"/>
        <v>The Commissioner &amp; Chief Constable are satisfied the spend represents VFM in accordance with the requirements of Category A</v>
      </c>
    </row>
    <row r="351" spans="1:9" x14ac:dyDescent="0.2">
      <c r="A351" s="10" t="s">
        <v>8</v>
      </c>
      <c r="B351" s="11" t="s">
        <v>9</v>
      </c>
      <c r="C351" s="75" t="s">
        <v>260</v>
      </c>
      <c r="D351" s="86">
        <v>7176887</v>
      </c>
      <c r="E351" s="85">
        <v>45541</v>
      </c>
      <c r="F351" s="12">
        <v>632.31999999999994</v>
      </c>
      <c r="G351" s="13" t="s">
        <v>261</v>
      </c>
      <c r="H351" s="14" t="str">
        <f t="shared" si="10"/>
        <v>A</v>
      </c>
      <c r="I351" s="15" t="str">
        <f t="shared" si="11"/>
        <v>The Commissioner &amp; Chief Constable are satisfied the spend represents VFM in accordance with the requirements of Category A</v>
      </c>
    </row>
    <row r="352" spans="1:9" x14ac:dyDescent="0.2">
      <c r="A352" s="10" t="s">
        <v>8</v>
      </c>
      <c r="B352" s="11" t="s">
        <v>9</v>
      </c>
      <c r="C352" s="75" t="s">
        <v>691</v>
      </c>
      <c r="D352" s="86">
        <v>7176769</v>
      </c>
      <c r="E352" s="85">
        <v>45539</v>
      </c>
      <c r="F352" s="12">
        <v>630</v>
      </c>
      <c r="G352" s="13" t="s">
        <v>138</v>
      </c>
      <c r="H352" s="14" t="str">
        <f t="shared" si="10"/>
        <v>A</v>
      </c>
      <c r="I352" s="15" t="str">
        <f t="shared" si="11"/>
        <v>The Commissioner &amp; Chief Constable are satisfied the spend represents VFM in accordance with the requirements of Category A</v>
      </c>
    </row>
    <row r="353" spans="1:9" x14ac:dyDescent="0.2">
      <c r="A353" s="10" t="s">
        <v>8</v>
      </c>
      <c r="B353" s="11" t="s">
        <v>9</v>
      </c>
      <c r="C353" s="75" t="s">
        <v>442</v>
      </c>
      <c r="D353" s="86">
        <v>7177136</v>
      </c>
      <c r="E353" s="85">
        <v>45548</v>
      </c>
      <c r="F353" s="12">
        <v>618.99</v>
      </c>
      <c r="G353" s="13" t="s">
        <v>94</v>
      </c>
      <c r="H353" s="14" t="str">
        <f t="shared" si="10"/>
        <v>A</v>
      </c>
      <c r="I353" s="15" t="str">
        <f t="shared" si="11"/>
        <v>The Commissioner &amp; Chief Constable are satisfied the spend represents VFM in accordance with the requirements of Category A</v>
      </c>
    </row>
    <row r="354" spans="1:9" x14ac:dyDescent="0.2">
      <c r="A354" s="10" t="s">
        <v>8</v>
      </c>
      <c r="B354" s="11" t="s">
        <v>9</v>
      </c>
      <c r="C354" s="75" t="s">
        <v>332</v>
      </c>
      <c r="D354" s="86">
        <v>7177570</v>
      </c>
      <c r="E354" s="85">
        <v>45562</v>
      </c>
      <c r="F354" s="12">
        <v>612</v>
      </c>
      <c r="G354" s="13" t="s">
        <v>106</v>
      </c>
      <c r="H354" s="14" t="str">
        <f t="shared" si="10"/>
        <v>A</v>
      </c>
      <c r="I354" s="15" t="str">
        <f t="shared" si="11"/>
        <v>The Commissioner &amp; Chief Constable are satisfied the spend represents VFM in accordance with the requirements of Category A</v>
      </c>
    </row>
    <row r="355" spans="1:9" x14ac:dyDescent="0.2">
      <c r="A355" s="10" t="s">
        <v>8</v>
      </c>
      <c r="B355" s="11" t="s">
        <v>9</v>
      </c>
      <c r="C355" s="75" t="s">
        <v>879</v>
      </c>
      <c r="D355" s="86">
        <v>7176651</v>
      </c>
      <c r="E355" s="85">
        <v>45541</v>
      </c>
      <c r="F355" s="12">
        <v>605</v>
      </c>
      <c r="G355" s="13" t="s">
        <v>151</v>
      </c>
      <c r="H355" s="14" t="str">
        <f t="shared" si="10"/>
        <v>A</v>
      </c>
      <c r="I355" s="15" t="str">
        <f t="shared" si="11"/>
        <v>The Commissioner &amp; Chief Constable are satisfied the spend represents VFM in accordance with the requirements of Category A</v>
      </c>
    </row>
    <row r="356" spans="1:9" x14ac:dyDescent="0.2">
      <c r="A356" s="10" t="s">
        <v>8</v>
      </c>
      <c r="B356" s="11" t="s">
        <v>9</v>
      </c>
      <c r="C356" s="75" t="s">
        <v>74</v>
      </c>
      <c r="D356" s="86">
        <v>7177164</v>
      </c>
      <c r="E356" s="85">
        <v>45551</v>
      </c>
      <c r="F356" s="12">
        <v>601.98</v>
      </c>
      <c r="G356" s="13" t="s">
        <v>75</v>
      </c>
      <c r="H356" s="14" t="str">
        <f t="shared" si="10"/>
        <v>A</v>
      </c>
      <c r="I356" s="15" t="str">
        <f t="shared" si="11"/>
        <v>The Commissioner &amp; Chief Constable are satisfied the spend represents VFM in accordance with the requirements of Category A</v>
      </c>
    </row>
    <row r="357" spans="1:9" x14ac:dyDescent="0.2">
      <c r="A357" s="10" t="s">
        <v>8</v>
      </c>
      <c r="B357" s="11" t="s">
        <v>9</v>
      </c>
      <c r="C357" s="75" t="s">
        <v>172</v>
      </c>
      <c r="D357" s="86">
        <v>7177309</v>
      </c>
      <c r="E357" s="85">
        <v>45555</v>
      </c>
      <c r="F357" s="12">
        <v>600</v>
      </c>
      <c r="G357" s="13" t="s">
        <v>112</v>
      </c>
      <c r="H357" s="14" t="str">
        <f t="shared" si="10"/>
        <v>A</v>
      </c>
      <c r="I357" s="15" t="str">
        <f t="shared" si="11"/>
        <v>The Commissioner &amp; Chief Constable are satisfied the spend represents VFM in accordance with the requirements of Category A</v>
      </c>
    </row>
    <row r="358" spans="1:9" x14ac:dyDescent="0.2">
      <c r="A358" s="10" t="s">
        <v>8</v>
      </c>
      <c r="B358" s="11" t="s">
        <v>9</v>
      </c>
      <c r="C358" s="75" t="s">
        <v>256</v>
      </c>
      <c r="D358" s="86">
        <v>7176979</v>
      </c>
      <c r="E358" s="85">
        <v>45545</v>
      </c>
      <c r="F358" s="12">
        <v>599.35</v>
      </c>
      <c r="G358" s="13" t="s">
        <v>155</v>
      </c>
      <c r="H358" s="14" t="str">
        <f t="shared" si="10"/>
        <v>A</v>
      </c>
      <c r="I358" s="15" t="str">
        <f t="shared" si="11"/>
        <v>The Commissioner &amp; Chief Constable are satisfied the spend represents VFM in accordance with the requirements of Category A</v>
      </c>
    </row>
    <row r="359" spans="1:9" x14ac:dyDescent="0.2">
      <c r="A359" s="10" t="s">
        <v>8</v>
      </c>
      <c r="B359" s="11" t="s">
        <v>9</v>
      </c>
      <c r="C359" s="75" t="s">
        <v>289</v>
      </c>
      <c r="D359" s="86">
        <v>7177633</v>
      </c>
      <c r="E359" s="85">
        <v>45565</v>
      </c>
      <c r="F359" s="12">
        <v>591.08000000000004</v>
      </c>
      <c r="G359" s="13" t="s">
        <v>75</v>
      </c>
      <c r="H359" s="14" t="str">
        <f t="shared" si="10"/>
        <v>A</v>
      </c>
      <c r="I359" s="15" t="str">
        <f t="shared" si="11"/>
        <v>The Commissioner &amp; Chief Constable are satisfied the spend represents VFM in accordance with the requirements of Category A</v>
      </c>
    </row>
    <row r="360" spans="1:9" x14ac:dyDescent="0.2">
      <c r="A360" s="10" t="s">
        <v>8</v>
      </c>
      <c r="B360" s="11" t="s">
        <v>9</v>
      </c>
      <c r="C360" s="75" t="s">
        <v>113</v>
      </c>
      <c r="D360" s="86">
        <v>7177172</v>
      </c>
      <c r="E360" s="85">
        <v>45553</v>
      </c>
      <c r="F360" s="12">
        <v>588.23</v>
      </c>
      <c r="G360" s="13" t="s">
        <v>114</v>
      </c>
      <c r="H360" s="14" t="str">
        <f t="shared" si="10"/>
        <v>A</v>
      </c>
      <c r="I360" s="15" t="str">
        <f t="shared" si="11"/>
        <v>The Commissioner &amp; Chief Constable are satisfied the spend represents VFM in accordance with the requirements of Category A</v>
      </c>
    </row>
    <row r="361" spans="1:9" x14ac:dyDescent="0.2">
      <c r="A361" s="10" t="s">
        <v>8</v>
      </c>
      <c r="B361" s="11" t="s">
        <v>9</v>
      </c>
      <c r="C361" s="75" t="s">
        <v>878</v>
      </c>
      <c r="D361" s="86">
        <v>7177267</v>
      </c>
      <c r="E361" s="85">
        <v>45558</v>
      </c>
      <c r="F361" s="12">
        <v>586.28</v>
      </c>
      <c r="G361" s="13" t="s">
        <v>94</v>
      </c>
      <c r="H361" s="14" t="str">
        <f t="shared" si="10"/>
        <v>A</v>
      </c>
      <c r="I361" s="15" t="str">
        <f t="shared" si="11"/>
        <v>The Commissioner &amp; Chief Constable are satisfied the spend represents VFM in accordance with the requirements of Category A</v>
      </c>
    </row>
    <row r="362" spans="1:9" x14ac:dyDescent="0.2">
      <c r="A362" s="10" t="s">
        <v>8</v>
      </c>
      <c r="B362" s="11" t="s">
        <v>9</v>
      </c>
      <c r="C362" s="75" t="s">
        <v>124</v>
      </c>
      <c r="D362" s="86">
        <v>7177480</v>
      </c>
      <c r="E362" s="85">
        <v>45561</v>
      </c>
      <c r="F362" s="12">
        <v>585.21</v>
      </c>
      <c r="G362" s="13" t="s">
        <v>91</v>
      </c>
      <c r="H362" s="14" t="str">
        <f t="shared" si="10"/>
        <v>A</v>
      </c>
      <c r="I362" s="15" t="str">
        <f t="shared" si="11"/>
        <v>The Commissioner &amp; Chief Constable are satisfied the spend represents VFM in accordance with the requirements of Category A</v>
      </c>
    </row>
    <row r="363" spans="1:9" x14ac:dyDescent="0.2">
      <c r="A363" s="10" t="s">
        <v>8</v>
      </c>
      <c r="B363" s="11" t="s">
        <v>9</v>
      </c>
      <c r="C363" s="75" t="s">
        <v>743</v>
      </c>
      <c r="D363" s="86">
        <v>7176851</v>
      </c>
      <c r="E363" s="85">
        <v>45541</v>
      </c>
      <c r="F363" s="12">
        <v>560</v>
      </c>
      <c r="G363" s="13" t="s">
        <v>66</v>
      </c>
      <c r="H363" s="14" t="str">
        <f t="shared" si="10"/>
        <v>A</v>
      </c>
      <c r="I363" s="15" t="str">
        <f t="shared" si="11"/>
        <v>The Commissioner &amp; Chief Constable are satisfied the spend represents VFM in accordance with the requirements of Category A</v>
      </c>
    </row>
    <row r="364" spans="1:9" x14ac:dyDescent="0.2">
      <c r="A364" s="10" t="s">
        <v>8</v>
      </c>
      <c r="B364" s="11" t="s">
        <v>9</v>
      </c>
      <c r="C364" s="75" t="s">
        <v>181</v>
      </c>
      <c r="D364" s="86">
        <v>7177402</v>
      </c>
      <c r="E364" s="85">
        <v>45559</v>
      </c>
      <c r="F364" s="12">
        <v>555</v>
      </c>
      <c r="G364" s="13" t="s">
        <v>106</v>
      </c>
      <c r="H364" s="14" t="str">
        <f t="shared" si="10"/>
        <v>A</v>
      </c>
      <c r="I364" s="15" t="str">
        <f t="shared" si="11"/>
        <v>The Commissioner &amp; Chief Constable are satisfied the spend represents VFM in accordance with the requirements of Category A</v>
      </c>
    </row>
    <row r="365" spans="1:9" x14ac:dyDescent="0.2">
      <c r="A365" s="10" t="s">
        <v>8</v>
      </c>
      <c r="B365" s="11" t="s">
        <v>9</v>
      </c>
      <c r="C365" s="75" t="s">
        <v>365</v>
      </c>
      <c r="D365" s="86">
        <v>7176905</v>
      </c>
      <c r="E365" s="85">
        <v>45543</v>
      </c>
      <c r="F365" s="12">
        <v>550</v>
      </c>
      <c r="G365" s="13" t="s">
        <v>22</v>
      </c>
      <c r="H365" s="14" t="str">
        <f t="shared" si="10"/>
        <v>A</v>
      </c>
      <c r="I365" s="15" t="str">
        <f t="shared" si="11"/>
        <v>The Commissioner &amp; Chief Constable are satisfied the spend represents VFM in accordance with the requirements of Category A</v>
      </c>
    </row>
    <row r="366" spans="1:9" x14ac:dyDescent="0.2">
      <c r="A366" s="10" t="s">
        <v>8</v>
      </c>
      <c r="B366" s="11" t="s">
        <v>9</v>
      </c>
      <c r="C366" s="75" t="s">
        <v>232</v>
      </c>
      <c r="D366" s="86">
        <v>7176922</v>
      </c>
      <c r="E366" s="85">
        <v>45543</v>
      </c>
      <c r="F366" s="12">
        <v>550</v>
      </c>
      <c r="G366" s="13" t="s">
        <v>94</v>
      </c>
      <c r="H366" s="14" t="str">
        <f t="shared" si="10"/>
        <v>A</v>
      </c>
      <c r="I366" s="15" t="str">
        <f t="shared" si="11"/>
        <v>The Commissioner &amp; Chief Constable are satisfied the spend represents VFM in accordance with the requirements of Category A</v>
      </c>
    </row>
    <row r="367" spans="1:9" x14ac:dyDescent="0.2">
      <c r="A367" s="10" t="s">
        <v>8</v>
      </c>
      <c r="B367" s="11" t="s">
        <v>9</v>
      </c>
      <c r="C367" s="75" t="s">
        <v>292</v>
      </c>
      <c r="D367" s="86">
        <v>7176966</v>
      </c>
      <c r="E367" s="85">
        <v>45548</v>
      </c>
      <c r="F367" s="12">
        <v>541.66</v>
      </c>
      <c r="G367" s="13" t="s">
        <v>84</v>
      </c>
      <c r="H367" s="14" t="str">
        <f t="shared" si="10"/>
        <v>A</v>
      </c>
      <c r="I367" s="15" t="str">
        <f t="shared" si="11"/>
        <v>The Commissioner &amp; Chief Constable are satisfied the spend represents VFM in accordance with the requirements of Category A</v>
      </c>
    </row>
    <row r="368" spans="1:9" x14ac:dyDescent="0.2">
      <c r="A368" s="10" t="s">
        <v>8</v>
      </c>
      <c r="B368" s="11" t="s">
        <v>9</v>
      </c>
      <c r="C368" s="75" t="s">
        <v>294</v>
      </c>
      <c r="D368" s="86">
        <v>7177532</v>
      </c>
      <c r="E368" s="85">
        <v>45562</v>
      </c>
      <c r="F368" s="12">
        <v>539.6</v>
      </c>
      <c r="G368" s="13" t="s">
        <v>203</v>
      </c>
      <c r="H368" s="14" t="str">
        <f t="shared" si="10"/>
        <v>A</v>
      </c>
      <c r="I368" s="15" t="str">
        <f t="shared" si="11"/>
        <v>The Commissioner &amp; Chief Constable are satisfied the spend represents VFM in accordance with the requirements of Category A</v>
      </c>
    </row>
    <row r="369" spans="1:13" x14ac:dyDescent="0.2">
      <c r="A369" s="10" t="s">
        <v>8</v>
      </c>
      <c r="B369" s="11" t="s">
        <v>9</v>
      </c>
      <c r="C369" s="75" t="s">
        <v>256</v>
      </c>
      <c r="D369" s="86">
        <v>7176983</v>
      </c>
      <c r="E369" s="85">
        <v>45545</v>
      </c>
      <c r="F369" s="12">
        <v>537.6</v>
      </c>
      <c r="G369" s="13" t="s">
        <v>155</v>
      </c>
      <c r="H369" s="14" t="str">
        <f t="shared" si="10"/>
        <v>A</v>
      </c>
      <c r="I369" s="15" t="str">
        <f t="shared" si="11"/>
        <v>The Commissioner &amp; Chief Constable are satisfied the spend represents VFM in accordance with the requirements of Category A</v>
      </c>
    </row>
    <row r="370" spans="1:13" x14ac:dyDescent="0.2">
      <c r="A370" s="10" t="s">
        <v>8</v>
      </c>
      <c r="B370" s="11" t="s">
        <v>9</v>
      </c>
      <c r="C370" s="75" t="s">
        <v>344</v>
      </c>
      <c r="D370" s="86">
        <v>7177232</v>
      </c>
      <c r="E370" s="85">
        <v>45558</v>
      </c>
      <c r="F370" s="12">
        <v>536.62</v>
      </c>
      <c r="G370" s="13" t="s">
        <v>194</v>
      </c>
      <c r="H370" s="14" t="str">
        <f t="shared" si="10"/>
        <v>A</v>
      </c>
      <c r="I370" s="15" t="str">
        <f t="shared" si="11"/>
        <v>The Commissioner &amp; Chief Constable are satisfied the spend represents VFM in accordance with the requirements of Category A</v>
      </c>
    </row>
    <row r="371" spans="1:13" x14ac:dyDescent="0.2">
      <c r="A371" s="10" t="s">
        <v>8</v>
      </c>
      <c r="B371" s="11" t="s">
        <v>9</v>
      </c>
      <c r="C371" s="75" t="s">
        <v>293</v>
      </c>
      <c r="D371" s="86">
        <v>7173841</v>
      </c>
      <c r="E371" s="85">
        <v>45548</v>
      </c>
      <c r="F371" s="12">
        <v>534.87</v>
      </c>
      <c r="G371" s="13" t="s">
        <v>133</v>
      </c>
      <c r="H371" s="14" t="str">
        <f t="shared" si="10"/>
        <v>A</v>
      </c>
      <c r="I371" s="15" t="str">
        <f t="shared" si="11"/>
        <v>The Commissioner &amp; Chief Constable are satisfied the spend represents VFM in accordance with the requirements of Category A</v>
      </c>
    </row>
    <row r="372" spans="1:13" x14ac:dyDescent="0.2">
      <c r="A372" s="10" t="s">
        <v>8</v>
      </c>
      <c r="B372" s="11" t="s">
        <v>9</v>
      </c>
      <c r="C372" s="75" t="s">
        <v>346</v>
      </c>
      <c r="D372" s="86">
        <v>7177131</v>
      </c>
      <c r="E372" s="85">
        <v>45548</v>
      </c>
      <c r="F372" s="12">
        <v>532</v>
      </c>
      <c r="G372" s="13" t="s">
        <v>131</v>
      </c>
      <c r="H372" s="14" t="str">
        <f t="shared" si="10"/>
        <v>A</v>
      </c>
      <c r="I372" s="15" t="str">
        <f t="shared" si="11"/>
        <v>The Commissioner &amp; Chief Constable are satisfied the spend represents VFM in accordance with the requirements of Category A</v>
      </c>
    </row>
    <row r="373" spans="1:13" s="20" customFormat="1" x14ac:dyDescent="0.2">
      <c r="A373" s="10" t="s">
        <v>8</v>
      </c>
      <c r="B373" s="11" t="s">
        <v>9</v>
      </c>
      <c r="C373" s="75" t="s">
        <v>720</v>
      </c>
      <c r="D373" s="86">
        <v>7177504</v>
      </c>
      <c r="E373" s="85">
        <v>45561</v>
      </c>
      <c r="F373" s="12">
        <v>525</v>
      </c>
      <c r="G373" s="13" t="s">
        <v>131</v>
      </c>
      <c r="H373" s="14" t="str">
        <f t="shared" si="10"/>
        <v>A</v>
      </c>
      <c r="I373" s="15" t="str">
        <f t="shared" si="11"/>
        <v>The Commissioner &amp; Chief Constable are satisfied the spend represents VFM in accordance with the requirements of Category A</v>
      </c>
      <c r="L373" s="17"/>
      <c r="M373" s="17"/>
    </row>
    <row r="374" spans="1:13" s="20" customFormat="1" x14ac:dyDescent="0.2">
      <c r="A374" s="10" t="s">
        <v>8</v>
      </c>
      <c r="B374" s="11" t="s">
        <v>9</v>
      </c>
      <c r="C374" s="75" t="s">
        <v>199</v>
      </c>
      <c r="D374" s="86">
        <v>7177095</v>
      </c>
      <c r="E374" s="85">
        <v>45548</v>
      </c>
      <c r="F374" s="12">
        <v>11.95</v>
      </c>
      <c r="G374" s="13" t="s">
        <v>131</v>
      </c>
      <c r="H374" s="14" t="str">
        <f t="shared" si="10"/>
        <v>A</v>
      </c>
      <c r="I374" s="15" t="str">
        <f t="shared" si="11"/>
        <v>The Commissioner &amp; Chief Constable are satisfied the spend represents VFM in accordance with the requirements of Category A</v>
      </c>
      <c r="L374" s="17"/>
      <c r="M374" s="17"/>
    </row>
    <row r="375" spans="1:13" s="20" customFormat="1" x14ac:dyDescent="0.2">
      <c r="A375" s="10" t="s">
        <v>8</v>
      </c>
      <c r="B375" s="11" t="s">
        <v>9</v>
      </c>
      <c r="C375" s="75" t="s">
        <v>199</v>
      </c>
      <c r="D375" s="86">
        <v>7177095</v>
      </c>
      <c r="E375" s="85">
        <v>45548</v>
      </c>
      <c r="F375" s="12">
        <v>510.6</v>
      </c>
      <c r="G375" s="13" t="s">
        <v>148</v>
      </c>
      <c r="H375" s="14" t="str">
        <f t="shared" si="10"/>
        <v>A</v>
      </c>
      <c r="I375" s="15" t="str">
        <f t="shared" si="11"/>
        <v>The Commissioner &amp; Chief Constable are satisfied the spend represents VFM in accordance with the requirements of Category A</v>
      </c>
      <c r="L375" s="17"/>
      <c r="M375" s="17"/>
    </row>
    <row r="376" spans="1:13" s="20" customFormat="1" x14ac:dyDescent="0.2">
      <c r="A376" s="10" t="s">
        <v>8</v>
      </c>
      <c r="B376" s="11" t="s">
        <v>9</v>
      </c>
      <c r="C376" s="75" t="s">
        <v>202</v>
      </c>
      <c r="D376" s="86">
        <v>7176690</v>
      </c>
      <c r="E376" s="85">
        <v>45538</v>
      </c>
      <c r="F376" s="12">
        <v>522.5</v>
      </c>
      <c r="G376" s="13" t="s">
        <v>131</v>
      </c>
      <c r="H376" s="14" t="str">
        <f t="shared" si="10"/>
        <v>A</v>
      </c>
      <c r="I376" s="15" t="str">
        <f t="shared" si="11"/>
        <v>The Commissioner &amp; Chief Constable are satisfied the spend represents VFM in accordance with the requirements of Category A</v>
      </c>
      <c r="L376" s="17"/>
      <c r="M376" s="17"/>
    </row>
    <row r="377" spans="1:13" s="20" customFormat="1" x14ac:dyDescent="0.2">
      <c r="A377" s="10" t="s">
        <v>8</v>
      </c>
      <c r="B377" s="11" t="s">
        <v>9</v>
      </c>
      <c r="C377" s="75" t="s">
        <v>877</v>
      </c>
      <c r="D377" s="86">
        <v>7177501</v>
      </c>
      <c r="E377" s="85">
        <v>45561</v>
      </c>
      <c r="F377" s="12">
        <v>522.21</v>
      </c>
      <c r="G377" s="13" t="s">
        <v>22</v>
      </c>
      <c r="H377" s="14" t="str">
        <f t="shared" si="10"/>
        <v>A</v>
      </c>
      <c r="I377" s="15" t="str">
        <f t="shared" si="11"/>
        <v>The Commissioner &amp; Chief Constable are satisfied the spend represents VFM in accordance with the requirements of Category A</v>
      </c>
      <c r="L377" s="17"/>
      <c r="M377" s="17"/>
    </row>
    <row r="378" spans="1:13" s="20" customFormat="1" x14ac:dyDescent="0.2">
      <c r="A378" s="10" t="s">
        <v>8</v>
      </c>
      <c r="B378" s="11" t="s">
        <v>9</v>
      </c>
      <c r="C378" s="75" t="s">
        <v>181</v>
      </c>
      <c r="D378" s="86">
        <v>7176937</v>
      </c>
      <c r="E378" s="85">
        <v>45544</v>
      </c>
      <c r="F378" s="12">
        <v>522.09</v>
      </c>
      <c r="G378" s="13" t="s">
        <v>106</v>
      </c>
      <c r="H378" s="14" t="str">
        <f t="shared" si="10"/>
        <v>A</v>
      </c>
      <c r="I378" s="15" t="str">
        <f t="shared" si="11"/>
        <v>The Commissioner &amp; Chief Constable are satisfied the spend represents VFM in accordance with the requirements of Category A</v>
      </c>
      <c r="L378" s="17"/>
      <c r="M378" s="17"/>
    </row>
    <row r="379" spans="1:13" s="20" customFormat="1" x14ac:dyDescent="0.2">
      <c r="A379" s="10" t="s">
        <v>8</v>
      </c>
      <c r="B379" s="11" t="s">
        <v>9</v>
      </c>
      <c r="C379" s="75" t="s">
        <v>294</v>
      </c>
      <c r="D379" s="86">
        <v>7177291</v>
      </c>
      <c r="E379" s="85">
        <v>45555</v>
      </c>
      <c r="F379" s="12">
        <v>512.29</v>
      </c>
      <c r="G379" s="13" t="s">
        <v>155</v>
      </c>
      <c r="H379" s="14" t="str">
        <f t="shared" si="10"/>
        <v>A</v>
      </c>
      <c r="I379" s="15" t="str">
        <f t="shared" si="11"/>
        <v>The Commissioner &amp; Chief Constable are satisfied the spend represents VFM in accordance with the requirements of Category A</v>
      </c>
      <c r="L379" s="17"/>
      <c r="M379" s="17"/>
    </row>
    <row r="380" spans="1:13" s="20" customFormat="1" x14ac:dyDescent="0.2">
      <c r="A380" s="10" t="s">
        <v>8</v>
      </c>
      <c r="B380" s="11" t="s">
        <v>9</v>
      </c>
      <c r="C380" s="75" t="s">
        <v>260</v>
      </c>
      <c r="D380" s="86">
        <v>7177611</v>
      </c>
      <c r="E380" s="85">
        <v>45565</v>
      </c>
      <c r="F380" s="12">
        <v>500.55</v>
      </c>
      <c r="G380" s="13" t="s">
        <v>261</v>
      </c>
      <c r="H380" s="14" t="str">
        <f t="shared" si="10"/>
        <v>A</v>
      </c>
      <c r="I380" s="15" t="str">
        <f t="shared" si="11"/>
        <v>The Commissioner &amp; Chief Constable are satisfied the spend represents VFM in accordance with the requirements of Category A</v>
      </c>
      <c r="L380" s="17"/>
      <c r="M380" s="17"/>
    </row>
    <row r="381" spans="1:13" s="20" customFormat="1" x14ac:dyDescent="0.2">
      <c r="A381" s="10" t="s">
        <v>8</v>
      </c>
      <c r="B381" s="11" t="s">
        <v>9</v>
      </c>
      <c r="C381" s="75" t="s">
        <v>153</v>
      </c>
      <c r="D381" s="86">
        <v>7177458</v>
      </c>
      <c r="E381" s="85">
        <v>45560</v>
      </c>
      <c r="F381" s="12">
        <v>500</v>
      </c>
      <c r="G381" s="13" t="s">
        <v>112</v>
      </c>
      <c r="H381" s="14" t="str">
        <f t="shared" si="10"/>
        <v>A</v>
      </c>
      <c r="I381" s="15" t="str">
        <f t="shared" si="11"/>
        <v>The Commissioner &amp; Chief Constable are satisfied the spend represents VFM in accordance with the requirements of Category A</v>
      </c>
      <c r="L381" s="17"/>
      <c r="M381" s="17"/>
    </row>
    <row r="382" spans="1:13" s="20" customFormat="1" x14ac:dyDescent="0.2">
      <c r="A382" s="10" t="s">
        <v>8</v>
      </c>
      <c r="B382" s="11" t="s">
        <v>9</v>
      </c>
      <c r="C382" s="75" t="s">
        <v>624</v>
      </c>
      <c r="D382" s="86">
        <v>3068438</v>
      </c>
      <c r="E382" s="85">
        <v>45537</v>
      </c>
      <c r="F382" s="12">
        <v>-1300</v>
      </c>
      <c r="G382" s="13" t="s">
        <v>106</v>
      </c>
      <c r="H382" s="14" t="str">
        <f t="shared" si="10"/>
        <v>A</v>
      </c>
      <c r="I382" s="15" t="str">
        <f t="shared" si="11"/>
        <v>The Commissioner &amp; Chief Constable are satisfied the spend represents VFM in accordance with the requirements of Category A</v>
      </c>
      <c r="L382" s="17"/>
      <c r="M382" s="17"/>
    </row>
    <row r="383" spans="1:13" s="20" customFormat="1" x14ac:dyDescent="0.2">
      <c r="A383" s="10" t="s">
        <v>8</v>
      </c>
      <c r="B383" s="11" t="s">
        <v>9</v>
      </c>
      <c r="C383" s="75" t="s">
        <v>200</v>
      </c>
      <c r="D383" s="86">
        <v>3068502</v>
      </c>
      <c r="E383" s="85">
        <v>45546</v>
      </c>
      <c r="F383" s="12">
        <v>-1460</v>
      </c>
      <c r="G383" s="13" t="s">
        <v>38</v>
      </c>
      <c r="H383" s="14" t="str">
        <f t="shared" si="10"/>
        <v>A</v>
      </c>
      <c r="I383" s="15" t="str">
        <f t="shared" si="11"/>
        <v>The Commissioner &amp; Chief Constable are satisfied the spend represents VFM in accordance with the requirements of Category A</v>
      </c>
      <c r="L383" s="17"/>
      <c r="M383" s="17"/>
    </row>
    <row r="384" spans="1:13" s="20" customFormat="1" x14ac:dyDescent="0.2">
      <c r="A384" s="10" t="s">
        <v>8</v>
      </c>
      <c r="B384" s="11" t="s">
        <v>9</v>
      </c>
      <c r="C384" s="75" t="s">
        <v>870</v>
      </c>
      <c r="D384" s="86">
        <v>7177590</v>
      </c>
      <c r="E384" s="85">
        <v>45565</v>
      </c>
      <c r="F384" s="12">
        <v>-1808.15</v>
      </c>
      <c r="G384" s="13" t="s">
        <v>457</v>
      </c>
      <c r="H384" s="14" t="str">
        <f t="shared" si="10"/>
        <v>A</v>
      </c>
      <c r="I384" s="15" t="str">
        <f t="shared" si="11"/>
        <v>The Commissioner &amp; Chief Constable are satisfied the spend represents VFM in accordance with the requirements of Category A</v>
      </c>
      <c r="L384" s="17"/>
      <c r="M384" s="17"/>
    </row>
    <row r="385" spans="1:13" s="20" customFormat="1" x14ac:dyDescent="0.2">
      <c r="A385" s="10" t="s">
        <v>8</v>
      </c>
      <c r="B385" s="11" t="s">
        <v>9</v>
      </c>
      <c r="C385" s="75" t="s">
        <v>627</v>
      </c>
      <c r="D385" s="86">
        <v>3068529</v>
      </c>
      <c r="E385" s="85">
        <v>45553</v>
      </c>
      <c r="F385" s="12">
        <v>-3315.29</v>
      </c>
      <c r="G385" s="13" t="s">
        <v>22</v>
      </c>
      <c r="H385" s="14" t="str">
        <f t="shared" si="10"/>
        <v>A</v>
      </c>
      <c r="I385" s="15" t="str">
        <f t="shared" si="11"/>
        <v>The Commissioner &amp; Chief Constable are satisfied the spend represents VFM in accordance with the requirements of Category A</v>
      </c>
      <c r="L385" s="17"/>
      <c r="M385" s="17"/>
    </row>
    <row r="386" spans="1:13" s="20" customFormat="1" x14ac:dyDescent="0.2">
      <c r="A386" s="10" t="s">
        <v>8</v>
      </c>
      <c r="B386" s="11" t="s">
        <v>9</v>
      </c>
      <c r="C386" s="75" t="s">
        <v>252</v>
      </c>
      <c r="D386" s="86">
        <v>7177548</v>
      </c>
      <c r="E386" s="85">
        <v>45565</v>
      </c>
      <c r="F386" s="12">
        <v>-21230</v>
      </c>
      <c r="G386" s="13" t="s">
        <v>148</v>
      </c>
      <c r="H386" s="14" t="str">
        <f t="shared" ref="H386:H449" si="12">IF(F386&gt;25000,"C",IF(F386&gt;1000,"B","A"))</f>
        <v>A</v>
      </c>
      <c r="I386" s="15" t="str">
        <f t="shared" ref="I386:I449" si="13">VLOOKUP(H386,$L$2:$M$4,2,FALSE)</f>
        <v>The Commissioner &amp; Chief Constable are satisfied the spend represents VFM in accordance with the requirements of Category A</v>
      </c>
      <c r="L386" s="17"/>
      <c r="M386" s="17"/>
    </row>
    <row r="387" spans="1:13" s="20" customFormat="1" x14ac:dyDescent="0.2">
      <c r="A387" s="10" t="s">
        <v>8</v>
      </c>
      <c r="B387" s="11" t="s">
        <v>9</v>
      </c>
      <c r="C387" s="75" t="s">
        <v>800</v>
      </c>
      <c r="D387" s="86">
        <v>7176338</v>
      </c>
      <c r="E387" s="85">
        <v>45548</v>
      </c>
      <c r="F387" s="12">
        <v>-22376.21</v>
      </c>
      <c r="G387" s="13" t="s">
        <v>27</v>
      </c>
      <c r="H387" s="14" t="str">
        <f t="shared" si="12"/>
        <v>A</v>
      </c>
      <c r="I387" s="15" t="str">
        <f t="shared" si="13"/>
        <v>The Commissioner &amp; Chief Constable are satisfied the spend represents VFM in accordance with the requirements of Category A</v>
      </c>
      <c r="L387" s="17"/>
      <c r="M387" s="17"/>
    </row>
    <row r="388" spans="1:13" s="20" customFormat="1" x14ac:dyDescent="0.2">
      <c r="A388" s="10" t="s">
        <v>8</v>
      </c>
      <c r="B388" s="11" t="s">
        <v>9</v>
      </c>
      <c r="C388" s="75"/>
      <c r="D388" s="86"/>
      <c r="E388" s="85"/>
      <c r="F388" s="12"/>
      <c r="G388" s="13"/>
      <c r="H388" s="14" t="str">
        <f t="shared" si="12"/>
        <v>A</v>
      </c>
      <c r="I388" s="15" t="str">
        <f t="shared" si="13"/>
        <v>The Commissioner &amp; Chief Constable are satisfied the spend represents VFM in accordance with the requirements of Category A</v>
      </c>
      <c r="L388" s="17"/>
      <c r="M388" s="17"/>
    </row>
    <row r="389" spans="1:13" x14ac:dyDescent="0.2">
      <c r="A389" s="10" t="s">
        <v>8</v>
      </c>
      <c r="B389" s="11" t="s">
        <v>9</v>
      </c>
      <c r="C389" s="75"/>
      <c r="D389" s="86"/>
      <c r="E389" s="85"/>
      <c r="F389" s="12"/>
      <c r="G389" s="13"/>
      <c r="H389" s="14" t="str">
        <f t="shared" si="12"/>
        <v>A</v>
      </c>
      <c r="I389" s="15" t="str">
        <f t="shared" si="13"/>
        <v>The Commissioner &amp; Chief Constable are satisfied the spend represents VFM in accordance with the requirements of Category A</v>
      </c>
    </row>
    <row r="390" spans="1:13" x14ac:dyDescent="0.2">
      <c r="A390" s="10" t="s">
        <v>8</v>
      </c>
      <c r="B390" s="11" t="s">
        <v>9</v>
      </c>
      <c r="C390" s="75"/>
      <c r="D390" s="86"/>
      <c r="E390" s="85"/>
      <c r="F390" s="12"/>
      <c r="G390" s="13"/>
      <c r="H390" s="14" t="str">
        <f t="shared" si="12"/>
        <v>A</v>
      </c>
      <c r="I390" s="15" t="str">
        <f t="shared" si="13"/>
        <v>The Commissioner &amp; Chief Constable are satisfied the spend represents VFM in accordance with the requirements of Category A</v>
      </c>
    </row>
    <row r="391" spans="1:13" x14ac:dyDescent="0.2">
      <c r="A391" s="10" t="s">
        <v>8</v>
      </c>
      <c r="B391" s="11" t="s">
        <v>9</v>
      </c>
      <c r="C391" s="75"/>
      <c r="D391" s="86"/>
      <c r="E391" s="85"/>
      <c r="F391" s="12"/>
      <c r="G391" s="13"/>
      <c r="H391" s="14" t="str">
        <f t="shared" si="12"/>
        <v>A</v>
      </c>
      <c r="I391" s="15" t="str">
        <f t="shared" si="13"/>
        <v>The Commissioner &amp; Chief Constable are satisfied the spend represents VFM in accordance with the requirements of Category A</v>
      </c>
    </row>
    <row r="392" spans="1:13" x14ac:dyDescent="0.2">
      <c r="A392" s="10" t="s">
        <v>8</v>
      </c>
      <c r="B392" s="11" t="s">
        <v>9</v>
      </c>
      <c r="C392" s="75"/>
      <c r="D392" s="86"/>
      <c r="E392" s="85"/>
      <c r="F392" s="12"/>
      <c r="G392" s="13"/>
      <c r="H392" s="14" t="str">
        <f t="shared" si="12"/>
        <v>A</v>
      </c>
      <c r="I392" s="15" t="str">
        <f t="shared" si="13"/>
        <v>The Commissioner &amp; Chief Constable are satisfied the spend represents VFM in accordance with the requirements of Category A</v>
      </c>
    </row>
    <row r="393" spans="1:13" x14ac:dyDescent="0.2">
      <c r="A393" s="10" t="s">
        <v>8</v>
      </c>
      <c r="B393" s="11" t="s">
        <v>9</v>
      </c>
      <c r="C393" s="77"/>
      <c r="D393" s="86"/>
      <c r="E393" s="85"/>
      <c r="F393" s="12"/>
      <c r="G393" s="13"/>
      <c r="H393" s="14" t="str">
        <f t="shared" si="12"/>
        <v>A</v>
      </c>
      <c r="I393" s="15" t="str">
        <f t="shared" si="13"/>
        <v>The Commissioner &amp; Chief Constable are satisfied the spend represents VFM in accordance with the requirements of Category A</v>
      </c>
    </row>
    <row r="394" spans="1:13" x14ac:dyDescent="0.2">
      <c r="A394" s="10" t="s">
        <v>8</v>
      </c>
      <c r="B394" s="11" t="s">
        <v>9</v>
      </c>
      <c r="C394" s="75"/>
      <c r="D394" s="86"/>
      <c r="E394" s="85"/>
      <c r="F394" s="12"/>
      <c r="G394" s="13"/>
      <c r="H394" s="14" t="str">
        <f t="shared" si="12"/>
        <v>A</v>
      </c>
      <c r="I394" s="15" t="str">
        <f t="shared" si="13"/>
        <v>The Commissioner &amp; Chief Constable are satisfied the spend represents VFM in accordance with the requirements of Category A</v>
      </c>
    </row>
    <row r="395" spans="1:13" x14ac:dyDescent="0.2">
      <c r="A395" s="10" t="s">
        <v>8</v>
      </c>
      <c r="B395" s="11" t="s">
        <v>9</v>
      </c>
      <c r="C395" s="75"/>
      <c r="D395" s="86"/>
      <c r="E395" s="85"/>
      <c r="F395" s="12"/>
      <c r="G395" s="13"/>
      <c r="H395" s="14" t="str">
        <f t="shared" si="12"/>
        <v>A</v>
      </c>
      <c r="I395" s="15" t="str">
        <f t="shared" si="13"/>
        <v>The Commissioner &amp; Chief Constable are satisfied the spend represents VFM in accordance with the requirements of Category A</v>
      </c>
    </row>
    <row r="396" spans="1:13" x14ac:dyDescent="0.2">
      <c r="A396" s="10" t="s">
        <v>8</v>
      </c>
      <c r="B396" s="11" t="s">
        <v>9</v>
      </c>
      <c r="C396" s="75"/>
      <c r="D396" s="86"/>
      <c r="E396" s="85"/>
      <c r="F396" s="12"/>
      <c r="G396" s="13"/>
      <c r="H396" s="14" t="str">
        <f t="shared" si="12"/>
        <v>A</v>
      </c>
      <c r="I396" s="15" t="str">
        <f t="shared" si="13"/>
        <v>The Commissioner &amp; Chief Constable are satisfied the spend represents VFM in accordance with the requirements of Category A</v>
      </c>
    </row>
    <row r="397" spans="1:13" x14ac:dyDescent="0.2">
      <c r="A397" s="10" t="s">
        <v>8</v>
      </c>
      <c r="B397" s="11" t="s">
        <v>9</v>
      </c>
      <c r="C397" s="75"/>
      <c r="D397" s="86"/>
      <c r="E397" s="85"/>
      <c r="F397" s="12"/>
      <c r="G397" s="13"/>
      <c r="H397" s="14" t="str">
        <f t="shared" si="12"/>
        <v>A</v>
      </c>
      <c r="I397" s="15" t="str">
        <f t="shared" si="13"/>
        <v>The Commissioner &amp; Chief Constable are satisfied the spend represents VFM in accordance with the requirements of Category A</v>
      </c>
    </row>
    <row r="398" spans="1:13" x14ac:dyDescent="0.2">
      <c r="A398" s="10" t="s">
        <v>8</v>
      </c>
      <c r="B398" s="11" t="s">
        <v>9</v>
      </c>
      <c r="C398" s="75"/>
      <c r="D398" s="86"/>
      <c r="E398" s="85"/>
      <c r="F398" s="12"/>
      <c r="G398" s="13"/>
      <c r="H398" s="14" t="str">
        <f t="shared" si="12"/>
        <v>A</v>
      </c>
      <c r="I398" s="15" t="str">
        <f t="shared" si="13"/>
        <v>The Commissioner &amp; Chief Constable are satisfied the spend represents VFM in accordance with the requirements of Category A</v>
      </c>
    </row>
    <row r="399" spans="1:13" x14ac:dyDescent="0.2">
      <c r="A399" s="10" t="s">
        <v>8</v>
      </c>
      <c r="B399" s="11" t="s">
        <v>9</v>
      </c>
      <c r="C399" s="75"/>
      <c r="D399" s="86"/>
      <c r="E399" s="85"/>
      <c r="F399" s="12"/>
      <c r="G399" s="13"/>
      <c r="H399" s="14" t="str">
        <f t="shared" si="12"/>
        <v>A</v>
      </c>
      <c r="I399" s="15" t="str">
        <f t="shared" si="13"/>
        <v>The Commissioner &amp; Chief Constable are satisfied the spend represents VFM in accordance with the requirements of Category A</v>
      </c>
    </row>
    <row r="400" spans="1:13" s="20" customFormat="1" x14ac:dyDescent="0.2">
      <c r="A400" s="10" t="s">
        <v>8</v>
      </c>
      <c r="B400" s="11" t="s">
        <v>9</v>
      </c>
      <c r="C400" s="75"/>
      <c r="D400" s="86"/>
      <c r="E400" s="85"/>
      <c r="F400" s="12"/>
      <c r="G400" s="13"/>
      <c r="H400" s="14" t="str">
        <f t="shared" si="12"/>
        <v>A</v>
      </c>
      <c r="I400" s="15" t="str">
        <f t="shared" si="13"/>
        <v>The Commissioner &amp; Chief Constable are satisfied the spend represents VFM in accordance with the requirements of Category A</v>
      </c>
      <c r="L400" s="17"/>
      <c r="M400" s="17"/>
    </row>
    <row r="401" spans="1:13" s="20" customFormat="1" x14ac:dyDescent="0.2">
      <c r="A401" s="10" t="s">
        <v>8</v>
      </c>
      <c r="B401" s="11" t="s">
        <v>9</v>
      </c>
      <c r="C401" s="77"/>
      <c r="D401" s="86"/>
      <c r="E401" s="85"/>
      <c r="F401" s="12"/>
      <c r="G401" s="13"/>
      <c r="H401" s="14" t="str">
        <f t="shared" si="12"/>
        <v>A</v>
      </c>
      <c r="I401" s="15" t="str">
        <f t="shared" si="13"/>
        <v>The Commissioner &amp; Chief Constable are satisfied the spend represents VFM in accordance with the requirements of Category A</v>
      </c>
      <c r="L401" s="17"/>
      <c r="M401" s="17"/>
    </row>
    <row r="402" spans="1:13" s="20" customFormat="1" x14ac:dyDescent="0.2">
      <c r="A402" s="10" t="s">
        <v>8</v>
      </c>
      <c r="B402" s="11" t="s">
        <v>9</v>
      </c>
      <c r="C402" s="75"/>
      <c r="D402" s="86"/>
      <c r="E402" s="85"/>
      <c r="F402" s="12"/>
      <c r="G402" s="13"/>
      <c r="H402" s="14" t="str">
        <f t="shared" si="12"/>
        <v>A</v>
      </c>
      <c r="I402" s="15" t="str">
        <f t="shared" si="13"/>
        <v>The Commissioner &amp; Chief Constable are satisfied the spend represents VFM in accordance with the requirements of Category A</v>
      </c>
      <c r="L402" s="17"/>
      <c r="M402" s="17"/>
    </row>
    <row r="403" spans="1:13" s="20" customFormat="1" x14ac:dyDescent="0.2">
      <c r="A403" s="10" t="s">
        <v>8</v>
      </c>
      <c r="B403" s="11" t="s">
        <v>9</v>
      </c>
      <c r="C403" s="75"/>
      <c r="D403" s="86"/>
      <c r="E403" s="85"/>
      <c r="F403" s="12"/>
      <c r="G403" s="13"/>
      <c r="H403" s="14" t="str">
        <f t="shared" si="12"/>
        <v>A</v>
      </c>
      <c r="I403" s="15" t="str">
        <f t="shared" si="13"/>
        <v>The Commissioner &amp; Chief Constable are satisfied the spend represents VFM in accordance with the requirements of Category A</v>
      </c>
      <c r="L403" s="17"/>
      <c r="M403" s="17"/>
    </row>
    <row r="404" spans="1:13" s="20" customFormat="1" x14ac:dyDescent="0.2">
      <c r="A404" s="10" t="s">
        <v>8</v>
      </c>
      <c r="B404" s="11" t="s">
        <v>9</v>
      </c>
      <c r="C404" s="75"/>
      <c r="D404" s="86"/>
      <c r="E404" s="85"/>
      <c r="F404" s="12"/>
      <c r="G404" s="13"/>
      <c r="H404" s="14" t="str">
        <f t="shared" si="12"/>
        <v>A</v>
      </c>
      <c r="I404" s="15" t="str">
        <f t="shared" si="13"/>
        <v>The Commissioner &amp; Chief Constable are satisfied the spend represents VFM in accordance with the requirements of Category A</v>
      </c>
      <c r="L404" s="17"/>
      <c r="M404" s="17"/>
    </row>
    <row r="405" spans="1:13" s="20" customFormat="1" x14ac:dyDescent="0.2">
      <c r="A405" s="10" t="s">
        <v>8</v>
      </c>
      <c r="B405" s="11" t="s">
        <v>9</v>
      </c>
      <c r="C405" s="75"/>
      <c r="D405" s="86"/>
      <c r="E405" s="85"/>
      <c r="F405" s="12"/>
      <c r="G405" s="13"/>
      <c r="H405" s="14" t="str">
        <f t="shared" si="12"/>
        <v>A</v>
      </c>
      <c r="I405" s="15" t="str">
        <f t="shared" si="13"/>
        <v>The Commissioner &amp; Chief Constable are satisfied the spend represents VFM in accordance with the requirements of Category A</v>
      </c>
      <c r="L405" s="17"/>
      <c r="M405" s="17"/>
    </row>
    <row r="406" spans="1:13" s="20" customFormat="1" x14ac:dyDescent="0.2">
      <c r="A406" s="10" t="s">
        <v>8</v>
      </c>
      <c r="B406" s="11" t="s">
        <v>9</v>
      </c>
      <c r="C406" s="75"/>
      <c r="D406" s="86"/>
      <c r="E406" s="85"/>
      <c r="F406" s="12"/>
      <c r="G406" s="13"/>
      <c r="H406" s="14" t="str">
        <f t="shared" si="12"/>
        <v>A</v>
      </c>
      <c r="I406" s="15" t="str">
        <f t="shared" si="13"/>
        <v>The Commissioner &amp; Chief Constable are satisfied the spend represents VFM in accordance with the requirements of Category A</v>
      </c>
      <c r="L406" s="17"/>
      <c r="M406" s="17"/>
    </row>
    <row r="407" spans="1:13" s="20" customFormat="1" x14ac:dyDescent="0.2">
      <c r="A407" s="10" t="s">
        <v>8</v>
      </c>
      <c r="B407" s="11" t="s">
        <v>9</v>
      </c>
      <c r="C407" s="75"/>
      <c r="D407" s="86"/>
      <c r="E407" s="85"/>
      <c r="F407" s="12"/>
      <c r="G407" s="13"/>
      <c r="H407" s="14" t="str">
        <f t="shared" si="12"/>
        <v>A</v>
      </c>
      <c r="I407" s="15" t="str">
        <f t="shared" si="13"/>
        <v>The Commissioner &amp; Chief Constable are satisfied the spend represents VFM in accordance with the requirements of Category A</v>
      </c>
      <c r="L407" s="17"/>
      <c r="M407" s="17"/>
    </row>
    <row r="408" spans="1:13" s="20" customFormat="1" x14ac:dyDescent="0.2">
      <c r="A408" s="10" t="s">
        <v>8</v>
      </c>
      <c r="B408" s="11" t="s">
        <v>9</v>
      </c>
      <c r="C408" s="75"/>
      <c r="D408" s="86"/>
      <c r="E408" s="85"/>
      <c r="F408" s="12"/>
      <c r="G408" s="13"/>
      <c r="H408" s="14" t="str">
        <f t="shared" si="12"/>
        <v>A</v>
      </c>
      <c r="I408" s="15" t="str">
        <f t="shared" si="13"/>
        <v>The Commissioner &amp; Chief Constable are satisfied the spend represents VFM in accordance with the requirements of Category A</v>
      </c>
      <c r="L408" s="17"/>
      <c r="M408" s="17"/>
    </row>
    <row r="409" spans="1:13" s="20" customFormat="1" x14ac:dyDescent="0.2">
      <c r="A409" s="10" t="s">
        <v>8</v>
      </c>
      <c r="B409" s="11" t="s">
        <v>9</v>
      </c>
      <c r="C409" s="75"/>
      <c r="D409" s="86"/>
      <c r="E409" s="85"/>
      <c r="F409" s="12"/>
      <c r="G409" s="13"/>
      <c r="H409" s="14" t="str">
        <f t="shared" si="12"/>
        <v>A</v>
      </c>
      <c r="I409" s="15" t="str">
        <f t="shared" si="13"/>
        <v>The Commissioner &amp; Chief Constable are satisfied the spend represents VFM in accordance with the requirements of Category A</v>
      </c>
      <c r="L409" s="17"/>
      <c r="M409" s="17"/>
    </row>
    <row r="410" spans="1:13" s="20" customFormat="1" x14ac:dyDescent="0.2">
      <c r="A410" s="10" t="s">
        <v>8</v>
      </c>
      <c r="B410" s="11" t="s">
        <v>9</v>
      </c>
      <c r="C410" s="75"/>
      <c r="D410" s="86"/>
      <c r="E410" s="85"/>
      <c r="F410" s="12"/>
      <c r="G410" s="13"/>
      <c r="H410" s="14" t="str">
        <f t="shared" si="12"/>
        <v>A</v>
      </c>
      <c r="I410" s="15" t="str">
        <f t="shared" si="13"/>
        <v>The Commissioner &amp; Chief Constable are satisfied the spend represents VFM in accordance with the requirements of Category A</v>
      </c>
      <c r="L410" s="17"/>
      <c r="M410" s="17"/>
    </row>
    <row r="411" spans="1:13" s="20" customFormat="1" x14ac:dyDescent="0.2">
      <c r="A411" s="10" t="s">
        <v>8</v>
      </c>
      <c r="B411" s="11" t="s">
        <v>9</v>
      </c>
      <c r="C411" s="75"/>
      <c r="D411" s="86"/>
      <c r="E411" s="85"/>
      <c r="F411" s="12"/>
      <c r="G411" s="13"/>
      <c r="H411" s="14" t="str">
        <f t="shared" si="12"/>
        <v>A</v>
      </c>
      <c r="I411" s="15" t="str">
        <f t="shared" si="13"/>
        <v>The Commissioner &amp; Chief Constable are satisfied the spend represents VFM in accordance with the requirements of Category A</v>
      </c>
      <c r="L411" s="17"/>
      <c r="M411" s="17"/>
    </row>
    <row r="412" spans="1:13" s="20" customFormat="1" x14ac:dyDescent="0.2">
      <c r="A412" s="10" t="s">
        <v>8</v>
      </c>
      <c r="B412" s="11" t="s">
        <v>9</v>
      </c>
      <c r="C412" s="75"/>
      <c r="D412" s="86"/>
      <c r="E412" s="85"/>
      <c r="F412" s="12"/>
      <c r="G412" s="13"/>
      <c r="H412" s="14" t="str">
        <f t="shared" si="12"/>
        <v>A</v>
      </c>
      <c r="I412" s="15" t="str">
        <f t="shared" si="13"/>
        <v>The Commissioner &amp; Chief Constable are satisfied the spend represents VFM in accordance with the requirements of Category A</v>
      </c>
      <c r="L412" s="17"/>
      <c r="M412" s="17"/>
    </row>
    <row r="413" spans="1:13" s="20" customFormat="1" x14ac:dyDescent="0.2">
      <c r="A413" s="10" t="s">
        <v>8</v>
      </c>
      <c r="B413" s="11" t="s">
        <v>9</v>
      </c>
      <c r="C413" s="75"/>
      <c r="D413" s="86"/>
      <c r="E413" s="85"/>
      <c r="F413" s="12"/>
      <c r="G413" s="13"/>
      <c r="H413" s="14" t="str">
        <f t="shared" si="12"/>
        <v>A</v>
      </c>
      <c r="I413" s="15" t="str">
        <f t="shared" si="13"/>
        <v>The Commissioner &amp; Chief Constable are satisfied the spend represents VFM in accordance with the requirements of Category A</v>
      </c>
      <c r="L413" s="17"/>
      <c r="M413" s="17"/>
    </row>
    <row r="414" spans="1:13" s="20" customFormat="1" x14ac:dyDescent="0.2">
      <c r="A414" s="10" t="s">
        <v>8</v>
      </c>
      <c r="B414" s="11" t="s">
        <v>9</v>
      </c>
      <c r="C414" s="75"/>
      <c r="D414" s="86"/>
      <c r="E414" s="85"/>
      <c r="F414" s="12"/>
      <c r="G414" s="13"/>
      <c r="H414" s="14" t="str">
        <f t="shared" si="12"/>
        <v>A</v>
      </c>
      <c r="I414" s="15" t="str">
        <f t="shared" si="13"/>
        <v>The Commissioner &amp; Chief Constable are satisfied the spend represents VFM in accordance with the requirements of Category A</v>
      </c>
      <c r="L414" s="17"/>
      <c r="M414" s="17"/>
    </row>
    <row r="415" spans="1:13" s="20" customFormat="1" x14ac:dyDescent="0.2">
      <c r="A415" s="10" t="s">
        <v>8</v>
      </c>
      <c r="B415" s="11" t="s">
        <v>9</v>
      </c>
      <c r="C415" s="75"/>
      <c r="D415" s="86"/>
      <c r="E415" s="85"/>
      <c r="F415" s="12"/>
      <c r="G415" s="13"/>
      <c r="H415" s="14" t="str">
        <f t="shared" si="12"/>
        <v>A</v>
      </c>
      <c r="I415" s="15" t="str">
        <f t="shared" si="13"/>
        <v>The Commissioner &amp; Chief Constable are satisfied the spend represents VFM in accordance with the requirements of Category A</v>
      </c>
      <c r="L415" s="17"/>
      <c r="M415" s="17"/>
    </row>
    <row r="416" spans="1:13" s="20" customFormat="1" x14ac:dyDescent="0.2">
      <c r="A416" s="10" t="s">
        <v>8</v>
      </c>
      <c r="B416" s="11" t="s">
        <v>9</v>
      </c>
      <c r="C416" s="75"/>
      <c r="D416" s="86"/>
      <c r="E416" s="85"/>
      <c r="F416" s="12"/>
      <c r="G416" s="13"/>
      <c r="H416" s="14" t="str">
        <f t="shared" si="12"/>
        <v>A</v>
      </c>
      <c r="I416" s="15" t="str">
        <f t="shared" si="13"/>
        <v>The Commissioner &amp; Chief Constable are satisfied the spend represents VFM in accordance with the requirements of Category A</v>
      </c>
      <c r="L416" s="17"/>
      <c r="M416" s="17"/>
    </row>
    <row r="417" spans="1:13" s="20" customFormat="1" x14ac:dyDescent="0.2">
      <c r="A417" s="10" t="s">
        <v>8</v>
      </c>
      <c r="B417" s="11" t="s">
        <v>9</v>
      </c>
      <c r="C417" s="75"/>
      <c r="D417" s="86"/>
      <c r="E417" s="85"/>
      <c r="F417" s="12"/>
      <c r="G417" s="13"/>
      <c r="H417" s="14" t="str">
        <f t="shared" si="12"/>
        <v>A</v>
      </c>
      <c r="I417" s="15" t="str">
        <f t="shared" si="13"/>
        <v>The Commissioner &amp; Chief Constable are satisfied the spend represents VFM in accordance with the requirements of Category A</v>
      </c>
      <c r="L417" s="17"/>
      <c r="M417" s="17"/>
    </row>
    <row r="418" spans="1:13" s="20" customFormat="1" x14ac:dyDescent="0.2">
      <c r="A418" s="10" t="s">
        <v>8</v>
      </c>
      <c r="B418" s="11" t="s">
        <v>9</v>
      </c>
      <c r="C418" s="75"/>
      <c r="D418" s="86"/>
      <c r="E418" s="85"/>
      <c r="F418" s="12"/>
      <c r="G418" s="13"/>
      <c r="H418" s="14" t="str">
        <f t="shared" si="12"/>
        <v>A</v>
      </c>
      <c r="I418" s="15" t="str">
        <f t="shared" si="13"/>
        <v>The Commissioner &amp; Chief Constable are satisfied the spend represents VFM in accordance with the requirements of Category A</v>
      </c>
      <c r="L418" s="17"/>
      <c r="M418" s="17"/>
    </row>
    <row r="419" spans="1:13" s="20" customFormat="1" x14ac:dyDescent="0.2">
      <c r="A419" s="10" t="s">
        <v>8</v>
      </c>
      <c r="B419" s="11" t="s">
        <v>9</v>
      </c>
      <c r="C419" s="75"/>
      <c r="D419" s="86"/>
      <c r="E419" s="85"/>
      <c r="F419" s="12"/>
      <c r="G419" s="13"/>
      <c r="H419" s="14" t="str">
        <f t="shared" si="12"/>
        <v>A</v>
      </c>
      <c r="I419" s="15" t="str">
        <f t="shared" si="13"/>
        <v>The Commissioner &amp; Chief Constable are satisfied the spend represents VFM in accordance with the requirements of Category A</v>
      </c>
      <c r="L419" s="17"/>
      <c r="M419" s="17"/>
    </row>
    <row r="420" spans="1:13" s="20" customFormat="1" x14ac:dyDescent="0.2">
      <c r="A420" s="10" t="s">
        <v>8</v>
      </c>
      <c r="B420" s="11" t="s">
        <v>9</v>
      </c>
      <c r="C420" s="75"/>
      <c r="D420" s="86"/>
      <c r="E420" s="85"/>
      <c r="F420" s="12"/>
      <c r="G420" s="13"/>
      <c r="H420" s="14" t="str">
        <f t="shared" si="12"/>
        <v>A</v>
      </c>
      <c r="I420" s="15" t="str">
        <f t="shared" si="13"/>
        <v>The Commissioner &amp; Chief Constable are satisfied the spend represents VFM in accordance with the requirements of Category A</v>
      </c>
      <c r="L420" s="17"/>
      <c r="M420" s="17"/>
    </row>
    <row r="421" spans="1:13" s="20" customFormat="1" x14ac:dyDescent="0.2">
      <c r="A421" s="10" t="s">
        <v>8</v>
      </c>
      <c r="B421" s="11" t="s">
        <v>9</v>
      </c>
      <c r="C421" s="75"/>
      <c r="D421" s="86"/>
      <c r="E421" s="85"/>
      <c r="F421" s="12"/>
      <c r="G421" s="13"/>
      <c r="H421" s="14" t="str">
        <f t="shared" si="12"/>
        <v>A</v>
      </c>
      <c r="I421" s="15" t="str">
        <f t="shared" si="13"/>
        <v>The Commissioner &amp; Chief Constable are satisfied the spend represents VFM in accordance with the requirements of Category A</v>
      </c>
      <c r="L421" s="17"/>
      <c r="M421" s="17"/>
    </row>
    <row r="422" spans="1:13" s="20" customFormat="1" x14ac:dyDescent="0.2">
      <c r="A422" s="10" t="s">
        <v>8</v>
      </c>
      <c r="B422" s="11" t="s">
        <v>9</v>
      </c>
      <c r="C422" s="75"/>
      <c r="D422" s="86"/>
      <c r="E422" s="85"/>
      <c r="F422" s="12"/>
      <c r="G422" s="13"/>
      <c r="H422" s="14" t="str">
        <f t="shared" si="12"/>
        <v>A</v>
      </c>
      <c r="I422" s="15" t="str">
        <f t="shared" si="13"/>
        <v>The Commissioner &amp; Chief Constable are satisfied the spend represents VFM in accordance with the requirements of Category A</v>
      </c>
      <c r="L422" s="17"/>
      <c r="M422" s="17"/>
    </row>
    <row r="423" spans="1:13" s="20" customFormat="1" x14ac:dyDescent="0.2">
      <c r="A423" s="10" t="s">
        <v>8</v>
      </c>
      <c r="B423" s="11" t="s">
        <v>9</v>
      </c>
      <c r="C423" s="75"/>
      <c r="D423" s="86"/>
      <c r="E423" s="85"/>
      <c r="F423" s="12"/>
      <c r="G423" s="13"/>
      <c r="H423" s="14" t="str">
        <f t="shared" si="12"/>
        <v>A</v>
      </c>
      <c r="I423" s="15" t="str">
        <f t="shared" si="13"/>
        <v>The Commissioner &amp; Chief Constable are satisfied the spend represents VFM in accordance with the requirements of Category A</v>
      </c>
      <c r="L423" s="17"/>
      <c r="M423" s="17"/>
    </row>
    <row r="424" spans="1:13" s="20" customFormat="1" x14ac:dyDescent="0.2">
      <c r="A424" s="10" t="s">
        <v>8</v>
      </c>
      <c r="B424" s="11" t="s">
        <v>9</v>
      </c>
      <c r="C424" s="75"/>
      <c r="D424" s="86"/>
      <c r="E424" s="85"/>
      <c r="F424" s="12"/>
      <c r="G424" s="13"/>
      <c r="H424" s="14" t="str">
        <f t="shared" si="12"/>
        <v>A</v>
      </c>
      <c r="I424" s="15" t="str">
        <f t="shared" si="13"/>
        <v>The Commissioner &amp; Chief Constable are satisfied the spend represents VFM in accordance with the requirements of Category A</v>
      </c>
      <c r="L424" s="17"/>
      <c r="M424" s="17"/>
    </row>
    <row r="425" spans="1:13" s="20" customFormat="1" x14ac:dyDescent="0.2">
      <c r="A425" s="10" t="s">
        <v>8</v>
      </c>
      <c r="B425" s="11" t="s">
        <v>9</v>
      </c>
      <c r="C425" s="75"/>
      <c r="D425" s="86"/>
      <c r="E425" s="85"/>
      <c r="F425" s="12"/>
      <c r="G425" s="13"/>
      <c r="H425" s="14" t="str">
        <f t="shared" si="12"/>
        <v>A</v>
      </c>
      <c r="I425" s="15" t="str">
        <f t="shared" si="13"/>
        <v>The Commissioner &amp; Chief Constable are satisfied the spend represents VFM in accordance with the requirements of Category A</v>
      </c>
      <c r="L425" s="17"/>
      <c r="M425" s="17"/>
    </row>
    <row r="426" spans="1:13" s="20" customFormat="1" x14ac:dyDescent="0.2">
      <c r="A426" s="10" t="s">
        <v>8</v>
      </c>
      <c r="B426" s="11" t="s">
        <v>9</v>
      </c>
      <c r="C426" s="75"/>
      <c r="D426" s="86"/>
      <c r="E426" s="85"/>
      <c r="F426" s="12"/>
      <c r="G426" s="13"/>
      <c r="H426" s="14" t="str">
        <f t="shared" si="12"/>
        <v>A</v>
      </c>
      <c r="I426" s="15" t="str">
        <f t="shared" si="13"/>
        <v>The Commissioner &amp; Chief Constable are satisfied the spend represents VFM in accordance with the requirements of Category A</v>
      </c>
      <c r="L426" s="17"/>
      <c r="M426" s="17"/>
    </row>
    <row r="427" spans="1:13" s="20" customFormat="1" x14ac:dyDescent="0.2">
      <c r="A427" s="10" t="s">
        <v>8</v>
      </c>
      <c r="B427" s="11" t="s">
        <v>9</v>
      </c>
      <c r="C427" s="75"/>
      <c r="D427" s="86"/>
      <c r="E427" s="85"/>
      <c r="F427" s="12"/>
      <c r="G427" s="13"/>
      <c r="H427" s="14" t="str">
        <f t="shared" si="12"/>
        <v>A</v>
      </c>
      <c r="I427" s="15" t="str">
        <f t="shared" si="13"/>
        <v>The Commissioner &amp; Chief Constable are satisfied the spend represents VFM in accordance with the requirements of Category A</v>
      </c>
      <c r="L427" s="17"/>
      <c r="M427" s="17"/>
    </row>
    <row r="428" spans="1:13" s="20" customFormat="1" x14ac:dyDescent="0.2">
      <c r="A428" s="10" t="s">
        <v>8</v>
      </c>
      <c r="B428" s="11" t="s">
        <v>9</v>
      </c>
      <c r="C428" s="75"/>
      <c r="D428" s="86"/>
      <c r="E428" s="85"/>
      <c r="F428" s="12"/>
      <c r="G428" s="13"/>
      <c r="H428" s="14" t="str">
        <f t="shared" si="12"/>
        <v>A</v>
      </c>
      <c r="I428" s="15" t="str">
        <f t="shared" si="13"/>
        <v>The Commissioner &amp; Chief Constable are satisfied the spend represents VFM in accordance with the requirements of Category A</v>
      </c>
      <c r="L428" s="17"/>
      <c r="M428" s="17"/>
    </row>
    <row r="429" spans="1:13" s="20" customFormat="1" x14ac:dyDescent="0.2">
      <c r="A429" s="10" t="s">
        <v>8</v>
      </c>
      <c r="B429" s="11" t="s">
        <v>9</v>
      </c>
      <c r="C429" s="75"/>
      <c r="D429" s="86"/>
      <c r="E429" s="85"/>
      <c r="F429" s="12"/>
      <c r="G429" s="13"/>
      <c r="H429" s="14" t="str">
        <f t="shared" si="12"/>
        <v>A</v>
      </c>
      <c r="I429" s="15" t="str">
        <f t="shared" si="13"/>
        <v>The Commissioner &amp; Chief Constable are satisfied the spend represents VFM in accordance with the requirements of Category A</v>
      </c>
      <c r="L429" s="17"/>
      <c r="M429" s="17"/>
    </row>
    <row r="430" spans="1:13" s="20" customFormat="1" x14ac:dyDescent="0.2">
      <c r="A430" s="10" t="s">
        <v>8</v>
      </c>
      <c r="B430" s="11" t="s">
        <v>9</v>
      </c>
      <c r="C430" s="75"/>
      <c r="D430" s="86"/>
      <c r="E430" s="85"/>
      <c r="F430" s="12"/>
      <c r="G430" s="13"/>
      <c r="H430" s="14" t="str">
        <f t="shared" si="12"/>
        <v>A</v>
      </c>
      <c r="I430" s="15" t="str">
        <f t="shared" si="13"/>
        <v>The Commissioner &amp; Chief Constable are satisfied the spend represents VFM in accordance with the requirements of Category A</v>
      </c>
      <c r="L430" s="17"/>
      <c r="M430" s="17"/>
    </row>
    <row r="431" spans="1:13" s="20" customFormat="1" x14ac:dyDescent="0.2">
      <c r="A431" s="10" t="s">
        <v>8</v>
      </c>
      <c r="B431" s="11" t="s">
        <v>9</v>
      </c>
      <c r="C431" s="75"/>
      <c r="D431" s="86"/>
      <c r="E431" s="85"/>
      <c r="F431" s="12"/>
      <c r="G431" s="13"/>
      <c r="H431" s="14" t="str">
        <f t="shared" si="12"/>
        <v>A</v>
      </c>
      <c r="I431" s="15" t="str">
        <f t="shared" si="13"/>
        <v>The Commissioner &amp; Chief Constable are satisfied the spend represents VFM in accordance with the requirements of Category A</v>
      </c>
      <c r="L431" s="17"/>
      <c r="M431" s="17"/>
    </row>
    <row r="432" spans="1:13" s="20" customFormat="1" x14ac:dyDescent="0.2">
      <c r="A432" s="10" t="s">
        <v>8</v>
      </c>
      <c r="B432" s="11" t="s">
        <v>9</v>
      </c>
      <c r="C432" s="75"/>
      <c r="D432" s="86"/>
      <c r="E432" s="85"/>
      <c r="F432" s="12"/>
      <c r="G432" s="13"/>
      <c r="H432" s="14" t="str">
        <f t="shared" si="12"/>
        <v>A</v>
      </c>
      <c r="I432" s="15" t="str">
        <f t="shared" si="13"/>
        <v>The Commissioner &amp; Chief Constable are satisfied the spend represents VFM in accordance with the requirements of Category A</v>
      </c>
      <c r="L432" s="17"/>
      <c r="M432" s="17"/>
    </row>
    <row r="433" spans="1:13" s="20" customFormat="1" x14ac:dyDescent="0.2">
      <c r="A433" s="10" t="s">
        <v>8</v>
      </c>
      <c r="B433" s="11" t="s">
        <v>9</v>
      </c>
      <c r="C433" s="75"/>
      <c r="D433" s="86"/>
      <c r="E433" s="85"/>
      <c r="F433" s="12"/>
      <c r="G433" s="13"/>
      <c r="H433" s="14" t="str">
        <f t="shared" si="12"/>
        <v>A</v>
      </c>
      <c r="I433" s="15" t="str">
        <f t="shared" si="13"/>
        <v>The Commissioner &amp; Chief Constable are satisfied the spend represents VFM in accordance with the requirements of Category A</v>
      </c>
      <c r="L433" s="17"/>
      <c r="M433" s="17"/>
    </row>
    <row r="434" spans="1:13" s="20" customFormat="1" x14ac:dyDescent="0.2">
      <c r="A434" s="10" t="s">
        <v>8</v>
      </c>
      <c r="B434" s="11" t="s">
        <v>9</v>
      </c>
      <c r="C434" s="75"/>
      <c r="D434" s="86"/>
      <c r="E434" s="85"/>
      <c r="F434" s="12"/>
      <c r="G434" s="13"/>
      <c r="H434" s="14" t="str">
        <f t="shared" si="12"/>
        <v>A</v>
      </c>
      <c r="I434" s="15" t="str">
        <f t="shared" si="13"/>
        <v>The Commissioner &amp; Chief Constable are satisfied the spend represents VFM in accordance with the requirements of Category A</v>
      </c>
      <c r="L434" s="17"/>
      <c r="M434" s="17"/>
    </row>
    <row r="435" spans="1:13" s="20" customFormat="1" x14ac:dyDescent="0.2">
      <c r="A435" s="10" t="s">
        <v>8</v>
      </c>
      <c r="B435" s="11" t="s">
        <v>9</v>
      </c>
      <c r="C435" s="75"/>
      <c r="D435" s="86"/>
      <c r="E435" s="85"/>
      <c r="F435" s="12"/>
      <c r="G435" s="13"/>
      <c r="H435" s="14" t="str">
        <f t="shared" si="12"/>
        <v>A</v>
      </c>
      <c r="I435" s="15" t="str">
        <f t="shared" si="13"/>
        <v>The Commissioner &amp; Chief Constable are satisfied the spend represents VFM in accordance with the requirements of Category A</v>
      </c>
      <c r="L435" s="17"/>
      <c r="M435" s="17"/>
    </row>
    <row r="436" spans="1:13" s="20" customFormat="1" x14ac:dyDescent="0.2">
      <c r="A436" s="10" t="s">
        <v>8</v>
      </c>
      <c r="B436" s="11" t="s">
        <v>9</v>
      </c>
      <c r="C436" s="75"/>
      <c r="D436" s="86"/>
      <c r="E436" s="85"/>
      <c r="F436" s="12"/>
      <c r="G436" s="13"/>
      <c r="H436" s="14" t="str">
        <f t="shared" si="12"/>
        <v>A</v>
      </c>
      <c r="I436" s="15" t="str">
        <f t="shared" si="13"/>
        <v>The Commissioner &amp; Chief Constable are satisfied the spend represents VFM in accordance with the requirements of Category A</v>
      </c>
      <c r="L436" s="17"/>
      <c r="M436" s="17"/>
    </row>
    <row r="437" spans="1:13" s="20" customFormat="1" x14ac:dyDescent="0.2">
      <c r="A437" s="10" t="s">
        <v>8</v>
      </c>
      <c r="B437" s="11" t="s">
        <v>9</v>
      </c>
      <c r="C437" s="75"/>
      <c r="D437" s="86"/>
      <c r="E437" s="85"/>
      <c r="F437" s="12"/>
      <c r="G437" s="13"/>
      <c r="H437" s="14" t="str">
        <f t="shared" si="12"/>
        <v>A</v>
      </c>
      <c r="I437" s="15" t="str">
        <f t="shared" si="13"/>
        <v>The Commissioner &amp; Chief Constable are satisfied the spend represents VFM in accordance with the requirements of Category A</v>
      </c>
      <c r="L437" s="17"/>
      <c r="M437" s="17"/>
    </row>
    <row r="438" spans="1:13" s="20" customFormat="1" x14ac:dyDescent="0.2">
      <c r="A438" s="10" t="s">
        <v>8</v>
      </c>
      <c r="B438" s="11" t="s">
        <v>9</v>
      </c>
      <c r="C438" s="75"/>
      <c r="D438" s="86"/>
      <c r="E438" s="85"/>
      <c r="F438" s="12"/>
      <c r="G438" s="13"/>
      <c r="H438" s="14" t="str">
        <f t="shared" si="12"/>
        <v>A</v>
      </c>
      <c r="I438" s="15" t="str">
        <f t="shared" si="13"/>
        <v>The Commissioner &amp; Chief Constable are satisfied the spend represents VFM in accordance with the requirements of Category A</v>
      </c>
      <c r="L438" s="17"/>
      <c r="M438" s="17"/>
    </row>
    <row r="439" spans="1:13" s="20" customFormat="1" x14ac:dyDescent="0.2">
      <c r="A439" s="10" t="s">
        <v>8</v>
      </c>
      <c r="B439" s="11" t="s">
        <v>9</v>
      </c>
      <c r="C439" s="75"/>
      <c r="D439" s="86"/>
      <c r="E439" s="85"/>
      <c r="F439" s="12"/>
      <c r="G439" s="13"/>
      <c r="H439" s="14" t="str">
        <f t="shared" si="12"/>
        <v>A</v>
      </c>
      <c r="I439" s="15" t="str">
        <f t="shared" si="13"/>
        <v>The Commissioner &amp; Chief Constable are satisfied the spend represents VFM in accordance with the requirements of Category A</v>
      </c>
      <c r="L439" s="17"/>
      <c r="M439" s="17"/>
    </row>
    <row r="440" spans="1:13" s="20" customFormat="1" x14ac:dyDescent="0.2">
      <c r="A440" s="10" t="s">
        <v>8</v>
      </c>
      <c r="B440" s="11" t="s">
        <v>9</v>
      </c>
      <c r="C440" s="75"/>
      <c r="D440" s="86"/>
      <c r="E440" s="85"/>
      <c r="F440" s="12"/>
      <c r="G440" s="13"/>
      <c r="H440" s="14" t="str">
        <f t="shared" si="12"/>
        <v>A</v>
      </c>
      <c r="I440" s="15" t="str">
        <f t="shared" si="13"/>
        <v>The Commissioner &amp; Chief Constable are satisfied the spend represents VFM in accordance with the requirements of Category A</v>
      </c>
      <c r="L440" s="17"/>
      <c r="M440" s="17"/>
    </row>
    <row r="441" spans="1:13" s="20" customFormat="1" x14ac:dyDescent="0.2">
      <c r="A441" s="10" t="s">
        <v>8</v>
      </c>
      <c r="B441" s="11" t="s">
        <v>9</v>
      </c>
      <c r="C441" s="75"/>
      <c r="D441" s="86"/>
      <c r="E441" s="85"/>
      <c r="F441" s="12"/>
      <c r="G441" s="13"/>
      <c r="H441" s="14" t="str">
        <f t="shared" si="12"/>
        <v>A</v>
      </c>
      <c r="I441" s="15" t="str">
        <f t="shared" si="13"/>
        <v>The Commissioner &amp; Chief Constable are satisfied the spend represents VFM in accordance with the requirements of Category A</v>
      </c>
      <c r="L441" s="17"/>
      <c r="M441" s="17"/>
    </row>
    <row r="442" spans="1:13" s="20" customFormat="1" x14ac:dyDescent="0.2">
      <c r="A442" s="10" t="s">
        <v>8</v>
      </c>
      <c r="B442" s="11" t="s">
        <v>9</v>
      </c>
      <c r="C442" s="75"/>
      <c r="D442" s="86"/>
      <c r="E442" s="85"/>
      <c r="F442" s="12"/>
      <c r="G442" s="13"/>
      <c r="H442" s="14" t="str">
        <f t="shared" si="12"/>
        <v>A</v>
      </c>
      <c r="I442" s="15" t="str">
        <f t="shared" si="13"/>
        <v>The Commissioner &amp; Chief Constable are satisfied the spend represents VFM in accordance with the requirements of Category A</v>
      </c>
      <c r="L442" s="17"/>
      <c r="M442" s="17"/>
    </row>
    <row r="443" spans="1:13" s="20" customFormat="1" x14ac:dyDescent="0.2">
      <c r="A443" s="10" t="s">
        <v>8</v>
      </c>
      <c r="B443" s="11" t="s">
        <v>9</v>
      </c>
      <c r="C443" s="75"/>
      <c r="D443" s="86"/>
      <c r="E443" s="85"/>
      <c r="F443" s="12"/>
      <c r="G443" s="13"/>
      <c r="H443" s="14" t="str">
        <f t="shared" si="12"/>
        <v>A</v>
      </c>
      <c r="I443" s="15" t="str">
        <f t="shared" si="13"/>
        <v>The Commissioner &amp; Chief Constable are satisfied the spend represents VFM in accordance with the requirements of Category A</v>
      </c>
      <c r="L443" s="17"/>
      <c r="M443" s="17"/>
    </row>
    <row r="444" spans="1:13" s="20" customFormat="1" x14ac:dyDescent="0.2">
      <c r="A444" s="10" t="s">
        <v>8</v>
      </c>
      <c r="B444" s="11" t="s">
        <v>9</v>
      </c>
      <c r="C444" s="75"/>
      <c r="D444" s="86"/>
      <c r="E444" s="85"/>
      <c r="F444" s="12"/>
      <c r="G444" s="13"/>
      <c r="H444" s="14" t="str">
        <f t="shared" si="12"/>
        <v>A</v>
      </c>
      <c r="I444" s="15" t="str">
        <f t="shared" si="13"/>
        <v>The Commissioner &amp; Chief Constable are satisfied the spend represents VFM in accordance with the requirements of Category A</v>
      </c>
      <c r="L444" s="17"/>
      <c r="M444" s="17"/>
    </row>
    <row r="445" spans="1:13" s="20" customFormat="1" x14ac:dyDescent="0.2">
      <c r="A445" s="10" t="s">
        <v>8</v>
      </c>
      <c r="B445" s="11" t="s">
        <v>9</v>
      </c>
      <c r="C445" s="75"/>
      <c r="D445" s="86"/>
      <c r="E445" s="85"/>
      <c r="F445" s="12"/>
      <c r="G445" s="13"/>
      <c r="H445" s="14" t="str">
        <f t="shared" si="12"/>
        <v>A</v>
      </c>
      <c r="I445" s="15" t="str">
        <f t="shared" si="13"/>
        <v>The Commissioner &amp; Chief Constable are satisfied the spend represents VFM in accordance with the requirements of Category A</v>
      </c>
      <c r="L445" s="17"/>
      <c r="M445" s="17"/>
    </row>
    <row r="446" spans="1:13" s="20" customFormat="1" x14ac:dyDescent="0.2">
      <c r="A446" s="10" t="s">
        <v>8</v>
      </c>
      <c r="B446" s="11" t="s">
        <v>9</v>
      </c>
      <c r="C446" s="75"/>
      <c r="D446" s="86"/>
      <c r="E446" s="85"/>
      <c r="F446" s="12"/>
      <c r="G446" s="13"/>
      <c r="H446" s="14" t="str">
        <f t="shared" si="12"/>
        <v>A</v>
      </c>
      <c r="I446" s="15" t="str">
        <f t="shared" si="13"/>
        <v>The Commissioner &amp; Chief Constable are satisfied the spend represents VFM in accordance with the requirements of Category A</v>
      </c>
      <c r="L446" s="17"/>
      <c r="M446" s="17"/>
    </row>
    <row r="447" spans="1:13" x14ac:dyDescent="0.2">
      <c r="A447" s="10" t="s">
        <v>8</v>
      </c>
      <c r="B447" s="11" t="s">
        <v>9</v>
      </c>
      <c r="C447" s="75"/>
      <c r="D447" s="86"/>
      <c r="E447" s="85"/>
      <c r="F447" s="12"/>
      <c r="G447" s="13"/>
      <c r="H447" s="14" t="str">
        <f t="shared" si="12"/>
        <v>A</v>
      </c>
      <c r="I447" s="15" t="str">
        <f t="shared" si="13"/>
        <v>The Commissioner &amp; Chief Constable are satisfied the spend represents VFM in accordance with the requirements of Category A</v>
      </c>
    </row>
    <row r="448" spans="1:13" x14ac:dyDescent="0.2">
      <c r="A448" s="10" t="s">
        <v>8</v>
      </c>
      <c r="B448" s="11" t="s">
        <v>9</v>
      </c>
      <c r="C448" s="75"/>
      <c r="D448" s="86"/>
      <c r="E448" s="85"/>
      <c r="F448" s="12"/>
      <c r="G448" s="13"/>
      <c r="H448" s="14" t="str">
        <f t="shared" si="12"/>
        <v>A</v>
      </c>
      <c r="I448" s="15" t="str">
        <f t="shared" si="13"/>
        <v>The Commissioner &amp; Chief Constable are satisfied the spend represents VFM in accordance with the requirements of Category A</v>
      </c>
    </row>
    <row r="449" spans="1:9" x14ac:dyDescent="0.2">
      <c r="A449" s="10" t="s">
        <v>8</v>
      </c>
      <c r="B449" s="11" t="s">
        <v>9</v>
      </c>
      <c r="C449" s="75"/>
      <c r="D449" s="86"/>
      <c r="E449" s="85"/>
      <c r="F449" s="12"/>
      <c r="G449" s="13"/>
      <c r="H449" s="14" t="str">
        <f t="shared" si="12"/>
        <v>A</v>
      </c>
      <c r="I449" s="15" t="str">
        <f t="shared" si="13"/>
        <v>The Commissioner &amp; Chief Constable are satisfied the spend represents VFM in accordance with the requirements of Category A</v>
      </c>
    </row>
    <row r="450" spans="1:9" x14ac:dyDescent="0.2">
      <c r="A450" s="10" t="s">
        <v>8</v>
      </c>
      <c r="B450" s="11" t="s">
        <v>9</v>
      </c>
      <c r="C450" s="75"/>
      <c r="D450" s="86"/>
      <c r="E450" s="85"/>
      <c r="F450" s="12"/>
      <c r="G450" s="13"/>
      <c r="H450" s="14" t="str">
        <f t="shared" ref="H450:H511" si="14">IF(F450&gt;25000,"C",IF(F450&gt;1000,"B","A"))</f>
        <v>A</v>
      </c>
      <c r="I450" s="15" t="str">
        <f t="shared" ref="I450:I513" si="15">VLOOKUP(H450,$L$2:$M$4,2,FALSE)</f>
        <v>The Commissioner &amp; Chief Constable are satisfied the spend represents VFM in accordance with the requirements of Category A</v>
      </c>
    </row>
    <row r="451" spans="1:9" x14ac:dyDescent="0.2">
      <c r="A451" s="10" t="s">
        <v>8</v>
      </c>
      <c r="B451" s="11" t="s">
        <v>9</v>
      </c>
      <c r="C451" s="75"/>
      <c r="D451" s="86"/>
      <c r="E451" s="85"/>
      <c r="F451" s="12"/>
      <c r="G451" s="13"/>
      <c r="H451" s="14" t="str">
        <f t="shared" si="14"/>
        <v>A</v>
      </c>
      <c r="I451" s="15" t="str">
        <f t="shared" si="15"/>
        <v>The Commissioner &amp; Chief Constable are satisfied the spend represents VFM in accordance with the requirements of Category A</v>
      </c>
    </row>
    <row r="452" spans="1:9" x14ac:dyDescent="0.2">
      <c r="A452" s="10" t="s">
        <v>8</v>
      </c>
      <c r="B452" s="11" t="s">
        <v>9</v>
      </c>
      <c r="C452" s="75"/>
      <c r="D452" s="86"/>
      <c r="E452" s="85"/>
      <c r="F452" s="12"/>
      <c r="G452" s="13"/>
      <c r="H452" s="14" t="str">
        <f t="shared" si="14"/>
        <v>A</v>
      </c>
      <c r="I452" s="15" t="str">
        <f t="shared" si="15"/>
        <v>The Commissioner &amp; Chief Constable are satisfied the spend represents VFM in accordance with the requirements of Category A</v>
      </c>
    </row>
    <row r="453" spans="1:9" x14ac:dyDescent="0.2">
      <c r="A453" s="10" t="s">
        <v>8</v>
      </c>
      <c r="B453" s="11" t="s">
        <v>9</v>
      </c>
      <c r="C453" s="75"/>
      <c r="D453" s="86"/>
      <c r="E453" s="85"/>
      <c r="F453" s="12"/>
      <c r="G453" s="13"/>
      <c r="H453" s="14" t="str">
        <f t="shared" si="14"/>
        <v>A</v>
      </c>
      <c r="I453" s="15" t="str">
        <f t="shared" si="15"/>
        <v>The Commissioner &amp; Chief Constable are satisfied the spend represents VFM in accordance with the requirements of Category A</v>
      </c>
    </row>
    <row r="454" spans="1:9" x14ac:dyDescent="0.2">
      <c r="A454" s="10" t="s">
        <v>8</v>
      </c>
      <c r="B454" s="11" t="s">
        <v>9</v>
      </c>
      <c r="C454" s="75"/>
      <c r="D454" s="86"/>
      <c r="E454" s="85"/>
      <c r="F454" s="12"/>
      <c r="G454" s="13"/>
      <c r="H454" s="14" t="str">
        <f t="shared" si="14"/>
        <v>A</v>
      </c>
      <c r="I454" s="15" t="str">
        <f t="shared" si="15"/>
        <v>The Commissioner &amp; Chief Constable are satisfied the spend represents VFM in accordance with the requirements of Category A</v>
      </c>
    </row>
    <row r="455" spans="1:9" x14ac:dyDescent="0.2">
      <c r="A455" s="10" t="s">
        <v>8</v>
      </c>
      <c r="B455" s="11" t="s">
        <v>9</v>
      </c>
      <c r="C455" s="75"/>
      <c r="D455" s="86"/>
      <c r="E455" s="85"/>
      <c r="F455" s="12"/>
      <c r="G455" s="13"/>
      <c r="H455" s="14" t="str">
        <f t="shared" si="14"/>
        <v>A</v>
      </c>
      <c r="I455" s="15" t="str">
        <f t="shared" si="15"/>
        <v>The Commissioner &amp; Chief Constable are satisfied the spend represents VFM in accordance with the requirements of Category A</v>
      </c>
    </row>
    <row r="456" spans="1:9" x14ac:dyDescent="0.2">
      <c r="A456" s="10" t="s">
        <v>8</v>
      </c>
      <c r="B456" s="11" t="s">
        <v>9</v>
      </c>
      <c r="C456" s="75"/>
      <c r="D456" s="86"/>
      <c r="E456" s="85"/>
      <c r="F456" s="12"/>
      <c r="G456" s="13"/>
      <c r="H456" s="14" t="str">
        <f t="shared" si="14"/>
        <v>A</v>
      </c>
      <c r="I456" s="15" t="str">
        <f t="shared" si="15"/>
        <v>The Commissioner &amp; Chief Constable are satisfied the spend represents VFM in accordance with the requirements of Category A</v>
      </c>
    </row>
    <row r="457" spans="1:9" x14ac:dyDescent="0.2">
      <c r="A457" s="10" t="s">
        <v>8</v>
      </c>
      <c r="B457" s="11" t="s">
        <v>9</v>
      </c>
      <c r="C457" s="75"/>
      <c r="D457" s="86"/>
      <c r="E457" s="85"/>
      <c r="F457" s="12"/>
      <c r="G457" s="13"/>
      <c r="H457" s="14" t="str">
        <f t="shared" si="14"/>
        <v>A</v>
      </c>
      <c r="I457" s="15" t="str">
        <f t="shared" si="15"/>
        <v>The Commissioner &amp; Chief Constable are satisfied the spend represents VFM in accordance with the requirements of Category A</v>
      </c>
    </row>
    <row r="458" spans="1:9" x14ac:dyDescent="0.2">
      <c r="A458" s="10" t="s">
        <v>8</v>
      </c>
      <c r="B458" s="11" t="s">
        <v>9</v>
      </c>
      <c r="C458" s="75"/>
      <c r="D458" s="86"/>
      <c r="E458" s="85"/>
      <c r="F458" s="12"/>
      <c r="G458" s="13"/>
      <c r="H458" s="14" t="str">
        <f t="shared" si="14"/>
        <v>A</v>
      </c>
      <c r="I458" s="15" t="str">
        <f t="shared" si="15"/>
        <v>The Commissioner &amp; Chief Constable are satisfied the spend represents VFM in accordance with the requirements of Category A</v>
      </c>
    </row>
    <row r="459" spans="1:9" x14ac:dyDescent="0.2">
      <c r="A459" s="10" t="s">
        <v>8</v>
      </c>
      <c r="B459" s="11" t="s">
        <v>9</v>
      </c>
      <c r="C459" s="75"/>
      <c r="D459" s="86"/>
      <c r="E459" s="85"/>
      <c r="F459" s="12"/>
      <c r="G459" s="13"/>
      <c r="H459" s="14" t="str">
        <f t="shared" si="14"/>
        <v>A</v>
      </c>
      <c r="I459" s="15" t="str">
        <f t="shared" si="15"/>
        <v>The Commissioner &amp; Chief Constable are satisfied the spend represents VFM in accordance with the requirements of Category A</v>
      </c>
    </row>
    <row r="460" spans="1:9" x14ac:dyDescent="0.2">
      <c r="A460" s="10" t="s">
        <v>8</v>
      </c>
      <c r="B460" s="11" t="s">
        <v>9</v>
      </c>
      <c r="C460" s="75"/>
      <c r="D460" s="86"/>
      <c r="E460" s="85"/>
      <c r="F460" s="12"/>
      <c r="G460" s="13"/>
      <c r="H460" s="14" t="str">
        <f t="shared" si="14"/>
        <v>A</v>
      </c>
      <c r="I460" s="15" t="str">
        <f t="shared" si="15"/>
        <v>The Commissioner &amp; Chief Constable are satisfied the spend represents VFM in accordance with the requirements of Category A</v>
      </c>
    </row>
    <row r="461" spans="1:9" x14ac:dyDescent="0.2">
      <c r="A461" s="10" t="s">
        <v>8</v>
      </c>
      <c r="B461" s="11" t="s">
        <v>9</v>
      </c>
      <c r="C461" s="75"/>
      <c r="D461" s="86"/>
      <c r="E461" s="85"/>
      <c r="F461" s="12"/>
      <c r="G461" s="13"/>
      <c r="H461" s="14" t="str">
        <f t="shared" si="14"/>
        <v>A</v>
      </c>
      <c r="I461" s="15" t="str">
        <f t="shared" si="15"/>
        <v>The Commissioner &amp; Chief Constable are satisfied the spend represents VFM in accordance with the requirements of Category A</v>
      </c>
    </row>
    <row r="462" spans="1:9" x14ac:dyDescent="0.2">
      <c r="A462" s="10" t="s">
        <v>8</v>
      </c>
      <c r="B462" s="11" t="s">
        <v>9</v>
      </c>
      <c r="C462" s="75"/>
      <c r="D462" s="86"/>
      <c r="E462" s="85"/>
      <c r="F462" s="12"/>
      <c r="G462" s="13"/>
      <c r="H462" s="14" t="str">
        <f t="shared" si="14"/>
        <v>A</v>
      </c>
      <c r="I462" s="15" t="str">
        <f t="shared" si="15"/>
        <v>The Commissioner &amp; Chief Constable are satisfied the spend represents VFM in accordance with the requirements of Category A</v>
      </c>
    </row>
    <row r="463" spans="1:9" x14ac:dyDescent="0.2">
      <c r="A463" s="10" t="s">
        <v>8</v>
      </c>
      <c r="B463" s="11" t="s">
        <v>9</v>
      </c>
      <c r="C463" s="75"/>
      <c r="D463" s="86"/>
      <c r="E463" s="85"/>
      <c r="F463" s="12"/>
      <c r="G463" s="13"/>
      <c r="H463" s="14" t="str">
        <f t="shared" si="14"/>
        <v>A</v>
      </c>
      <c r="I463" s="15" t="str">
        <f t="shared" si="15"/>
        <v>The Commissioner &amp; Chief Constable are satisfied the spend represents VFM in accordance with the requirements of Category A</v>
      </c>
    </row>
    <row r="464" spans="1:9" x14ac:dyDescent="0.2">
      <c r="A464" s="10" t="s">
        <v>8</v>
      </c>
      <c r="B464" s="11" t="s">
        <v>9</v>
      </c>
      <c r="C464" s="75"/>
      <c r="D464" s="86"/>
      <c r="E464" s="85"/>
      <c r="F464" s="12"/>
      <c r="G464" s="13"/>
      <c r="H464" s="14" t="str">
        <f t="shared" si="14"/>
        <v>A</v>
      </c>
      <c r="I464" s="15" t="str">
        <f t="shared" si="15"/>
        <v>The Commissioner &amp; Chief Constable are satisfied the spend represents VFM in accordance with the requirements of Category A</v>
      </c>
    </row>
    <row r="465" spans="1:9" x14ac:dyDescent="0.2">
      <c r="A465" s="10" t="s">
        <v>8</v>
      </c>
      <c r="B465" s="11" t="s">
        <v>9</v>
      </c>
      <c r="C465" s="75"/>
      <c r="D465" s="86"/>
      <c r="E465" s="85"/>
      <c r="F465" s="12"/>
      <c r="G465" s="13"/>
      <c r="H465" s="14" t="str">
        <f t="shared" si="14"/>
        <v>A</v>
      </c>
      <c r="I465" s="15" t="str">
        <f t="shared" si="15"/>
        <v>The Commissioner &amp; Chief Constable are satisfied the spend represents VFM in accordance with the requirements of Category A</v>
      </c>
    </row>
    <row r="466" spans="1:9" x14ac:dyDescent="0.2">
      <c r="A466" s="10" t="s">
        <v>8</v>
      </c>
      <c r="B466" s="11" t="s">
        <v>9</v>
      </c>
      <c r="C466" s="75"/>
      <c r="D466" s="86"/>
      <c r="E466" s="85"/>
      <c r="F466" s="12"/>
      <c r="G466" s="13"/>
      <c r="H466" s="14" t="str">
        <f t="shared" si="14"/>
        <v>A</v>
      </c>
      <c r="I466" s="15" t="str">
        <f t="shared" si="15"/>
        <v>The Commissioner &amp; Chief Constable are satisfied the spend represents VFM in accordance with the requirements of Category A</v>
      </c>
    </row>
    <row r="467" spans="1:9" x14ac:dyDescent="0.2">
      <c r="A467" s="10" t="s">
        <v>8</v>
      </c>
      <c r="B467" s="11" t="s">
        <v>9</v>
      </c>
      <c r="C467" s="75"/>
      <c r="D467" s="86"/>
      <c r="E467" s="85"/>
      <c r="F467" s="12"/>
      <c r="G467" s="13"/>
      <c r="H467" s="14" t="str">
        <f t="shared" si="14"/>
        <v>A</v>
      </c>
      <c r="I467" s="15" t="str">
        <f t="shared" si="15"/>
        <v>The Commissioner &amp; Chief Constable are satisfied the spend represents VFM in accordance with the requirements of Category A</v>
      </c>
    </row>
    <row r="468" spans="1:9" x14ac:dyDescent="0.2">
      <c r="A468" s="10" t="s">
        <v>8</v>
      </c>
      <c r="B468" s="11" t="s">
        <v>9</v>
      </c>
      <c r="C468" s="75"/>
      <c r="D468" s="86"/>
      <c r="E468" s="85"/>
      <c r="F468" s="12"/>
      <c r="G468" s="13"/>
      <c r="H468" s="14" t="str">
        <f t="shared" si="14"/>
        <v>A</v>
      </c>
      <c r="I468" s="15" t="str">
        <f t="shared" si="15"/>
        <v>The Commissioner &amp; Chief Constable are satisfied the spend represents VFM in accordance with the requirements of Category A</v>
      </c>
    </row>
    <row r="469" spans="1:9" x14ac:dyDescent="0.2">
      <c r="A469" s="10" t="s">
        <v>8</v>
      </c>
      <c r="B469" s="11" t="s">
        <v>9</v>
      </c>
      <c r="C469" s="75"/>
      <c r="D469" s="86"/>
      <c r="E469" s="85"/>
      <c r="F469" s="12"/>
      <c r="G469" s="13"/>
      <c r="H469" s="14" t="str">
        <f t="shared" si="14"/>
        <v>A</v>
      </c>
      <c r="I469" s="15" t="str">
        <f t="shared" si="15"/>
        <v>The Commissioner &amp; Chief Constable are satisfied the spend represents VFM in accordance with the requirements of Category A</v>
      </c>
    </row>
    <row r="470" spans="1:9" x14ac:dyDescent="0.2">
      <c r="A470" s="10" t="s">
        <v>8</v>
      </c>
      <c r="B470" s="11" t="s">
        <v>9</v>
      </c>
      <c r="C470" s="75"/>
      <c r="D470" s="86"/>
      <c r="E470" s="85"/>
      <c r="F470" s="12"/>
      <c r="G470" s="13"/>
      <c r="H470" s="14" t="str">
        <f t="shared" si="14"/>
        <v>A</v>
      </c>
      <c r="I470" s="15" t="str">
        <f t="shared" si="15"/>
        <v>The Commissioner &amp; Chief Constable are satisfied the spend represents VFM in accordance with the requirements of Category A</v>
      </c>
    </row>
    <row r="471" spans="1:9" x14ac:dyDescent="0.2">
      <c r="A471" s="10" t="s">
        <v>8</v>
      </c>
      <c r="B471" s="11" t="s">
        <v>9</v>
      </c>
      <c r="C471" s="75"/>
      <c r="D471" s="86"/>
      <c r="E471" s="85"/>
      <c r="F471" s="12"/>
      <c r="G471" s="13"/>
      <c r="H471" s="14" t="str">
        <f t="shared" si="14"/>
        <v>A</v>
      </c>
      <c r="I471" s="15" t="str">
        <f t="shared" si="15"/>
        <v>The Commissioner &amp; Chief Constable are satisfied the spend represents VFM in accordance with the requirements of Category A</v>
      </c>
    </row>
    <row r="472" spans="1:9" x14ac:dyDescent="0.2">
      <c r="A472" s="10" t="s">
        <v>8</v>
      </c>
      <c r="B472" s="11" t="s">
        <v>9</v>
      </c>
      <c r="C472" s="75"/>
      <c r="D472" s="86"/>
      <c r="E472" s="85"/>
      <c r="F472" s="12"/>
      <c r="G472" s="13"/>
      <c r="H472" s="14" t="str">
        <f t="shared" si="14"/>
        <v>A</v>
      </c>
      <c r="I472" s="15" t="str">
        <f t="shared" si="15"/>
        <v>The Commissioner &amp; Chief Constable are satisfied the spend represents VFM in accordance with the requirements of Category A</v>
      </c>
    </row>
    <row r="473" spans="1:9" x14ac:dyDescent="0.2">
      <c r="A473" s="10" t="s">
        <v>8</v>
      </c>
      <c r="B473" s="11" t="s">
        <v>9</v>
      </c>
      <c r="C473" s="75"/>
      <c r="D473" s="86"/>
      <c r="E473" s="85"/>
      <c r="F473" s="12"/>
      <c r="G473" s="13"/>
      <c r="H473" s="14" t="str">
        <f t="shared" si="14"/>
        <v>A</v>
      </c>
      <c r="I473" s="15" t="str">
        <f t="shared" si="15"/>
        <v>The Commissioner &amp; Chief Constable are satisfied the spend represents VFM in accordance with the requirements of Category A</v>
      </c>
    </row>
    <row r="474" spans="1:9" x14ac:dyDescent="0.2">
      <c r="A474" s="10" t="s">
        <v>8</v>
      </c>
      <c r="B474" s="11" t="s">
        <v>9</v>
      </c>
      <c r="C474" s="75"/>
      <c r="D474" s="86"/>
      <c r="E474" s="85"/>
      <c r="F474" s="12"/>
      <c r="G474" s="13"/>
      <c r="H474" s="14" t="str">
        <f t="shared" si="14"/>
        <v>A</v>
      </c>
      <c r="I474" s="15" t="str">
        <f t="shared" si="15"/>
        <v>The Commissioner &amp; Chief Constable are satisfied the spend represents VFM in accordance with the requirements of Category A</v>
      </c>
    </row>
    <row r="475" spans="1:9" x14ac:dyDescent="0.2">
      <c r="A475" s="10" t="s">
        <v>8</v>
      </c>
      <c r="B475" s="11" t="s">
        <v>9</v>
      </c>
      <c r="C475" s="75"/>
      <c r="D475" s="86"/>
      <c r="E475" s="85"/>
      <c r="F475" s="12"/>
      <c r="G475" s="13"/>
      <c r="H475" s="14" t="str">
        <f t="shared" si="14"/>
        <v>A</v>
      </c>
      <c r="I475" s="15" t="str">
        <f t="shared" si="15"/>
        <v>The Commissioner &amp; Chief Constable are satisfied the spend represents VFM in accordance with the requirements of Category A</v>
      </c>
    </row>
    <row r="476" spans="1:9" x14ac:dyDescent="0.2">
      <c r="A476" s="10" t="s">
        <v>8</v>
      </c>
      <c r="B476" s="11" t="s">
        <v>9</v>
      </c>
      <c r="C476" s="75"/>
      <c r="D476" s="86"/>
      <c r="E476" s="85"/>
      <c r="F476" s="12"/>
      <c r="G476" s="13"/>
      <c r="H476" s="14" t="str">
        <f t="shared" si="14"/>
        <v>A</v>
      </c>
      <c r="I476" s="15" t="str">
        <f t="shared" si="15"/>
        <v>The Commissioner &amp; Chief Constable are satisfied the spend represents VFM in accordance with the requirements of Category A</v>
      </c>
    </row>
    <row r="477" spans="1:9" x14ac:dyDescent="0.2">
      <c r="A477" s="10" t="s">
        <v>8</v>
      </c>
      <c r="B477" s="11" t="s">
        <v>9</v>
      </c>
      <c r="C477" s="75"/>
      <c r="D477" s="86"/>
      <c r="E477" s="85"/>
      <c r="F477" s="12"/>
      <c r="G477" s="13"/>
      <c r="H477" s="14" t="str">
        <f t="shared" si="14"/>
        <v>A</v>
      </c>
      <c r="I477" s="15" t="str">
        <f t="shared" si="15"/>
        <v>The Commissioner &amp; Chief Constable are satisfied the spend represents VFM in accordance with the requirements of Category A</v>
      </c>
    </row>
    <row r="478" spans="1:9" x14ac:dyDescent="0.2">
      <c r="A478" s="10" t="s">
        <v>8</v>
      </c>
      <c r="B478" s="11" t="s">
        <v>9</v>
      </c>
      <c r="C478" s="75"/>
      <c r="D478" s="86"/>
      <c r="E478" s="85"/>
      <c r="F478" s="12"/>
      <c r="G478" s="13"/>
      <c r="H478" s="14" t="str">
        <f t="shared" si="14"/>
        <v>A</v>
      </c>
      <c r="I478" s="15" t="str">
        <f t="shared" si="15"/>
        <v>The Commissioner &amp; Chief Constable are satisfied the spend represents VFM in accordance with the requirements of Category A</v>
      </c>
    </row>
    <row r="479" spans="1:9" x14ac:dyDescent="0.2">
      <c r="A479" s="10" t="s">
        <v>8</v>
      </c>
      <c r="B479" s="11" t="s">
        <v>9</v>
      </c>
      <c r="C479" s="75"/>
      <c r="D479" s="86"/>
      <c r="E479" s="85"/>
      <c r="F479" s="12"/>
      <c r="G479" s="13"/>
      <c r="H479" s="14" t="str">
        <f t="shared" si="14"/>
        <v>A</v>
      </c>
      <c r="I479" s="15" t="str">
        <f t="shared" si="15"/>
        <v>The Commissioner &amp; Chief Constable are satisfied the spend represents VFM in accordance with the requirements of Category A</v>
      </c>
    </row>
    <row r="480" spans="1:9" x14ac:dyDescent="0.2">
      <c r="A480" s="10" t="s">
        <v>8</v>
      </c>
      <c r="B480" s="11" t="s">
        <v>9</v>
      </c>
      <c r="C480" s="75"/>
      <c r="D480" s="86"/>
      <c r="E480" s="85"/>
      <c r="F480" s="12"/>
      <c r="G480" s="13"/>
      <c r="H480" s="14" t="str">
        <f t="shared" si="14"/>
        <v>A</v>
      </c>
      <c r="I480" s="15" t="str">
        <f t="shared" si="15"/>
        <v>The Commissioner &amp; Chief Constable are satisfied the spend represents VFM in accordance with the requirements of Category A</v>
      </c>
    </row>
    <row r="481" spans="1:9" x14ac:dyDescent="0.2">
      <c r="A481" s="10" t="s">
        <v>8</v>
      </c>
      <c r="B481" s="11" t="s">
        <v>9</v>
      </c>
      <c r="C481" s="75"/>
      <c r="D481" s="86"/>
      <c r="E481" s="85"/>
      <c r="F481" s="12"/>
      <c r="G481" s="13"/>
      <c r="H481" s="14" t="str">
        <f t="shared" si="14"/>
        <v>A</v>
      </c>
      <c r="I481" s="15" t="str">
        <f t="shared" si="15"/>
        <v>The Commissioner &amp; Chief Constable are satisfied the spend represents VFM in accordance with the requirements of Category A</v>
      </c>
    </row>
    <row r="482" spans="1:9" x14ac:dyDescent="0.2">
      <c r="A482" s="10" t="s">
        <v>8</v>
      </c>
      <c r="B482" s="11" t="s">
        <v>9</v>
      </c>
      <c r="C482" s="75"/>
      <c r="D482" s="86"/>
      <c r="E482" s="85"/>
      <c r="F482" s="12"/>
      <c r="G482" s="13"/>
      <c r="H482" s="14" t="str">
        <f t="shared" si="14"/>
        <v>A</v>
      </c>
      <c r="I482" s="15" t="str">
        <f t="shared" si="15"/>
        <v>The Commissioner &amp; Chief Constable are satisfied the spend represents VFM in accordance with the requirements of Category A</v>
      </c>
    </row>
    <row r="483" spans="1:9" x14ac:dyDescent="0.2">
      <c r="A483" s="10" t="s">
        <v>8</v>
      </c>
      <c r="B483" s="11" t="s">
        <v>9</v>
      </c>
      <c r="C483" s="75"/>
      <c r="D483" s="86"/>
      <c r="E483" s="85"/>
      <c r="F483" s="12"/>
      <c r="G483" s="13"/>
      <c r="H483" s="14" t="str">
        <f t="shared" si="14"/>
        <v>A</v>
      </c>
      <c r="I483" s="15" t="str">
        <f t="shared" si="15"/>
        <v>The Commissioner &amp; Chief Constable are satisfied the spend represents VFM in accordance with the requirements of Category A</v>
      </c>
    </row>
    <row r="484" spans="1:9" x14ac:dyDescent="0.2">
      <c r="A484" s="10" t="s">
        <v>8</v>
      </c>
      <c r="B484" s="11" t="s">
        <v>9</v>
      </c>
      <c r="C484" s="75"/>
      <c r="D484" s="86"/>
      <c r="E484" s="85"/>
      <c r="F484" s="12"/>
      <c r="G484" s="13"/>
      <c r="H484" s="14" t="str">
        <f t="shared" si="14"/>
        <v>A</v>
      </c>
      <c r="I484" s="15" t="str">
        <f t="shared" si="15"/>
        <v>The Commissioner &amp; Chief Constable are satisfied the spend represents VFM in accordance with the requirements of Category A</v>
      </c>
    </row>
    <row r="485" spans="1:9" x14ac:dyDescent="0.2">
      <c r="A485" s="10" t="s">
        <v>8</v>
      </c>
      <c r="B485" s="11" t="s">
        <v>9</v>
      </c>
      <c r="C485" s="75"/>
      <c r="D485" s="86"/>
      <c r="E485" s="85"/>
      <c r="F485" s="12"/>
      <c r="G485" s="13"/>
      <c r="H485" s="14" t="str">
        <f t="shared" si="14"/>
        <v>A</v>
      </c>
      <c r="I485" s="15" t="str">
        <f t="shared" si="15"/>
        <v>The Commissioner &amp; Chief Constable are satisfied the spend represents VFM in accordance with the requirements of Category A</v>
      </c>
    </row>
    <row r="486" spans="1:9" x14ac:dyDescent="0.2">
      <c r="A486" s="10" t="s">
        <v>8</v>
      </c>
      <c r="B486" s="11" t="s">
        <v>9</v>
      </c>
      <c r="C486" s="75"/>
      <c r="D486" s="86"/>
      <c r="E486" s="85"/>
      <c r="F486" s="12"/>
      <c r="G486" s="13"/>
      <c r="H486" s="14" t="str">
        <f t="shared" si="14"/>
        <v>A</v>
      </c>
      <c r="I486" s="15" t="str">
        <f t="shared" si="15"/>
        <v>The Commissioner &amp; Chief Constable are satisfied the spend represents VFM in accordance with the requirements of Category A</v>
      </c>
    </row>
    <row r="487" spans="1:9" x14ac:dyDescent="0.2">
      <c r="A487" s="10" t="s">
        <v>8</v>
      </c>
      <c r="B487" s="11" t="s">
        <v>9</v>
      </c>
      <c r="C487" s="75"/>
      <c r="D487" s="86"/>
      <c r="E487" s="85"/>
      <c r="F487" s="12"/>
      <c r="G487" s="13"/>
      <c r="H487" s="14" t="str">
        <f t="shared" si="14"/>
        <v>A</v>
      </c>
      <c r="I487" s="15" t="str">
        <f t="shared" si="15"/>
        <v>The Commissioner &amp; Chief Constable are satisfied the spend represents VFM in accordance with the requirements of Category A</v>
      </c>
    </row>
    <row r="488" spans="1:9" x14ac:dyDescent="0.2">
      <c r="A488" s="10" t="s">
        <v>8</v>
      </c>
      <c r="B488" s="11" t="s">
        <v>9</v>
      </c>
      <c r="C488" s="75"/>
      <c r="D488" s="86"/>
      <c r="E488" s="85"/>
      <c r="F488" s="12"/>
      <c r="G488" s="13"/>
      <c r="H488" s="14" t="str">
        <f t="shared" si="14"/>
        <v>A</v>
      </c>
      <c r="I488" s="15" t="str">
        <f t="shared" si="15"/>
        <v>The Commissioner &amp; Chief Constable are satisfied the spend represents VFM in accordance with the requirements of Category A</v>
      </c>
    </row>
    <row r="489" spans="1:9" x14ac:dyDescent="0.2">
      <c r="A489" s="10" t="s">
        <v>8</v>
      </c>
      <c r="B489" s="11" t="s">
        <v>9</v>
      </c>
      <c r="C489" s="75"/>
      <c r="D489" s="86"/>
      <c r="E489" s="85"/>
      <c r="F489" s="12"/>
      <c r="G489" s="13"/>
      <c r="H489" s="14" t="str">
        <f t="shared" si="14"/>
        <v>A</v>
      </c>
      <c r="I489" s="15" t="str">
        <f t="shared" si="15"/>
        <v>The Commissioner &amp; Chief Constable are satisfied the spend represents VFM in accordance with the requirements of Category A</v>
      </c>
    </row>
    <row r="490" spans="1:9" x14ac:dyDescent="0.2">
      <c r="A490" s="10" t="s">
        <v>8</v>
      </c>
      <c r="B490" s="11" t="s">
        <v>9</v>
      </c>
      <c r="C490" s="75"/>
      <c r="D490" s="86"/>
      <c r="E490" s="85"/>
      <c r="F490" s="12"/>
      <c r="G490" s="13"/>
      <c r="H490" s="14" t="str">
        <f t="shared" si="14"/>
        <v>A</v>
      </c>
      <c r="I490" s="15" t="str">
        <f t="shared" si="15"/>
        <v>The Commissioner &amp; Chief Constable are satisfied the spend represents VFM in accordance with the requirements of Category A</v>
      </c>
    </row>
    <row r="491" spans="1:9" x14ac:dyDescent="0.2">
      <c r="A491" s="10" t="s">
        <v>8</v>
      </c>
      <c r="B491" s="11" t="s">
        <v>9</v>
      </c>
      <c r="C491" s="75"/>
      <c r="D491" s="86"/>
      <c r="E491" s="85"/>
      <c r="F491" s="12"/>
      <c r="G491" s="13"/>
      <c r="H491" s="14" t="str">
        <f t="shared" si="14"/>
        <v>A</v>
      </c>
      <c r="I491" s="15" t="str">
        <f t="shared" si="15"/>
        <v>The Commissioner &amp; Chief Constable are satisfied the spend represents VFM in accordance with the requirements of Category A</v>
      </c>
    </row>
    <row r="492" spans="1:9" x14ac:dyDescent="0.2">
      <c r="A492" s="10" t="s">
        <v>8</v>
      </c>
      <c r="B492" s="11" t="s">
        <v>9</v>
      </c>
      <c r="C492" s="75"/>
      <c r="D492" s="86"/>
      <c r="E492" s="85"/>
      <c r="F492" s="12"/>
      <c r="G492" s="13"/>
      <c r="H492" s="14" t="str">
        <f t="shared" si="14"/>
        <v>A</v>
      </c>
      <c r="I492" s="15" t="str">
        <f t="shared" si="15"/>
        <v>The Commissioner &amp; Chief Constable are satisfied the spend represents VFM in accordance with the requirements of Category A</v>
      </c>
    </row>
    <row r="493" spans="1:9" x14ac:dyDescent="0.2">
      <c r="A493" s="10" t="s">
        <v>8</v>
      </c>
      <c r="B493" s="11" t="s">
        <v>9</v>
      </c>
      <c r="C493" s="75"/>
      <c r="D493" s="86"/>
      <c r="E493" s="85"/>
      <c r="F493" s="12"/>
      <c r="G493" s="13"/>
      <c r="H493" s="14" t="str">
        <f t="shared" si="14"/>
        <v>A</v>
      </c>
      <c r="I493" s="15" t="str">
        <f t="shared" si="15"/>
        <v>The Commissioner &amp; Chief Constable are satisfied the spend represents VFM in accordance with the requirements of Category A</v>
      </c>
    </row>
    <row r="494" spans="1:9" x14ac:dyDescent="0.2">
      <c r="A494" s="10" t="s">
        <v>8</v>
      </c>
      <c r="B494" s="11" t="s">
        <v>9</v>
      </c>
      <c r="C494" s="75"/>
      <c r="D494" s="86"/>
      <c r="E494" s="85"/>
      <c r="F494" s="12"/>
      <c r="G494" s="13"/>
      <c r="H494" s="14" t="str">
        <f t="shared" si="14"/>
        <v>A</v>
      </c>
      <c r="I494" s="15" t="str">
        <f t="shared" si="15"/>
        <v>The Commissioner &amp; Chief Constable are satisfied the spend represents VFM in accordance with the requirements of Category A</v>
      </c>
    </row>
    <row r="495" spans="1:9" x14ac:dyDescent="0.2">
      <c r="A495" s="10" t="s">
        <v>8</v>
      </c>
      <c r="B495" s="11" t="s">
        <v>9</v>
      </c>
      <c r="C495" s="75"/>
      <c r="D495" s="86"/>
      <c r="E495" s="85"/>
      <c r="F495" s="12"/>
      <c r="G495" s="13"/>
      <c r="H495" s="14" t="str">
        <f t="shared" si="14"/>
        <v>A</v>
      </c>
      <c r="I495" s="15" t="str">
        <f t="shared" si="15"/>
        <v>The Commissioner &amp; Chief Constable are satisfied the spend represents VFM in accordance with the requirements of Category A</v>
      </c>
    </row>
    <row r="496" spans="1:9" x14ac:dyDescent="0.2">
      <c r="A496" s="10" t="s">
        <v>8</v>
      </c>
      <c r="B496" s="11" t="s">
        <v>9</v>
      </c>
      <c r="C496" s="75"/>
      <c r="D496" s="86"/>
      <c r="E496" s="85"/>
      <c r="F496" s="12"/>
      <c r="G496" s="13"/>
      <c r="H496" s="14" t="str">
        <f t="shared" si="14"/>
        <v>A</v>
      </c>
      <c r="I496" s="15" t="str">
        <f t="shared" si="15"/>
        <v>The Commissioner &amp; Chief Constable are satisfied the spend represents VFM in accordance with the requirements of Category A</v>
      </c>
    </row>
    <row r="497" spans="1:9" x14ac:dyDescent="0.2">
      <c r="A497" s="10" t="s">
        <v>8</v>
      </c>
      <c r="B497" s="11" t="s">
        <v>9</v>
      </c>
      <c r="C497" s="75"/>
      <c r="D497" s="86"/>
      <c r="E497" s="85"/>
      <c r="F497" s="12"/>
      <c r="G497" s="13"/>
      <c r="H497" s="14" t="str">
        <f t="shared" si="14"/>
        <v>A</v>
      </c>
      <c r="I497" s="15" t="str">
        <f t="shared" si="15"/>
        <v>The Commissioner &amp; Chief Constable are satisfied the spend represents VFM in accordance with the requirements of Category A</v>
      </c>
    </row>
    <row r="498" spans="1:9" x14ac:dyDescent="0.2">
      <c r="A498" s="10" t="s">
        <v>8</v>
      </c>
      <c r="B498" s="11" t="s">
        <v>9</v>
      </c>
      <c r="C498" s="75"/>
      <c r="D498" s="86"/>
      <c r="E498" s="85"/>
      <c r="F498" s="12"/>
      <c r="G498" s="13"/>
      <c r="H498" s="14" t="str">
        <f t="shared" si="14"/>
        <v>A</v>
      </c>
      <c r="I498" s="15" t="str">
        <f t="shared" si="15"/>
        <v>The Commissioner &amp; Chief Constable are satisfied the spend represents VFM in accordance with the requirements of Category A</v>
      </c>
    </row>
    <row r="499" spans="1:9" x14ac:dyDescent="0.2">
      <c r="A499" s="10" t="s">
        <v>8</v>
      </c>
      <c r="B499" s="11" t="s">
        <v>9</v>
      </c>
      <c r="C499" s="75"/>
      <c r="D499" s="86"/>
      <c r="E499" s="85"/>
      <c r="F499" s="12"/>
      <c r="G499" s="13"/>
      <c r="H499" s="14" t="str">
        <f t="shared" si="14"/>
        <v>A</v>
      </c>
      <c r="I499" s="15" t="str">
        <f t="shared" si="15"/>
        <v>The Commissioner &amp; Chief Constable are satisfied the spend represents VFM in accordance with the requirements of Category A</v>
      </c>
    </row>
    <row r="500" spans="1:9" x14ac:dyDescent="0.2">
      <c r="A500" s="10" t="s">
        <v>8</v>
      </c>
      <c r="B500" s="11" t="s">
        <v>9</v>
      </c>
      <c r="C500" s="75"/>
      <c r="D500" s="86"/>
      <c r="E500" s="85"/>
      <c r="F500" s="12"/>
      <c r="G500" s="13"/>
      <c r="H500" s="14" t="str">
        <f t="shared" si="14"/>
        <v>A</v>
      </c>
      <c r="I500" s="15" t="str">
        <f t="shared" si="15"/>
        <v>The Commissioner &amp; Chief Constable are satisfied the spend represents VFM in accordance with the requirements of Category A</v>
      </c>
    </row>
    <row r="501" spans="1:9" x14ac:dyDescent="0.2">
      <c r="A501" s="10" t="s">
        <v>8</v>
      </c>
      <c r="B501" s="11" t="s">
        <v>9</v>
      </c>
      <c r="C501" s="75"/>
      <c r="D501" s="86"/>
      <c r="E501" s="85"/>
      <c r="F501" s="12"/>
      <c r="G501" s="13"/>
      <c r="H501" s="14" t="str">
        <f t="shared" si="14"/>
        <v>A</v>
      </c>
      <c r="I501" s="15" t="str">
        <f t="shared" si="15"/>
        <v>The Commissioner &amp; Chief Constable are satisfied the spend represents VFM in accordance with the requirements of Category A</v>
      </c>
    </row>
    <row r="502" spans="1:9" x14ac:dyDescent="0.2">
      <c r="A502" s="10" t="s">
        <v>8</v>
      </c>
      <c r="B502" s="11" t="s">
        <v>9</v>
      </c>
      <c r="C502" s="75"/>
      <c r="D502" s="86"/>
      <c r="E502" s="85"/>
      <c r="F502" s="12"/>
      <c r="G502" s="13"/>
      <c r="H502" s="14" t="str">
        <f t="shared" si="14"/>
        <v>A</v>
      </c>
      <c r="I502" s="15" t="str">
        <f t="shared" si="15"/>
        <v>The Commissioner &amp; Chief Constable are satisfied the spend represents VFM in accordance with the requirements of Category A</v>
      </c>
    </row>
    <row r="503" spans="1:9" x14ac:dyDescent="0.2">
      <c r="A503" s="10" t="s">
        <v>8</v>
      </c>
      <c r="B503" s="11" t="s">
        <v>9</v>
      </c>
      <c r="C503" s="75"/>
      <c r="D503" s="86"/>
      <c r="E503" s="85"/>
      <c r="F503" s="12"/>
      <c r="G503" s="13"/>
      <c r="H503" s="14" t="str">
        <f t="shared" si="14"/>
        <v>A</v>
      </c>
      <c r="I503" s="15" t="str">
        <f t="shared" si="15"/>
        <v>The Commissioner &amp; Chief Constable are satisfied the spend represents VFM in accordance with the requirements of Category A</v>
      </c>
    </row>
    <row r="504" spans="1:9" x14ac:dyDescent="0.2">
      <c r="A504" s="10" t="s">
        <v>8</v>
      </c>
      <c r="B504" s="11" t="s">
        <v>9</v>
      </c>
      <c r="H504" s="14" t="str">
        <f t="shared" si="14"/>
        <v>A</v>
      </c>
      <c r="I504" s="15" t="str">
        <f t="shared" si="15"/>
        <v>The Commissioner &amp; Chief Constable are satisfied the spend represents VFM in accordance with the requirements of Category A</v>
      </c>
    </row>
    <row r="505" spans="1:9" x14ac:dyDescent="0.2">
      <c r="A505" s="10" t="s">
        <v>8</v>
      </c>
      <c r="B505" s="11" t="s">
        <v>9</v>
      </c>
      <c r="H505" s="14" t="str">
        <f t="shared" si="14"/>
        <v>A</v>
      </c>
      <c r="I505" s="15" t="str">
        <f t="shared" si="15"/>
        <v>The Commissioner &amp; Chief Constable are satisfied the spend represents VFM in accordance with the requirements of Category A</v>
      </c>
    </row>
    <row r="506" spans="1:9" x14ac:dyDescent="0.2">
      <c r="A506" s="10" t="s">
        <v>8</v>
      </c>
      <c r="B506" s="11" t="s">
        <v>9</v>
      </c>
      <c r="H506" s="14" t="str">
        <f t="shared" si="14"/>
        <v>A</v>
      </c>
      <c r="I506" s="15" t="str">
        <f t="shared" si="15"/>
        <v>The Commissioner &amp; Chief Constable are satisfied the spend represents VFM in accordance with the requirements of Category A</v>
      </c>
    </row>
    <row r="507" spans="1:9" x14ac:dyDescent="0.2">
      <c r="A507" s="10" t="s">
        <v>8</v>
      </c>
      <c r="B507" s="11" t="s">
        <v>9</v>
      </c>
      <c r="H507" s="14" t="str">
        <f t="shared" si="14"/>
        <v>A</v>
      </c>
      <c r="I507" s="15" t="str">
        <f t="shared" si="15"/>
        <v>The Commissioner &amp; Chief Constable are satisfied the spend represents VFM in accordance with the requirements of Category A</v>
      </c>
    </row>
    <row r="508" spans="1:9" x14ac:dyDescent="0.2">
      <c r="A508" s="10" t="s">
        <v>8</v>
      </c>
      <c r="B508" s="11" t="s">
        <v>9</v>
      </c>
      <c r="H508" s="14" t="str">
        <f t="shared" si="14"/>
        <v>A</v>
      </c>
      <c r="I508" s="15" t="str">
        <f t="shared" si="15"/>
        <v>The Commissioner &amp; Chief Constable are satisfied the spend represents VFM in accordance with the requirements of Category A</v>
      </c>
    </row>
    <row r="509" spans="1:9" x14ac:dyDescent="0.2">
      <c r="A509" s="10" t="s">
        <v>8</v>
      </c>
      <c r="B509" s="11" t="s">
        <v>9</v>
      </c>
      <c r="H509" s="14" t="str">
        <f t="shared" si="14"/>
        <v>A</v>
      </c>
      <c r="I509" s="15" t="str">
        <f t="shared" si="15"/>
        <v>The Commissioner &amp; Chief Constable are satisfied the spend represents VFM in accordance with the requirements of Category A</v>
      </c>
    </row>
    <row r="510" spans="1:9" x14ac:dyDescent="0.2">
      <c r="A510" s="10" t="s">
        <v>8</v>
      </c>
      <c r="B510" s="11" t="s">
        <v>9</v>
      </c>
      <c r="H510" s="14" t="str">
        <f t="shared" si="14"/>
        <v>A</v>
      </c>
      <c r="I510" s="15" t="str">
        <f t="shared" si="15"/>
        <v>The Commissioner &amp; Chief Constable are satisfied the spend represents VFM in accordance with the requirements of Category A</v>
      </c>
    </row>
    <row r="511" spans="1:9" x14ac:dyDescent="0.2">
      <c r="A511" s="10" t="s">
        <v>8</v>
      </c>
      <c r="B511" s="11" t="s">
        <v>9</v>
      </c>
      <c r="H511" s="14" t="str">
        <f t="shared" si="14"/>
        <v>A</v>
      </c>
      <c r="I511" s="15" t="str">
        <f t="shared" si="15"/>
        <v>The Commissioner &amp; Chief Constable are satisfied the spend represents VFM in accordance with the requirements of Category A</v>
      </c>
    </row>
  </sheetData>
  <autoFilter ref="A1:N511" xr:uid="{272ED5F8-8732-4656-9BAD-7C67FFCB84A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E57D-B22B-4F19-A76D-7B12754EBB21}">
  <dimension ref="A1:M506"/>
  <sheetViews>
    <sheetView zoomScaleNormal="100" workbookViewId="0">
      <selection activeCell="A2" sqref="A2"/>
    </sheetView>
  </sheetViews>
  <sheetFormatPr defaultColWidth="9.140625" defaultRowHeight="11.25" x14ac:dyDescent="0.2"/>
  <cols>
    <col min="1" max="1" width="35.28515625" style="21" bestFit="1" customWidth="1"/>
    <col min="2" max="2" width="18.85546875" style="21" bestFit="1" customWidth="1"/>
    <col min="3" max="3" width="44.85546875" style="20" bestFit="1" customWidth="1"/>
    <col min="4" max="4" width="20" style="71" customWidth="1"/>
    <col min="5" max="5" width="10.28515625" style="22" customWidth="1"/>
    <col min="6" max="6" width="11.140625" style="23" bestFit="1" customWidth="1"/>
    <col min="7" max="7" width="38.85546875" style="20" bestFit="1" customWidth="1"/>
    <col min="8" max="8" width="11.7109375" style="24" bestFit="1" customWidth="1"/>
    <col min="9" max="9" width="93.42578125" style="20" bestFit="1" customWidth="1"/>
    <col min="10" max="10" width="1.7109375" style="20" customWidth="1"/>
    <col min="11" max="11" width="16.140625" style="20" bestFit="1" customWidth="1"/>
    <col min="12" max="13" width="5.7109375" style="17" hidden="1" customWidth="1"/>
    <col min="14" max="14" width="5.7109375" style="17" bestFit="1" customWidth="1"/>
    <col min="15" max="16384" width="9.140625" style="17"/>
  </cols>
  <sheetData>
    <row r="1" spans="1:13" s="8" customFormat="1" ht="32.25" thickBot="1" x14ac:dyDescent="0.3">
      <c r="A1" s="1" t="s">
        <v>0</v>
      </c>
      <c r="B1" s="2" t="s">
        <v>1</v>
      </c>
      <c r="C1" s="3"/>
      <c r="D1" s="78"/>
      <c r="E1" s="4"/>
      <c r="F1" s="5"/>
      <c r="G1" s="6"/>
      <c r="H1" s="6" t="s">
        <v>6</v>
      </c>
      <c r="I1" s="7" t="s">
        <v>7</v>
      </c>
      <c r="K1" s="9"/>
    </row>
    <row r="2" spans="1:13" x14ac:dyDescent="0.2">
      <c r="A2" s="10" t="s">
        <v>8</v>
      </c>
      <c r="B2" s="11" t="s">
        <v>9</v>
      </c>
      <c r="C2" s="75" t="s">
        <v>897</v>
      </c>
      <c r="D2" s="86">
        <v>7178031</v>
      </c>
      <c r="E2" s="85">
        <v>45575</v>
      </c>
      <c r="F2" s="12">
        <v>330280.73</v>
      </c>
      <c r="G2" s="13" t="s">
        <v>22</v>
      </c>
      <c r="H2" s="14" t="s">
        <v>20</v>
      </c>
      <c r="I2" s="15" t="s">
        <v>21</v>
      </c>
      <c r="J2" s="16"/>
      <c r="K2" s="16"/>
      <c r="L2" s="17" t="s">
        <v>12</v>
      </c>
      <c r="M2" s="15" t="s">
        <v>13</v>
      </c>
    </row>
    <row r="3" spans="1:13" x14ac:dyDescent="0.2">
      <c r="A3" s="10" t="s">
        <v>8</v>
      </c>
      <c r="B3" s="11" t="s">
        <v>9</v>
      </c>
      <c r="C3" s="75" t="s">
        <v>947</v>
      </c>
      <c r="D3" s="86">
        <v>9036457</v>
      </c>
      <c r="E3" s="85">
        <v>45588</v>
      </c>
      <c r="F3" s="12">
        <v>325665.08</v>
      </c>
      <c r="G3" s="13" t="s">
        <v>19</v>
      </c>
      <c r="H3" s="14" t="s">
        <v>20</v>
      </c>
      <c r="I3" s="15" t="s">
        <v>21</v>
      </c>
      <c r="J3" s="16"/>
      <c r="K3" s="16"/>
      <c r="L3" s="17" t="s">
        <v>16</v>
      </c>
      <c r="M3" s="15" t="s">
        <v>17</v>
      </c>
    </row>
    <row r="4" spans="1:13" x14ac:dyDescent="0.2">
      <c r="A4" s="10" t="s">
        <v>8</v>
      </c>
      <c r="B4" s="11" t="s">
        <v>9</v>
      </c>
      <c r="C4" s="75" t="s">
        <v>908</v>
      </c>
      <c r="D4" s="86">
        <v>7177855</v>
      </c>
      <c r="E4" s="85">
        <v>45569</v>
      </c>
      <c r="F4" s="12">
        <v>136762.99</v>
      </c>
      <c r="G4" s="13" t="s">
        <v>164</v>
      </c>
      <c r="H4" s="14" t="s">
        <v>20</v>
      </c>
      <c r="I4" s="15" t="s">
        <v>21</v>
      </c>
      <c r="J4" s="16"/>
      <c r="K4" s="16"/>
    </row>
    <row r="5" spans="1:13" x14ac:dyDescent="0.2">
      <c r="A5" s="10" t="s">
        <v>8</v>
      </c>
      <c r="B5" s="11" t="s">
        <v>9</v>
      </c>
      <c r="C5" s="75" t="s">
        <v>493</v>
      </c>
      <c r="D5" s="86">
        <v>7178102</v>
      </c>
      <c r="E5" s="85">
        <v>45576</v>
      </c>
      <c r="F5" s="12">
        <v>125863.5</v>
      </c>
      <c r="G5" s="13" t="s">
        <v>27</v>
      </c>
      <c r="H5" s="14" t="s">
        <v>20</v>
      </c>
      <c r="I5" s="15" t="s">
        <v>21</v>
      </c>
      <c r="J5" s="16"/>
      <c r="K5" s="16"/>
    </row>
    <row r="6" spans="1:13" x14ac:dyDescent="0.2">
      <c r="A6" s="10" t="s">
        <v>8</v>
      </c>
      <c r="B6" s="11" t="s">
        <v>9</v>
      </c>
      <c r="C6" s="77" t="s">
        <v>140</v>
      </c>
      <c r="D6" s="86">
        <v>7177117</v>
      </c>
      <c r="E6" s="85">
        <v>45573</v>
      </c>
      <c r="F6" s="12">
        <v>119387.39</v>
      </c>
      <c r="G6" s="13" t="s">
        <v>34</v>
      </c>
      <c r="H6" s="14" t="s">
        <v>20</v>
      </c>
      <c r="I6" s="15" t="s">
        <v>21</v>
      </c>
      <c r="J6" s="16"/>
      <c r="K6" s="16"/>
    </row>
    <row r="7" spans="1:13" x14ac:dyDescent="0.2">
      <c r="A7" s="10" t="s">
        <v>8</v>
      </c>
      <c r="B7" s="11" t="s">
        <v>9</v>
      </c>
      <c r="C7" s="75" t="s">
        <v>799</v>
      </c>
      <c r="D7" s="86">
        <v>7177890</v>
      </c>
      <c r="E7" s="85">
        <v>45586</v>
      </c>
      <c r="F7" s="12">
        <v>100613.08</v>
      </c>
      <c r="G7" s="13" t="s">
        <v>164</v>
      </c>
      <c r="H7" s="14" t="s">
        <v>20</v>
      </c>
      <c r="I7" s="15" t="s">
        <v>21</v>
      </c>
      <c r="J7" s="16"/>
      <c r="K7" s="16"/>
    </row>
    <row r="8" spans="1:13" x14ac:dyDescent="0.2">
      <c r="A8" s="10" t="s">
        <v>8</v>
      </c>
      <c r="B8" s="11" t="s">
        <v>9</v>
      </c>
      <c r="C8" s="77" t="s">
        <v>30</v>
      </c>
      <c r="D8" s="86">
        <v>7177769</v>
      </c>
      <c r="E8" s="85">
        <v>45568</v>
      </c>
      <c r="F8" s="12">
        <v>90352.81</v>
      </c>
      <c r="G8" s="13" t="s">
        <v>31</v>
      </c>
      <c r="H8" s="14" t="s">
        <v>20</v>
      </c>
      <c r="I8" s="15" t="s">
        <v>21</v>
      </c>
      <c r="J8" s="16"/>
      <c r="K8" s="16"/>
    </row>
    <row r="9" spans="1:13" x14ac:dyDescent="0.2">
      <c r="A9" s="10" t="s">
        <v>8</v>
      </c>
      <c r="B9" s="11" t="s">
        <v>9</v>
      </c>
      <c r="C9" s="75" t="s">
        <v>33</v>
      </c>
      <c r="D9" s="86">
        <v>7176015</v>
      </c>
      <c r="E9" s="85">
        <v>45576</v>
      </c>
      <c r="F9" s="12">
        <v>806.05000000000007</v>
      </c>
      <c r="G9" s="13" t="s">
        <v>34</v>
      </c>
      <c r="H9" s="14" t="s">
        <v>12</v>
      </c>
      <c r="I9" s="15" t="s">
        <v>13</v>
      </c>
      <c r="J9" s="16"/>
      <c r="K9" s="16"/>
    </row>
    <row r="10" spans="1:13" x14ac:dyDescent="0.2">
      <c r="A10" s="10" t="s">
        <v>8</v>
      </c>
      <c r="B10" s="11" t="s">
        <v>9</v>
      </c>
      <c r="C10" s="75" t="s">
        <v>33</v>
      </c>
      <c r="D10" s="86">
        <v>7176015</v>
      </c>
      <c r="E10" s="85">
        <v>45576</v>
      </c>
      <c r="F10" s="12">
        <v>7950.51</v>
      </c>
      <c r="G10" s="13" t="s">
        <v>24</v>
      </c>
      <c r="H10" s="14" t="s">
        <v>16</v>
      </c>
      <c r="I10" s="15" t="s">
        <v>17</v>
      </c>
      <c r="J10" s="16"/>
      <c r="K10" s="16"/>
    </row>
    <row r="11" spans="1:13" x14ac:dyDescent="0.2">
      <c r="A11" s="10" t="s">
        <v>8</v>
      </c>
      <c r="B11" s="11" t="s">
        <v>9</v>
      </c>
      <c r="C11" s="77" t="s">
        <v>33</v>
      </c>
      <c r="D11" s="86">
        <v>7176015</v>
      </c>
      <c r="E11" s="85">
        <v>45576</v>
      </c>
      <c r="F11" s="18">
        <v>761.58</v>
      </c>
      <c r="G11" s="13" t="s">
        <v>36</v>
      </c>
      <c r="H11" s="14" t="s">
        <v>12</v>
      </c>
      <c r="I11" s="15" t="s">
        <v>13</v>
      </c>
      <c r="J11" s="16"/>
      <c r="K11" s="16"/>
    </row>
    <row r="12" spans="1:13" x14ac:dyDescent="0.2">
      <c r="A12" s="10" t="s">
        <v>8</v>
      </c>
      <c r="B12" s="11" t="s">
        <v>9</v>
      </c>
      <c r="C12" s="75" t="s">
        <v>33</v>
      </c>
      <c r="D12" s="86">
        <v>7176015</v>
      </c>
      <c r="E12" s="85">
        <v>45576</v>
      </c>
      <c r="F12" s="18">
        <v>30230.36</v>
      </c>
      <c r="G12" s="13" t="s">
        <v>37</v>
      </c>
      <c r="H12" s="14" t="s">
        <v>20</v>
      </c>
      <c r="I12" s="15" t="s">
        <v>21</v>
      </c>
      <c r="J12" s="16"/>
      <c r="K12" s="16"/>
    </row>
    <row r="13" spans="1:13" x14ac:dyDescent="0.2">
      <c r="A13" s="10" t="s">
        <v>8</v>
      </c>
      <c r="B13" s="11" t="s">
        <v>9</v>
      </c>
      <c r="C13" s="75" t="s">
        <v>33</v>
      </c>
      <c r="D13" s="86">
        <v>7176015</v>
      </c>
      <c r="E13" s="85">
        <v>45576</v>
      </c>
      <c r="F13" s="18">
        <v>18438.89</v>
      </c>
      <c r="G13" s="19" t="s">
        <v>38</v>
      </c>
      <c r="H13" s="14" t="s">
        <v>16</v>
      </c>
      <c r="I13" s="15" t="s">
        <v>17</v>
      </c>
      <c r="J13" s="16"/>
      <c r="K13" s="16"/>
    </row>
    <row r="14" spans="1:13" x14ac:dyDescent="0.2">
      <c r="A14" s="10" t="s">
        <v>8</v>
      </c>
      <c r="B14" s="11" t="s">
        <v>9</v>
      </c>
      <c r="C14" s="75" t="s">
        <v>33</v>
      </c>
      <c r="D14" s="86">
        <v>7176015</v>
      </c>
      <c r="E14" s="85">
        <v>45576</v>
      </c>
      <c r="F14" s="18">
        <v>910.74</v>
      </c>
      <c r="G14" s="13" t="s">
        <v>39</v>
      </c>
      <c r="H14" s="14" t="s">
        <v>12</v>
      </c>
      <c r="I14" s="15" t="s">
        <v>13</v>
      </c>
      <c r="J14" s="16"/>
      <c r="K14" s="16"/>
    </row>
    <row r="15" spans="1:13" x14ac:dyDescent="0.2">
      <c r="A15" s="10" t="s">
        <v>8</v>
      </c>
      <c r="B15" s="11" t="s">
        <v>9</v>
      </c>
      <c r="C15" s="75" t="s">
        <v>33</v>
      </c>
      <c r="D15" s="86">
        <v>7176015</v>
      </c>
      <c r="E15" s="85">
        <v>45576</v>
      </c>
      <c r="F15" s="18">
        <v>562.24</v>
      </c>
      <c r="G15" s="13" t="s">
        <v>42</v>
      </c>
      <c r="H15" s="14" t="s">
        <v>12</v>
      </c>
      <c r="I15" s="15" t="s">
        <v>13</v>
      </c>
      <c r="J15" s="16"/>
      <c r="K15" s="16"/>
    </row>
    <row r="16" spans="1:13" x14ac:dyDescent="0.2">
      <c r="A16" s="10" t="s">
        <v>8</v>
      </c>
      <c r="B16" s="11" t="s">
        <v>9</v>
      </c>
      <c r="C16" s="77" t="s">
        <v>33</v>
      </c>
      <c r="D16" s="86">
        <v>7176015</v>
      </c>
      <c r="E16" s="85">
        <v>45576</v>
      </c>
      <c r="F16" s="18">
        <v>535.35</v>
      </c>
      <c r="G16" s="13" t="s">
        <v>43</v>
      </c>
      <c r="H16" s="14" t="s">
        <v>12</v>
      </c>
      <c r="I16" s="15" t="s">
        <v>13</v>
      </c>
      <c r="J16" s="16"/>
      <c r="K16" s="16"/>
    </row>
    <row r="17" spans="1:11" x14ac:dyDescent="0.2">
      <c r="A17" s="10" t="s">
        <v>8</v>
      </c>
      <c r="B17" s="11" t="s">
        <v>9</v>
      </c>
      <c r="C17" s="75" t="s">
        <v>33</v>
      </c>
      <c r="D17" s="86">
        <v>7176015</v>
      </c>
      <c r="E17" s="85">
        <v>45576</v>
      </c>
      <c r="F17" s="18">
        <v>22530.6</v>
      </c>
      <c r="G17" s="13" t="s">
        <v>158</v>
      </c>
      <c r="H17" s="14" t="s">
        <v>16</v>
      </c>
      <c r="I17" s="15" t="s">
        <v>17</v>
      </c>
      <c r="J17" s="16"/>
      <c r="K17" s="16"/>
    </row>
    <row r="18" spans="1:11" x14ac:dyDescent="0.2">
      <c r="A18" s="10" t="s">
        <v>8</v>
      </c>
      <c r="B18" s="11" t="s">
        <v>9</v>
      </c>
      <c r="C18" s="77" t="s">
        <v>46</v>
      </c>
      <c r="D18" s="86">
        <v>7177692</v>
      </c>
      <c r="E18" s="85">
        <v>45568</v>
      </c>
      <c r="F18" s="18">
        <v>80949.009999999995</v>
      </c>
      <c r="G18" s="13" t="s">
        <v>47</v>
      </c>
      <c r="H18" s="14" t="s">
        <v>20</v>
      </c>
      <c r="I18" s="15" t="s">
        <v>21</v>
      </c>
      <c r="J18" s="16"/>
      <c r="K18" s="16"/>
    </row>
    <row r="19" spans="1:11" x14ac:dyDescent="0.2">
      <c r="A19" s="10" t="s">
        <v>8</v>
      </c>
      <c r="B19" s="11" t="s">
        <v>9</v>
      </c>
      <c r="C19" s="75" t="s">
        <v>74</v>
      </c>
      <c r="D19" s="86">
        <v>7177924</v>
      </c>
      <c r="E19" s="85">
        <v>45593</v>
      </c>
      <c r="F19" s="18">
        <v>78611.350000000006</v>
      </c>
      <c r="G19" s="13" t="s">
        <v>15</v>
      </c>
      <c r="H19" s="14" t="s">
        <v>20</v>
      </c>
      <c r="I19" s="15" t="s">
        <v>21</v>
      </c>
      <c r="J19" s="16"/>
      <c r="K19" s="16"/>
    </row>
    <row r="20" spans="1:11" x14ac:dyDescent="0.2">
      <c r="A20" s="10" t="s">
        <v>8</v>
      </c>
      <c r="B20" s="11" t="s">
        <v>9</v>
      </c>
      <c r="C20" s="75" t="s">
        <v>166</v>
      </c>
      <c r="D20" s="86">
        <v>7177860</v>
      </c>
      <c r="E20" s="85">
        <v>45574</v>
      </c>
      <c r="F20" s="12">
        <v>74033</v>
      </c>
      <c r="G20" s="13" t="s">
        <v>22</v>
      </c>
      <c r="H20" s="14" t="s">
        <v>20</v>
      </c>
      <c r="I20" s="15" t="s">
        <v>21</v>
      </c>
      <c r="J20" s="16"/>
      <c r="K20" s="16"/>
    </row>
    <row r="21" spans="1:11" x14ac:dyDescent="0.2">
      <c r="A21" s="10" t="s">
        <v>8</v>
      </c>
      <c r="B21" s="11" t="s">
        <v>9</v>
      </c>
      <c r="C21" s="75" t="s">
        <v>110</v>
      </c>
      <c r="D21" s="86">
        <v>7176927</v>
      </c>
      <c r="E21" s="85">
        <v>45574</v>
      </c>
      <c r="F21" s="12">
        <v>73687</v>
      </c>
      <c r="G21" s="13" t="s">
        <v>49</v>
      </c>
      <c r="H21" s="14" t="s">
        <v>20</v>
      </c>
      <c r="I21" s="15" t="s">
        <v>21</v>
      </c>
      <c r="J21" s="16"/>
      <c r="K21" s="16"/>
    </row>
    <row r="22" spans="1:11" x14ac:dyDescent="0.2">
      <c r="A22" s="10" t="s">
        <v>8</v>
      </c>
      <c r="B22" s="11" t="s">
        <v>9</v>
      </c>
      <c r="C22" s="77" t="s">
        <v>44</v>
      </c>
      <c r="D22" s="86">
        <v>7177962</v>
      </c>
      <c r="E22" s="85">
        <v>45574</v>
      </c>
      <c r="F22" s="12">
        <v>66008</v>
      </c>
      <c r="G22" s="13" t="s">
        <v>45</v>
      </c>
      <c r="H22" s="14" t="s">
        <v>20</v>
      </c>
      <c r="I22" s="15" t="s">
        <v>21</v>
      </c>
      <c r="J22" s="16"/>
      <c r="K22" s="16"/>
    </row>
    <row r="23" spans="1:11" x14ac:dyDescent="0.2">
      <c r="A23" s="10" t="s">
        <v>8</v>
      </c>
      <c r="B23" s="11" t="s">
        <v>9</v>
      </c>
      <c r="C23" s="75" t="s">
        <v>448</v>
      </c>
      <c r="D23" s="86">
        <v>7177208</v>
      </c>
      <c r="E23" s="85">
        <v>45574</v>
      </c>
      <c r="F23" s="12">
        <v>64753</v>
      </c>
      <c r="G23" s="13" t="s">
        <v>27</v>
      </c>
      <c r="H23" s="14" t="s">
        <v>20</v>
      </c>
      <c r="I23" s="15" t="s">
        <v>21</v>
      </c>
      <c r="J23" s="16"/>
      <c r="K23" s="16"/>
    </row>
    <row r="24" spans="1:11" x14ac:dyDescent="0.2">
      <c r="A24" s="10" t="s">
        <v>8</v>
      </c>
      <c r="B24" s="11" t="s">
        <v>9</v>
      </c>
      <c r="C24" s="75" t="s">
        <v>26</v>
      </c>
      <c r="D24" s="86">
        <v>7178091</v>
      </c>
      <c r="E24" s="85">
        <v>45579</v>
      </c>
      <c r="F24" s="12">
        <v>64303.53</v>
      </c>
      <c r="G24" s="13" t="s">
        <v>53</v>
      </c>
      <c r="H24" s="14" t="s">
        <v>20</v>
      </c>
      <c r="I24" s="15" t="s">
        <v>21</v>
      </c>
      <c r="J24" s="16"/>
      <c r="K24" s="16"/>
    </row>
    <row r="25" spans="1:11" x14ac:dyDescent="0.2">
      <c r="A25" s="10" t="s">
        <v>8</v>
      </c>
      <c r="B25" s="11" t="s">
        <v>9</v>
      </c>
      <c r="C25" s="75" t="s">
        <v>77</v>
      </c>
      <c r="D25" s="86">
        <v>7177777</v>
      </c>
      <c r="E25" s="85">
        <v>45574</v>
      </c>
      <c r="F25" s="12">
        <v>60873</v>
      </c>
      <c r="G25" s="13" t="s">
        <v>22</v>
      </c>
      <c r="H25" s="14" t="s">
        <v>20</v>
      </c>
      <c r="I25" s="15" t="s">
        <v>21</v>
      </c>
      <c r="J25" s="16"/>
      <c r="K25" s="16"/>
    </row>
    <row r="26" spans="1:11" x14ac:dyDescent="0.2">
      <c r="A26" s="10" t="s">
        <v>8</v>
      </c>
      <c r="B26" s="11" t="s">
        <v>9</v>
      </c>
      <c r="C26" s="75" t="s">
        <v>197</v>
      </c>
      <c r="D26" s="86">
        <v>7177741</v>
      </c>
      <c r="E26" s="85">
        <v>45568</v>
      </c>
      <c r="F26" s="12">
        <v>57731.94</v>
      </c>
      <c r="G26" s="13" t="s">
        <v>155</v>
      </c>
      <c r="H26" s="14" t="s">
        <v>20</v>
      </c>
      <c r="I26" s="15" t="s">
        <v>21</v>
      </c>
      <c r="J26" s="16"/>
      <c r="K26" s="16"/>
    </row>
    <row r="27" spans="1:11" x14ac:dyDescent="0.2">
      <c r="A27" s="10" t="s">
        <v>8</v>
      </c>
      <c r="B27" s="11" t="s">
        <v>9</v>
      </c>
      <c r="C27" s="75" t="s">
        <v>415</v>
      </c>
      <c r="D27" s="86">
        <v>7178067</v>
      </c>
      <c r="E27" s="85">
        <v>45580</v>
      </c>
      <c r="F27" s="12">
        <v>56776.32</v>
      </c>
      <c r="G27" s="19" t="s">
        <v>38</v>
      </c>
      <c r="H27" s="14" t="s">
        <v>20</v>
      </c>
      <c r="I27" s="15" t="s">
        <v>21</v>
      </c>
      <c r="J27" s="16"/>
      <c r="K27" s="16"/>
    </row>
    <row r="28" spans="1:11" x14ac:dyDescent="0.2">
      <c r="A28" s="10" t="s">
        <v>8</v>
      </c>
      <c r="B28" s="11" t="s">
        <v>9</v>
      </c>
      <c r="C28" s="75" t="s">
        <v>946</v>
      </c>
      <c r="D28" s="86">
        <v>7177722</v>
      </c>
      <c r="E28" s="85">
        <v>45586</v>
      </c>
      <c r="F28" s="12">
        <v>55000</v>
      </c>
      <c r="G28" s="19" t="s">
        <v>15</v>
      </c>
      <c r="H28" s="14" t="s">
        <v>20</v>
      </c>
      <c r="I28" s="15" t="s">
        <v>21</v>
      </c>
      <c r="J28" s="16"/>
      <c r="K28" s="16"/>
    </row>
    <row r="29" spans="1:11" x14ac:dyDescent="0.2">
      <c r="A29" s="10" t="s">
        <v>8</v>
      </c>
      <c r="B29" s="11" t="s">
        <v>9</v>
      </c>
      <c r="C29" s="75" t="s">
        <v>85</v>
      </c>
      <c r="D29" s="86">
        <v>7177389</v>
      </c>
      <c r="E29" s="85">
        <v>45574</v>
      </c>
      <c r="F29" s="12">
        <v>54150.69</v>
      </c>
      <c r="G29" s="19" t="s">
        <v>27</v>
      </c>
      <c r="H29" s="14" t="s">
        <v>20</v>
      </c>
      <c r="I29" s="15" t="s">
        <v>21</v>
      </c>
      <c r="J29" s="16"/>
      <c r="K29" s="16"/>
    </row>
    <row r="30" spans="1:11" x14ac:dyDescent="0.2">
      <c r="A30" s="10" t="s">
        <v>8</v>
      </c>
      <c r="B30" s="11" t="s">
        <v>9</v>
      </c>
      <c r="C30" s="75" t="s">
        <v>588</v>
      </c>
      <c r="D30" s="86">
        <v>7177749</v>
      </c>
      <c r="E30" s="85">
        <v>45572</v>
      </c>
      <c r="F30" s="12">
        <v>52073.34</v>
      </c>
      <c r="G30" s="19" t="s">
        <v>62</v>
      </c>
      <c r="H30" s="14" t="s">
        <v>20</v>
      </c>
      <c r="I30" s="15" t="s">
        <v>21</v>
      </c>
      <c r="J30" s="16"/>
      <c r="K30" s="16"/>
    </row>
    <row r="31" spans="1:11" x14ac:dyDescent="0.2">
      <c r="A31" s="10" t="s">
        <v>8</v>
      </c>
      <c r="B31" s="11" t="s">
        <v>9</v>
      </c>
      <c r="C31" s="75" t="s">
        <v>588</v>
      </c>
      <c r="D31" s="86">
        <v>7177748</v>
      </c>
      <c r="E31" s="85">
        <v>45572</v>
      </c>
      <c r="F31" s="12">
        <v>52073.34</v>
      </c>
      <c r="G31" s="19" t="s">
        <v>62</v>
      </c>
      <c r="H31" s="14" t="s">
        <v>20</v>
      </c>
      <c r="I31" s="15" t="s">
        <v>21</v>
      </c>
      <c r="J31" s="16"/>
      <c r="K31" s="16"/>
    </row>
    <row r="32" spans="1:11" x14ac:dyDescent="0.2">
      <c r="A32" s="10" t="s">
        <v>8</v>
      </c>
      <c r="B32" s="11" t="s">
        <v>9</v>
      </c>
      <c r="C32" s="75" t="s">
        <v>588</v>
      </c>
      <c r="D32" s="86">
        <v>7177750</v>
      </c>
      <c r="E32" s="85">
        <v>45572</v>
      </c>
      <c r="F32" s="12">
        <v>52073.34</v>
      </c>
      <c r="G32" s="19" t="s">
        <v>62</v>
      </c>
      <c r="H32" s="14" t="s">
        <v>20</v>
      </c>
      <c r="I32" s="15" t="s">
        <v>21</v>
      </c>
      <c r="J32" s="16"/>
      <c r="K32" s="16"/>
    </row>
    <row r="33" spans="1:11" x14ac:dyDescent="0.2">
      <c r="A33" s="10" t="s">
        <v>8</v>
      </c>
      <c r="B33" s="11" t="s">
        <v>9</v>
      </c>
      <c r="C33" s="75" t="s">
        <v>588</v>
      </c>
      <c r="D33" s="86">
        <v>7177752</v>
      </c>
      <c r="E33" s="85">
        <v>45572</v>
      </c>
      <c r="F33" s="12">
        <v>52073.34</v>
      </c>
      <c r="G33" s="13" t="s">
        <v>62</v>
      </c>
      <c r="H33" s="14" t="s">
        <v>20</v>
      </c>
      <c r="I33" s="15" t="s">
        <v>21</v>
      </c>
      <c r="J33" s="16"/>
      <c r="K33" s="16"/>
    </row>
    <row r="34" spans="1:11" x14ac:dyDescent="0.2">
      <c r="A34" s="10" t="s">
        <v>8</v>
      </c>
      <c r="B34" s="11" t="s">
        <v>9</v>
      </c>
      <c r="C34" s="75" t="s">
        <v>26</v>
      </c>
      <c r="D34" s="86">
        <v>7177711</v>
      </c>
      <c r="E34" s="85">
        <v>45586</v>
      </c>
      <c r="F34" s="12">
        <v>51751.19</v>
      </c>
      <c r="G34" s="13" t="s">
        <v>712</v>
      </c>
      <c r="H34" s="14" t="s">
        <v>20</v>
      </c>
      <c r="I34" s="15" t="s">
        <v>21</v>
      </c>
      <c r="J34" s="16"/>
      <c r="K34" s="16"/>
    </row>
    <row r="35" spans="1:11" x14ac:dyDescent="0.2">
      <c r="A35" s="10" t="s">
        <v>8</v>
      </c>
      <c r="B35" s="11" t="s">
        <v>9</v>
      </c>
      <c r="C35" s="75" t="s">
        <v>591</v>
      </c>
      <c r="D35" s="86">
        <v>7177446</v>
      </c>
      <c r="E35" s="85">
        <v>45575</v>
      </c>
      <c r="F35" s="12">
        <v>48625</v>
      </c>
      <c r="G35" s="13" t="s">
        <v>27</v>
      </c>
      <c r="H35" s="14" t="s">
        <v>20</v>
      </c>
      <c r="I35" s="15" t="s">
        <v>21</v>
      </c>
      <c r="J35" s="16"/>
      <c r="K35" s="16"/>
    </row>
    <row r="36" spans="1:11" x14ac:dyDescent="0.2">
      <c r="A36" s="10" t="s">
        <v>8</v>
      </c>
      <c r="B36" s="11" t="s">
        <v>9</v>
      </c>
      <c r="C36" s="75" t="s">
        <v>591</v>
      </c>
      <c r="D36" s="86">
        <v>7177445</v>
      </c>
      <c r="E36" s="85">
        <v>45574</v>
      </c>
      <c r="F36" s="12">
        <v>48625</v>
      </c>
      <c r="G36" s="13" t="s">
        <v>27</v>
      </c>
      <c r="H36" s="14" t="s">
        <v>20</v>
      </c>
      <c r="I36" s="15" t="s">
        <v>21</v>
      </c>
      <c r="J36" s="16"/>
      <c r="K36" s="16"/>
    </row>
    <row r="37" spans="1:11" x14ac:dyDescent="0.2">
      <c r="A37" s="10" t="s">
        <v>8</v>
      </c>
      <c r="B37" s="11" t="s">
        <v>9</v>
      </c>
      <c r="C37" s="75" t="s">
        <v>588</v>
      </c>
      <c r="D37" s="86">
        <v>7177753</v>
      </c>
      <c r="E37" s="85">
        <v>45572</v>
      </c>
      <c r="F37" s="12">
        <v>47923.34</v>
      </c>
      <c r="G37" s="13" t="s">
        <v>62</v>
      </c>
      <c r="H37" s="14" t="s">
        <v>20</v>
      </c>
      <c r="I37" s="15" t="s">
        <v>21</v>
      </c>
      <c r="J37" s="16"/>
      <c r="K37" s="16"/>
    </row>
    <row r="38" spans="1:11" x14ac:dyDescent="0.2">
      <c r="A38" s="10" t="s">
        <v>8</v>
      </c>
      <c r="B38" s="11" t="s">
        <v>9</v>
      </c>
      <c r="C38" s="75" t="s">
        <v>52</v>
      </c>
      <c r="D38" s="86">
        <v>7178030</v>
      </c>
      <c r="E38" s="85">
        <v>45574</v>
      </c>
      <c r="F38" s="12">
        <v>46554</v>
      </c>
      <c r="G38" s="13" t="s">
        <v>45</v>
      </c>
      <c r="H38" s="14" t="s">
        <v>20</v>
      </c>
      <c r="I38" s="15" t="s">
        <v>21</v>
      </c>
      <c r="J38" s="16"/>
      <c r="K38" s="16"/>
    </row>
    <row r="39" spans="1:11" x14ac:dyDescent="0.2">
      <c r="A39" s="10" t="s">
        <v>8</v>
      </c>
      <c r="B39" s="11" t="s">
        <v>9</v>
      </c>
      <c r="C39" s="75" t="s">
        <v>74</v>
      </c>
      <c r="D39" s="86">
        <v>7178195</v>
      </c>
      <c r="E39" s="85">
        <v>45588</v>
      </c>
      <c r="F39" s="12">
        <v>40000</v>
      </c>
      <c r="G39" s="13" t="s">
        <v>15</v>
      </c>
      <c r="H39" s="14" t="s">
        <v>20</v>
      </c>
      <c r="I39" s="15" t="s">
        <v>21</v>
      </c>
      <c r="J39" s="16"/>
      <c r="K39" s="16"/>
    </row>
    <row r="40" spans="1:11" x14ac:dyDescent="0.2">
      <c r="A40" s="10" t="s">
        <v>8</v>
      </c>
      <c r="B40" s="11" t="s">
        <v>9</v>
      </c>
      <c r="C40" s="75" t="s">
        <v>415</v>
      </c>
      <c r="D40" s="86">
        <v>7177734</v>
      </c>
      <c r="E40" s="85">
        <v>45567</v>
      </c>
      <c r="F40" s="12">
        <v>38000</v>
      </c>
      <c r="G40" s="13" t="s">
        <v>164</v>
      </c>
      <c r="H40" s="14" t="s">
        <v>20</v>
      </c>
      <c r="I40" s="15" t="s">
        <v>21</v>
      </c>
      <c r="J40" s="16"/>
      <c r="K40" s="16"/>
    </row>
    <row r="41" spans="1:11" x14ac:dyDescent="0.2">
      <c r="A41" s="10" t="s">
        <v>8</v>
      </c>
      <c r="B41" s="11" t="s">
        <v>9</v>
      </c>
      <c r="C41" s="75" t="s">
        <v>589</v>
      </c>
      <c r="D41" s="86">
        <v>7177956</v>
      </c>
      <c r="E41" s="85">
        <v>45572</v>
      </c>
      <c r="F41" s="12">
        <v>37915.480000000003</v>
      </c>
      <c r="G41" s="13" t="s">
        <v>62</v>
      </c>
      <c r="H41" s="14" t="s">
        <v>20</v>
      </c>
      <c r="I41" s="15" t="s">
        <v>21</v>
      </c>
      <c r="J41" s="16"/>
      <c r="K41" s="16"/>
    </row>
    <row r="42" spans="1:11" x14ac:dyDescent="0.2">
      <c r="A42" s="10" t="s">
        <v>8</v>
      </c>
      <c r="B42" s="11" t="s">
        <v>9</v>
      </c>
      <c r="C42" s="75" t="s">
        <v>945</v>
      </c>
      <c r="D42" s="86">
        <v>7177896</v>
      </c>
      <c r="E42" s="85">
        <v>45574</v>
      </c>
      <c r="F42" s="18">
        <v>37583</v>
      </c>
      <c r="G42" s="13" t="s">
        <v>22</v>
      </c>
      <c r="H42" s="14" t="s">
        <v>20</v>
      </c>
      <c r="I42" s="15" t="s">
        <v>21</v>
      </c>
      <c r="J42" s="16"/>
      <c r="K42" s="16"/>
    </row>
    <row r="43" spans="1:11" x14ac:dyDescent="0.2">
      <c r="A43" s="10" t="s">
        <v>8</v>
      </c>
      <c r="B43" s="11" t="s">
        <v>9</v>
      </c>
      <c r="C43" s="75" t="s">
        <v>69</v>
      </c>
      <c r="D43" s="86">
        <v>7178337</v>
      </c>
      <c r="E43" s="85">
        <v>45586</v>
      </c>
      <c r="F43" s="12">
        <v>36592.639999999999</v>
      </c>
      <c r="G43" s="13" t="s">
        <v>58</v>
      </c>
      <c r="H43" s="14" t="s">
        <v>20</v>
      </c>
      <c r="I43" s="15" t="s">
        <v>21</v>
      </c>
      <c r="J43" s="16"/>
      <c r="K43" s="16"/>
    </row>
    <row r="44" spans="1:11" x14ac:dyDescent="0.2">
      <c r="A44" s="10" t="s">
        <v>8</v>
      </c>
      <c r="B44" s="11" t="s">
        <v>9</v>
      </c>
      <c r="C44" s="75" t="s">
        <v>74</v>
      </c>
      <c r="D44" s="86">
        <v>7177363</v>
      </c>
      <c r="E44" s="85">
        <v>45567</v>
      </c>
      <c r="F44" s="18">
        <v>34942.199999999997</v>
      </c>
      <c r="G44" s="13" t="s">
        <v>529</v>
      </c>
      <c r="H44" s="14" t="s">
        <v>20</v>
      </c>
      <c r="I44" s="15" t="s">
        <v>21</v>
      </c>
      <c r="J44" s="16"/>
      <c r="K44" s="16"/>
    </row>
    <row r="45" spans="1:11" x14ac:dyDescent="0.2">
      <c r="A45" s="10" t="s">
        <v>8</v>
      </c>
      <c r="B45" s="11" t="s">
        <v>9</v>
      </c>
      <c r="C45" s="75" t="s">
        <v>544</v>
      </c>
      <c r="D45" s="86">
        <v>7177629</v>
      </c>
      <c r="E45" s="85">
        <v>45579</v>
      </c>
      <c r="F45" s="12">
        <v>34215.9</v>
      </c>
      <c r="G45" s="13" t="s">
        <v>345</v>
      </c>
      <c r="H45" s="14" t="s">
        <v>20</v>
      </c>
      <c r="I45" s="15" t="s">
        <v>21</v>
      </c>
      <c r="J45" s="16"/>
      <c r="K45" s="16"/>
    </row>
    <row r="46" spans="1:11" x14ac:dyDescent="0.2">
      <c r="A46" s="10" t="s">
        <v>8</v>
      </c>
      <c r="B46" s="11" t="s">
        <v>9</v>
      </c>
      <c r="C46" s="75" t="s">
        <v>448</v>
      </c>
      <c r="D46" s="86">
        <v>7178505</v>
      </c>
      <c r="E46" s="85">
        <v>45595</v>
      </c>
      <c r="F46" s="18">
        <v>33733.75</v>
      </c>
      <c r="G46" s="19" t="s">
        <v>27</v>
      </c>
      <c r="H46" s="14" t="s">
        <v>20</v>
      </c>
      <c r="I46" s="15" t="s">
        <v>21</v>
      </c>
      <c r="J46" s="16"/>
      <c r="K46" s="16"/>
    </row>
    <row r="47" spans="1:11" x14ac:dyDescent="0.2">
      <c r="A47" s="10" t="s">
        <v>8</v>
      </c>
      <c r="B47" s="11" t="s">
        <v>9</v>
      </c>
      <c r="C47" s="75" t="s">
        <v>26</v>
      </c>
      <c r="D47" s="86">
        <v>7178426</v>
      </c>
      <c r="E47" s="85">
        <v>45586</v>
      </c>
      <c r="F47" s="12">
        <v>33716.009999999995</v>
      </c>
      <c r="G47" s="19" t="s">
        <v>76</v>
      </c>
      <c r="H47" s="14" t="s">
        <v>20</v>
      </c>
      <c r="I47" s="15" t="s">
        <v>21</v>
      </c>
      <c r="J47" s="16"/>
      <c r="K47" s="16"/>
    </row>
    <row r="48" spans="1:11" x14ac:dyDescent="0.2">
      <c r="A48" s="10" t="s">
        <v>8</v>
      </c>
      <c r="B48" s="11" t="s">
        <v>9</v>
      </c>
      <c r="C48" s="75" t="s">
        <v>586</v>
      </c>
      <c r="D48" s="86">
        <v>7177539</v>
      </c>
      <c r="E48" s="85">
        <v>45572</v>
      </c>
      <c r="F48" s="18">
        <v>32757.759999999998</v>
      </c>
      <c r="G48" s="13" t="s">
        <v>62</v>
      </c>
      <c r="H48" s="14" t="s">
        <v>20</v>
      </c>
      <c r="I48" s="15" t="s">
        <v>21</v>
      </c>
      <c r="J48" s="16"/>
      <c r="K48" s="16"/>
    </row>
    <row r="49" spans="1:11" x14ac:dyDescent="0.2">
      <c r="A49" s="10" t="s">
        <v>8</v>
      </c>
      <c r="B49" s="11" t="s">
        <v>9</v>
      </c>
      <c r="C49" s="77" t="s">
        <v>70</v>
      </c>
      <c r="D49" s="86">
        <v>7178157</v>
      </c>
      <c r="E49" s="85">
        <v>45579</v>
      </c>
      <c r="F49" s="18">
        <v>31467.33</v>
      </c>
      <c r="G49" s="13" t="s">
        <v>58</v>
      </c>
      <c r="H49" s="14" t="s">
        <v>20</v>
      </c>
      <c r="I49" s="15" t="s">
        <v>21</v>
      </c>
      <c r="J49" s="16"/>
      <c r="K49" s="16"/>
    </row>
    <row r="50" spans="1:11" x14ac:dyDescent="0.2">
      <c r="A50" s="10" t="s">
        <v>8</v>
      </c>
      <c r="B50" s="11" t="s">
        <v>9</v>
      </c>
      <c r="C50" s="75" t="s">
        <v>467</v>
      </c>
      <c r="D50" s="86">
        <v>7178546</v>
      </c>
      <c r="E50" s="85">
        <v>45590</v>
      </c>
      <c r="F50" s="12">
        <v>31359.26</v>
      </c>
      <c r="G50" s="19" t="s">
        <v>27</v>
      </c>
      <c r="H50" s="14" t="s">
        <v>20</v>
      </c>
      <c r="I50" s="15" t="s">
        <v>21</v>
      </c>
      <c r="J50" s="16"/>
      <c r="K50" s="16"/>
    </row>
    <row r="51" spans="1:11" x14ac:dyDescent="0.2">
      <c r="A51" s="10" t="s">
        <v>8</v>
      </c>
      <c r="B51" s="11" t="s">
        <v>9</v>
      </c>
      <c r="C51" s="75" t="s">
        <v>489</v>
      </c>
      <c r="D51" s="86">
        <v>7178151</v>
      </c>
      <c r="E51" s="85">
        <v>45576</v>
      </c>
      <c r="F51" s="18">
        <v>31073.49</v>
      </c>
      <c r="G51" s="13" t="s">
        <v>58</v>
      </c>
      <c r="H51" s="14" t="s">
        <v>20</v>
      </c>
      <c r="I51" s="15" t="s">
        <v>21</v>
      </c>
      <c r="J51" s="16"/>
      <c r="K51" s="16"/>
    </row>
    <row r="52" spans="1:11" x14ac:dyDescent="0.2">
      <c r="A52" s="10" t="s">
        <v>8</v>
      </c>
      <c r="B52" s="11" t="s">
        <v>9</v>
      </c>
      <c r="C52" s="75" t="s">
        <v>92</v>
      </c>
      <c r="D52" s="86">
        <v>7178457</v>
      </c>
      <c r="E52" s="85">
        <v>45596</v>
      </c>
      <c r="F52" s="12">
        <v>31008.6</v>
      </c>
      <c r="G52" s="13" t="s">
        <v>15</v>
      </c>
      <c r="H52" s="14" t="s">
        <v>20</v>
      </c>
      <c r="I52" s="15" t="s">
        <v>21</v>
      </c>
      <c r="J52" s="16"/>
      <c r="K52" s="16"/>
    </row>
    <row r="53" spans="1:11" x14ac:dyDescent="0.2">
      <c r="A53" s="10" t="s">
        <v>8</v>
      </c>
      <c r="B53" s="11" t="s">
        <v>9</v>
      </c>
      <c r="C53" s="75" t="s">
        <v>415</v>
      </c>
      <c r="D53" s="86">
        <v>7177770</v>
      </c>
      <c r="E53" s="85">
        <v>45573</v>
      </c>
      <c r="F53" s="12">
        <v>30864.53</v>
      </c>
      <c r="G53" s="13" t="s">
        <v>38</v>
      </c>
      <c r="H53" s="14" t="s">
        <v>20</v>
      </c>
      <c r="I53" s="15" t="s">
        <v>21</v>
      </c>
      <c r="J53" s="16"/>
      <c r="K53" s="16"/>
    </row>
    <row r="54" spans="1:11" x14ac:dyDescent="0.2">
      <c r="A54" s="10" t="s">
        <v>8</v>
      </c>
      <c r="B54" s="11" t="s">
        <v>9</v>
      </c>
      <c r="C54" s="77" t="s">
        <v>552</v>
      </c>
      <c r="D54" s="86">
        <v>7178107</v>
      </c>
      <c r="E54" s="85">
        <v>45576</v>
      </c>
      <c r="F54" s="18">
        <v>30150</v>
      </c>
      <c r="G54" s="13" t="s">
        <v>106</v>
      </c>
      <c r="H54" s="14" t="s">
        <v>20</v>
      </c>
      <c r="I54" s="15" t="s">
        <v>21</v>
      </c>
      <c r="J54" s="16"/>
      <c r="K54" s="16"/>
    </row>
    <row r="55" spans="1:11" x14ac:dyDescent="0.2">
      <c r="A55" s="10" t="s">
        <v>8</v>
      </c>
      <c r="B55" s="11" t="s">
        <v>9</v>
      </c>
      <c r="C55" s="77" t="s">
        <v>73</v>
      </c>
      <c r="D55" s="86">
        <v>7174844</v>
      </c>
      <c r="E55" s="85">
        <v>45576</v>
      </c>
      <c r="F55" s="18">
        <v>29708.55</v>
      </c>
      <c r="G55" s="13" t="s">
        <v>15</v>
      </c>
      <c r="H55" s="14" t="s">
        <v>20</v>
      </c>
      <c r="I55" s="15" t="s">
        <v>21</v>
      </c>
      <c r="J55" s="16"/>
      <c r="K55" s="16"/>
    </row>
    <row r="56" spans="1:11" x14ac:dyDescent="0.2">
      <c r="A56" s="10" t="s">
        <v>8</v>
      </c>
      <c r="B56" s="11" t="s">
        <v>9</v>
      </c>
      <c r="C56" s="75" t="s">
        <v>26</v>
      </c>
      <c r="D56" s="86">
        <v>7178129</v>
      </c>
      <c r="E56" s="85">
        <v>45579</v>
      </c>
      <c r="F56" s="12">
        <v>28617.88</v>
      </c>
      <c r="G56" s="13" t="s">
        <v>88</v>
      </c>
      <c r="H56" s="14" t="s">
        <v>20</v>
      </c>
      <c r="I56" s="15" t="s">
        <v>21</v>
      </c>
      <c r="J56" s="16"/>
      <c r="K56" s="16"/>
    </row>
    <row r="57" spans="1:11" x14ac:dyDescent="0.2">
      <c r="A57" s="10" t="s">
        <v>8</v>
      </c>
      <c r="B57" s="11" t="s">
        <v>9</v>
      </c>
      <c r="C57" s="77" t="s">
        <v>65</v>
      </c>
      <c r="D57" s="86">
        <v>7178262</v>
      </c>
      <c r="E57" s="85">
        <v>45581</v>
      </c>
      <c r="F57" s="12">
        <v>28452.36</v>
      </c>
      <c r="G57" s="13" t="s">
        <v>123</v>
      </c>
      <c r="H57" s="14" t="s">
        <v>20</v>
      </c>
      <c r="I57" s="15" t="s">
        <v>21</v>
      </c>
      <c r="J57" s="16"/>
      <c r="K57" s="16"/>
    </row>
    <row r="58" spans="1:11" x14ac:dyDescent="0.2">
      <c r="A58" s="10" t="s">
        <v>8</v>
      </c>
      <c r="B58" s="11" t="s">
        <v>9</v>
      </c>
      <c r="C58" s="77" t="s">
        <v>488</v>
      </c>
      <c r="D58" s="86">
        <v>3068762</v>
      </c>
      <c r="E58" s="85">
        <v>45596</v>
      </c>
      <c r="F58" s="18">
        <v>28377.85</v>
      </c>
      <c r="G58" s="13" t="s">
        <v>579</v>
      </c>
      <c r="H58" s="14" t="s">
        <v>20</v>
      </c>
      <c r="I58" s="15" t="s">
        <v>21</v>
      </c>
      <c r="J58" s="16"/>
      <c r="K58" s="16"/>
    </row>
    <row r="59" spans="1:11" x14ac:dyDescent="0.2">
      <c r="A59" s="10" t="s">
        <v>8</v>
      </c>
      <c r="B59" s="11" t="s">
        <v>9</v>
      </c>
      <c r="C59" s="77" t="s">
        <v>72</v>
      </c>
      <c r="D59" s="86">
        <v>7177676</v>
      </c>
      <c r="E59" s="85">
        <v>45576</v>
      </c>
      <c r="F59" s="12">
        <v>26981.13</v>
      </c>
      <c r="G59" s="13" t="s">
        <v>27</v>
      </c>
      <c r="H59" s="14" t="s">
        <v>20</v>
      </c>
      <c r="I59" s="15" t="s">
        <v>21</v>
      </c>
      <c r="J59" s="16"/>
      <c r="K59" s="16"/>
    </row>
    <row r="60" spans="1:11" x14ac:dyDescent="0.2">
      <c r="A60" s="10" t="s">
        <v>8</v>
      </c>
      <c r="B60" s="11" t="s">
        <v>9</v>
      </c>
      <c r="C60" s="75" t="s">
        <v>79</v>
      </c>
      <c r="D60" s="86">
        <v>9036317</v>
      </c>
      <c r="E60" s="85">
        <v>45573</v>
      </c>
      <c r="F60" s="12">
        <v>24655.27</v>
      </c>
      <c r="G60" s="13" t="s">
        <v>80</v>
      </c>
      <c r="H60" s="14" t="s">
        <v>16</v>
      </c>
      <c r="I60" s="15" t="s">
        <v>17</v>
      </c>
      <c r="J60" s="16"/>
      <c r="K60" s="16"/>
    </row>
    <row r="61" spans="1:11" x14ac:dyDescent="0.2">
      <c r="A61" s="10" t="s">
        <v>8</v>
      </c>
      <c r="B61" s="11" t="s">
        <v>9</v>
      </c>
      <c r="C61" s="77" t="s">
        <v>944</v>
      </c>
      <c r="D61" s="86">
        <v>7177695</v>
      </c>
      <c r="E61" s="85">
        <v>45573</v>
      </c>
      <c r="F61" s="12">
        <v>23441.040000000001</v>
      </c>
      <c r="G61" s="19" t="s">
        <v>38</v>
      </c>
      <c r="H61" s="14" t="s">
        <v>16</v>
      </c>
      <c r="I61" s="15" t="s">
        <v>17</v>
      </c>
      <c r="J61" s="16"/>
      <c r="K61" s="16"/>
    </row>
    <row r="62" spans="1:11" x14ac:dyDescent="0.2">
      <c r="A62" s="10" t="s">
        <v>8</v>
      </c>
      <c r="B62" s="11" t="s">
        <v>9</v>
      </c>
      <c r="C62" s="77" t="s">
        <v>420</v>
      </c>
      <c r="D62" s="86">
        <v>7178000</v>
      </c>
      <c r="E62" s="85">
        <v>45587</v>
      </c>
      <c r="F62" s="12">
        <v>23236.79</v>
      </c>
      <c r="G62" s="19" t="s">
        <v>58</v>
      </c>
      <c r="H62" s="14" t="s">
        <v>16</v>
      </c>
      <c r="I62" s="15" t="s">
        <v>17</v>
      </c>
      <c r="J62" s="16"/>
      <c r="K62" s="16"/>
    </row>
    <row r="63" spans="1:11" x14ac:dyDescent="0.2">
      <c r="A63" s="10" t="s">
        <v>8</v>
      </c>
      <c r="B63" s="11" t="s">
        <v>9</v>
      </c>
      <c r="C63" s="75" t="s">
        <v>252</v>
      </c>
      <c r="D63" s="86">
        <v>7177865</v>
      </c>
      <c r="E63" s="85">
        <v>45574</v>
      </c>
      <c r="F63" s="12">
        <v>22700</v>
      </c>
      <c r="G63" s="13" t="s">
        <v>148</v>
      </c>
      <c r="H63" s="14" t="s">
        <v>16</v>
      </c>
      <c r="I63" s="15" t="s">
        <v>17</v>
      </c>
      <c r="J63" s="16"/>
      <c r="K63" s="16"/>
    </row>
    <row r="64" spans="1:11" x14ac:dyDescent="0.2">
      <c r="A64" s="10" t="s">
        <v>8</v>
      </c>
      <c r="B64" s="11" t="s">
        <v>9</v>
      </c>
      <c r="C64" s="77" t="s">
        <v>85</v>
      </c>
      <c r="D64" s="86">
        <v>7178058</v>
      </c>
      <c r="E64" s="85">
        <v>45576</v>
      </c>
      <c r="F64" s="12">
        <v>22419</v>
      </c>
      <c r="G64" s="13" t="s">
        <v>27</v>
      </c>
      <c r="H64" s="14" t="s">
        <v>16</v>
      </c>
      <c r="I64" s="15" t="s">
        <v>17</v>
      </c>
      <c r="J64" s="16"/>
      <c r="K64" s="16"/>
    </row>
    <row r="65" spans="1:11" x14ac:dyDescent="0.2">
      <c r="A65" s="10" t="s">
        <v>8</v>
      </c>
      <c r="B65" s="11" t="s">
        <v>9</v>
      </c>
      <c r="C65" s="77" t="s">
        <v>26</v>
      </c>
      <c r="D65" s="86">
        <v>7177731</v>
      </c>
      <c r="E65" s="85">
        <v>45579</v>
      </c>
      <c r="F65" s="12">
        <v>21480.969999999998</v>
      </c>
      <c r="G65" s="19" t="s">
        <v>76</v>
      </c>
      <c r="H65" s="14" t="s">
        <v>16</v>
      </c>
      <c r="I65" s="15" t="s">
        <v>17</v>
      </c>
      <c r="J65" s="16"/>
      <c r="K65" s="16"/>
    </row>
    <row r="66" spans="1:11" x14ac:dyDescent="0.2">
      <c r="A66" s="10" t="s">
        <v>8</v>
      </c>
      <c r="B66" s="11" t="s">
        <v>9</v>
      </c>
      <c r="C66" s="75" t="s">
        <v>794</v>
      </c>
      <c r="D66" s="86">
        <v>7178549</v>
      </c>
      <c r="E66" s="85">
        <v>45590</v>
      </c>
      <c r="F66" s="12">
        <v>21284.5</v>
      </c>
      <c r="G66" s="13" t="s">
        <v>27</v>
      </c>
      <c r="H66" s="14" t="s">
        <v>16</v>
      </c>
      <c r="I66" s="15" t="s">
        <v>17</v>
      </c>
      <c r="J66" s="16"/>
      <c r="K66" s="16"/>
    </row>
    <row r="67" spans="1:11" x14ac:dyDescent="0.2">
      <c r="A67" s="10" t="s">
        <v>8</v>
      </c>
      <c r="B67" s="11" t="s">
        <v>9</v>
      </c>
      <c r="C67" s="77" t="s">
        <v>26</v>
      </c>
      <c r="D67" s="86">
        <v>7178536</v>
      </c>
      <c r="E67" s="85">
        <v>45588</v>
      </c>
      <c r="F67" s="12">
        <v>20765.690000000002</v>
      </c>
      <c r="G67" s="13" t="s">
        <v>76</v>
      </c>
      <c r="H67" s="14" t="s">
        <v>16</v>
      </c>
      <c r="I67" s="15" t="s">
        <v>17</v>
      </c>
      <c r="J67" s="16"/>
      <c r="K67" s="16"/>
    </row>
    <row r="68" spans="1:11" x14ac:dyDescent="0.2">
      <c r="A68" s="10" t="s">
        <v>8</v>
      </c>
      <c r="B68" s="11" t="s">
        <v>9</v>
      </c>
      <c r="C68" s="75" t="s">
        <v>943</v>
      </c>
      <c r="D68" s="86">
        <v>7178544</v>
      </c>
      <c r="E68" s="85">
        <v>45590</v>
      </c>
      <c r="F68" s="12">
        <v>19787.25</v>
      </c>
      <c r="G68" s="19" t="s">
        <v>27</v>
      </c>
      <c r="H68" s="14" t="s">
        <v>16</v>
      </c>
      <c r="I68" s="15" t="s">
        <v>17</v>
      </c>
      <c r="J68" s="16"/>
      <c r="K68" s="16"/>
    </row>
    <row r="69" spans="1:11" x14ac:dyDescent="0.2">
      <c r="A69" s="10" t="s">
        <v>8</v>
      </c>
      <c r="B69" s="11" t="s">
        <v>9</v>
      </c>
      <c r="C69" s="77" t="s">
        <v>467</v>
      </c>
      <c r="D69" s="86">
        <v>7178541</v>
      </c>
      <c r="E69" s="85">
        <v>45590</v>
      </c>
      <c r="F69" s="12">
        <v>19630</v>
      </c>
      <c r="G69" s="13" t="s">
        <v>27</v>
      </c>
      <c r="H69" s="14" t="s">
        <v>16</v>
      </c>
      <c r="I69" s="15" t="s">
        <v>17</v>
      </c>
      <c r="J69" s="16"/>
      <c r="K69" s="16"/>
    </row>
    <row r="70" spans="1:11" x14ac:dyDescent="0.2">
      <c r="A70" s="10" t="s">
        <v>8</v>
      </c>
      <c r="B70" s="11" t="s">
        <v>9</v>
      </c>
      <c r="C70" s="77" t="s">
        <v>85</v>
      </c>
      <c r="D70" s="86">
        <v>7178103</v>
      </c>
      <c r="E70" s="85">
        <v>45576</v>
      </c>
      <c r="F70" s="12">
        <v>19330.16</v>
      </c>
      <c r="G70" s="13" t="s">
        <v>27</v>
      </c>
      <c r="H70" s="14" t="s">
        <v>16</v>
      </c>
      <c r="I70" s="15" t="s">
        <v>17</v>
      </c>
      <c r="J70" s="16"/>
      <c r="K70" s="16"/>
    </row>
    <row r="71" spans="1:11" x14ac:dyDescent="0.2">
      <c r="A71" s="10" t="s">
        <v>8</v>
      </c>
      <c r="B71" s="11" t="s">
        <v>9</v>
      </c>
      <c r="C71" s="75" t="s">
        <v>85</v>
      </c>
      <c r="D71" s="86">
        <v>7177441</v>
      </c>
      <c r="E71" s="85">
        <v>45572</v>
      </c>
      <c r="F71" s="12">
        <v>18776.919999999998</v>
      </c>
      <c r="G71" s="19" t="s">
        <v>27</v>
      </c>
      <c r="H71" s="14" t="s">
        <v>16</v>
      </c>
      <c r="I71" s="15" t="s">
        <v>17</v>
      </c>
      <c r="J71" s="16"/>
      <c r="K71" s="16"/>
    </row>
    <row r="72" spans="1:11" x14ac:dyDescent="0.2">
      <c r="A72" s="10" t="s">
        <v>8</v>
      </c>
      <c r="B72" s="11" t="s">
        <v>9</v>
      </c>
      <c r="C72" s="77" t="s">
        <v>85</v>
      </c>
      <c r="D72" s="86">
        <v>7177390</v>
      </c>
      <c r="E72" s="85">
        <v>45572</v>
      </c>
      <c r="F72" s="12">
        <v>18776.919999999998</v>
      </c>
      <c r="G72" s="13" t="s">
        <v>27</v>
      </c>
      <c r="H72" s="14" t="s">
        <v>16</v>
      </c>
      <c r="I72" s="15" t="s">
        <v>17</v>
      </c>
      <c r="J72" s="16"/>
      <c r="K72" s="16"/>
    </row>
    <row r="73" spans="1:11" x14ac:dyDescent="0.2">
      <c r="A73" s="10" t="s">
        <v>8</v>
      </c>
      <c r="B73" s="11" t="s">
        <v>9</v>
      </c>
      <c r="C73" s="77" t="s">
        <v>467</v>
      </c>
      <c r="D73" s="86">
        <v>7178542</v>
      </c>
      <c r="E73" s="85">
        <v>45590</v>
      </c>
      <c r="F73" s="12">
        <v>18750</v>
      </c>
      <c r="G73" s="19" t="s">
        <v>27</v>
      </c>
      <c r="H73" s="14" t="s">
        <v>16</v>
      </c>
      <c r="I73" s="15" t="s">
        <v>17</v>
      </c>
      <c r="J73" s="16"/>
      <c r="K73" s="16"/>
    </row>
    <row r="74" spans="1:11" x14ac:dyDescent="0.2">
      <c r="A74" s="10" t="s">
        <v>8</v>
      </c>
      <c r="B74" s="11" t="s">
        <v>9</v>
      </c>
      <c r="C74" s="75" t="s">
        <v>26</v>
      </c>
      <c r="D74" s="86">
        <v>7178303</v>
      </c>
      <c r="E74" s="85">
        <v>45581</v>
      </c>
      <c r="F74" s="12">
        <v>18106.22</v>
      </c>
      <c r="G74" s="13" t="s">
        <v>88</v>
      </c>
      <c r="H74" s="14" t="s">
        <v>16</v>
      </c>
      <c r="I74" s="15" t="s">
        <v>17</v>
      </c>
      <c r="J74" s="16"/>
      <c r="K74" s="16"/>
    </row>
    <row r="75" spans="1:11" x14ac:dyDescent="0.2">
      <c r="A75" s="10" t="s">
        <v>8</v>
      </c>
      <c r="B75" s="11" t="s">
        <v>9</v>
      </c>
      <c r="C75" s="77" t="s">
        <v>137</v>
      </c>
      <c r="D75" s="86">
        <v>7178104</v>
      </c>
      <c r="E75" s="85">
        <v>45576</v>
      </c>
      <c r="F75" s="12">
        <v>18085.12</v>
      </c>
      <c r="G75" s="19" t="s">
        <v>138</v>
      </c>
      <c r="H75" s="14" t="s">
        <v>16</v>
      </c>
      <c r="I75" s="15" t="s">
        <v>17</v>
      </c>
      <c r="J75" s="16"/>
      <c r="K75" s="16"/>
    </row>
    <row r="76" spans="1:11" x14ac:dyDescent="0.2">
      <c r="A76" s="10" t="s">
        <v>8</v>
      </c>
      <c r="B76" s="11" t="s">
        <v>9</v>
      </c>
      <c r="C76" s="77" t="s">
        <v>26</v>
      </c>
      <c r="D76" s="86">
        <v>7178302</v>
      </c>
      <c r="E76" s="85">
        <v>45581</v>
      </c>
      <c r="F76" s="12">
        <v>17244.61</v>
      </c>
      <c r="G76" s="13" t="s">
        <v>88</v>
      </c>
      <c r="H76" s="14" t="s">
        <v>16</v>
      </c>
      <c r="I76" s="15" t="s">
        <v>17</v>
      </c>
      <c r="J76" s="16"/>
      <c r="K76" s="16"/>
    </row>
    <row r="77" spans="1:11" x14ac:dyDescent="0.2">
      <c r="A77" s="10" t="s">
        <v>8</v>
      </c>
      <c r="B77" s="11" t="s">
        <v>9</v>
      </c>
      <c r="C77" s="75" t="s">
        <v>86</v>
      </c>
      <c r="D77" s="86">
        <v>7177898</v>
      </c>
      <c r="E77" s="85">
        <v>45574</v>
      </c>
      <c r="F77" s="12">
        <v>17081.510000000002</v>
      </c>
      <c r="G77" s="13" t="s">
        <v>87</v>
      </c>
      <c r="H77" s="14" t="s">
        <v>16</v>
      </c>
      <c r="I77" s="15" t="s">
        <v>17</v>
      </c>
      <c r="J77" s="16"/>
      <c r="K77" s="16"/>
    </row>
    <row r="78" spans="1:11" x14ac:dyDescent="0.2">
      <c r="A78" s="10" t="s">
        <v>8</v>
      </c>
      <c r="B78" s="11" t="s">
        <v>9</v>
      </c>
      <c r="C78" s="77" t="s">
        <v>26</v>
      </c>
      <c r="D78" s="86">
        <v>7178564</v>
      </c>
      <c r="E78" s="85">
        <v>45588</v>
      </c>
      <c r="F78" s="12">
        <v>16908.97</v>
      </c>
      <c r="G78" s="13" t="s">
        <v>88</v>
      </c>
      <c r="H78" s="14" t="s">
        <v>16</v>
      </c>
      <c r="I78" s="15" t="s">
        <v>17</v>
      </c>
      <c r="J78" s="16"/>
      <c r="K78" s="16"/>
    </row>
    <row r="79" spans="1:11" x14ac:dyDescent="0.2">
      <c r="A79" s="10" t="s">
        <v>8</v>
      </c>
      <c r="B79" s="11" t="s">
        <v>9</v>
      </c>
      <c r="C79" s="77" t="s">
        <v>100</v>
      </c>
      <c r="D79" s="86">
        <v>7177897</v>
      </c>
      <c r="E79" s="85">
        <v>45569</v>
      </c>
      <c r="F79" s="12">
        <v>15849.74</v>
      </c>
      <c r="G79" s="13" t="s">
        <v>38</v>
      </c>
      <c r="H79" s="14" t="s">
        <v>16</v>
      </c>
      <c r="I79" s="15" t="s">
        <v>17</v>
      </c>
      <c r="J79" s="16"/>
      <c r="K79" s="16"/>
    </row>
    <row r="80" spans="1:11" x14ac:dyDescent="0.2">
      <c r="A80" s="10" t="s">
        <v>8</v>
      </c>
      <c r="B80" s="11" t="s">
        <v>9</v>
      </c>
      <c r="C80" s="75" t="s">
        <v>942</v>
      </c>
      <c r="D80" s="86">
        <v>7178341</v>
      </c>
      <c r="E80" s="85">
        <v>45582</v>
      </c>
      <c r="F80" s="12">
        <v>15807.22</v>
      </c>
      <c r="G80" s="13" t="s">
        <v>62</v>
      </c>
      <c r="H80" s="14" t="s">
        <v>16</v>
      </c>
      <c r="I80" s="15" t="s">
        <v>17</v>
      </c>
      <c r="J80" s="16"/>
      <c r="K80" s="16"/>
    </row>
    <row r="81" spans="1:11" x14ac:dyDescent="0.2">
      <c r="A81" s="10" t="s">
        <v>8</v>
      </c>
      <c r="B81" s="11" t="s">
        <v>9</v>
      </c>
      <c r="C81" s="77" t="s">
        <v>127</v>
      </c>
      <c r="D81" s="86">
        <v>7177663</v>
      </c>
      <c r="E81" s="85">
        <v>45568</v>
      </c>
      <c r="F81" s="12">
        <v>15794.560000000001</v>
      </c>
      <c r="G81" s="13" t="s">
        <v>49</v>
      </c>
      <c r="H81" s="14" t="s">
        <v>16</v>
      </c>
      <c r="I81" s="15" t="s">
        <v>17</v>
      </c>
      <c r="J81" s="16"/>
      <c r="K81" s="16"/>
    </row>
    <row r="82" spans="1:11" x14ac:dyDescent="0.2">
      <c r="A82" s="10" t="s">
        <v>8</v>
      </c>
      <c r="B82" s="11" t="s">
        <v>9</v>
      </c>
      <c r="C82" s="77" t="s">
        <v>448</v>
      </c>
      <c r="D82" s="86">
        <v>7177210</v>
      </c>
      <c r="E82" s="85">
        <v>45572</v>
      </c>
      <c r="F82" s="12">
        <v>15562</v>
      </c>
      <c r="G82" s="13" t="s">
        <v>27</v>
      </c>
      <c r="H82" s="14" t="s">
        <v>16</v>
      </c>
      <c r="I82" s="15" t="s">
        <v>17</v>
      </c>
      <c r="J82" s="16"/>
      <c r="K82" s="16"/>
    </row>
    <row r="83" spans="1:11" x14ac:dyDescent="0.2">
      <c r="A83" s="10" t="s">
        <v>8</v>
      </c>
      <c r="B83" s="11" t="s">
        <v>9</v>
      </c>
      <c r="C83" s="75" t="s">
        <v>26</v>
      </c>
      <c r="D83" s="86">
        <v>7177618</v>
      </c>
      <c r="E83" s="85">
        <v>45587</v>
      </c>
      <c r="F83" s="12">
        <v>15265.83</v>
      </c>
      <c r="G83" s="13" t="s">
        <v>76</v>
      </c>
      <c r="H83" s="14" t="s">
        <v>16</v>
      </c>
      <c r="I83" s="15" t="s">
        <v>17</v>
      </c>
      <c r="J83" s="16"/>
      <c r="K83" s="16"/>
    </row>
    <row r="84" spans="1:11" x14ac:dyDescent="0.2">
      <c r="A84" s="10" t="s">
        <v>8</v>
      </c>
      <c r="B84" s="11" t="s">
        <v>9</v>
      </c>
      <c r="C84" s="77" t="s">
        <v>115</v>
      </c>
      <c r="D84" s="86">
        <v>7178762</v>
      </c>
      <c r="E84" s="85">
        <v>45595</v>
      </c>
      <c r="F84" s="12">
        <v>14734.11</v>
      </c>
      <c r="G84" s="13" t="s">
        <v>116</v>
      </c>
      <c r="H84" s="14" t="s">
        <v>16</v>
      </c>
      <c r="I84" s="15" t="s">
        <v>17</v>
      </c>
      <c r="J84" s="16"/>
      <c r="K84" s="16"/>
    </row>
    <row r="85" spans="1:11" x14ac:dyDescent="0.2">
      <c r="A85" s="10" t="s">
        <v>8</v>
      </c>
      <c r="B85" s="11" t="s">
        <v>9</v>
      </c>
      <c r="C85" s="77" t="s">
        <v>107</v>
      </c>
      <c r="D85" s="86">
        <v>7177862</v>
      </c>
      <c r="E85" s="85">
        <v>45573</v>
      </c>
      <c r="F85" s="12">
        <v>14486.56</v>
      </c>
      <c r="G85" s="13" t="s">
        <v>108</v>
      </c>
      <c r="H85" s="14" t="s">
        <v>16</v>
      </c>
      <c r="I85" s="15" t="s">
        <v>17</v>
      </c>
      <c r="J85" s="16"/>
      <c r="K85" s="16"/>
    </row>
    <row r="86" spans="1:11" x14ac:dyDescent="0.2">
      <c r="A86" s="10" t="s">
        <v>8</v>
      </c>
      <c r="B86" s="11" t="s">
        <v>9</v>
      </c>
      <c r="C86" s="75" t="s">
        <v>26</v>
      </c>
      <c r="D86" s="86">
        <v>3068635</v>
      </c>
      <c r="E86" s="85">
        <v>45566</v>
      </c>
      <c r="F86" s="12">
        <v>14064.03</v>
      </c>
      <c r="G86" s="13" t="s">
        <v>88</v>
      </c>
      <c r="H86" s="14" t="s">
        <v>16</v>
      </c>
      <c r="I86" s="15" t="s">
        <v>17</v>
      </c>
      <c r="J86" s="16"/>
      <c r="K86" s="16"/>
    </row>
    <row r="87" spans="1:11" x14ac:dyDescent="0.2">
      <c r="A87" s="10" t="s">
        <v>8</v>
      </c>
      <c r="B87" s="11" t="s">
        <v>9</v>
      </c>
      <c r="C87" s="77" t="s">
        <v>26</v>
      </c>
      <c r="D87" s="86">
        <v>7178576</v>
      </c>
      <c r="E87" s="85">
        <v>45589</v>
      </c>
      <c r="F87" s="12">
        <v>13874.409999999998</v>
      </c>
      <c r="G87" s="13" t="s">
        <v>76</v>
      </c>
      <c r="H87" s="14" t="s">
        <v>16</v>
      </c>
      <c r="I87" s="15" t="s">
        <v>17</v>
      </c>
      <c r="J87" s="16"/>
      <c r="K87" s="16"/>
    </row>
    <row r="88" spans="1:11" x14ac:dyDescent="0.2">
      <c r="A88" s="10" t="s">
        <v>8</v>
      </c>
      <c r="B88" s="11" t="s">
        <v>9</v>
      </c>
      <c r="C88" s="75" t="s">
        <v>121</v>
      </c>
      <c r="D88" s="86">
        <v>7177809</v>
      </c>
      <c r="E88" s="85">
        <v>45573</v>
      </c>
      <c r="F88" s="12">
        <v>12996.28</v>
      </c>
      <c r="G88" s="13" t="s">
        <v>122</v>
      </c>
      <c r="H88" s="14" t="s">
        <v>16</v>
      </c>
      <c r="I88" s="15" t="s">
        <v>17</v>
      </c>
      <c r="J88" s="16"/>
      <c r="K88" s="16"/>
    </row>
    <row r="89" spans="1:11" x14ac:dyDescent="0.2">
      <c r="A89" s="10" t="s">
        <v>8</v>
      </c>
      <c r="B89" s="11" t="s">
        <v>9</v>
      </c>
      <c r="C89" s="75" t="s">
        <v>110</v>
      </c>
      <c r="D89" s="86">
        <v>7178277</v>
      </c>
      <c r="E89" s="85">
        <v>45587</v>
      </c>
      <c r="F89" s="12">
        <v>12922.83</v>
      </c>
      <c r="G89" s="13" t="s">
        <v>49</v>
      </c>
      <c r="H89" s="14" t="s">
        <v>16</v>
      </c>
      <c r="I89" s="15" t="s">
        <v>17</v>
      </c>
      <c r="J89" s="16"/>
      <c r="K89" s="16"/>
    </row>
    <row r="90" spans="1:11" x14ac:dyDescent="0.2">
      <c r="A90" s="10" t="s">
        <v>8</v>
      </c>
      <c r="B90" s="11" t="s">
        <v>9</v>
      </c>
      <c r="C90" s="75" t="s">
        <v>26</v>
      </c>
      <c r="D90" s="86">
        <v>7178304</v>
      </c>
      <c r="E90" s="85">
        <v>45581</v>
      </c>
      <c r="F90" s="12">
        <v>12700.9</v>
      </c>
      <c r="G90" s="13" t="s">
        <v>88</v>
      </c>
      <c r="H90" s="14" t="s">
        <v>16</v>
      </c>
      <c r="I90" s="15" t="s">
        <v>17</v>
      </c>
      <c r="J90" s="16"/>
      <c r="K90" s="16"/>
    </row>
    <row r="91" spans="1:11" x14ac:dyDescent="0.2">
      <c r="A91" s="10" t="s">
        <v>8</v>
      </c>
      <c r="B91" s="11" t="s">
        <v>9</v>
      </c>
      <c r="C91" s="75" t="s">
        <v>109</v>
      </c>
      <c r="D91" s="86">
        <v>7178146</v>
      </c>
      <c r="E91" s="85">
        <v>45586</v>
      </c>
      <c r="F91" s="12">
        <v>12500</v>
      </c>
      <c r="G91" s="13" t="s">
        <v>27</v>
      </c>
      <c r="H91" s="14" t="s">
        <v>16</v>
      </c>
      <c r="I91" s="15" t="s">
        <v>17</v>
      </c>
      <c r="J91" s="16"/>
      <c r="K91" s="16"/>
    </row>
    <row r="92" spans="1:11" x14ac:dyDescent="0.2">
      <c r="A92" s="10" t="s">
        <v>8</v>
      </c>
      <c r="B92" s="11" t="s">
        <v>9</v>
      </c>
      <c r="C92" s="75" t="s">
        <v>74</v>
      </c>
      <c r="D92" s="86">
        <v>7178486</v>
      </c>
      <c r="E92" s="85">
        <v>45587</v>
      </c>
      <c r="F92" s="12">
        <v>12494</v>
      </c>
      <c r="G92" s="13" t="s">
        <v>75</v>
      </c>
      <c r="H92" s="14" t="s">
        <v>16</v>
      </c>
      <c r="I92" s="15" t="s">
        <v>17</v>
      </c>
      <c r="J92" s="16"/>
      <c r="K92" s="16"/>
    </row>
    <row r="93" spans="1:11" x14ac:dyDescent="0.2">
      <c r="A93" s="10" t="s">
        <v>8</v>
      </c>
      <c r="B93" s="11" t="s">
        <v>9</v>
      </c>
      <c r="C93" s="77" t="s">
        <v>90</v>
      </c>
      <c r="D93" s="86">
        <v>7177476</v>
      </c>
      <c r="E93" s="85">
        <v>45576</v>
      </c>
      <c r="F93" s="12">
        <v>12287.54</v>
      </c>
      <c r="G93" s="13" t="s">
        <v>91</v>
      </c>
      <c r="H93" s="14" t="s">
        <v>16</v>
      </c>
      <c r="I93" s="15" t="s">
        <v>17</v>
      </c>
      <c r="J93" s="16"/>
      <c r="K93" s="16"/>
    </row>
    <row r="94" spans="1:11" x14ac:dyDescent="0.2">
      <c r="A94" s="10" t="s">
        <v>8</v>
      </c>
      <c r="B94" s="11" t="s">
        <v>9</v>
      </c>
      <c r="C94" s="75" t="s">
        <v>107</v>
      </c>
      <c r="D94" s="86">
        <v>7177869</v>
      </c>
      <c r="E94" s="85">
        <v>45573</v>
      </c>
      <c r="F94" s="12">
        <v>12136.6</v>
      </c>
      <c r="G94" s="13" t="s">
        <v>108</v>
      </c>
      <c r="H94" s="14" t="s">
        <v>16</v>
      </c>
      <c r="I94" s="15" t="s">
        <v>17</v>
      </c>
      <c r="J94" s="16"/>
      <c r="K94" s="16"/>
    </row>
    <row r="95" spans="1:11" x14ac:dyDescent="0.2">
      <c r="A95" s="10" t="s">
        <v>8</v>
      </c>
      <c r="B95" s="11" t="s">
        <v>9</v>
      </c>
      <c r="C95" s="75" t="s">
        <v>266</v>
      </c>
      <c r="D95" s="86">
        <v>7178290</v>
      </c>
      <c r="E95" s="85">
        <v>45582</v>
      </c>
      <c r="F95" s="12">
        <v>12077.64</v>
      </c>
      <c r="G95" s="13" t="s">
        <v>84</v>
      </c>
      <c r="H95" s="14" t="s">
        <v>16</v>
      </c>
      <c r="I95" s="15" t="s">
        <v>17</v>
      </c>
      <c r="J95" s="16"/>
      <c r="K95" s="16"/>
    </row>
    <row r="96" spans="1:11" x14ac:dyDescent="0.2">
      <c r="A96" s="10" t="s">
        <v>8</v>
      </c>
      <c r="B96" s="11" t="s">
        <v>9</v>
      </c>
      <c r="C96" s="75" t="s">
        <v>26</v>
      </c>
      <c r="D96" s="86">
        <v>7178575</v>
      </c>
      <c r="E96" s="85">
        <v>45589</v>
      </c>
      <c r="F96" s="12">
        <v>11750.46</v>
      </c>
      <c r="G96" s="13" t="s">
        <v>76</v>
      </c>
      <c r="H96" s="14" t="s">
        <v>16</v>
      </c>
      <c r="I96" s="15" t="s">
        <v>17</v>
      </c>
      <c r="J96" s="16"/>
      <c r="K96" s="16"/>
    </row>
    <row r="97" spans="1:11" x14ac:dyDescent="0.2">
      <c r="A97" s="10" t="s">
        <v>8</v>
      </c>
      <c r="B97" s="11" t="s">
        <v>9</v>
      </c>
      <c r="C97" s="75" t="s">
        <v>117</v>
      </c>
      <c r="D97" s="86">
        <v>7178017</v>
      </c>
      <c r="E97" s="85">
        <v>45574</v>
      </c>
      <c r="F97" s="12">
        <v>11691.6</v>
      </c>
      <c r="G97" s="13" t="s">
        <v>118</v>
      </c>
      <c r="H97" s="14" t="s">
        <v>16</v>
      </c>
      <c r="I97" s="15" t="s">
        <v>17</v>
      </c>
      <c r="J97" s="16"/>
      <c r="K97" s="16"/>
    </row>
    <row r="98" spans="1:11" x14ac:dyDescent="0.2">
      <c r="A98" s="10" t="s">
        <v>8</v>
      </c>
      <c r="B98" s="11" t="s">
        <v>9</v>
      </c>
      <c r="C98" s="75" t="s">
        <v>448</v>
      </c>
      <c r="D98" s="86">
        <v>7178506</v>
      </c>
      <c r="E98" s="85">
        <v>45595</v>
      </c>
      <c r="F98" s="12">
        <v>11662.58</v>
      </c>
      <c r="G98" s="13" t="s">
        <v>27</v>
      </c>
      <c r="H98" s="14" t="s">
        <v>16</v>
      </c>
      <c r="I98" s="15" t="s">
        <v>17</v>
      </c>
      <c r="J98" s="16"/>
      <c r="K98" s="16"/>
    </row>
    <row r="99" spans="1:11" x14ac:dyDescent="0.2">
      <c r="A99" s="10" t="s">
        <v>8</v>
      </c>
      <c r="B99" s="11" t="s">
        <v>9</v>
      </c>
      <c r="C99" s="75" t="s">
        <v>113</v>
      </c>
      <c r="D99" s="86">
        <v>7178269</v>
      </c>
      <c r="E99" s="85">
        <v>45582</v>
      </c>
      <c r="F99" s="12">
        <v>11408.59</v>
      </c>
      <c r="G99" s="13" t="s">
        <v>209</v>
      </c>
      <c r="H99" s="14" t="s">
        <v>16</v>
      </c>
      <c r="I99" s="15" t="s">
        <v>17</v>
      </c>
      <c r="J99" s="16"/>
      <c r="K99" s="16"/>
    </row>
    <row r="100" spans="1:11" x14ac:dyDescent="0.2">
      <c r="A100" s="10" t="s">
        <v>8</v>
      </c>
      <c r="B100" s="11" t="s">
        <v>9</v>
      </c>
      <c r="C100" s="75" t="s">
        <v>26</v>
      </c>
      <c r="D100" s="86">
        <v>7178619</v>
      </c>
      <c r="E100" s="85">
        <v>45589</v>
      </c>
      <c r="F100" s="12">
        <v>11034.770000000002</v>
      </c>
      <c r="G100" s="13" t="s">
        <v>76</v>
      </c>
      <c r="H100" s="14" t="s">
        <v>16</v>
      </c>
      <c r="I100" s="15" t="s">
        <v>17</v>
      </c>
      <c r="J100" s="16"/>
      <c r="K100" s="16"/>
    </row>
    <row r="101" spans="1:11" x14ac:dyDescent="0.2">
      <c r="A101" s="10" t="s">
        <v>8</v>
      </c>
      <c r="B101" s="11" t="s">
        <v>9</v>
      </c>
      <c r="C101" s="77" t="s">
        <v>873</v>
      </c>
      <c r="D101" s="86">
        <v>7178733</v>
      </c>
      <c r="E101" s="85">
        <v>45594</v>
      </c>
      <c r="F101" s="12">
        <v>10950</v>
      </c>
      <c r="G101" s="13" t="s">
        <v>106</v>
      </c>
      <c r="H101" s="14" t="s">
        <v>16</v>
      </c>
      <c r="I101" s="15" t="s">
        <v>17</v>
      </c>
      <c r="J101" s="16"/>
      <c r="K101" s="16"/>
    </row>
    <row r="102" spans="1:11" x14ac:dyDescent="0.2">
      <c r="A102" s="10" t="s">
        <v>8</v>
      </c>
      <c r="B102" s="11" t="s">
        <v>9</v>
      </c>
      <c r="C102" s="75" t="s">
        <v>52</v>
      </c>
      <c r="D102" s="86">
        <v>7177680</v>
      </c>
      <c r="E102" s="85">
        <v>45566</v>
      </c>
      <c r="F102" s="12">
        <v>2858</v>
      </c>
      <c r="G102" s="13" t="s">
        <v>45</v>
      </c>
      <c r="H102" s="14" t="s">
        <v>16</v>
      </c>
      <c r="I102" s="15" t="s">
        <v>17</v>
      </c>
      <c r="J102" s="16"/>
      <c r="K102" s="16"/>
    </row>
    <row r="103" spans="1:11" x14ac:dyDescent="0.2">
      <c r="A103" s="10" t="s">
        <v>8</v>
      </c>
      <c r="B103" s="11" t="s">
        <v>9</v>
      </c>
      <c r="C103" s="75" t="s">
        <v>52</v>
      </c>
      <c r="D103" s="86">
        <v>7177680</v>
      </c>
      <c r="E103" s="85">
        <v>45566</v>
      </c>
      <c r="F103" s="12">
        <v>5156.5</v>
      </c>
      <c r="G103" s="13" t="s">
        <v>81</v>
      </c>
      <c r="H103" s="14" t="s">
        <v>16</v>
      </c>
      <c r="I103" s="15" t="s">
        <v>17</v>
      </c>
      <c r="J103" s="16"/>
      <c r="K103" s="16"/>
    </row>
    <row r="104" spans="1:11" x14ac:dyDescent="0.2">
      <c r="A104" s="10" t="s">
        <v>8</v>
      </c>
      <c r="B104" s="11" t="s">
        <v>9</v>
      </c>
      <c r="C104" s="75" t="s">
        <v>52</v>
      </c>
      <c r="D104" s="86">
        <v>7177680</v>
      </c>
      <c r="E104" s="85">
        <v>45566</v>
      </c>
      <c r="F104" s="12">
        <v>2888</v>
      </c>
      <c r="G104" s="13" t="s">
        <v>82</v>
      </c>
      <c r="H104" s="14" t="s">
        <v>16</v>
      </c>
      <c r="I104" s="15" t="s">
        <v>17</v>
      </c>
      <c r="J104" s="16"/>
      <c r="K104" s="16"/>
    </row>
    <row r="105" spans="1:11" x14ac:dyDescent="0.2">
      <c r="A105" s="10" t="s">
        <v>8</v>
      </c>
      <c r="B105" s="11" t="s">
        <v>9</v>
      </c>
      <c r="C105" s="75" t="s">
        <v>195</v>
      </c>
      <c r="D105" s="86">
        <v>7177646</v>
      </c>
      <c r="E105" s="85">
        <v>45567</v>
      </c>
      <c r="F105" s="12">
        <v>10753.49</v>
      </c>
      <c r="G105" s="13" t="s">
        <v>22</v>
      </c>
      <c r="H105" s="14" t="s">
        <v>16</v>
      </c>
      <c r="I105" s="15" t="s">
        <v>17</v>
      </c>
      <c r="J105" s="16"/>
      <c r="K105" s="16"/>
    </row>
    <row r="106" spans="1:11" x14ac:dyDescent="0.2">
      <c r="A106" s="10" t="s">
        <v>8</v>
      </c>
      <c r="B106" s="11" t="s">
        <v>9</v>
      </c>
      <c r="C106" s="75" t="s">
        <v>662</v>
      </c>
      <c r="D106" s="86">
        <v>7177134</v>
      </c>
      <c r="E106" s="85">
        <v>45568</v>
      </c>
      <c r="F106" s="12">
        <v>10640</v>
      </c>
      <c r="G106" s="13" t="s">
        <v>15</v>
      </c>
      <c r="H106" s="14" t="s">
        <v>16</v>
      </c>
      <c r="I106" s="15" t="s">
        <v>17</v>
      </c>
      <c r="J106" s="16"/>
      <c r="K106" s="16"/>
    </row>
    <row r="107" spans="1:11" x14ac:dyDescent="0.2">
      <c r="A107" s="10" t="s">
        <v>8</v>
      </c>
      <c r="B107" s="11" t="s">
        <v>9</v>
      </c>
      <c r="C107" s="75" t="s">
        <v>941</v>
      </c>
      <c r="D107" s="86">
        <v>7177974</v>
      </c>
      <c r="E107" s="85">
        <v>45574</v>
      </c>
      <c r="F107" s="12">
        <v>10322</v>
      </c>
      <c r="G107" s="13" t="s">
        <v>22</v>
      </c>
      <c r="H107" s="14" t="s">
        <v>16</v>
      </c>
      <c r="I107" s="15" t="s">
        <v>17</v>
      </c>
      <c r="J107" s="16"/>
      <c r="K107" s="16"/>
    </row>
    <row r="108" spans="1:11" x14ac:dyDescent="0.2">
      <c r="A108" s="10" t="s">
        <v>8</v>
      </c>
      <c r="B108" s="11" t="s">
        <v>9</v>
      </c>
      <c r="C108" s="75" t="s">
        <v>26</v>
      </c>
      <c r="D108" s="86">
        <v>7178513</v>
      </c>
      <c r="E108" s="85">
        <v>45587</v>
      </c>
      <c r="F108" s="12">
        <v>10225.41</v>
      </c>
      <c r="G108" s="13" t="s">
        <v>76</v>
      </c>
      <c r="H108" s="14" t="s">
        <v>16</v>
      </c>
      <c r="I108" s="15" t="s">
        <v>17</v>
      </c>
      <c r="J108" s="16"/>
      <c r="K108" s="16"/>
    </row>
    <row r="109" spans="1:11" x14ac:dyDescent="0.2">
      <c r="A109" s="10" t="s">
        <v>8</v>
      </c>
      <c r="B109" s="11" t="s">
        <v>9</v>
      </c>
      <c r="C109" s="75" t="s">
        <v>163</v>
      </c>
      <c r="D109" s="86">
        <v>7177894</v>
      </c>
      <c r="E109" s="85">
        <v>45572</v>
      </c>
      <c r="F109" s="12">
        <v>10196</v>
      </c>
      <c r="G109" s="13" t="s">
        <v>45</v>
      </c>
      <c r="H109" s="14" t="s">
        <v>16</v>
      </c>
      <c r="I109" s="15" t="s">
        <v>17</v>
      </c>
      <c r="J109" s="16"/>
      <c r="K109" s="16"/>
    </row>
    <row r="110" spans="1:11" x14ac:dyDescent="0.2">
      <c r="A110" s="10" t="s">
        <v>8</v>
      </c>
      <c r="B110" s="11" t="s">
        <v>9</v>
      </c>
      <c r="C110" s="75" t="s">
        <v>527</v>
      </c>
      <c r="D110" s="86">
        <v>7177623</v>
      </c>
      <c r="E110" s="85">
        <v>45573</v>
      </c>
      <c r="F110" s="12">
        <v>10104.82</v>
      </c>
      <c r="G110" s="13" t="s">
        <v>296</v>
      </c>
      <c r="H110" s="14" t="s">
        <v>16</v>
      </c>
      <c r="I110" s="15" t="s">
        <v>17</v>
      </c>
      <c r="J110" s="16"/>
      <c r="K110" s="16"/>
    </row>
    <row r="111" spans="1:11" x14ac:dyDescent="0.2">
      <c r="A111" s="10" t="s">
        <v>8</v>
      </c>
      <c r="B111" s="11" t="s">
        <v>9</v>
      </c>
      <c r="C111" s="75" t="s">
        <v>777</v>
      </c>
      <c r="D111" s="86">
        <v>7178094</v>
      </c>
      <c r="E111" s="85">
        <v>45575</v>
      </c>
      <c r="F111" s="12">
        <v>9900</v>
      </c>
      <c r="G111" s="13" t="s">
        <v>123</v>
      </c>
      <c r="H111" s="14" t="s">
        <v>16</v>
      </c>
      <c r="I111" s="15" t="s">
        <v>17</v>
      </c>
      <c r="J111" s="16"/>
      <c r="K111" s="16"/>
    </row>
    <row r="112" spans="1:11" x14ac:dyDescent="0.2">
      <c r="A112" s="10" t="s">
        <v>8</v>
      </c>
      <c r="B112" s="11" t="s">
        <v>9</v>
      </c>
      <c r="C112" s="75" t="s">
        <v>26</v>
      </c>
      <c r="D112" s="86">
        <v>7178479</v>
      </c>
      <c r="E112" s="85">
        <v>45587</v>
      </c>
      <c r="F112" s="12">
        <v>9835.619999999999</v>
      </c>
      <c r="G112" s="13" t="s">
        <v>76</v>
      </c>
      <c r="H112" s="14" t="s">
        <v>16</v>
      </c>
      <c r="I112" s="15" t="s">
        <v>17</v>
      </c>
      <c r="J112" s="16"/>
      <c r="K112" s="16"/>
    </row>
    <row r="113" spans="1:11" x14ac:dyDescent="0.2">
      <c r="A113" s="10" t="s">
        <v>8</v>
      </c>
      <c r="B113" s="11" t="s">
        <v>9</v>
      </c>
      <c r="C113" s="77" t="s">
        <v>127</v>
      </c>
      <c r="D113" s="86">
        <v>7178268</v>
      </c>
      <c r="E113" s="85">
        <v>45581</v>
      </c>
      <c r="F113" s="12">
        <v>9315.58</v>
      </c>
      <c r="G113" s="13" t="s">
        <v>49</v>
      </c>
      <c r="H113" s="14" t="s">
        <v>16</v>
      </c>
      <c r="I113" s="15" t="s">
        <v>17</v>
      </c>
      <c r="J113" s="16"/>
      <c r="K113" s="16"/>
    </row>
    <row r="114" spans="1:11" x14ac:dyDescent="0.2">
      <c r="A114" s="10" t="s">
        <v>8</v>
      </c>
      <c r="B114" s="11" t="s">
        <v>9</v>
      </c>
      <c r="C114" s="77" t="s">
        <v>157</v>
      </c>
      <c r="D114" s="86">
        <v>7177520</v>
      </c>
      <c r="E114" s="85">
        <v>45573</v>
      </c>
      <c r="F114" s="12">
        <v>9105.36</v>
      </c>
      <c r="G114" s="13" t="s">
        <v>43</v>
      </c>
      <c r="H114" s="14" t="s">
        <v>16</v>
      </c>
      <c r="I114" s="15" t="s">
        <v>17</v>
      </c>
      <c r="J114" s="16"/>
      <c r="K114" s="16"/>
    </row>
    <row r="115" spans="1:11" x14ac:dyDescent="0.2">
      <c r="A115" s="10" t="s">
        <v>8</v>
      </c>
      <c r="B115" s="11" t="s">
        <v>9</v>
      </c>
      <c r="C115" s="75" t="s">
        <v>117</v>
      </c>
      <c r="D115" s="86">
        <v>7177391</v>
      </c>
      <c r="E115" s="85">
        <v>45566</v>
      </c>
      <c r="F115" s="12">
        <v>9084.24</v>
      </c>
      <c r="G115" s="13" t="s">
        <v>218</v>
      </c>
      <c r="H115" s="14" t="s">
        <v>16</v>
      </c>
      <c r="I115" s="15" t="s">
        <v>17</v>
      </c>
    </row>
    <row r="116" spans="1:11" x14ac:dyDescent="0.2">
      <c r="A116" s="10" t="s">
        <v>8</v>
      </c>
      <c r="B116" s="11" t="s">
        <v>9</v>
      </c>
      <c r="C116" s="75" t="s">
        <v>196</v>
      </c>
      <c r="D116" s="86">
        <v>7177939</v>
      </c>
      <c r="E116" s="85">
        <v>45573</v>
      </c>
      <c r="F116" s="12">
        <v>8942.18</v>
      </c>
      <c r="G116" s="13" t="s">
        <v>169</v>
      </c>
      <c r="H116" s="14" t="s">
        <v>16</v>
      </c>
      <c r="I116" s="15" t="s">
        <v>17</v>
      </c>
    </row>
    <row r="117" spans="1:11" x14ac:dyDescent="0.2">
      <c r="A117" s="10" t="s">
        <v>8</v>
      </c>
      <c r="B117" s="11" t="s">
        <v>9</v>
      </c>
      <c r="C117" s="75" t="s">
        <v>196</v>
      </c>
      <c r="D117" s="86">
        <v>7178413</v>
      </c>
      <c r="E117" s="85">
        <v>45587</v>
      </c>
      <c r="F117" s="12">
        <v>8548.1400000000012</v>
      </c>
      <c r="G117" s="13" t="s">
        <v>169</v>
      </c>
      <c r="H117" s="14" t="s">
        <v>16</v>
      </c>
      <c r="I117" s="15" t="s">
        <v>17</v>
      </c>
    </row>
    <row r="118" spans="1:11" x14ac:dyDescent="0.2">
      <c r="A118" s="10" t="s">
        <v>8</v>
      </c>
      <c r="B118" s="11" t="s">
        <v>9</v>
      </c>
      <c r="C118" s="75" t="s">
        <v>44</v>
      </c>
      <c r="D118" s="86">
        <v>7177841</v>
      </c>
      <c r="E118" s="85">
        <v>45569</v>
      </c>
      <c r="F118" s="12">
        <v>1829</v>
      </c>
      <c r="G118" s="13" t="s">
        <v>45</v>
      </c>
      <c r="H118" s="14" t="s">
        <v>16</v>
      </c>
      <c r="I118" s="15" t="s">
        <v>17</v>
      </c>
    </row>
    <row r="119" spans="1:11" x14ac:dyDescent="0.2">
      <c r="A119" s="10" t="s">
        <v>8</v>
      </c>
      <c r="B119" s="11" t="s">
        <v>9</v>
      </c>
      <c r="C119" s="75" t="s">
        <v>44</v>
      </c>
      <c r="D119" s="86">
        <v>7177841</v>
      </c>
      <c r="E119" s="85">
        <v>45569</v>
      </c>
      <c r="F119" s="12">
        <v>5028.5</v>
      </c>
      <c r="G119" s="13" t="s">
        <v>81</v>
      </c>
      <c r="H119" s="14" t="s">
        <v>16</v>
      </c>
      <c r="I119" s="15" t="s">
        <v>17</v>
      </c>
    </row>
    <row r="120" spans="1:11" x14ac:dyDescent="0.2">
      <c r="A120" s="10" t="s">
        <v>8</v>
      </c>
      <c r="B120" s="11" t="s">
        <v>9</v>
      </c>
      <c r="C120" s="77" t="s">
        <v>44</v>
      </c>
      <c r="D120" s="86">
        <v>7177841</v>
      </c>
      <c r="E120" s="85">
        <v>45569</v>
      </c>
      <c r="F120" s="12">
        <v>1600</v>
      </c>
      <c r="G120" s="13" t="s">
        <v>82</v>
      </c>
      <c r="H120" s="14" t="s">
        <v>16</v>
      </c>
      <c r="I120" s="15" t="s">
        <v>17</v>
      </c>
    </row>
    <row r="121" spans="1:11" x14ac:dyDescent="0.2">
      <c r="A121" s="10" t="s">
        <v>8</v>
      </c>
      <c r="B121" s="11" t="s">
        <v>9</v>
      </c>
      <c r="C121" s="75" t="s">
        <v>162</v>
      </c>
      <c r="D121" s="86">
        <v>7178579</v>
      </c>
      <c r="E121" s="85">
        <v>45594</v>
      </c>
      <c r="F121" s="12">
        <v>8414</v>
      </c>
      <c r="G121" s="13" t="s">
        <v>39</v>
      </c>
      <c r="H121" s="14" t="s">
        <v>16</v>
      </c>
      <c r="I121" s="15" t="s">
        <v>17</v>
      </c>
    </row>
    <row r="122" spans="1:11" x14ac:dyDescent="0.2">
      <c r="A122" s="10" t="s">
        <v>8</v>
      </c>
      <c r="B122" s="11" t="s">
        <v>9</v>
      </c>
      <c r="C122" s="75" t="s">
        <v>415</v>
      </c>
      <c r="D122" s="86">
        <v>7178059</v>
      </c>
      <c r="E122" s="85">
        <v>45580</v>
      </c>
      <c r="F122" s="12">
        <v>8355.01</v>
      </c>
      <c r="G122" s="13" t="s">
        <v>38</v>
      </c>
      <c r="H122" s="14" t="s">
        <v>16</v>
      </c>
      <c r="I122" s="15" t="s">
        <v>17</v>
      </c>
    </row>
    <row r="123" spans="1:11" x14ac:dyDescent="0.2">
      <c r="A123" s="10" t="s">
        <v>8</v>
      </c>
      <c r="B123" s="11" t="s">
        <v>9</v>
      </c>
      <c r="C123" s="75" t="s">
        <v>109</v>
      </c>
      <c r="D123" s="86">
        <v>7178145</v>
      </c>
      <c r="E123" s="85">
        <v>45586</v>
      </c>
      <c r="F123" s="12">
        <v>8325.58</v>
      </c>
      <c r="G123" s="13" t="s">
        <v>27</v>
      </c>
      <c r="H123" s="14" t="s">
        <v>16</v>
      </c>
      <c r="I123" s="15" t="s">
        <v>17</v>
      </c>
    </row>
    <row r="124" spans="1:11" x14ac:dyDescent="0.2">
      <c r="A124" s="10" t="s">
        <v>8</v>
      </c>
      <c r="B124" s="11" t="s">
        <v>9</v>
      </c>
      <c r="C124" s="75" t="s">
        <v>132</v>
      </c>
      <c r="D124" s="86">
        <v>7178603</v>
      </c>
      <c r="E124" s="85">
        <v>45590</v>
      </c>
      <c r="F124" s="12">
        <v>8284</v>
      </c>
      <c r="G124" s="13" t="s">
        <v>133</v>
      </c>
      <c r="H124" s="14" t="s">
        <v>16</v>
      </c>
      <c r="I124" s="15" t="s">
        <v>17</v>
      </c>
    </row>
    <row r="125" spans="1:11" x14ac:dyDescent="0.2">
      <c r="A125" s="10" t="s">
        <v>8</v>
      </c>
      <c r="B125" s="11" t="s">
        <v>9</v>
      </c>
      <c r="C125" s="75" t="s">
        <v>196</v>
      </c>
      <c r="D125" s="86">
        <v>7178706</v>
      </c>
      <c r="E125" s="85">
        <v>45594</v>
      </c>
      <c r="F125" s="12">
        <v>8070.68</v>
      </c>
      <c r="G125" s="13" t="s">
        <v>169</v>
      </c>
      <c r="H125" s="14" t="s">
        <v>16</v>
      </c>
      <c r="I125" s="15" t="s">
        <v>17</v>
      </c>
    </row>
    <row r="126" spans="1:11" x14ac:dyDescent="0.2">
      <c r="A126" s="10" t="s">
        <v>8</v>
      </c>
      <c r="B126" s="11" t="s">
        <v>9</v>
      </c>
      <c r="C126" s="75" t="s">
        <v>468</v>
      </c>
      <c r="D126" s="86">
        <v>7178083</v>
      </c>
      <c r="E126" s="85">
        <v>45579</v>
      </c>
      <c r="F126" s="12">
        <v>7853</v>
      </c>
      <c r="G126" s="13" t="s">
        <v>54</v>
      </c>
      <c r="H126" s="14" t="s">
        <v>16</v>
      </c>
      <c r="I126" s="15" t="s">
        <v>17</v>
      </c>
    </row>
    <row r="127" spans="1:11" x14ac:dyDescent="0.2">
      <c r="A127" s="10" t="s">
        <v>8</v>
      </c>
      <c r="B127" s="11" t="s">
        <v>9</v>
      </c>
      <c r="C127" s="75" t="s">
        <v>119</v>
      </c>
      <c r="D127" s="86">
        <v>7178440</v>
      </c>
      <c r="E127" s="85">
        <v>45587</v>
      </c>
      <c r="F127" s="12">
        <v>7771.07</v>
      </c>
      <c r="G127" s="13" t="s">
        <v>120</v>
      </c>
      <c r="H127" s="14" t="s">
        <v>16</v>
      </c>
      <c r="I127" s="15" t="s">
        <v>17</v>
      </c>
    </row>
    <row r="128" spans="1:11" x14ac:dyDescent="0.2">
      <c r="A128" s="10" t="s">
        <v>8</v>
      </c>
      <c r="B128" s="11" t="s">
        <v>9</v>
      </c>
      <c r="C128" s="77" t="s">
        <v>196</v>
      </c>
      <c r="D128" s="86">
        <v>7178206</v>
      </c>
      <c r="E128" s="85">
        <v>45580</v>
      </c>
      <c r="F128" s="12">
        <v>7746.36</v>
      </c>
      <c r="G128" s="13" t="s">
        <v>169</v>
      </c>
      <c r="H128" s="14" t="s">
        <v>16</v>
      </c>
      <c r="I128" s="15" t="s">
        <v>17</v>
      </c>
    </row>
    <row r="129" spans="1:13" x14ac:dyDescent="0.2">
      <c r="A129" s="10" t="s">
        <v>8</v>
      </c>
      <c r="B129" s="11" t="s">
        <v>9</v>
      </c>
      <c r="C129" s="75" t="s">
        <v>159</v>
      </c>
      <c r="D129" s="86">
        <v>7177674</v>
      </c>
      <c r="E129" s="85">
        <v>45567</v>
      </c>
      <c r="F129" s="12">
        <v>7585.23</v>
      </c>
      <c r="G129" s="13" t="s">
        <v>22</v>
      </c>
      <c r="H129" s="14" t="s">
        <v>16</v>
      </c>
      <c r="I129" s="15" t="s">
        <v>17</v>
      </c>
    </row>
    <row r="130" spans="1:13" x14ac:dyDescent="0.2">
      <c r="A130" s="10" t="s">
        <v>8</v>
      </c>
      <c r="B130" s="11" t="s">
        <v>9</v>
      </c>
      <c r="C130" s="75" t="s">
        <v>196</v>
      </c>
      <c r="D130" s="86">
        <v>7177594</v>
      </c>
      <c r="E130" s="85">
        <v>45566</v>
      </c>
      <c r="F130" s="12">
        <v>7363.29</v>
      </c>
      <c r="G130" s="13" t="s">
        <v>169</v>
      </c>
      <c r="H130" s="14" t="s">
        <v>16</v>
      </c>
      <c r="I130" s="15" t="s">
        <v>17</v>
      </c>
    </row>
    <row r="131" spans="1:13" x14ac:dyDescent="0.2">
      <c r="A131" s="10" t="s">
        <v>8</v>
      </c>
      <c r="B131" s="11" t="s">
        <v>9</v>
      </c>
      <c r="C131" s="77" t="s">
        <v>124</v>
      </c>
      <c r="D131" s="86">
        <v>7177551</v>
      </c>
      <c r="E131" s="85">
        <v>45579</v>
      </c>
      <c r="F131" s="12">
        <v>7359.53</v>
      </c>
      <c r="G131" s="13" t="s">
        <v>91</v>
      </c>
      <c r="H131" s="14" t="s">
        <v>16</v>
      </c>
      <c r="I131" s="15" t="s">
        <v>17</v>
      </c>
    </row>
    <row r="132" spans="1:13" x14ac:dyDescent="0.2">
      <c r="A132" s="10" t="s">
        <v>8</v>
      </c>
      <c r="B132" s="11" t="s">
        <v>9</v>
      </c>
      <c r="C132" s="77" t="s">
        <v>144</v>
      </c>
      <c r="D132" s="86">
        <v>7177322</v>
      </c>
      <c r="E132" s="85">
        <v>45587</v>
      </c>
      <c r="F132" s="18">
        <v>7290</v>
      </c>
      <c r="G132" s="13" t="s">
        <v>145</v>
      </c>
      <c r="H132" s="14" t="s">
        <v>16</v>
      </c>
      <c r="I132" s="15" t="s">
        <v>17</v>
      </c>
    </row>
    <row r="133" spans="1:13" x14ac:dyDescent="0.2">
      <c r="A133" s="10" t="s">
        <v>8</v>
      </c>
      <c r="B133" s="11" t="s">
        <v>9</v>
      </c>
      <c r="C133" s="75" t="s">
        <v>940</v>
      </c>
      <c r="D133" s="86">
        <v>3068652</v>
      </c>
      <c r="E133" s="85">
        <v>45572</v>
      </c>
      <c r="F133" s="18">
        <v>6987.58</v>
      </c>
      <c r="G133" s="13" t="s">
        <v>106</v>
      </c>
      <c r="H133" s="14" t="s">
        <v>16</v>
      </c>
      <c r="I133" s="15" t="s">
        <v>17</v>
      </c>
    </row>
    <row r="134" spans="1:13" s="20" customFormat="1" x14ac:dyDescent="0.2">
      <c r="A134" s="10" t="s">
        <v>8</v>
      </c>
      <c r="B134" s="11" t="s">
        <v>9</v>
      </c>
      <c r="C134" s="75" t="s">
        <v>124</v>
      </c>
      <c r="D134" s="86">
        <v>7177596</v>
      </c>
      <c r="E134" s="85">
        <v>45566</v>
      </c>
      <c r="F134" s="18">
        <v>6866.66</v>
      </c>
      <c r="G134" s="13" t="s">
        <v>91</v>
      </c>
      <c r="H134" s="14" t="s">
        <v>16</v>
      </c>
      <c r="I134" s="15" t="s">
        <v>17</v>
      </c>
      <c r="L134" s="17"/>
      <c r="M134" s="17"/>
    </row>
    <row r="135" spans="1:13" s="20" customFormat="1" x14ac:dyDescent="0.2">
      <c r="A135" s="10" t="s">
        <v>8</v>
      </c>
      <c r="B135" s="11" t="s">
        <v>9</v>
      </c>
      <c r="C135" s="75" t="s">
        <v>545</v>
      </c>
      <c r="D135" s="86">
        <v>7176786</v>
      </c>
      <c r="E135" s="85">
        <v>45572</v>
      </c>
      <c r="F135" s="12">
        <v>6675</v>
      </c>
      <c r="G135" s="13" t="s">
        <v>22</v>
      </c>
      <c r="H135" s="14" t="s">
        <v>16</v>
      </c>
      <c r="I135" s="15" t="s">
        <v>17</v>
      </c>
      <c r="L135" s="17"/>
      <c r="M135" s="17"/>
    </row>
    <row r="136" spans="1:13" s="20" customFormat="1" x14ac:dyDescent="0.2">
      <c r="A136" s="10" t="s">
        <v>8</v>
      </c>
      <c r="B136" s="11" t="s">
        <v>9</v>
      </c>
      <c r="C136" s="75" t="s">
        <v>196</v>
      </c>
      <c r="D136" s="86">
        <v>7177380</v>
      </c>
      <c r="E136" s="85">
        <v>45566</v>
      </c>
      <c r="F136" s="12">
        <v>6651.9</v>
      </c>
      <c r="G136" s="13" t="s">
        <v>169</v>
      </c>
      <c r="H136" s="14" t="s">
        <v>16</v>
      </c>
      <c r="I136" s="15" t="s">
        <v>17</v>
      </c>
      <c r="L136" s="17"/>
      <c r="M136" s="17"/>
    </row>
    <row r="137" spans="1:13" s="20" customFormat="1" x14ac:dyDescent="0.2">
      <c r="A137" s="10" t="s">
        <v>8</v>
      </c>
      <c r="B137" s="11" t="s">
        <v>9</v>
      </c>
      <c r="C137" s="75" t="s">
        <v>153</v>
      </c>
      <c r="D137" s="86">
        <v>7178324</v>
      </c>
      <c r="E137" s="85">
        <v>45582</v>
      </c>
      <c r="F137" s="12">
        <v>6649.28</v>
      </c>
      <c r="G137" s="13" t="s">
        <v>39</v>
      </c>
      <c r="H137" s="14" t="s">
        <v>16</v>
      </c>
      <c r="I137" s="15" t="s">
        <v>17</v>
      </c>
      <c r="L137" s="17"/>
      <c r="M137" s="17"/>
    </row>
    <row r="138" spans="1:13" s="20" customFormat="1" x14ac:dyDescent="0.2">
      <c r="A138" s="10" t="s">
        <v>8</v>
      </c>
      <c r="B138" s="11" t="s">
        <v>9</v>
      </c>
      <c r="C138" s="75" t="s">
        <v>939</v>
      </c>
      <c r="D138" s="86">
        <v>7177787</v>
      </c>
      <c r="E138" s="85">
        <v>45568</v>
      </c>
      <c r="F138" s="12">
        <v>6617</v>
      </c>
      <c r="G138" s="13" t="s">
        <v>22</v>
      </c>
      <c r="H138" s="14" t="s">
        <v>16</v>
      </c>
      <c r="I138" s="15" t="s">
        <v>17</v>
      </c>
      <c r="L138" s="17"/>
      <c r="M138" s="17"/>
    </row>
    <row r="139" spans="1:13" s="20" customFormat="1" x14ac:dyDescent="0.2">
      <c r="A139" s="10" t="s">
        <v>8</v>
      </c>
      <c r="B139" s="11" t="s">
        <v>9</v>
      </c>
      <c r="C139" s="75" t="s">
        <v>196</v>
      </c>
      <c r="D139" s="86">
        <v>7176935</v>
      </c>
      <c r="E139" s="85">
        <v>45566</v>
      </c>
      <c r="F139" s="12">
        <v>6406.79</v>
      </c>
      <c r="G139" s="13" t="s">
        <v>169</v>
      </c>
      <c r="H139" s="14" t="s">
        <v>16</v>
      </c>
      <c r="I139" s="15" t="s">
        <v>17</v>
      </c>
      <c r="L139" s="17"/>
      <c r="M139" s="17"/>
    </row>
    <row r="140" spans="1:13" s="20" customFormat="1" x14ac:dyDescent="0.2">
      <c r="A140" s="10" t="s">
        <v>8</v>
      </c>
      <c r="B140" s="11" t="s">
        <v>9</v>
      </c>
      <c r="C140" s="75" t="s">
        <v>33</v>
      </c>
      <c r="D140" s="86">
        <v>7178019</v>
      </c>
      <c r="E140" s="85">
        <v>45583</v>
      </c>
      <c r="F140" s="12">
        <v>6329.04</v>
      </c>
      <c r="G140" s="13" t="s">
        <v>58</v>
      </c>
      <c r="H140" s="14" t="s">
        <v>16</v>
      </c>
      <c r="I140" s="15" t="s">
        <v>17</v>
      </c>
      <c r="L140" s="17"/>
      <c r="M140" s="17"/>
    </row>
    <row r="141" spans="1:13" s="20" customFormat="1" x14ac:dyDescent="0.2">
      <c r="A141" s="10" t="s">
        <v>8</v>
      </c>
      <c r="B141" s="11" t="s">
        <v>9</v>
      </c>
      <c r="C141" s="75" t="s">
        <v>569</v>
      </c>
      <c r="D141" s="86">
        <v>7178663</v>
      </c>
      <c r="E141" s="85">
        <v>45594</v>
      </c>
      <c r="F141" s="12">
        <v>6275</v>
      </c>
      <c r="G141" s="13" t="s">
        <v>123</v>
      </c>
      <c r="H141" s="14" t="s">
        <v>16</v>
      </c>
      <c r="I141" s="15" t="s">
        <v>17</v>
      </c>
      <c r="L141" s="17"/>
      <c r="M141" s="17"/>
    </row>
    <row r="142" spans="1:13" s="20" customFormat="1" x14ac:dyDescent="0.2">
      <c r="A142" s="10" t="s">
        <v>8</v>
      </c>
      <c r="B142" s="11" t="s">
        <v>9</v>
      </c>
      <c r="C142" s="77" t="s">
        <v>33</v>
      </c>
      <c r="D142" s="86">
        <v>7178144</v>
      </c>
      <c r="E142" s="85">
        <v>45580</v>
      </c>
      <c r="F142" s="12">
        <v>6114.18</v>
      </c>
      <c r="G142" s="13" t="s">
        <v>325</v>
      </c>
      <c r="H142" s="14" t="s">
        <v>16</v>
      </c>
      <c r="I142" s="15" t="s">
        <v>17</v>
      </c>
      <c r="L142" s="17"/>
      <c r="M142" s="17"/>
    </row>
    <row r="143" spans="1:13" s="20" customFormat="1" x14ac:dyDescent="0.2">
      <c r="A143" s="10" t="s">
        <v>8</v>
      </c>
      <c r="B143" s="11" t="s">
        <v>9</v>
      </c>
      <c r="C143" s="75" t="s">
        <v>70</v>
      </c>
      <c r="D143" s="86">
        <v>7178332</v>
      </c>
      <c r="E143" s="85">
        <v>45584</v>
      </c>
      <c r="F143" s="12">
        <v>6000</v>
      </c>
      <c r="G143" s="13" t="s">
        <v>106</v>
      </c>
      <c r="H143" s="14" t="s">
        <v>16</v>
      </c>
      <c r="I143" s="15" t="s">
        <v>17</v>
      </c>
      <c r="L143" s="17"/>
      <c r="M143" s="17"/>
    </row>
    <row r="144" spans="1:13" s="20" customFormat="1" x14ac:dyDescent="0.2">
      <c r="A144" s="10" t="s">
        <v>8</v>
      </c>
      <c r="B144" s="11" t="s">
        <v>9</v>
      </c>
      <c r="C144" s="75" t="s">
        <v>933</v>
      </c>
      <c r="D144" s="86">
        <v>7178725</v>
      </c>
      <c r="E144" s="85">
        <v>45594</v>
      </c>
      <c r="F144" s="12">
        <v>5625</v>
      </c>
      <c r="G144" s="13" t="s">
        <v>203</v>
      </c>
      <c r="H144" s="14" t="s">
        <v>16</v>
      </c>
      <c r="I144" s="15" t="s">
        <v>17</v>
      </c>
      <c r="L144" s="17"/>
      <c r="M144" s="17"/>
    </row>
    <row r="145" spans="1:13" s="20" customFormat="1" x14ac:dyDescent="0.2">
      <c r="A145" s="10" t="s">
        <v>8</v>
      </c>
      <c r="B145" s="11" t="s">
        <v>9</v>
      </c>
      <c r="C145" s="75" t="s">
        <v>142</v>
      </c>
      <c r="D145" s="86">
        <v>7177882</v>
      </c>
      <c r="E145" s="85">
        <v>45579</v>
      </c>
      <c r="F145" s="12">
        <v>5582.5</v>
      </c>
      <c r="G145" s="13" t="s">
        <v>143</v>
      </c>
      <c r="H145" s="14" t="s">
        <v>16</v>
      </c>
      <c r="I145" s="15" t="s">
        <v>17</v>
      </c>
      <c r="L145" s="17"/>
      <c r="M145" s="17"/>
    </row>
    <row r="146" spans="1:13" s="20" customFormat="1" x14ac:dyDescent="0.2">
      <c r="A146" s="10" t="s">
        <v>8</v>
      </c>
      <c r="B146" s="11" t="s">
        <v>9</v>
      </c>
      <c r="C146" s="75" t="s">
        <v>594</v>
      </c>
      <c r="D146" s="86">
        <v>7178381</v>
      </c>
      <c r="E146" s="85">
        <v>45586</v>
      </c>
      <c r="F146" s="12">
        <v>5505</v>
      </c>
      <c r="G146" s="13" t="s">
        <v>363</v>
      </c>
      <c r="H146" s="14" t="s">
        <v>16</v>
      </c>
      <c r="I146" s="15" t="s">
        <v>17</v>
      </c>
      <c r="L146" s="17"/>
      <c r="M146" s="17"/>
    </row>
    <row r="147" spans="1:13" s="20" customFormat="1" x14ac:dyDescent="0.2">
      <c r="A147" s="10" t="s">
        <v>8</v>
      </c>
      <c r="B147" s="11" t="s">
        <v>9</v>
      </c>
      <c r="C147" s="75" t="s">
        <v>74</v>
      </c>
      <c r="D147" s="86">
        <v>7177263</v>
      </c>
      <c r="E147" s="85">
        <v>45580</v>
      </c>
      <c r="F147" s="12">
        <v>5434.98</v>
      </c>
      <c r="G147" s="13" t="s">
        <v>75</v>
      </c>
      <c r="H147" s="14" t="s">
        <v>16</v>
      </c>
      <c r="I147" s="15" t="s">
        <v>17</v>
      </c>
      <c r="L147" s="17"/>
      <c r="M147" s="17"/>
    </row>
    <row r="148" spans="1:13" s="20" customFormat="1" x14ac:dyDescent="0.2">
      <c r="A148" s="10" t="s">
        <v>8</v>
      </c>
      <c r="B148" s="11" t="s">
        <v>9</v>
      </c>
      <c r="C148" s="75" t="s">
        <v>152</v>
      </c>
      <c r="D148" s="86">
        <v>7178139</v>
      </c>
      <c r="E148" s="85">
        <v>45579</v>
      </c>
      <c r="F148" s="12">
        <v>5224.0600000000004</v>
      </c>
      <c r="G148" s="13" t="s">
        <v>129</v>
      </c>
      <c r="H148" s="14" t="s">
        <v>16</v>
      </c>
      <c r="I148" s="15" t="s">
        <v>17</v>
      </c>
      <c r="L148" s="17"/>
      <c r="M148" s="17"/>
    </row>
    <row r="149" spans="1:13" s="20" customFormat="1" x14ac:dyDescent="0.2">
      <c r="A149" s="10" t="s">
        <v>8</v>
      </c>
      <c r="B149" s="11" t="s">
        <v>9</v>
      </c>
      <c r="C149" s="75" t="s">
        <v>168</v>
      </c>
      <c r="D149" s="86">
        <v>3068665</v>
      </c>
      <c r="E149" s="85">
        <v>45576</v>
      </c>
      <c r="F149" s="12">
        <v>5000</v>
      </c>
      <c r="G149" s="13" t="s">
        <v>169</v>
      </c>
      <c r="H149" s="14" t="s">
        <v>16</v>
      </c>
      <c r="I149" s="15" t="s">
        <v>17</v>
      </c>
      <c r="L149" s="17"/>
      <c r="M149" s="17"/>
    </row>
    <row r="150" spans="1:13" s="20" customFormat="1" x14ac:dyDescent="0.2">
      <c r="A150" s="10" t="s">
        <v>8</v>
      </c>
      <c r="B150" s="11" t="s">
        <v>9</v>
      </c>
      <c r="C150" s="75" t="s">
        <v>168</v>
      </c>
      <c r="D150" s="86">
        <v>3068713</v>
      </c>
      <c r="E150" s="85">
        <v>45593</v>
      </c>
      <c r="F150" s="12">
        <v>5000</v>
      </c>
      <c r="G150" s="13" t="s">
        <v>169</v>
      </c>
      <c r="H150" s="14" t="s">
        <v>16</v>
      </c>
      <c r="I150" s="15" t="s">
        <v>17</v>
      </c>
      <c r="L150" s="17"/>
      <c r="M150" s="17"/>
    </row>
    <row r="151" spans="1:13" s="20" customFormat="1" x14ac:dyDescent="0.2">
      <c r="A151" s="10" t="s">
        <v>8</v>
      </c>
      <c r="B151" s="11" t="s">
        <v>9</v>
      </c>
      <c r="C151" s="75" t="s">
        <v>448</v>
      </c>
      <c r="D151" s="86">
        <v>7178504</v>
      </c>
      <c r="E151" s="85">
        <v>45595</v>
      </c>
      <c r="F151" s="12">
        <v>5000</v>
      </c>
      <c r="G151" s="13" t="s">
        <v>27</v>
      </c>
      <c r="H151" s="14" t="s">
        <v>16</v>
      </c>
      <c r="I151" s="15" t="s">
        <v>17</v>
      </c>
      <c r="L151" s="17"/>
      <c r="M151" s="17"/>
    </row>
    <row r="152" spans="1:13" s="20" customFormat="1" x14ac:dyDescent="0.2">
      <c r="A152" s="10" t="s">
        <v>8</v>
      </c>
      <c r="B152" s="11" t="s">
        <v>9</v>
      </c>
      <c r="C152" s="75" t="s">
        <v>938</v>
      </c>
      <c r="D152" s="86">
        <v>3068689</v>
      </c>
      <c r="E152" s="85">
        <v>45583</v>
      </c>
      <c r="F152" s="12">
        <v>5000</v>
      </c>
      <c r="G152" s="13" t="s">
        <v>80</v>
      </c>
      <c r="H152" s="14" t="s">
        <v>16</v>
      </c>
      <c r="I152" s="15" t="s">
        <v>17</v>
      </c>
      <c r="L152" s="17"/>
      <c r="M152" s="17"/>
    </row>
    <row r="153" spans="1:13" s="20" customFormat="1" x14ac:dyDescent="0.2">
      <c r="A153" s="10" t="s">
        <v>8</v>
      </c>
      <c r="B153" s="11" t="s">
        <v>9</v>
      </c>
      <c r="C153" s="75" t="s">
        <v>536</v>
      </c>
      <c r="D153" s="86">
        <v>7177556</v>
      </c>
      <c r="E153" s="85">
        <v>45566</v>
      </c>
      <c r="F153" s="12">
        <v>4995</v>
      </c>
      <c r="G153" s="13" t="s">
        <v>319</v>
      </c>
      <c r="H153" s="14" t="s">
        <v>16</v>
      </c>
      <c r="I153" s="15" t="s">
        <v>17</v>
      </c>
      <c r="L153" s="17"/>
      <c r="M153" s="17"/>
    </row>
    <row r="154" spans="1:13" s="20" customFormat="1" x14ac:dyDescent="0.2">
      <c r="A154" s="10" t="s">
        <v>8</v>
      </c>
      <c r="B154" s="11" t="s">
        <v>9</v>
      </c>
      <c r="C154" s="75" t="s">
        <v>525</v>
      </c>
      <c r="D154" s="86">
        <v>7172986</v>
      </c>
      <c r="E154" s="85">
        <v>45584</v>
      </c>
      <c r="F154" s="12">
        <v>4890</v>
      </c>
      <c r="G154" s="13" t="s">
        <v>524</v>
      </c>
      <c r="H154" s="14" t="s">
        <v>16</v>
      </c>
      <c r="I154" s="15" t="s">
        <v>17</v>
      </c>
      <c r="L154" s="17"/>
      <c r="M154" s="17"/>
    </row>
    <row r="155" spans="1:13" s="20" customFormat="1" x14ac:dyDescent="0.2">
      <c r="A155" s="10" t="s">
        <v>8</v>
      </c>
      <c r="B155" s="11" t="s">
        <v>9</v>
      </c>
      <c r="C155" s="75" t="s">
        <v>172</v>
      </c>
      <c r="D155" s="86">
        <v>7178229</v>
      </c>
      <c r="E155" s="85">
        <v>45581</v>
      </c>
      <c r="F155" s="12">
        <v>4800</v>
      </c>
      <c r="G155" s="13" t="s">
        <v>112</v>
      </c>
      <c r="H155" s="14" t="s">
        <v>16</v>
      </c>
      <c r="I155" s="15" t="s">
        <v>17</v>
      </c>
      <c r="L155" s="17"/>
      <c r="M155" s="17"/>
    </row>
    <row r="156" spans="1:13" s="20" customFormat="1" x14ac:dyDescent="0.2">
      <c r="A156" s="10" t="s">
        <v>8</v>
      </c>
      <c r="B156" s="11" t="s">
        <v>9</v>
      </c>
      <c r="C156" s="75" t="s">
        <v>172</v>
      </c>
      <c r="D156" s="86">
        <v>7177903</v>
      </c>
      <c r="E156" s="85">
        <v>45581</v>
      </c>
      <c r="F156" s="12">
        <v>4800</v>
      </c>
      <c r="G156" s="13" t="s">
        <v>112</v>
      </c>
      <c r="H156" s="14" t="s">
        <v>16</v>
      </c>
      <c r="I156" s="15" t="s">
        <v>17</v>
      </c>
      <c r="L156" s="17"/>
      <c r="M156" s="17"/>
    </row>
    <row r="157" spans="1:13" s="20" customFormat="1" x14ac:dyDescent="0.2">
      <c r="A157" s="10" t="s">
        <v>8</v>
      </c>
      <c r="B157" s="11" t="s">
        <v>9</v>
      </c>
      <c r="C157" s="75" t="s">
        <v>103</v>
      </c>
      <c r="D157" s="86">
        <v>7177827</v>
      </c>
      <c r="E157" s="85">
        <v>45594</v>
      </c>
      <c r="F157" s="12">
        <v>4700</v>
      </c>
      <c r="G157" s="13" t="s">
        <v>91</v>
      </c>
      <c r="H157" s="14" t="s">
        <v>16</v>
      </c>
      <c r="I157" s="15" t="s">
        <v>17</v>
      </c>
      <c r="L157" s="17"/>
      <c r="M157" s="17"/>
    </row>
    <row r="158" spans="1:13" s="20" customFormat="1" x14ac:dyDescent="0.2">
      <c r="A158" s="10" t="s">
        <v>8</v>
      </c>
      <c r="B158" s="11" t="s">
        <v>9</v>
      </c>
      <c r="C158" s="75" t="s">
        <v>545</v>
      </c>
      <c r="D158" s="86">
        <v>7177699</v>
      </c>
      <c r="E158" s="85">
        <v>45572</v>
      </c>
      <c r="F158" s="12">
        <v>4625</v>
      </c>
      <c r="G158" s="13" t="s">
        <v>22</v>
      </c>
      <c r="H158" s="14" t="s">
        <v>16</v>
      </c>
      <c r="I158" s="15" t="s">
        <v>17</v>
      </c>
      <c r="L158" s="17"/>
      <c r="M158" s="17"/>
    </row>
    <row r="159" spans="1:13" s="20" customFormat="1" x14ac:dyDescent="0.2">
      <c r="A159" s="10" t="s">
        <v>8</v>
      </c>
      <c r="B159" s="11" t="s">
        <v>9</v>
      </c>
      <c r="C159" s="75" t="s">
        <v>525</v>
      </c>
      <c r="D159" s="86">
        <v>7176899</v>
      </c>
      <c r="E159" s="85">
        <v>45584</v>
      </c>
      <c r="F159" s="12">
        <v>4565</v>
      </c>
      <c r="G159" s="13" t="s">
        <v>524</v>
      </c>
      <c r="H159" s="14" t="s">
        <v>16</v>
      </c>
      <c r="I159" s="15" t="s">
        <v>17</v>
      </c>
      <c r="L159" s="17"/>
      <c r="M159" s="17"/>
    </row>
    <row r="160" spans="1:13" s="20" customFormat="1" x14ac:dyDescent="0.2">
      <c r="A160" s="10" t="s">
        <v>8</v>
      </c>
      <c r="B160" s="11" t="s">
        <v>9</v>
      </c>
      <c r="C160" s="75" t="s">
        <v>90</v>
      </c>
      <c r="D160" s="86">
        <v>7178128</v>
      </c>
      <c r="E160" s="85">
        <v>45579</v>
      </c>
      <c r="F160" s="12">
        <v>4537.82</v>
      </c>
      <c r="G160" s="13" t="s">
        <v>91</v>
      </c>
      <c r="H160" s="14" t="s">
        <v>16</v>
      </c>
      <c r="I160" s="15" t="s">
        <v>17</v>
      </c>
      <c r="L160" s="17"/>
      <c r="M160" s="17"/>
    </row>
    <row r="161" spans="1:13" s="20" customFormat="1" x14ac:dyDescent="0.2">
      <c r="A161" s="10" t="s">
        <v>8</v>
      </c>
      <c r="B161" s="11" t="s">
        <v>9</v>
      </c>
      <c r="C161" s="75" t="s">
        <v>173</v>
      </c>
      <c r="D161" s="86">
        <v>7178325</v>
      </c>
      <c r="E161" s="85">
        <v>45582</v>
      </c>
      <c r="F161" s="12">
        <v>4519.22</v>
      </c>
      <c r="G161" s="13" t="s">
        <v>80</v>
      </c>
      <c r="H161" s="14" t="s">
        <v>16</v>
      </c>
      <c r="I161" s="15" t="s">
        <v>17</v>
      </c>
      <c r="L161" s="17"/>
      <c r="M161" s="17"/>
    </row>
    <row r="162" spans="1:13" s="20" customFormat="1" x14ac:dyDescent="0.2">
      <c r="A162" s="10" t="s">
        <v>8</v>
      </c>
      <c r="B162" s="11" t="s">
        <v>9</v>
      </c>
      <c r="C162" s="75" t="s">
        <v>937</v>
      </c>
      <c r="D162" s="86">
        <v>7178055</v>
      </c>
      <c r="E162" s="85">
        <v>45575</v>
      </c>
      <c r="F162" s="12">
        <v>4500</v>
      </c>
      <c r="G162" s="13" t="s">
        <v>22</v>
      </c>
      <c r="H162" s="14" t="s">
        <v>16</v>
      </c>
      <c r="I162" s="15" t="s">
        <v>17</v>
      </c>
      <c r="L162" s="17"/>
      <c r="M162" s="17"/>
    </row>
    <row r="163" spans="1:13" s="20" customFormat="1" x14ac:dyDescent="0.2">
      <c r="A163" s="10" t="s">
        <v>8</v>
      </c>
      <c r="B163" s="11" t="s">
        <v>9</v>
      </c>
      <c r="C163" s="75" t="s">
        <v>936</v>
      </c>
      <c r="D163" s="86">
        <v>7177835</v>
      </c>
      <c r="E163" s="85">
        <v>45569</v>
      </c>
      <c r="F163" s="12">
        <v>4500</v>
      </c>
      <c r="G163" s="13" t="s">
        <v>22</v>
      </c>
      <c r="H163" s="14" t="s">
        <v>16</v>
      </c>
      <c r="I163" s="15" t="s">
        <v>17</v>
      </c>
      <c r="L163" s="17"/>
      <c r="M163" s="17"/>
    </row>
    <row r="164" spans="1:13" s="20" customFormat="1" x14ac:dyDescent="0.2">
      <c r="A164" s="10" t="s">
        <v>8</v>
      </c>
      <c r="B164" s="11" t="s">
        <v>9</v>
      </c>
      <c r="C164" s="75" t="s">
        <v>119</v>
      </c>
      <c r="D164" s="86">
        <v>7178438</v>
      </c>
      <c r="E164" s="85">
        <v>45587</v>
      </c>
      <c r="F164" s="12">
        <v>4476.47</v>
      </c>
      <c r="G164" s="13" t="s">
        <v>120</v>
      </c>
      <c r="H164" s="14" t="s">
        <v>16</v>
      </c>
      <c r="I164" s="15" t="s">
        <v>17</v>
      </c>
      <c r="L164" s="17"/>
      <c r="M164" s="17"/>
    </row>
    <row r="165" spans="1:13" s="20" customFormat="1" x14ac:dyDescent="0.2">
      <c r="A165" s="10" t="s">
        <v>8</v>
      </c>
      <c r="B165" s="11" t="s">
        <v>9</v>
      </c>
      <c r="C165" s="75" t="s">
        <v>685</v>
      </c>
      <c r="D165" s="86">
        <v>7178373</v>
      </c>
      <c r="E165" s="85">
        <v>45586</v>
      </c>
      <c r="F165" s="12">
        <v>4315</v>
      </c>
      <c r="G165" s="13" t="s">
        <v>39</v>
      </c>
      <c r="H165" s="14" t="s">
        <v>16</v>
      </c>
      <c r="I165" s="15" t="s">
        <v>17</v>
      </c>
      <c r="L165" s="17"/>
      <c r="M165" s="17"/>
    </row>
    <row r="166" spans="1:13" s="20" customFormat="1" x14ac:dyDescent="0.2">
      <c r="A166" s="10" t="s">
        <v>8</v>
      </c>
      <c r="B166" s="11" t="s">
        <v>9</v>
      </c>
      <c r="C166" s="75" t="s">
        <v>153</v>
      </c>
      <c r="D166" s="86">
        <v>7178263</v>
      </c>
      <c r="E166" s="85">
        <v>45580</v>
      </c>
      <c r="F166" s="12">
        <v>4305</v>
      </c>
      <c r="G166" s="13" t="s">
        <v>39</v>
      </c>
      <c r="H166" s="14" t="s">
        <v>16</v>
      </c>
      <c r="I166" s="15" t="s">
        <v>17</v>
      </c>
      <c r="L166" s="17"/>
      <c r="M166" s="17"/>
    </row>
    <row r="167" spans="1:13" s="20" customFormat="1" x14ac:dyDescent="0.2">
      <c r="A167" s="10" t="s">
        <v>8</v>
      </c>
      <c r="B167" s="11" t="s">
        <v>9</v>
      </c>
      <c r="C167" s="75" t="s">
        <v>525</v>
      </c>
      <c r="D167" s="86">
        <v>7178183</v>
      </c>
      <c r="E167" s="85">
        <v>45584</v>
      </c>
      <c r="F167" s="12">
        <v>4204</v>
      </c>
      <c r="G167" s="13" t="s">
        <v>524</v>
      </c>
      <c r="H167" s="14" t="s">
        <v>16</v>
      </c>
      <c r="I167" s="15" t="s">
        <v>17</v>
      </c>
      <c r="L167" s="17"/>
      <c r="M167" s="17"/>
    </row>
    <row r="168" spans="1:13" s="20" customFormat="1" x14ac:dyDescent="0.2">
      <c r="A168" s="10" t="s">
        <v>8</v>
      </c>
      <c r="B168" s="11" t="s">
        <v>9</v>
      </c>
      <c r="C168" s="75" t="s">
        <v>935</v>
      </c>
      <c r="D168" s="86">
        <v>7177764</v>
      </c>
      <c r="E168" s="85">
        <v>45584</v>
      </c>
      <c r="F168" s="12">
        <v>4200</v>
      </c>
      <c r="G168" s="13" t="s">
        <v>131</v>
      </c>
      <c r="H168" s="14" t="s">
        <v>16</v>
      </c>
      <c r="I168" s="15" t="s">
        <v>17</v>
      </c>
      <c r="L168" s="17"/>
      <c r="M168" s="17"/>
    </row>
    <row r="169" spans="1:13" s="20" customFormat="1" x14ac:dyDescent="0.2">
      <c r="A169" s="10" t="s">
        <v>8</v>
      </c>
      <c r="B169" s="11" t="s">
        <v>9</v>
      </c>
      <c r="C169" s="75" t="s">
        <v>240</v>
      </c>
      <c r="D169" s="86">
        <v>7178334</v>
      </c>
      <c r="E169" s="85">
        <v>45586</v>
      </c>
      <c r="F169" s="12">
        <v>4148.18</v>
      </c>
      <c r="G169" s="13" t="s">
        <v>241</v>
      </c>
      <c r="H169" s="14" t="s">
        <v>16</v>
      </c>
      <c r="I169" s="15" t="s">
        <v>17</v>
      </c>
      <c r="L169" s="17"/>
      <c r="M169" s="17"/>
    </row>
    <row r="170" spans="1:13" s="20" customFormat="1" x14ac:dyDescent="0.2">
      <c r="A170" s="10" t="s">
        <v>8</v>
      </c>
      <c r="B170" s="11" t="s">
        <v>9</v>
      </c>
      <c r="C170" s="75" t="s">
        <v>68</v>
      </c>
      <c r="D170" s="86">
        <v>7178466</v>
      </c>
      <c r="E170" s="85">
        <v>45586</v>
      </c>
      <c r="F170" s="12">
        <v>4026.56</v>
      </c>
      <c r="G170" s="13" t="s">
        <v>43</v>
      </c>
      <c r="H170" s="14" t="s">
        <v>16</v>
      </c>
      <c r="I170" s="15" t="s">
        <v>17</v>
      </c>
      <c r="L170" s="17"/>
      <c r="M170" s="17"/>
    </row>
    <row r="171" spans="1:13" s="20" customFormat="1" x14ac:dyDescent="0.2">
      <c r="A171" s="10" t="s">
        <v>8</v>
      </c>
      <c r="B171" s="11" t="s">
        <v>9</v>
      </c>
      <c r="C171" s="75" t="s">
        <v>641</v>
      </c>
      <c r="D171" s="86">
        <v>7178010</v>
      </c>
      <c r="E171" s="85">
        <v>45574</v>
      </c>
      <c r="F171" s="12">
        <v>4000</v>
      </c>
      <c r="G171" s="13" t="s">
        <v>382</v>
      </c>
      <c r="H171" s="14" t="s">
        <v>16</v>
      </c>
      <c r="I171" s="15" t="s">
        <v>17</v>
      </c>
      <c r="L171" s="17"/>
      <c r="M171" s="17"/>
    </row>
    <row r="172" spans="1:13" s="20" customFormat="1" x14ac:dyDescent="0.2">
      <c r="A172" s="10" t="s">
        <v>8</v>
      </c>
      <c r="B172" s="11" t="s">
        <v>9</v>
      </c>
      <c r="C172" s="75" t="s">
        <v>934</v>
      </c>
      <c r="D172" s="86">
        <v>7177554</v>
      </c>
      <c r="E172" s="85">
        <v>45574</v>
      </c>
      <c r="F172" s="12">
        <v>4000</v>
      </c>
      <c r="G172" s="13" t="s">
        <v>106</v>
      </c>
      <c r="H172" s="14" t="s">
        <v>16</v>
      </c>
      <c r="I172" s="15" t="s">
        <v>17</v>
      </c>
      <c r="L172" s="17"/>
      <c r="M172" s="17"/>
    </row>
    <row r="173" spans="1:13" s="20" customFormat="1" x14ac:dyDescent="0.2">
      <c r="A173" s="10" t="s">
        <v>8</v>
      </c>
      <c r="B173" s="11" t="s">
        <v>9</v>
      </c>
      <c r="C173" s="75" t="s">
        <v>525</v>
      </c>
      <c r="D173" s="86">
        <v>7174939</v>
      </c>
      <c r="E173" s="85">
        <v>45584</v>
      </c>
      <c r="F173" s="12">
        <v>3837</v>
      </c>
      <c r="G173" s="13" t="s">
        <v>524</v>
      </c>
      <c r="H173" s="14" t="s">
        <v>16</v>
      </c>
      <c r="I173" s="15" t="s">
        <v>17</v>
      </c>
      <c r="L173" s="17"/>
      <c r="M173" s="17"/>
    </row>
    <row r="174" spans="1:13" s="20" customFormat="1" x14ac:dyDescent="0.2">
      <c r="A174" s="10" t="s">
        <v>8</v>
      </c>
      <c r="B174" s="11" t="s">
        <v>9</v>
      </c>
      <c r="C174" s="75" t="s">
        <v>26</v>
      </c>
      <c r="D174" s="86">
        <v>7178537</v>
      </c>
      <c r="E174" s="85">
        <v>45588</v>
      </c>
      <c r="F174" s="12">
        <v>3800.68</v>
      </c>
      <c r="G174" s="13" t="s">
        <v>76</v>
      </c>
      <c r="H174" s="14" t="s">
        <v>16</v>
      </c>
      <c r="I174" s="15" t="s">
        <v>17</v>
      </c>
      <c r="L174" s="17"/>
      <c r="M174" s="17"/>
    </row>
    <row r="175" spans="1:13" s="20" customFormat="1" x14ac:dyDescent="0.2">
      <c r="A175" s="10" t="s">
        <v>8</v>
      </c>
      <c r="B175" s="11" t="s">
        <v>9</v>
      </c>
      <c r="C175" s="75" t="s">
        <v>928</v>
      </c>
      <c r="D175" s="86">
        <v>7178524</v>
      </c>
      <c r="E175" s="85">
        <v>45594</v>
      </c>
      <c r="F175" s="12">
        <v>3759</v>
      </c>
      <c r="G175" s="13" t="s">
        <v>39</v>
      </c>
      <c r="H175" s="14" t="s">
        <v>16</v>
      </c>
      <c r="I175" s="15" t="s">
        <v>17</v>
      </c>
      <c r="L175" s="17"/>
      <c r="M175" s="17"/>
    </row>
    <row r="176" spans="1:13" s="20" customFormat="1" x14ac:dyDescent="0.2">
      <c r="A176" s="10" t="s">
        <v>8</v>
      </c>
      <c r="B176" s="11" t="s">
        <v>9</v>
      </c>
      <c r="C176" s="75" t="s">
        <v>933</v>
      </c>
      <c r="D176" s="86">
        <v>7178724</v>
      </c>
      <c r="E176" s="85">
        <v>45594</v>
      </c>
      <c r="F176" s="12">
        <v>3750</v>
      </c>
      <c r="G176" s="13" t="s">
        <v>203</v>
      </c>
      <c r="H176" s="14" t="s">
        <v>16</v>
      </c>
      <c r="I176" s="15" t="s">
        <v>17</v>
      </c>
      <c r="L176" s="17"/>
      <c r="M176" s="17"/>
    </row>
    <row r="177" spans="1:13" s="20" customFormat="1" x14ac:dyDescent="0.2">
      <c r="A177" s="10" t="s">
        <v>8</v>
      </c>
      <c r="B177" s="11" t="s">
        <v>9</v>
      </c>
      <c r="C177" s="75" t="s">
        <v>525</v>
      </c>
      <c r="D177" s="86">
        <v>7176133</v>
      </c>
      <c r="E177" s="85">
        <v>45584</v>
      </c>
      <c r="F177" s="12">
        <v>3739</v>
      </c>
      <c r="G177" s="13" t="s">
        <v>524</v>
      </c>
      <c r="H177" s="14" t="s">
        <v>16</v>
      </c>
      <c r="I177" s="15" t="s">
        <v>17</v>
      </c>
      <c r="L177" s="17"/>
      <c r="M177" s="17"/>
    </row>
    <row r="178" spans="1:13" s="20" customFormat="1" x14ac:dyDescent="0.2">
      <c r="A178" s="10" t="s">
        <v>8</v>
      </c>
      <c r="B178" s="11" t="s">
        <v>9</v>
      </c>
      <c r="C178" s="75" t="s">
        <v>150</v>
      </c>
      <c r="D178" s="86">
        <v>7176709</v>
      </c>
      <c r="E178" s="85">
        <v>45587</v>
      </c>
      <c r="F178" s="12">
        <v>3728.15</v>
      </c>
      <c r="G178" s="13" t="s">
        <v>151</v>
      </c>
      <c r="H178" s="14" t="s">
        <v>16</v>
      </c>
      <c r="I178" s="15" t="s">
        <v>17</v>
      </c>
      <c r="L178" s="17"/>
      <c r="M178" s="17"/>
    </row>
    <row r="179" spans="1:13" s="20" customFormat="1" x14ac:dyDescent="0.2">
      <c r="A179" s="10" t="s">
        <v>8</v>
      </c>
      <c r="B179" s="11" t="s">
        <v>9</v>
      </c>
      <c r="C179" s="75" t="s">
        <v>854</v>
      </c>
      <c r="D179" s="86">
        <v>7177977</v>
      </c>
      <c r="E179" s="85">
        <v>45576</v>
      </c>
      <c r="F179" s="12">
        <v>3713.5</v>
      </c>
      <c r="G179" s="13" t="s">
        <v>106</v>
      </c>
      <c r="H179" s="14" t="s">
        <v>16</v>
      </c>
      <c r="I179" s="15" t="s">
        <v>17</v>
      </c>
      <c r="L179" s="17"/>
      <c r="M179" s="17"/>
    </row>
    <row r="180" spans="1:13" s="20" customFormat="1" x14ac:dyDescent="0.2">
      <c r="A180" s="10" t="s">
        <v>8</v>
      </c>
      <c r="B180" s="11" t="s">
        <v>9</v>
      </c>
      <c r="C180" s="75" t="s">
        <v>277</v>
      </c>
      <c r="D180" s="86">
        <v>7178499</v>
      </c>
      <c r="E180" s="85">
        <v>45587</v>
      </c>
      <c r="F180" s="12">
        <v>3660</v>
      </c>
      <c r="G180" s="13" t="s">
        <v>278</v>
      </c>
      <c r="H180" s="14" t="s">
        <v>16</v>
      </c>
      <c r="I180" s="15" t="s">
        <v>17</v>
      </c>
      <c r="L180" s="17"/>
      <c r="M180" s="17"/>
    </row>
    <row r="181" spans="1:13" s="20" customFormat="1" x14ac:dyDescent="0.2">
      <c r="A181" s="10" t="s">
        <v>8</v>
      </c>
      <c r="B181" s="11" t="s">
        <v>9</v>
      </c>
      <c r="C181" s="75" t="s">
        <v>124</v>
      </c>
      <c r="D181" s="86">
        <v>7178775</v>
      </c>
      <c r="E181" s="85">
        <v>45595</v>
      </c>
      <c r="F181" s="12">
        <v>3648.64</v>
      </c>
      <c r="G181" s="13" t="s">
        <v>91</v>
      </c>
      <c r="H181" s="14" t="s">
        <v>16</v>
      </c>
      <c r="I181" s="15" t="s">
        <v>17</v>
      </c>
      <c r="L181" s="17"/>
      <c r="M181" s="17"/>
    </row>
    <row r="182" spans="1:13" s="20" customFormat="1" x14ac:dyDescent="0.2">
      <c r="A182" s="10" t="s">
        <v>8</v>
      </c>
      <c r="B182" s="11" t="s">
        <v>9</v>
      </c>
      <c r="C182" s="75" t="s">
        <v>932</v>
      </c>
      <c r="D182" s="86">
        <v>7177853</v>
      </c>
      <c r="E182" s="85">
        <v>45569</v>
      </c>
      <c r="F182" s="12">
        <v>3600</v>
      </c>
      <c r="G182" s="13" t="s">
        <v>22</v>
      </c>
      <c r="H182" s="14" t="s">
        <v>16</v>
      </c>
      <c r="I182" s="15" t="s">
        <v>17</v>
      </c>
      <c r="L182" s="17"/>
      <c r="M182" s="17"/>
    </row>
    <row r="183" spans="1:13" s="20" customFormat="1" x14ac:dyDescent="0.2">
      <c r="A183" s="10" t="s">
        <v>8</v>
      </c>
      <c r="B183" s="11" t="s">
        <v>9</v>
      </c>
      <c r="C183" s="75" t="s">
        <v>525</v>
      </c>
      <c r="D183" s="86">
        <v>7171103</v>
      </c>
      <c r="E183" s="85">
        <v>45584</v>
      </c>
      <c r="F183" s="12">
        <v>3599</v>
      </c>
      <c r="G183" s="13" t="s">
        <v>524</v>
      </c>
      <c r="H183" s="14" t="s">
        <v>16</v>
      </c>
      <c r="I183" s="15" t="s">
        <v>17</v>
      </c>
      <c r="L183" s="17"/>
      <c r="M183" s="17"/>
    </row>
    <row r="184" spans="1:13" s="20" customFormat="1" x14ac:dyDescent="0.2">
      <c r="A184" s="10" t="s">
        <v>8</v>
      </c>
      <c r="B184" s="11" t="s">
        <v>9</v>
      </c>
      <c r="C184" s="75" t="s">
        <v>90</v>
      </c>
      <c r="D184" s="86">
        <v>7177788</v>
      </c>
      <c r="E184" s="85">
        <v>45586</v>
      </c>
      <c r="F184" s="18">
        <v>3591.25</v>
      </c>
      <c r="G184" s="13" t="s">
        <v>91</v>
      </c>
      <c r="H184" s="14" t="s">
        <v>16</v>
      </c>
      <c r="I184" s="15" t="s">
        <v>17</v>
      </c>
      <c r="L184" s="17"/>
      <c r="M184" s="17"/>
    </row>
    <row r="185" spans="1:13" s="20" customFormat="1" x14ac:dyDescent="0.2">
      <c r="A185" s="10" t="s">
        <v>8</v>
      </c>
      <c r="B185" s="11" t="s">
        <v>9</v>
      </c>
      <c r="C185" s="75" t="s">
        <v>173</v>
      </c>
      <c r="D185" s="86">
        <v>7178264</v>
      </c>
      <c r="E185" s="85">
        <v>45580</v>
      </c>
      <c r="F185" s="12">
        <v>3525.67</v>
      </c>
      <c r="G185" s="19" t="s">
        <v>80</v>
      </c>
      <c r="H185" s="14" t="s">
        <v>16</v>
      </c>
      <c r="I185" s="15" t="s">
        <v>17</v>
      </c>
      <c r="L185" s="17"/>
      <c r="M185" s="17"/>
    </row>
    <row r="186" spans="1:13" s="20" customFormat="1" x14ac:dyDescent="0.2">
      <c r="A186" s="10" t="s">
        <v>8</v>
      </c>
      <c r="B186" s="11" t="s">
        <v>9</v>
      </c>
      <c r="C186" s="75" t="s">
        <v>207</v>
      </c>
      <c r="D186" s="86">
        <v>7177891</v>
      </c>
      <c r="E186" s="85">
        <v>45573</v>
      </c>
      <c r="F186" s="12">
        <v>3518.05</v>
      </c>
      <c r="G186" s="19" t="s">
        <v>114</v>
      </c>
      <c r="H186" s="14" t="s">
        <v>16</v>
      </c>
      <c r="I186" s="15" t="s">
        <v>17</v>
      </c>
      <c r="L186" s="17"/>
      <c r="M186" s="17"/>
    </row>
    <row r="187" spans="1:13" s="20" customFormat="1" x14ac:dyDescent="0.2">
      <c r="A187" s="10" t="s">
        <v>8</v>
      </c>
      <c r="B187" s="11" t="s">
        <v>9</v>
      </c>
      <c r="C187" s="75" t="s">
        <v>132</v>
      </c>
      <c r="D187" s="86">
        <v>7178777</v>
      </c>
      <c r="E187" s="85">
        <v>45595</v>
      </c>
      <c r="F187" s="12">
        <v>3500</v>
      </c>
      <c r="G187" s="13" t="s">
        <v>133</v>
      </c>
      <c r="H187" s="14" t="s">
        <v>16</v>
      </c>
      <c r="I187" s="15" t="s">
        <v>17</v>
      </c>
      <c r="L187" s="17"/>
      <c r="M187" s="17"/>
    </row>
    <row r="188" spans="1:13" s="20" customFormat="1" x14ac:dyDescent="0.2">
      <c r="A188" s="10" t="s">
        <v>8</v>
      </c>
      <c r="B188" s="11" t="s">
        <v>9</v>
      </c>
      <c r="C188" s="75" t="s">
        <v>256</v>
      </c>
      <c r="D188" s="86">
        <v>7178180</v>
      </c>
      <c r="E188" s="85">
        <v>45579</v>
      </c>
      <c r="F188" s="12">
        <v>3487.5</v>
      </c>
      <c r="G188" s="13" t="s">
        <v>155</v>
      </c>
      <c r="H188" s="14" t="s">
        <v>16</v>
      </c>
      <c r="I188" s="15" t="s">
        <v>17</v>
      </c>
      <c r="L188" s="17"/>
      <c r="M188" s="17"/>
    </row>
    <row r="189" spans="1:13" s="20" customFormat="1" x14ac:dyDescent="0.2">
      <c r="A189" s="10" t="s">
        <v>8</v>
      </c>
      <c r="B189" s="11" t="s">
        <v>9</v>
      </c>
      <c r="C189" s="75" t="s">
        <v>420</v>
      </c>
      <c r="D189" s="86">
        <v>7178322</v>
      </c>
      <c r="E189" s="85">
        <v>45594</v>
      </c>
      <c r="F189" s="12">
        <v>3376</v>
      </c>
      <c r="G189" s="13" t="s">
        <v>106</v>
      </c>
      <c r="H189" s="14" t="s">
        <v>16</v>
      </c>
      <c r="I189" s="15" t="s">
        <v>17</v>
      </c>
      <c r="L189" s="17"/>
      <c r="M189" s="17"/>
    </row>
    <row r="190" spans="1:13" s="20" customFormat="1" x14ac:dyDescent="0.2">
      <c r="A190" s="10" t="s">
        <v>8</v>
      </c>
      <c r="B190" s="11" t="s">
        <v>9</v>
      </c>
      <c r="C190" s="75" t="s">
        <v>420</v>
      </c>
      <c r="D190" s="86">
        <v>7178240</v>
      </c>
      <c r="E190" s="85">
        <v>45596</v>
      </c>
      <c r="F190" s="12">
        <v>3376</v>
      </c>
      <c r="G190" s="13" t="s">
        <v>106</v>
      </c>
      <c r="H190" s="14" t="s">
        <v>16</v>
      </c>
      <c r="I190" s="15" t="s">
        <v>17</v>
      </c>
      <c r="L190" s="17"/>
      <c r="M190" s="17"/>
    </row>
    <row r="191" spans="1:13" s="20" customFormat="1" x14ac:dyDescent="0.2">
      <c r="A191" s="10" t="s">
        <v>8</v>
      </c>
      <c r="B191" s="11" t="s">
        <v>9</v>
      </c>
      <c r="C191" s="75" t="s">
        <v>113</v>
      </c>
      <c r="D191" s="86">
        <v>7177976</v>
      </c>
      <c r="E191" s="85">
        <v>45586</v>
      </c>
      <c r="F191" s="12">
        <v>3328</v>
      </c>
      <c r="G191" s="13" t="s">
        <v>75</v>
      </c>
      <c r="H191" s="14" t="s">
        <v>16</v>
      </c>
      <c r="I191" s="15" t="s">
        <v>17</v>
      </c>
      <c r="L191" s="17"/>
      <c r="M191" s="17"/>
    </row>
    <row r="192" spans="1:13" s="20" customFormat="1" x14ac:dyDescent="0.2">
      <c r="A192" s="10" t="s">
        <v>8</v>
      </c>
      <c r="B192" s="11" t="s">
        <v>9</v>
      </c>
      <c r="C192" s="75" t="s">
        <v>448</v>
      </c>
      <c r="D192" s="86">
        <v>7178503</v>
      </c>
      <c r="E192" s="85">
        <v>45595</v>
      </c>
      <c r="F192" s="12">
        <v>3325</v>
      </c>
      <c r="G192" s="13" t="s">
        <v>27</v>
      </c>
      <c r="H192" s="14" t="s">
        <v>16</v>
      </c>
      <c r="I192" s="15" t="s">
        <v>17</v>
      </c>
      <c r="L192" s="17"/>
      <c r="M192" s="17"/>
    </row>
    <row r="193" spans="1:13" s="20" customFormat="1" x14ac:dyDescent="0.2">
      <c r="A193" s="10" t="s">
        <v>8</v>
      </c>
      <c r="B193" s="11" t="s">
        <v>9</v>
      </c>
      <c r="C193" s="75" t="s">
        <v>193</v>
      </c>
      <c r="D193" s="86">
        <v>7178062</v>
      </c>
      <c r="E193" s="85">
        <v>45575</v>
      </c>
      <c r="F193" s="12">
        <v>3321</v>
      </c>
      <c r="G193" s="13" t="s">
        <v>22</v>
      </c>
      <c r="H193" s="14" t="s">
        <v>16</v>
      </c>
      <c r="I193" s="15" t="s">
        <v>17</v>
      </c>
      <c r="L193" s="17"/>
      <c r="M193" s="17"/>
    </row>
    <row r="194" spans="1:13" s="20" customFormat="1" x14ac:dyDescent="0.2">
      <c r="A194" s="10" t="s">
        <v>8</v>
      </c>
      <c r="B194" s="11" t="s">
        <v>9</v>
      </c>
      <c r="C194" s="75" t="s">
        <v>193</v>
      </c>
      <c r="D194" s="86">
        <v>7178076</v>
      </c>
      <c r="E194" s="85">
        <v>45575</v>
      </c>
      <c r="F194" s="12">
        <v>3321</v>
      </c>
      <c r="G194" s="13" t="s">
        <v>194</v>
      </c>
      <c r="H194" s="14" t="s">
        <v>16</v>
      </c>
      <c r="I194" s="15" t="s">
        <v>17</v>
      </c>
      <c r="L194" s="17"/>
      <c r="M194" s="17"/>
    </row>
    <row r="195" spans="1:13" s="20" customFormat="1" x14ac:dyDescent="0.2">
      <c r="A195" s="10" t="s">
        <v>8</v>
      </c>
      <c r="B195" s="11" t="s">
        <v>9</v>
      </c>
      <c r="C195" s="75" t="s">
        <v>193</v>
      </c>
      <c r="D195" s="86">
        <v>7178246</v>
      </c>
      <c r="E195" s="85">
        <v>45581</v>
      </c>
      <c r="F195" s="12">
        <v>3321</v>
      </c>
      <c r="G195" s="13" t="s">
        <v>194</v>
      </c>
      <c r="H195" s="14" t="s">
        <v>16</v>
      </c>
      <c r="I195" s="15" t="s">
        <v>17</v>
      </c>
      <c r="L195" s="17"/>
      <c r="M195" s="17"/>
    </row>
    <row r="196" spans="1:13" s="20" customFormat="1" x14ac:dyDescent="0.2">
      <c r="A196" s="10" t="s">
        <v>8</v>
      </c>
      <c r="B196" s="11" t="s">
        <v>9</v>
      </c>
      <c r="C196" s="75" t="s">
        <v>193</v>
      </c>
      <c r="D196" s="86">
        <v>7178069</v>
      </c>
      <c r="E196" s="85">
        <v>45575</v>
      </c>
      <c r="F196" s="12">
        <v>3321</v>
      </c>
      <c r="G196" s="13" t="s">
        <v>194</v>
      </c>
      <c r="H196" s="14" t="s">
        <v>16</v>
      </c>
      <c r="I196" s="15" t="s">
        <v>17</v>
      </c>
      <c r="L196" s="17"/>
      <c r="M196" s="17"/>
    </row>
    <row r="197" spans="1:13" s="20" customFormat="1" x14ac:dyDescent="0.2">
      <c r="A197" s="10" t="s">
        <v>8</v>
      </c>
      <c r="B197" s="11" t="s">
        <v>9</v>
      </c>
      <c r="C197" s="75" t="s">
        <v>193</v>
      </c>
      <c r="D197" s="86">
        <v>7178072</v>
      </c>
      <c r="E197" s="85">
        <v>45575</v>
      </c>
      <c r="F197" s="12">
        <v>3321</v>
      </c>
      <c r="G197" s="13" t="s">
        <v>194</v>
      </c>
      <c r="H197" s="14" t="s">
        <v>16</v>
      </c>
      <c r="I197" s="15" t="s">
        <v>17</v>
      </c>
      <c r="L197" s="17"/>
      <c r="M197" s="17"/>
    </row>
    <row r="198" spans="1:13" s="20" customFormat="1" x14ac:dyDescent="0.2">
      <c r="A198" s="10" t="s">
        <v>8</v>
      </c>
      <c r="B198" s="11" t="s">
        <v>9</v>
      </c>
      <c r="C198" s="75" t="s">
        <v>282</v>
      </c>
      <c r="D198" s="86">
        <v>7178280</v>
      </c>
      <c r="E198" s="85">
        <v>45582</v>
      </c>
      <c r="F198" s="12">
        <v>3185</v>
      </c>
      <c r="G198" s="13" t="s">
        <v>131</v>
      </c>
      <c r="H198" s="14" t="s">
        <v>16</v>
      </c>
      <c r="I198" s="15" t="s">
        <v>17</v>
      </c>
      <c r="L198" s="17"/>
      <c r="M198" s="17"/>
    </row>
    <row r="199" spans="1:13" s="20" customFormat="1" x14ac:dyDescent="0.2">
      <c r="A199" s="10" t="s">
        <v>8</v>
      </c>
      <c r="B199" s="11" t="s">
        <v>9</v>
      </c>
      <c r="C199" s="75" t="s">
        <v>675</v>
      </c>
      <c r="D199" s="86">
        <v>7178043</v>
      </c>
      <c r="E199" s="85">
        <v>45590</v>
      </c>
      <c r="F199" s="12">
        <v>3073.26</v>
      </c>
      <c r="G199" s="13" t="s">
        <v>131</v>
      </c>
      <c r="H199" s="14" t="s">
        <v>16</v>
      </c>
      <c r="I199" s="15" t="s">
        <v>17</v>
      </c>
      <c r="L199" s="17"/>
      <c r="M199" s="17"/>
    </row>
    <row r="200" spans="1:13" s="20" customFormat="1" x14ac:dyDescent="0.2">
      <c r="A200" s="10" t="s">
        <v>8</v>
      </c>
      <c r="B200" s="11" t="s">
        <v>9</v>
      </c>
      <c r="C200" s="75" t="s">
        <v>525</v>
      </c>
      <c r="D200" s="86">
        <v>7174009</v>
      </c>
      <c r="E200" s="85">
        <v>45584</v>
      </c>
      <c r="F200" s="12">
        <v>3064</v>
      </c>
      <c r="G200" s="13" t="s">
        <v>524</v>
      </c>
      <c r="H200" s="14" t="s">
        <v>16</v>
      </c>
      <c r="I200" s="15" t="s">
        <v>17</v>
      </c>
      <c r="L200" s="17"/>
      <c r="M200" s="17"/>
    </row>
    <row r="201" spans="1:13" s="20" customFormat="1" x14ac:dyDescent="0.2">
      <c r="A201" s="10" t="s">
        <v>8</v>
      </c>
      <c r="B201" s="11" t="s">
        <v>9</v>
      </c>
      <c r="C201" s="75" t="s">
        <v>119</v>
      </c>
      <c r="D201" s="86">
        <v>7178437</v>
      </c>
      <c r="E201" s="85">
        <v>45587</v>
      </c>
      <c r="F201" s="12">
        <v>3063.51</v>
      </c>
      <c r="G201" s="13" t="s">
        <v>120</v>
      </c>
      <c r="H201" s="14" t="s">
        <v>16</v>
      </c>
      <c r="I201" s="15" t="s">
        <v>17</v>
      </c>
      <c r="L201" s="17"/>
      <c r="M201" s="17"/>
    </row>
    <row r="202" spans="1:13" s="20" customFormat="1" x14ac:dyDescent="0.2">
      <c r="A202" s="10" t="s">
        <v>8</v>
      </c>
      <c r="B202" s="11" t="s">
        <v>9</v>
      </c>
      <c r="C202" s="75" t="s">
        <v>172</v>
      </c>
      <c r="D202" s="86">
        <v>7178231</v>
      </c>
      <c r="E202" s="85">
        <v>45581</v>
      </c>
      <c r="F202" s="12">
        <v>2941.66</v>
      </c>
      <c r="G202" s="13" t="s">
        <v>112</v>
      </c>
      <c r="H202" s="14" t="s">
        <v>16</v>
      </c>
      <c r="I202" s="15" t="s">
        <v>17</v>
      </c>
      <c r="L202" s="17"/>
      <c r="M202" s="17"/>
    </row>
    <row r="203" spans="1:13" s="20" customFormat="1" x14ac:dyDescent="0.2">
      <c r="A203" s="10" t="s">
        <v>8</v>
      </c>
      <c r="B203" s="11" t="s">
        <v>9</v>
      </c>
      <c r="C203" s="75" t="s">
        <v>195</v>
      </c>
      <c r="D203" s="86">
        <v>7177662</v>
      </c>
      <c r="E203" s="85">
        <v>45567</v>
      </c>
      <c r="F203" s="12">
        <v>2772</v>
      </c>
      <c r="G203" s="13" t="s">
        <v>22</v>
      </c>
      <c r="H203" s="14" t="s">
        <v>16</v>
      </c>
      <c r="I203" s="15" t="s">
        <v>17</v>
      </c>
      <c r="L203" s="17"/>
      <c r="M203" s="17"/>
    </row>
    <row r="204" spans="1:13" s="20" customFormat="1" x14ac:dyDescent="0.2">
      <c r="A204" s="10" t="s">
        <v>8</v>
      </c>
      <c r="B204" s="11" t="s">
        <v>9</v>
      </c>
      <c r="C204" s="75" t="s">
        <v>115</v>
      </c>
      <c r="D204" s="86">
        <v>7178295</v>
      </c>
      <c r="E204" s="85">
        <v>45587</v>
      </c>
      <c r="F204" s="12">
        <v>2767.71</v>
      </c>
      <c r="G204" s="13" t="s">
        <v>116</v>
      </c>
      <c r="H204" s="14" t="s">
        <v>16</v>
      </c>
      <c r="I204" s="15" t="s">
        <v>17</v>
      </c>
      <c r="L204" s="17"/>
      <c r="M204" s="17"/>
    </row>
    <row r="205" spans="1:13" s="20" customFormat="1" x14ac:dyDescent="0.2">
      <c r="A205" s="10" t="s">
        <v>8</v>
      </c>
      <c r="B205" s="11" t="s">
        <v>9</v>
      </c>
      <c r="C205" s="75" t="s">
        <v>70</v>
      </c>
      <c r="D205" s="86">
        <v>7177911</v>
      </c>
      <c r="E205" s="85">
        <v>45594</v>
      </c>
      <c r="F205" s="12">
        <v>2740</v>
      </c>
      <c r="G205" s="13" t="s">
        <v>106</v>
      </c>
      <c r="H205" s="14" t="s">
        <v>16</v>
      </c>
      <c r="I205" s="15" t="s">
        <v>17</v>
      </c>
      <c r="L205" s="17"/>
      <c r="M205" s="17"/>
    </row>
    <row r="206" spans="1:13" s="20" customFormat="1" x14ac:dyDescent="0.2">
      <c r="A206" s="10" t="s">
        <v>8</v>
      </c>
      <c r="B206" s="11" t="s">
        <v>9</v>
      </c>
      <c r="C206" s="75" t="s">
        <v>423</v>
      </c>
      <c r="D206" s="86">
        <v>7178540</v>
      </c>
      <c r="E206" s="85">
        <v>45588</v>
      </c>
      <c r="F206" s="12">
        <v>2694.25</v>
      </c>
      <c r="G206" s="13" t="s">
        <v>390</v>
      </c>
      <c r="H206" s="14" t="s">
        <v>16</v>
      </c>
      <c r="I206" s="15" t="s">
        <v>17</v>
      </c>
      <c r="L206" s="17"/>
      <c r="M206" s="17"/>
    </row>
    <row r="207" spans="1:13" s="20" customFormat="1" x14ac:dyDescent="0.2">
      <c r="A207" s="10" t="s">
        <v>8</v>
      </c>
      <c r="B207" s="11" t="s">
        <v>9</v>
      </c>
      <c r="C207" s="75" t="s">
        <v>103</v>
      </c>
      <c r="D207" s="86">
        <v>7177566</v>
      </c>
      <c r="E207" s="85">
        <v>45566</v>
      </c>
      <c r="F207" s="12">
        <v>2635</v>
      </c>
      <c r="G207" s="13" t="s">
        <v>164</v>
      </c>
      <c r="H207" s="14" t="s">
        <v>16</v>
      </c>
      <c r="I207" s="15" t="s">
        <v>17</v>
      </c>
      <c r="L207" s="17"/>
      <c r="M207" s="17"/>
    </row>
    <row r="208" spans="1:13" s="20" customFormat="1" x14ac:dyDescent="0.2">
      <c r="A208" s="10" t="s">
        <v>8</v>
      </c>
      <c r="B208" s="11" t="s">
        <v>9</v>
      </c>
      <c r="C208" s="75" t="s">
        <v>700</v>
      </c>
      <c r="D208" s="86">
        <v>7177733</v>
      </c>
      <c r="E208" s="85">
        <v>45569</v>
      </c>
      <c r="F208" s="12">
        <v>2600</v>
      </c>
      <c r="G208" s="13" t="s">
        <v>38</v>
      </c>
      <c r="H208" s="14" t="s">
        <v>16</v>
      </c>
      <c r="I208" s="15" t="s">
        <v>17</v>
      </c>
      <c r="L208" s="17"/>
      <c r="M208" s="17"/>
    </row>
    <row r="209" spans="1:13" s="20" customFormat="1" x14ac:dyDescent="0.2">
      <c r="A209" s="10" t="s">
        <v>8</v>
      </c>
      <c r="B209" s="11" t="s">
        <v>9</v>
      </c>
      <c r="C209" s="75" t="s">
        <v>883</v>
      </c>
      <c r="D209" s="86">
        <v>7177671</v>
      </c>
      <c r="E209" s="85">
        <v>45568</v>
      </c>
      <c r="F209" s="18">
        <v>2597.1</v>
      </c>
      <c r="G209" s="13" t="s">
        <v>58</v>
      </c>
      <c r="H209" s="14" t="s">
        <v>16</v>
      </c>
      <c r="I209" s="15" t="s">
        <v>17</v>
      </c>
      <c r="L209" s="17"/>
      <c r="M209" s="17"/>
    </row>
    <row r="210" spans="1:13" s="20" customFormat="1" x14ac:dyDescent="0.2">
      <c r="A210" s="10" t="s">
        <v>8</v>
      </c>
      <c r="B210" s="11" t="s">
        <v>9</v>
      </c>
      <c r="C210" s="75" t="s">
        <v>208</v>
      </c>
      <c r="D210" s="86">
        <v>7178046</v>
      </c>
      <c r="E210" s="85">
        <v>45578</v>
      </c>
      <c r="F210" s="12">
        <v>2507.33</v>
      </c>
      <c r="G210" s="13" t="s">
        <v>209</v>
      </c>
      <c r="H210" s="14" t="s">
        <v>16</v>
      </c>
      <c r="I210" s="15" t="s">
        <v>17</v>
      </c>
      <c r="L210" s="17"/>
      <c r="M210" s="17"/>
    </row>
    <row r="211" spans="1:13" s="20" customFormat="1" x14ac:dyDescent="0.2">
      <c r="A211" s="10" t="s">
        <v>8</v>
      </c>
      <c r="B211" s="11" t="s">
        <v>9</v>
      </c>
      <c r="C211" s="75" t="s">
        <v>206</v>
      </c>
      <c r="D211" s="86">
        <v>7178148</v>
      </c>
      <c r="E211" s="85">
        <v>45590</v>
      </c>
      <c r="F211" s="12">
        <v>2500</v>
      </c>
      <c r="G211" s="13" t="s">
        <v>27</v>
      </c>
      <c r="H211" s="14" t="s">
        <v>16</v>
      </c>
      <c r="I211" s="15" t="s">
        <v>17</v>
      </c>
      <c r="L211" s="17"/>
      <c r="M211" s="17"/>
    </row>
    <row r="212" spans="1:13" s="20" customFormat="1" x14ac:dyDescent="0.2">
      <c r="A212" s="10" t="s">
        <v>8</v>
      </c>
      <c r="B212" s="11" t="s">
        <v>9</v>
      </c>
      <c r="C212" s="75" t="s">
        <v>931</v>
      </c>
      <c r="D212" s="86">
        <v>7178836</v>
      </c>
      <c r="E212" s="85">
        <v>45596</v>
      </c>
      <c r="F212" s="12">
        <v>2500</v>
      </c>
      <c r="G212" s="13" t="s">
        <v>106</v>
      </c>
      <c r="H212" s="14" t="s">
        <v>16</v>
      </c>
      <c r="I212" s="15" t="s">
        <v>17</v>
      </c>
      <c r="L212" s="17"/>
      <c r="M212" s="17"/>
    </row>
    <row r="213" spans="1:13" s="20" customFormat="1" x14ac:dyDescent="0.2">
      <c r="A213" s="10" t="s">
        <v>8</v>
      </c>
      <c r="B213" s="11" t="s">
        <v>9</v>
      </c>
      <c r="C213" s="75" t="s">
        <v>542</v>
      </c>
      <c r="D213" s="86">
        <v>7178063</v>
      </c>
      <c r="E213" s="85">
        <v>45576</v>
      </c>
      <c r="F213" s="12">
        <v>2500</v>
      </c>
      <c r="G213" s="13" t="s">
        <v>27</v>
      </c>
      <c r="H213" s="14" t="s">
        <v>16</v>
      </c>
      <c r="I213" s="15" t="s">
        <v>17</v>
      </c>
      <c r="L213" s="17"/>
      <c r="M213" s="17"/>
    </row>
    <row r="214" spans="1:13" s="20" customFormat="1" x14ac:dyDescent="0.2">
      <c r="A214" s="10" t="s">
        <v>8</v>
      </c>
      <c r="B214" s="11" t="s">
        <v>9</v>
      </c>
      <c r="C214" s="75" t="s">
        <v>807</v>
      </c>
      <c r="D214" s="86">
        <v>7177530</v>
      </c>
      <c r="E214" s="85">
        <v>45566</v>
      </c>
      <c r="F214" s="12">
        <v>2360</v>
      </c>
      <c r="G214" s="13" t="s">
        <v>106</v>
      </c>
      <c r="H214" s="14" t="s">
        <v>16</v>
      </c>
      <c r="I214" s="15" t="s">
        <v>17</v>
      </c>
      <c r="L214" s="17"/>
      <c r="M214" s="17"/>
    </row>
    <row r="215" spans="1:13" s="20" customFormat="1" x14ac:dyDescent="0.2">
      <c r="A215" s="10" t="s">
        <v>8</v>
      </c>
      <c r="B215" s="11" t="s">
        <v>9</v>
      </c>
      <c r="C215" s="75" t="s">
        <v>142</v>
      </c>
      <c r="D215" s="86">
        <v>7177888</v>
      </c>
      <c r="E215" s="85">
        <v>45579</v>
      </c>
      <c r="F215" s="12">
        <v>2348.5</v>
      </c>
      <c r="G215" s="13" t="s">
        <v>143</v>
      </c>
      <c r="H215" s="14" t="s">
        <v>16</v>
      </c>
      <c r="I215" s="15" t="s">
        <v>17</v>
      </c>
      <c r="L215" s="17"/>
      <c r="M215" s="17"/>
    </row>
    <row r="216" spans="1:13" s="20" customFormat="1" x14ac:dyDescent="0.2">
      <c r="A216" s="10" t="s">
        <v>8</v>
      </c>
      <c r="B216" s="11" t="s">
        <v>9</v>
      </c>
      <c r="C216" s="75" t="s">
        <v>30</v>
      </c>
      <c r="D216" s="86">
        <v>7177902</v>
      </c>
      <c r="E216" s="85">
        <v>45572</v>
      </c>
      <c r="F216" s="12">
        <v>2310.58</v>
      </c>
      <c r="G216" s="13" t="s">
        <v>31</v>
      </c>
      <c r="H216" s="14" t="s">
        <v>16</v>
      </c>
      <c r="I216" s="15" t="s">
        <v>17</v>
      </c>
      <c r="L216" s="17"/>
      <c r="M216" s="17"/>
    </row>
    <row r="217" spans="1:13" s="20" customFormat="1" x14ac:dyDescent="0.2">
      <c r="A217" s="10" t="s">
        <v>8</v>
      </c>
      <c r="B217" s="11" t="s">
        <v>9</v>
      </c>
      <c r="C217" s="75" t="s">
        <v>633</v>
      </c>
      <c r="D217" s="86">
        <v>7177808</v>
      </c>
      <c r="E217" s="85">
        <v>45596</v>
      </c>
      <c r="F217" s="12">
        <v>2287.7800000000002</v>
      </c>
      <c r="G217" s="13" t="s">
        <v>91</v>
      </c>
      <c r="H217" s="14" t="s">
        <v>16</v>
      </c>
      <c r="I217" s="15" t="s">
        <v>17</v>
      </c>
      <c r="L217" s="17"/>
      <c r="M217" s="17"/>
    </row>
    <row r="218" spans="1:13" s="20" customFormat="1" x14ac:dyDescent="0.2">
      <c r="A218" s="10" t="s">
        <v>8</v>
      </c>
      <c r="B218" s="11" t="s">
        <v>9</v>
      </c>
      <c r="C218" s="75" t="s">
        <v>181</v>
      </c>
      <c r="D218" s="86">
        <v>7178433</v>
      </c>
      <c r="E218" s="85">
        <v>45596</v>
      </c>
      <c r="F218" s="12">
        <v>2278</v>
      </c>
      <c r="G218" s="13" t="s">
        <v>106</v>
      </c>
      <c r="H218" s="14" t="s">
        <v>16</v>
      </c>
      <c r="I218" s="15" t="s">
        <v>17</v>
      </c>
      <c r="L218" s="17"/>
      <c r="M218" s="17"/>
    </row>
    <row r="219" spans="1:13" s="20" customFormat="1" x14ac:dyDescent="0.2">
      <c r="A219" s="10" t="s">
        <v>8</v>
      </c>
      <c r="B219" s="11" t="s">
        <v>9</v>
      </c>
      <c r="C219" s="75" t="s">
        <v>103</v>
      </c>
      <c r="D219" s="86">
        <v>7178060</v>
      </c>
      <c r="E219" s="85">
        <v>45574</v>
      </c>
      <c r="F219" s="12">
        <v>2270</v>
      </c>
      <c r="G219" s="13" t="s">
        <v>38</v>
      </c>
      <c r="H219" s="14" t="s">
        <v>16</v>
      </c>
      <c r="I219" s="15" t="s">
        <v>17</v>
      </c>
      <c r="L219" s="17"/>
      <c r="M219" s="17"/>
    </row>
    <row r="220" spans="1:13" s="20" customFormat="1" x14ac:dyDescent="0.2">
      <c r="A220" s="10" t="s">
        <v>8</v>
      </c>
      <c r="B220" s="11" t="s">
        <v>9</v>
      </c>
      <c r="C220" s="75" t="s">
        <v>139</v>
      </c>
      <c r="D220" s="86">
        <v>7178326</v>
      </c>
      <c r="E220" s="85">
        <v>45582</v>
      </c>
      <c r="F220" s="12">
        <v>2269.5</v>
      </c>
      <c r="G220" s="13" t="s">
        <v>39</v>
      </c>
      <c r="H220" s="14" t="s">
        <v>16</v>
      </c>
      <c r="I220" s="15" t="s">
        <v>17</v>
      </c>
      <c r="L220" s="17"/>
      <c r="M220" s="17"/>
    </row>
    <row r="221" spans="1:13" s="20" customFormat="1" x14ac:dyDescent="0.2">
      <c r="A221" s="10" t="s">
        <v>8</v>
      </c>
      <c r="B221" s="11" t="s">
        <v>9</v>
      </c>
      <c r="C221" s="77" t="s">
        <v>215</v>
      </c>
      <c r="D221" s="86">
        <v>7177690</v>
      </c>
      <c r="E221" s="85">
        <v>45575</v>
      </c>
      <c r="F221" s="12">
        <v>2268.9899999999998</v>
      </c>
      <c r="G221" s="13" t="s">
        <v>102</v>
      </c>
      <c r="H221" s="14" t="s">
        <v>16</v>
      </c>
      <c r="I221" s="15" t="s">
        <v>17</v>
      </c>
      <c r="L221" s="17"/>
      <c r="M221" s="17"/>
    </row>
    <row r="222" spans="1:13" s="20" customFormat="1" x14ac:dyDescent="0.2">
      <c r="A222" s="10" t="s">
        <v>8</v>
      </c>
      <c r="B222" s="11" t="s">
        <v>9</v>
      </c>
      <c r="C222" s="75" t="s">
        <v>181</v>
      </c>
      <c r="D222" s="86">
        <v>7177550</v>
      </c>
      <c r="E222" s="85">
        <v>45566</v>
      </c>
      <c r="F222" s="12">
        <v>2248</v>
      </c>
      <c r="G222" s="13" t="s">
        <v>106</v>
      </c>
      <c r="H222" s="14" t="s">
        <v>16</v>
      </c>
      <c r="I222" s="15" t="s">
        <v>17</v>
      </c>
      <c r="L222" s="17"/>
      <c r="M222" s="17"/>
    </row>
    <row r="223" spans="1:13" s="20" customFormat="1" x14ac:dyDescent="0.2">
      <c r="A223" s="10" t="s">
        <v>8</v>
      </c>
      <c r="B223" s="11" t="s">
        <v>9</v>
      </c>
      <c r="C223" s="75" t="s">
        <v>885</v>
      </c>
      <c r="D223" s="86">
        <v>7177965</v>
      </c>
      <c r="E223" s="85">
        <v>45576</v>
      </c>
      <c r="F223" s="12">
        <v>2232</v>
      </c>
      <c r="G223" s="13" t="s">
        <v>131</v>
      </c>
      <c r="H223" s="14" t="s">
        <v>16</v>
      </c>
      <c r="I223" s="15" t="s">
        <v>17</v>
      </c>
      <c r="L223" s="17"/>
      <c r="M223" s="17"/>
    </row>
    <row r="224" spans="1:13" s="20" customFormat="1" x14ac:dyDescent="0.2">
      <c r="A224" s="10" t="s">
        <v>8</v>
      </c>
      <c r="B224" s="11" t="s">
        <v>9</v>
      </c>
      <c r="C224" s="75" t="s">
        <v>930</v>
      </c>
      <c r="D224" s="86">
        <v>7177303</v>
      </c>
      <c r="E224" s="85">
        <v>45567</v>
      </c>
      <c r="F224" s="12">
        <v>2200</v>
      </c>
      <c r="G224" s="13" t="s">
        <v>182</v>
      </c>
      <c r="H224" s="14" t="s">
        <v>16</v>
      </c>
      <c r="I224" s="15" t="s">
        <v>17</v>
      </c>
      <c r="L224" s="17"/>
      <c r="M224" s="17"/>
    </row>
    <row r="225" spans="1:13" s="20" customFormat="1" x14ac:dyDescent="0.2">
      <c r="A225" s="10" t="s">
        <v>8</v>
      </c>
      <c r="B225" s="11" t="s">
        <v>9</v>
      </c>
      <c r="C225" s="75" t="s">
        <v>929</v>
      </c>
      <c r="D225" s="86">
        <v>7178152</v>
      </c>
      <c r="E225" s="85">
        <v>45579</v>
      </c>
      <c r="F225" s="12">
        <v>2190</v>
      </c>
      <c r="G225" s="13" t="s">
        <v>22</v>
      </c>
      <c r="H225" s="14" t="s">
        <v>16</v>
      </c>
      <c r="I225" s="15" t="s">
        <v>17</v>
      </c>
      <c r="L225" s="17"/>
      <c r="M225" s="17"/>
    </row>
    <row r="226" spans="1:13" s="20" customFormat="1" x14ac:dyDescent="0.2">
      <c r="A226" s="10" t="s">
        <v>8</v>
      </c>
      <c r="B226" s="11" t="s">
        <v>9</v>
      </c>
      <c r="C226" s="75" t="s">
        <v>74</v>
      </c>
      <c r="D226" s="86">
        <v>7177724</v>
      </c>
      <c r="E226" s="85">
        <v>45567</v>
      </c>
      <c r="F226" s="12">
        <v>2181.52</v>
      </c>
      <c r="G226" s="13" t="s">
        <v>177</v>
      </c>
      <c r="H226" s="14" t="s">
        <v>16</v>
      </c>
      <c r="I226" s="15" t="s">
        <v>17</v>
      </c>
      <c r="L226" s="17"/>
      <c r="M226" s="17"/>
    </row>
    <row r="227" spans="1:13" s="20" customFormat="1" x14ac:dyDescent="0.2">
      <c r="A227" s="10" t="s">
        <v>8</v>
      </c>
      <c r="B227" s="11" t="s">
        <v>9</v>
      </c>
      <c r="C227" s="75" t="s">
        <v>928</v>
      </c>
      <c r="D227" s="86">
        <v>7178376</v>
      </c>
      <c r="E227" s="85">
        <v>45586</v>
      </c>
      <c r="F227" s="12">
        <v>2109</v>
      </c>
      <c r="G227" s="13" t="s">
        <v>39</v>
      </c>
      <c r="H227" s="14" t="s">
        <v>16</v>
      </c>
      <c r="I227" s="15" t="s">
        <v>17</v>
      </c>
      <c r="L227" s="17"/>
      <c r="M227" s="17"/>
    </row>
    <row r="228" spans="1:13" s="20" customFormat="1" x14ac:dyDescent="0.2">
      <c r="A228" s="10" t="s">
        <v>8</v>
      </c>
      <c r="B228" s="11" t="s">
        <v>9</v>
      </c>
      <c r="C228" s="75" t="s">
        <v>861</v>
      </c>
      <c r="D228" s="86">
        <v>7178776</v>
      </c>
      <c r="E228" s="85">
        <v>45596</v>
      </c>
      <c r="F228" s="12">
        <v>2084.37</v>
      </c>
      <c r="G228" s="13" t="s">
        <v>58</v>
      </c>
      <c r="H228" s="14" t="s">
        <v>16</v>
      </c>
      <c r="I228" s="15" t="s">
        <v>17</v>
      </c>
      <c r="L228" s="17"/>
      <c r="M228" s="17"/>
    </row>
    <row r="229" spans="1:13" s="20" customFormat="1" x14ac:dyDescent="0.2">
      <c r="A229" s="10" t="s">
        <v>8</v>
      </c>
      <c r="B229" s="11" t="s">
        <v>9</v>
      </c>
      <c r="C229" s="75" t="s">
        <v>927</v>
      </c>
      <c r="D229" s="86">
        <v>7178543</v>
      </c>
      <c r="E229" s="85">
        <v>45588</v>
      </c>
      <c r="F229" s="12">
        <v>2062.5</v>
      </c>
      <c r="G229" s="13" t="s">
        <v>80</v>
      </c>
      <c r="H229" s="14" t="s">
        <v>16</v>
      </c>
      <c r="I229" s="15" t="s">
        <v>17</v>
      </c>
      <c r="L229" s="17"/>
      <c r="M229" s="17"/>
    </row>
    <row r="230" spans="1:13" s="20" customFormat="1" x14ac:dyDescent="0.2">
      <c r="A230" s="10" t="s">
        <v>8</v>
      </c>
      <c r="B230" s="11" t="s">
        <v>9</v>
      </c>
      <c r="C230" s="75" t="s">
        <v>217</v>
      </c>
      <c r="D230" s="86">
        <v>7178455</v>
      </c>
      <c r="E230" s="85">
        <v>45586</v>
      </c>
      <c r="F230" s="12">
        <v>2007.08</v>
      </c>
      <c r="G230" s="13" t="s">
        <v>218</v>
      </c>
      <c r="H230" s="14" t="s">
        <v>16</v>
      </c>
      <c r="I230" s="15" t="s">
        <v>17</v>
      </c>
      <c r="L230" s="17"/>
      <c r="M230" s="17"/>
    </row>
    <row r="231" spans="1:13" s="20" customFormat="1" x14ac:dyDescent="0.2">
      <c r="A231" s="10" t="s">
        <v>8</v>
      </c>
      <c r="B231" s="11" t="s">
        <v>9</v>
      </c>
      <c r="C231" s="75" t="s">
        <v>195</v>
      </c>
      <c r="D231" s="86">
        <v>7177687</v>
      </c>
      <c r="E231" s="85">
        <v>45567</v>
      </c>
      <c r="F231" s="12">
        <v>2000</v>
      </c>
      <c r="G231" s="13" t="s">
        <v>22</v>
      </c>
      <c r="H231" s="14" t="s">
        <v>16</v>
      </c>
      <c r="I231" s="15" t="s">
        <v>17</v>
      </c>
      <c r="L231" s="17"/>
      <c r="M231" s="17"/>
    </row>
    <row r="232" spans="1:13" s="20" customFormat="1" x14ac:dyDescent="0.2">
      <c r="A232" s="10" t="s">
        <v>8</v>
      </c>
      <c r="B232" s="11" t="s">
        <v>9</v>
      </c>
      <c r="C232" s="75" t="s">
        <v>926</v>
      </c>
      <c r="D232" s="86">
        <v>7178234</v>
      </c>
      <c r="E232" s="85">
        <v>45582</v>
      </c>
      <c r="F232" s="12">
        <v>2000</v>
      </c>
      <c r="G232" s="13" t="s">
        <v>429</v>
      </c>
      <c r="H232" s="14" t="s">
        <v>16</v>
      </c>
      <c r="I232" s="15" t="s">
        <v>17</v>
      </c>
      <c r="L232" s="17"/>
      <c r="M232" s="17"/>
    </row>
    <row r="233" spans="1:13" s="20" customFormat="1" x14ac:dyDescent="0.2">
      <c r="A233" s="10" t="s">
        <v>8</v>
      </c>
      <c r="B233" s="11" t="s">
        <v>9</v>
      </c>
      <c r="C233" s="75" t="s">
        <v>26</v>
      </c>
      <c r="D233" s="86">
        <v>7178636</v>
      </c>
      <c r="E233" s="85">
        <v>45596</v>
      </c>
      <c r="F233" s="12">
        <v>1956.05</v>
      </c>
      <c r="G233" s="13" t="s">
        <v>76</v>
      </c>
      <c r="H233" s="14" t="s">
        <v>16</v>
      </c>
      <c r="I233" s="15" t="s">
        <v>17</v>
      </c>
      <c r="L233" s="17"/>
      <c r="M233" s="17"/>
    </row>
    <row r="234" spans="1:13" s="20" customFormat="1" x14ac:dyDescent="0.2">
      <c r="A234" s="10" t="s">
        <v>8</v>
      </c>
      <c r="B234" s="11" t="s">
        <v>9</v>
      </c>
      <c r="C234" s="75" t="s">
        <v>925</v>
      </c>
      <c r="D234" s="86">
        <v>7178648</v>
      </c>
      <c r="E234" s="85">
        <v>45594</v>
      </c>
      <c r="F234" s="12">
        <v>1937.76</v>
      </c>
      <c r="G234" s="13" t="s">
        <v>177</v>
      </c>
      <c r="H234" s="14" t="s">
        <v>16</v>
      </c>
      <c r="I234" s="15" t="s">
        <v>17</v>
      </c>
      <c r="L234" s="17"/>
      <c r="M234" s="17"/>
    </row>
    <row r="235" spans="1:13" s="20" customFormat="1" x14ac:dyDescent="0.2">
      <c r="A235" s="10" t="s">
        <v>8</v>
      </c>
      <c r="B235" s="11" t="s">
        <v>9</v>
      </c>
      <c r="C235" s="75" t="s">
        <v>107</v>
      </c>
      <c r="D235" s="86">
        <v>7177857</v>
      </c>
      <c r="E235" s="85">
        <v>45573</v>
      </c>
      <c r="F235" s="12">
        <v>1909.82</v>
      </c>
      <c r="G235" s="13" t="s">
        <v>108</v>
      </c>
      <c r="H235" s="14" t="s">
        <v>16</v>
      </c>
      <c r="I235" s="15" t="s">
        <v>17</v>
      </c>
      <c r="L235" s="17"/>
      <c r="M235" s="17"/>
    </row>
    <row r="236" spans="1:13" s="20" customFormat="1" x14ac:dyDescent="0.2">
      <c r="A236" s="10" t="s">
        <v>8</v>
      </c>
      <c r="B236" s="11" t="s">
        <v>9</v>
      </c>
      <c r="C236" s="75" t="s">
        <v>252</v>
      </c>
      <c r="D236" s="86">
        <v>7178688</v>
      </c>
      <c r="E236" s="85">
        <v>45594</v>
      </c>
      <c r="F236" s="12">
        <v>1897.2</v>
      </c>
      <c r="G236" s="13" t="s">
        <v>148</v>
      </c>
      <c r="H236" s="14" t="s">
        <v>16</v>
      </c>
      <c r="I236" s="15" t="s">
        <v>17</v>
      </c>
      <c r="L236" s="17"/>
      <c r="M236" s="17"/>
    </row>
    <row r="237" spans="1:13" s="20" customFormat="1" x14ac:dyDescent="0.2">
      <c r="A237" s="10" t="s">
        <v>8</v>
      </c>
      <c r="B237" s="11" t="s">
        <v>9</v>
      </c>
      <c r="C237" s="75" t="s">
        <v>214</v>
      </c>
      <c r="D237" s="86">
        <v>7177703</v>
      </c>
      <c r="E237" s="85">
        <v>45566</v>
      </c>
      <c r="F237" s="12">
        <v>1890</v>
      </c>
      <c r="G237" s="19" t="s">
        <v>22</v>
      </c>
      <c r="H237" s="14" t="s">
        <v>16</v>
      </c>
      <c r="I237" s="15" t="s">
        <v>17</v>
      </c>
      <c r="L237" s="17"/>
      <c r="M237" s="17"/>
    </row>
    <row r="238" spans="1:13" s="20" customFormat="1" x14ac:dyDescent="0.2">
      <c r="A238" s="10" t="s">
        <v>8</v>
      </c>
      <c r="B238" s="11" t="s">
        <v>9</v>
      </c>
      <c r="C238" s="75" t="s">
        <v>90</v>
      </c>
      <c r="D238" s="86">
        <v>7178138</v>
      </c>
      <c r="E238" s="85">
        <v>45579</v>
      </c>
      <c r="F238" s="12">
        <v>1881.25</v>
      </c>
      <c r="G238" s="13" t="s">
        <v>91</v>
      </c>
      <c r="H238" s="14" t="s">
        <v>16</v>
      </c>
      <c r="I238" s="15" t="s">
        <v>17</v>
      </c>
      <c r="L238" s="17"/>
      <c r="M238" s="17"/>
    </row>
    <row r="239" spans="1:13" s="20" customFormat="1" x14ac:dyDescent="0.2">
      <c r="A239" s="10" t="s">
        <v>8</v>
      </c>
      <c r="B239" s="11" t="s">
        <v>9</v>
      </c>
      <c r="C239" s="75" t="s">
        <v>124</v>
      </c>
      <c r="D239" s="86">
        <v>7178577</v>
      </c>
      <c r="E239" s="85">
        <v>45589</v>
      </c>
      <c r="F239" s="12">
        <v>1858.52</v>
      </c>
      <c r="G239" s="13" t="s">
        <v>376</v>
      </c>
      <c r="H239" s="14" t="s">
        <v>16</v>
      </c>
      <c r="I239" s="15" t="s">
        <v>17</v>
      </c>
      <c r="L239" s="17"/>
      <c r="M239" s="17"/>
    </row>
    <row r="240" spans="1:13" s="20" customFormat="1" x14ac:dyDescent="0.2">
      <c r="A240" s="10" t="s">
        <v>8</v>
      </c>
      <c r="B240" s="11" t="s">
        <v>9</v>
      </c>
      <c r="C240" s="75" t="s">
        <v>924</v>
      </c>
      <c r="D240" s="86">
        <v>7178159</v>
      </c>
      <c r="E240" s="85">
        <v>45579</v>
      </c>
      <c r="F240" s="12">
        <v>1852</v>
      </c>
      <c r="G240" s="13" t="s">
        <v>22</v>
      </c>
      <c r="H240" s="14" t="s">
        <v>16</v>
      </c>
      <c r="I240" s="15" t="s">
        <v>17</v>
      </c>
      <c r="L240" s="17"/>
      <c r="M240" s="17"/>
    </row>
    <row r="241" spans="1:13" s="20" customFormat="1" x14ac:dyDescent="0.2">
      <c r="A241" s="10" t="s">
        <v>8</v>
      </c>
      <c r="B241" s="11" t="s">
        <v>9</v>
      </c>
      <c r="C241" s="75" t="s">
        <v>332</v>
      </c>
      <c r="D241" s="86">
        <v>7177557</v>
      </c>
      <c r="E241" s="85">
        <v>45574</v>
      </c>
      <c r="F241" s="12">
        <v>1836</v>
      </c>
      <c r="G241" s="13" t="s">
        <v>106</v>
      </c>
      <c r="H241" s="14" t="s">
        <v>16</v>
      </c>
      <c r="I241" s="15" t="s">
        <v>17</v>
      </c>
      <c r="L241" s="17"/>
      <c r="M241" s="17"/>
    </row>
    <row r="242" spans="1:13" s="20" customFormat="1" x14ac:dyDescent="0.2">
      <c r="A242" s="10" t="s">
        <v>8</v>
      </c>
      <c r="B242" s="11" t="s">
        <v>9</v>
      </c>
      <c r="C242" s="75" t="s">
        <v>256</v>
      </c>
      <c r="D242" s="86">
        <v>7177483</v>
      </c>
      <c r="E242" s="85">
        <v>45567</v>
      </c>
      <c r="F242" s="12">
        <v>1808.23</v>
      </c>
      <c r="G242" s="13" t="s">
        <v>155</v>
      </c>
      <c r="H242" s="14" t="s">
        <v>16</v>
      </c>
      <c r="I242" s="15" t="s">
        <v>17</v>
      </c>
      <c r="L242" s="17"/>
      <c r="M242" s="17"/>
    </row>
    <row r="243" spans="1:13" s="20" customFormat="1" x14ac:dyDescent="0.2">
      <c r="A243" s="10" t="s">
        <v>8</v>
      </c>
      <c r="B243" s="11" t="s">
        <v>9</v>
      </c>
      <c r="C243" s="75" t="s">
        <v>923</v>
      </c>
      <c r="D243" s="86">
        <v>7178340</v>
      </c>
      <c r="E243" s="85">
        <v>45582</v>
      </c>
      <c r="F243" s="18">
        <v>1805.23</v>
      </c>
      <c r="G243" s="13" t="s">
        <v>390</v>
      </c>
      <c r="H243" s="14" t="s">
        <v>16</v>
      </c>
      <c r="I243" s="15" t="s">
        <v>17</v>
      </c>
      <c r="L243" s="17"/>
      <c r="M243" s="17"/>
    </row>
    <row r="244" spans="1:13" s="20" customFormat="1" x14ac:dyDescent="0.2">
      <c r="A244" s="10" t="s">
        <v>8</v>
      </c>
      <c r="B244" s="11" t="s">
        <v>9</v>
      </c>
      <c r="C244" s="75" t="s">
        <v>221</v>
      </c>
      <c r="D244" s="86">
        <v>7178432</v>
      </c>
      <c r="E244" s="85">
        <v>45586</v>
      </c>
      <c r="F244" s="12">
        <v>1764</v>
      </c>
      <c r="G244" s="13" t="s">
        <v>106</v>
      </c>
      <c r="H244" s="14" t="s">
        <v>16</v>
      </c>
      <c r="I244" s="15" t="s">
        <v>17</v>
      </c>
      <c r="L244" s="17"/>
      <c r="M244" s="17"/>
    </row>
    <row r="245" spans="1:13" s="20" customFormat="1" x14ac:dyDescent="0.2">
      <c r="A245" s="10" t="s">
        <v>8</v>
      </c>
      <c r="B245" s="11" t="s">
        <v>9</v>
      </c>
      <c r="C245" s="75" t="s">
        <v>922</v>
      </c>
      <c r="D245" s="86">
        <v>7177875</v>
      </c>
      <c r="E245" s="85">
        <v>45572</v>
      </c>
      <c r="F245" s="12">
        <v>1750</v>
      </c>
      <c r="G245" s="13" t="s">
        <v>22</v>
      </c>
      <c r="H245" s="14" t="s">
        <v>16</v>
      </c>
      <c r="I245" s="15" t="s">
        <v>17</v>
      </c>
      <c r="L245" s="17"/>
      <c r="M245" s="17"/>
    </row>
    <row r="246" spans="1:13" s="20" customFormat="1" x14ac:dyDescent="0.2">
      <c r="A246" s="10" t="s">
        <v>8</v>
      </c>
      <c r="B246" s="11" t="s">
        <v>9</v>
      </c>
      <c r="C246" s="75" t="s">
        <v>168</v>
      </c>
      <c r="D246" s="86">
        <v>7178041</v>
      </c>
      <c r="E246" s="85">
        <v>45587</v>
      </c>
      <c r="F246" s="12">
        <v>1734.8</v>
      </c>
      <c r="G246" s="13" t="s">
        <v>169</v>
      </c>
      <c r="H246" s="14" t="s">
        <v>16</v>
      </c>
      <c r="I246" s="15" t="s">
        <v>17</v>
      </c>
      <c r="L246" s="17"/>
      <c r="M246" s="17"/>
    </row>
    <row r="247" spans="1:13" s="20" customFormat="1" x14ac:dyDescent="0.2">
      <c r="A247" s="10" t="s">
        <v>8</v>
      </c>
      <c r="B247" s="11" t="s">
        <v>9</v>
      </c>
      <c r="C247" s="75" t="s">
        <v>610</v>
      </c>
      <c r="D247" s="86">
        <v>7177572</v>
      </c>
      <c r="E247" s="85">
        <v>45568</v>
      </c>
      <c r="F247" s="12">
        <v>1705</v>
      </c>
      <c r="G247" s="13" t="s">
        <v>155</v>
      </c>
      <c r="H247" s="14" t="s">
        <v>16</v>
      </c>
      <c r="I247" s="15" t="s">
        <v>17</v>
      </c>
      <c r="L247" s="17"/>
      <c r="M247" s="17"/>
    </row>
    <row r="248" spans="1:13" s="20" customFormat="1" x14ac:dyDescent="0.2">
      <c r="A248" s="10" t="s">
        <v>8</v>
      </c>
      <c r="B248" s="11" t="s">
        <v>9</v>
      </c>
      <c r="C248" s="75" t="s">
        <v>501</v>
      </c>
      <c r="D248" s="86">
        <v>7178200</v>
      </c>
      <c r="E248" s="85">
        <v>45579</v>
      </c>
      <c r="F248" s="12">
        <v>1696.68</v>
      </c>
      <c r="G248" s="13" t="s">
        <v>94</v>
      </c>
      <c r="H248" s="14" t="s">
        <v>16</v>
      </c>
      <c r="I248" s="15" t="s">
        <v>17</v>
      </c>
      <c r="L248" s="17"/>
      <c r="M248" s="17"/>
    </row>
    <row r="249" spans="1:13" s="20" customFormat="1" x14ac:dyDescent="0.2">
      <c r="A249" s="10" t="s">
        <v>8</v>
      </c>
      <c r="B249" s="11" t="s">
        <v>9</v>
      </c>
      <c r="C249" s="77" t="s">
        <v>352</v>
      </c>
      <c r="D249" s="86">
        <v>7177434</v>
      </c>
      <c r="E249" s="85">
        <v>45566</v>
      </c>
      <c r="F249" s="12">
        <v>1683.83</v>
      </c>
      <c r="G249" s="13" t="s">
        <v>106</v>
      </c>
      <c r="H249" s="14" t="s">
        <v>16</v>
      </c>
      <c r="I249" s="15" t="s">
        <v>17</v>
      </c>
      <c r="L249" s="17"/>
      <c r="M249" s="17"/>
    </row>
    <row r="250" spans="1:13" s="20" customFormat="1" x14ac:dyDescent="0.2">
      <c r="A250" s="10" t="s">
        <v>8</v>
      </c>
      <c r="B250" s="11" t="s">
        <v>9</v>
      </c>
      <c r="C250" s="75" t="s">
        <v>149</v>
      </c>
      <c r="D250" s="86">
        <v>7178274</v>
      </c>
      <c r="E250" s="85">
        <v>45583</v>
      </c>
      <c r="F250" s="12">
        <v>1676.3400000000001</v>
      </c>
      <c r="G250" s="13" t="s">
        <v>138</v>
      </c>
      <c r="H250" s="14" t="s">
        <v>16</v>
      </c>
      <c r="I250" s="15" t="s">
        <v>17</v>
      </c>
      <c r="L250" s="17"/>
      <c r="M250" s="17"/>
    </row>
    <row r="251" spans="1:13" s="20" customFormat="1" x14ac:dyDescent="0.2">
      <c r="A251" s="10" t="s">
        <v>8</v>
      </c>
      <c r="B251" s="11" t="s">
        <v>9</v>
      </c>
      <c r="C251" s="75" t="s">
        <v>149</v>
      </c>
      <c r="D251" s="86">
        <v>7178614</v>
      </c>
      <c r="E251" s="85">
        <v>45589</v>
      </c>
      <c r="F251" s="12">
        <v>1673.07</v>
      </c>
      <c r="G251" s="13" t="s">
        <v>138</v>
      </c>
      <c r="H251" s="14" t="s">
        <v>16</v>
      </c>
      <c r="I251" s="15" t="s">
        <v>17</v>
      </c>
      <c r="L251" s="17"/>
      <c r="M251" s="17"/>
    </row>
    <row r="252" spans="1:13" s="20" customFormat="1" x14ac:dyDescent="0.2">
      <c r="A252" s="10" t="s">
        <v>8</v>
      </c>
      <c r="B252" s="11" t="s">
        <v>9</v>
      </c>
      <c r="C252" s="75" t="s">
        <v>99</v>
      </c>
      <c r="D252" s="86">
        <v>7177159</v>
      </c>
      <c r="E252" s="85">
        <v>45574</v>
      </c>
      <c r="F252" s="12">
        <v>1667.61</v>
      </c>
      <c r="G252" s="13" t="s">
        <v>94</v>
      </c>
      <c r="H252" s="14" t="s">
        <v>16</v>
      </c>
      <c r="I252" s="15" t="s">
        <v>17</v>
      </c>
      <c r="L252" s="17"/>
      <c r="M252" s="17"/>
    </row>
    <row r="253" spans="1:13" s="20" customFormat="1" x14ac:dyDescent="0.2">
      <c r="A253" s="10" t="s">
        <v>8</v>
      </c>
      <c r="B253" s="11" t="s">
        <v>9</v>
      </c>
      <c r="C253" s="75" t="s">
        <v>256</v>
      </c>
      <c r="D253" s="86">
        <v>7178411</v>
      </c>
      <c r="E253" s="85">
        <v>45586</v>
      </c>
      <c r="F253" s="12">
        <v>1658.5</v>
      </c>
      <c r="G253" s="13" t="s">
        <v>155</v>
      </c>
      <c r="H253" s="14" t="s">
        <v>16</v>
      </c>
      <c r="I253" s="15" t="s">
        <v>17</v>
      </c>
      <c r="L253" s="17"/>
      <c r="M253" s="17"/>
    </row>
    <row r="254" spans="1:13" s="20" customFormat="1" x14ac:dyDescent="0.2">
      <c r="A254" s="10" t="s">
        <v>8</v>
      </c>
      <c r="B254" s="11" t="s">
        <v>9</v>
      </c>
      <c r="C254" s="75" t="s">
        <v>26</v>
      </c>
      <c r="D254" s="86">
        <v>7177617</v>
      </c>
      <c r="E254" s="85">
        <v>45593</v>
      </c>
      <c r="F254" s="12">
        <v>1656.87</v>
      </c>
      <c r="G254" s="19" t="s">
        <v>76</v>
      </c>
      <c r="H254" s="14" t="s">
        <v>16</v>
      </c>
      <c r="I254" s="15" t="s">
        <v>17</v>
      </c>
      <c r="L254" s="17"/>
      <c r="M254" s="17"/>
    </row>
    <row r="255" spans="1:13" s="20" customFormat="1" x14ac:dyDescent="0.2">
      <c r="A255" s="10" t="s">
        <v>8</v>
      </c>
      <c r="B255" s="11" t="s">
        <v>9</v>
      </c>
      <c r="C255" s="75" t="s">
        <v>223</v>
      </c>
      <c r="D255" s="86">
        <v>7177917</v>
      </c>
      <c r="E255" s="85">
        <v>45572</v>
      </c>
      <c r="F255" s="12">
        <v>1625</v>
      </c>
      <c r="G255" s="13" t="s">
        <v>909</v>
      </c>
      <c r="H255" s="14" t="s">
        <v>16</v>
      </c>
      <c r="I255" s="15" t="s">
        <v>17</v>
      </c>
      <c r="L255" s="17"/>
      <c r="M255" s="17"/>
    </row>
    <row r="256" spans="1:13" s="20" customFormat="1" x14ac:dyDescent="0.2">
      <c r="A256" s="10" t="s">
        <v>8</v>
      </c>
      <c r="B256" s="11" t="s">
        <v>9</v>
      </c>
      <c r="C256" s="75" t="s">
        <v>135</v>
      </c>
      <c r="D256" s="86">
        <v>7177644</v>
      </c>
      <c r="E256" s="85">
        <v>45573</v>
      </c>
      <c r="F256" s="12">
        <v>1619.63</v>
      </c>
      <c r="G256" s="13" t="s">
        <v>40</v>
      </c>
      <c r="H256" s="14" t="s">
        <v>16</v>
      </c>
      <c r="I256" s="15" t="s">
        <v>17</v>
      </c>
      <c r="L256" s="17"/>
      <c r="M256" s="17"/>
    </row>
    <row r="257" spans="1:13" s="20" customFormat="1" x14ac:dyDescent="0.2">
      <c r="A257" s="10" t="s">
        <v>8</v>
      </c>
      <c r="B257" s="11" t="s">
        <v>9</v>
      </c>
      <c r="C257" s="75" t="s">
        <v>353</v>
      </c>
      <c r="D257" s="86">
        <v>7178786</v>
      </c>
      <c r="E257" s="85">
        <v>45595</v>
      </c>
      <c r="F257" s="12">
        <v>1590.97</v>
      </c>
      <c r="G257" s="13" t="s">
        <v>22</v>
      </c>
      <c r="H257" s="14" t="s">
        <v>16</v>
      </c>
      <c r="I257" s="15" t="s">
        <v>17</v>
      </c>
      <c r="L257" s="17"/>
      <c r="M257" s="17"/>
    </row>
    <row r="258" spans="1:13" s="20" customFormat="1" x14ac:dyDescent="0.2">
      <c r="A258" s="10" t="s">
        <v>8</v>
      </c>
      <c r="B258" s="11" t="s">
        <v>9</v>
      </c>
      <c r="C258" s="75" t="s">
        <v>662</v>
      </c>
      <c r="D258" s="86">
        <v>7178618</v>
      </c>
      <c r="E258" s="85">
        <v>45590</v>
      </c>
      <c r="F258" s="12">
        <v>1566</v>
      </c>
      <c r="G258" s="13" t="s">
        <v>15</v>
      </c>
      <c r="H258" s="14" t="s">
        <v>16</v>
      </c>
      <c r="I258" s="15" t="s">
        <v>17</v>
      </c>
      <c r="L258" s="17"/>
      <c r="M258" s="17"/>
    </row>
    <row r="259" spans="1:13" s="20" customFormat="1" x14ac:dyDescent="0.2">
      <c r="A259" s="10" t="s">
        <v>8</v>
      </c>
      <c r="B259" s="11" t="s">
        <v>9</v>
      </c>
      <c r="C259" s="75" t="s">
        <v>216</v>
      </c>
      <c r="D259" s="86">
        <v>7178111</v>
      </c>
      <c r="E259" s="85">
        <v>45576</v>
      </c>
      <c r="F259" s="12">
        <v>1563.96</v>
      </c>
      <c r="G259" s="13" t="s">
        <v>278</v>
      </c>
      <c r="H259" s="14" t="s">
        <v>16</v>
      </c>
      <c r="I259" s="15" t="s">
        <v>17</v>
      </c>
      <c r="L259" s="17"/>
      <c r="M259" s="17"/>
    </row>
    <row r="260" spans="1:13" s="20" customFormat="1" x14ac:dyDescent="0.2">
      <c r="A260" s="10" t="s">
        <v>8</v>
      </c>
      <c r="B260" s="11" t="s">
        <v>9</v>
      </c>
      <c r="C260" s="75" t="s">
        <v>219</v>
      </c>
      <c r="D260" s="86">
        <v>7177704</v>
      </c>
      <c r="E260" s="85">
        <v>45573</v>
      </c>
      <c r="F260" s="12">
        <v>1560.85</v>
      </c>
      <c r="G260" s="13" t="s">
        <v>220</v>
      </c>
      <c r="H260" s="14" t="s">
        <v>16</v>
      </c>
      <c r="I260" s="15" t="s">
        <v>17</v>
      </c>
      <c r="L260" s="17"/>
      <c r="M260" s="17"/>
    </row>
    <row r="261" spans="1:13" s="20" customFormat="1" x14ac:dyDescent="0.2">
      <c r="A261" s="10" t="s">
        <v>8</v>
      </c>
      <c r="B261" s="11" t="s">
        <v>9</v>
      </c>
      <c r="C261" s="75" t="s">
        <v>822</v>
      </c>
      <c r="D261" s="86">
        <v>7178454</v>
      </c>
      <c r="E261" s="85">
        <v>45586</v>
      </c>
      <c r="F261" s="12">
        <v>1519.2</v>
      </c>
      <c r="G261" s="13" t="s">
        <v>91</v>
      </c>
      <c r="H261" s="14" t="s">
        <v>16</v>
      </c>
      <c r="I261" s="15" t="s">
        <v>17</v>
      </c>
      <c r="L261" s="17"/>
      <c r="M261" s="17"/>
    </row>
    <row r="262" spans="1:13" s="20" customFormat="1" x14ac:dyDescent="0.2">
      <c r="A262" s="10" t="s">
        <v>8</v>
      </c>
      <c r="B262" s="11" t="s">
        <v>9</v>
      </c>
      <c r="C262" s="75" t="s">
        <v>68</v>
      </c>
      <c r="D262" s="86">
        <v>7178665</v>
      </c>
      <c r="E262" s="85">
        <v>45590</v>
      </c>
      <c r="F262" s="12">
        <v>1508.24</v>
      </c>
      <c r="G262" s="13" t="s">
        <v>43</v>
      </c>
      <c r="H262" s="14" t="s">
        <v>16</v>
      </c>
      <c r="I262" s="15" t="s">
        <v>17</v>
      </c>
      <c r="L262" s="17"/>
      <c r="M262" s="17"/>
    </row>
    <row r="263" spans="1:13" s="20" customFormat="1" x14ac:dyDescent="0.2">
      <c r="A263" s="10" t="s">
        <v>8</v>
      </c>
      <c r="B263" s="11" t="s">
        <v>9</v>
      </c>
      <c r="C263" s="75" t="s">
        <v>223</v>
      </c>
      <c r="D263" s="86">
        <v>7177693</v>
      </c>
      <c r="E263" s="85">
        <v>45568</v>
      </c>
      <c r="F263" s="12">
        <v>1500</v>
      </c>
      <c r="G263" s="13" t="s">
        <v>909</v>
      </c>
      <c r="H263" s="14" t="s">
        <v>16</v>
      </c>
      <c r="I263" s="15" t="s">
        <v>17</v>
      </c>
      <c r="L263" s="17"/>
      <c r="M263" s="17"/>
    </row>
    <row r="264" spans="1:13" s="20" customFormat="1" x14ac:dyDescent="0.2">
      <c r="A264" s="10" t="s">
        <v>8</v>
      </c>
      <c r="B264" s="11" t="s">
        <v>9</v>
      </c>
      <c r="C264" s="75" t="s">
        <v>223</v>
      </c>
      <c r="D264" s="86">
        <v>7178131</v>
      </c>
      <c r="E264" s="85">
        <v>45576</v>
      </c>
      <c r="F264" s="12">
        <v>1500</v>
      </c>
      <c r="G264" s="13" t="s">
        <v>22</v>
      </c>
      <c r="H264" s="14" t="s">
        <v>16</v>
      </c>
      <c r="I264" s="15" t="s">
        <v>17</v>
      </c>
      <c r="L264" s="17"/>
      <c r="M264" s="17"/>
    </row>
    <row r="265" spans="1:13" s="20" customFormat="1" x14ac:dyDescent="0.2">
      <c r="A265" s="10" t="s">
        <v>8</v>
      </c>
      <c r="B265" s="11" t="s">
        <v>9</v>
      </c>
      <c r="C265" s="75" t="s">
        <v>412</v>
      </c>
      <c r="D265" s="86">
        <v>7177946</v>
      </c>
      <c r="E265" s="85">
        <v>45573</v>
      </c>
      <c r="F265" s="12">
        <v>1481.82</v>
      </c>
      <c r="G265" s="13" t="s">
        <v>388</v>
      </c>
      <c r="H265" s="14" t="s">
        <v>16</v>
      </c>
      <c r="I265" s="15" t="s">
        <v>17</v>
      </c>
      <c r="L265" s="17"/>
      <c r="M265" s="17"/>
    </row>
    <row r="266" spans="1:13" s="20" customFormat="1" x14ac:dyDescent="0.2">
      <c r="A266" s="10" t="s">
        <v>8</v>
      </c>
      <c r="B266" s="11" t="s">
        <v>9</v>
      </c>
      <c r="C266" s="75" t="s">
        <v>337</v>
      </c>
      <c r="D266" s="86">
        <v>7178654</v>
      </c>
      <c r="E266" s="85">
        <v>45596</v>
      </c>
      <c r="F266" s="12">
        <v>1416</v>
      </c>
      <c r="G266" s="13" t="s">
        <v>155</v>
      </c>
      <c r="H266" s="14" t="s">
        <v>16</v>
      </c>
      <c r="I266" s="15" t="s">
        <v>17</v>
      </c>
      <c r="L266" s="17"/>
      <c r="M266" s="17"/>
    </row>
    <row r="267" spans="1:13" s="20" customFormat="1" x14ac:dyDescent="0.2">
      <c r="A267" s="10" t="s">
        <v>8</v>
      </c>
      <c r="B267" s="11" t="s">
        <v>9</v>
      </c>
      <c r="C267" s="75" t="s">
        <v>260</v>
      </c>
      <c r="D267" s="86">
        <v>7178705</v>
      </c>
      <c r="E267" s="85">
        <v>45594</v>
      </c>
      <c r="F267" s="12">
        <v>1403.68</v>
      </c>
      <c r="G267" s="13" t="s">
        <v>261</v>
      </c>
      <c r="H267" s="14" t="s">
        <v>16</v>
      </c>
      <c r="I267" s="15" t="s">
        <v>17</v>
      </c>
      <c r="L267" s="17"/>
      <c r="M267" s="17"/>
    </row>
    <row r="268" spans="1:13" s="20" customFormat="1" x14ac:dyDescent="0.2">
      <c r="A268" s="10" t="s">
        <v>8</v>
      </c>
      <c r="B268" s="11" t="s">
        <v>9</v>
      </c>
      <c r="C268" s="75" t="s">
        <v>68</v>
      </c>
      <c r="D268" s="86">
        <v>7178388</v>
      </c>
      <c r="E268" s="85">
        <v>45586</v>
      </c>
      <c r="F268" s="12">
        <v>1395</v>
      </c>
      <c r="G268" s="13" t="s">
        <v>43</v>
      </c>
      <c r="H268" s="14" t="s">
        <v>16</v>
      </c>
      <c r="I268" s="15" t="s">
        <v>17</v>
      </c>
      <c r="L268" s="17"/>
      <c r="M268" s="17"/>
    </row>
    <row r="269" spans="1:13" s="20" customFormat="1" x14ac:dyDescent="0.2">
      <c r="A269" s="10" t="s">
        <v>8</v>
      </c>
      <c r="B269" s="11" t="s">
        <v>9</v>
      </c>
      <c r="C269" s="75" t="s">
        <v>741</v>
      </c>
      <c r="D269" s="86">
        <v>7178022</v>
      </c>
      <c r="E269" s="85">
        <v>45575</v>
      </c>
      <c r="F269" s="12">
        <v>1386.99</v>
      </c>
      <c r="G269" s="13" t="s">
        <v>131</v>
      </c>
      <c r="H269" s="14" t="s">
        <v>16</v>
      </c>
      <c r="I269" s="15" t="s">
        <v>17</v>
      </c>
      <c r="L269" s="17"/>
      <c r="M269" s="17"/>
    </row>
    <row r="270" spans="1:13" s="20" customFormat="1" x14ac:dyDescent="0.2">
      <c r="A270" s="10" t="s">
        <v>8</v>
      </c>
      <c r="B270" s="11" t="s">
        <v>9</v>
      </c>
      <c r="C270" s="75" t="s">
        <v>74</v>
      </c>
      <c r="D270" s="86">
        <v>7178038</v>
      </c>
      <c r="E270" s="85">
        <v>45574</v>
      </c>
      <c r="F270" s="18">
        <v>1337.34</v>
      </c>
      <c r="G270" s="13" t="s">
        <v>75</v>
      </c>
      <c r="H270" s="14" t="s">
        <v>16</v>
      </c>
      <c r="I270" s="15" t="s">
        <v>17</v>
      </c>
      <c r="L270" s="17"/>
      <c r="M270" s="17"/>
    </row>
    <row r="271" spans="1:13" s="20" customFormat="1" x14ac:dyDescent="0.2">
      <c r="A271" s="10" t="s">
        <v>8</v>
      </c>
      <c r="B271" s="11" t="s">
        <v>9</v>
      </c>
      <c r="C271" s="75" t="s">
        <v>294</v>
      </c>
      <c r="D271" s="86">
        <v>7178364</v>
      </c>
      <c r="E271" s="85">
        <v>45583</v>
      </c>
      <c r="F271" s="12">
        <v>1304.52</v>
      </c>
      <c r="G271" s="13" t="s">
        <v>131</v>
      </c>
      <c r="H271" s="14" t="s">
        <v>16</v>
      </c>
      <c r="I271" s="15" t="s">
        <v>17</v>
      </c>
      <c r="L271" s="17"/>
      <c r="M271" s="17"/>
    </row>
    <row r="272" spans="1:13" s="20" customFormat="1" x14ac:dyDescent="0.2">
      <c r="A272" s="10" t="s">
        <v>8</v>
      </c>
      <c r="B272" s="11" t="s">
        <v>9</v>
      </c>
      <c r="C272" s="75" t="s">
        <v>149</v>
      </c>
      <c r="D272" s="86">
        <v>7178085</v>
      </c>
      <c r="E272" s="85">
        <v>45583</v>
      </c>
      <c r="F272" s="12">
        <v>1304.19</v>
      </c>
      <c r="G272" s="13" t="s">
        <v>138</v>
      </c>
      <c r="H272" s="14" t="s">
        <v>16</v>
      </c>
      <c r="I272" s="15" t="s">
        <v>17</v>
      </c>
      <c r="L272" s="17"/>
      <c r="M272" s="17"/>
    </row>
    <row r="273" spans="1:13" s="20" customFormat="1" x14ac:dyDescent="0.2">
      <c r="A273" s="10" t="s">
        <v>8</v>
      </c>
      <c r="B273" s="11" t="s">
        <v>9</v>
      </c>
      <c r="C273" s="75" t="s">
        <v>256</v>
      </c>
      <c r="D273" s="86">
        <v>7177261</v>
      </c>
      <c r="E273" s="85">
        <v>45580</v>
      </c>
      <c r="F273" s="12">
        <v>1296.4100000000001</v>
      </c>
      <c r="G273" s="13" t="s">
        <v>131</v>
      </c>
      <c r="H273" s="14" t="s">
        <v>16</v>
      </c>
      <c r="I273" s="15" t="s">
        <v>17</v>
      </c>
      <c r="L273" s="17"/>
      <c r="M273" s="17"/>
    </row>
    <row r="274" spans="1:13" s="20" customFormat="1" x14ac:dyDescent="0.2">
      <c r="A274" s="10" t="s">
        <v>8</v>
      </c>
      <c r="B274" s="11" t="s">
        <v>9</v>
      </c>
      <c r="C274" s="75" t="s">
        <v>256</v>
      </c>
      <c r="D274" s="86">
        <v>7177937</v>
      </c>
      <c r="E274" s="85">
        <v>45574</v>
      </c>
      <c r="F274" s="12">
        <v>1279.3</v>
      </c>
      <c r="G274" s="13" t="s">
        <v>131</v>
      </c>
      <c r="H274" s="14" t="s">
        <v>16</v>
      </c>
      <c r="I274" s="15" t="s">
        <v>17</v>
      </c>
      <c r="L274" s="17"/>
      <c r="M274" s="17"/>
    </row>
    <row r="275" spans="1:13" s="20" customFormat="1" x14ac:dyDescent="0.2">
      <c r="A275" s="10" t="s">
        <v>8</v>
      </c>
      <c r="B275" s="11" t="s">
        <v>9</v>
      </c>
      <c r="C275" s="75" t="s">
        <v>256</v>
      </c>
      <c r="D275" s="86">
        <v>7177932</v>
      </c>
      <c r="E275" s="85">
        <v>45574</v>
      </c>
      <c r="F275" s="12">
        <v>1278.5999999999999</v>
      </c>
      <c r="G275" s="13" t="s">
        <v>155</v>
      </c>
      <c r="H275" s="14" t="s">
        <v>16</v>
      </c>
      <c r="I275" s="15" t="s">
        <v>17</v>
      </c>
      <c r="L275" s="17"/>
      <c r="M275" s="17"/>
    </row>
    <row r="276" spans="1:13" s="20" customFormat="1" x14ac:dyDescent="0.2">
      <c r="A276" s="10" t="s">
        <v>8</v>
      </c>
      <c r="B276" s="11" t="s">
        <v>9</v>
      </c>
      <c r="C276" s="75" t="s">
        <v>285</v>
      </c>
      <c r="D276" s="86">
        <v>7177747</v>
      </c>
      <c r="E276" s="85">
        <v>45576</v>
      </c>
      <c r="F276" s="12">
        <v>1277.6500000000001</v>
      </c>
      <c r="G276" s="13" t="s">
        <v>673</v>
      </c>
      <c r="H276" s="14" t="s">
        <v>16</v>
      </c>
      <c r="I276" s="15" t="s">
        <v>17</v>
      </c>
      <c r="L276" s="17"/>
      <c r="M276" s="17"/>
    </row>
    <row r="277" spans="1:13" s="20" customFormat="1" x14ac:dyDescent="0.2">
      <c r="A277" s="10" t="s">
        <v>8</v>
      </c>
      <c r="B277" s="11" t="s">
        <v>9</v>
      </c>
      <c r="C277" s="75" t="s">
        <v>181</v>
      </c>
      <c r="D277" s="86">
        <v>7177401</v>
      </c>
      <c r="E277" s="85">
        <v>45574</v>
      </c>
      <c r="F277" s="12">
        <v>1261.96</v>
      </c>
      <c r="G277" s="13" t="s">
        <v>106</v>
      </c>
      <c r="H277" s="14" t="s">
        <v>16</v>
      </c>
      <c r="I277" s="15" t="s">
        <v>17</v>
      </c>
      <c r="L277" s="17"/>
      <c r="M277" s="17"/>
    </row>
    <row r="278" spans="1:13" s="20" customFormat="1" x14ac:dyDescent="0.2">
      <c r="A278" s="10" t="s">
        <v>8</v>
      </c>
      <c r="B278" s="11" t="s">
        <v>9</v>
      </c>
      <c r="C278" s="75" t="s">
        <v>486</v>
      </c>
      <c r="D278" s="86">
        <v>7178278</v>
      </c>
      <c r="E278" s="85">
        <v>45581</v>
      </c>
      <c r="F278" s="12">
        <v>1260.5</v>
      </c>
      <c r="G278" s="13" t="s">
        <v>91</v>
      </c>
      <c r="H278" s="14" t="s">
        <v>16</v>
      </c>
      <c r="I278" s="15" t="s">
        <v>17</v>
      </c>
      <c r="L278" s="17"/>
      <c r="M278" s="17"/>
    </row>
    <row r="279" spans="1:13" s="20" customFormat="1" x14ac:dyDescent="0.2">
      <c r="A279" s="10" t="s">
        <v>8</v>
      </c>
      <c r="B279" s="11" t="s">
        <v>9</v>
      </c>
      <c r="C279" s="75" t="s">
        <v>223</v>
      </c>
      <c r="D279" s="86">
        <v>7177919</v>
      </c>
      <c r="E279" s="85">
        <v>45572</v>
      </c>
      <c r="F279" s="12">
        <v>1250</v>
      </c>
      <c r="G279" s="13" t="s">
        <v>909</v>
      </c>
      <c r="H279" s="14" t="s">
        <v>16</v>
      </c>
      <c r="I279" s="15" t="s">
        <v>17</v>
      </c>
      <c r="L279" s="17"/>
      <c r="M279" s="17"/>
    </row>
    <row r="280" spans="1:13" s="20" customFormat="1" x14ac:dyDescent="0.2">
      <c r="A280" s="10" t="s">
        <v>8</v>
      </c>
      <c r="B280" s="11" t="s">
        <v>9</v>
      </c>
      <c r="C280" s="75" t="s">
        <v>223</v>
      </c>
      <c r="D280" s="86">
        <v>7177912</v>
      </c>
      <c r="E280" s="85">
        <v>45572</v>
      </c>
      <c r="F280" s="12">
        <v>1250</v>
      </c>
      <c r="G280" s="13" t="s">
        <v>909</v>
      </c>
      <c r="H280" s="14" t="s">
        <v>16</v>
      </c>
      <c r="I280" s="15" t="s">
        <v>17</v>
      </c>
      <c r="L280" s="17"/>
      <c r="M280" s="17"/>
    </row>
    <row r="281" spans="1:13" s="20" customFormat="1" x14ac:dyDescent="0.2">
      <c r="A281" s="10" t="s">
        <v>8</v>
      </c>
      <c r="B281" s="11" t="s">
        <v>9</v>
      </c>
      <c r="C281" s="75" t="s">
        <v>223</v>
      </c>
      <c r="D281" s="86">
        <v>7178169</v>
      </c>
      <c r="E281" s="85">
        <v>45582</v>
      </c>
      <c r="F281" s="12">
        <v>1250</v>
      </c>
      <c r="G281" s="13" t="s">
        <v>909</v>
      </c>
      <c r="H281" s="14" t="s">
        <v>16</v>
      </c>
      <c r="I281" s="15" t="s">
        <v>17</v>
      </c>
      <c r="L281" s="17"/>
      <c r="M281" s="17"/>
    </row>
    <row r="282" spans="1:13" s="20" customFormat="1" x14ac:dyDescent="0.2">
      <c r="A282" s="10" t="s">
        <v>8</v>
      </c>
      <c r="B282" s="11" t="s">
        <v>9</v>
      </c>
      <c r="C282" s="75" t="s">
        <v>369</v>
      </c>
      <c r="D282" s="86">
        <v>7177397</v>
      </c>
      <c r="E282" s="85">
        <v>45574</v>
      </c>
      <c r="F282" s="12">
        <v>1250</v>
      </c>
      <c r="G282" s="13" t="s">
        <v>39</v>
      </c>
      <c r="H282" s="14" t="s">
        <v>16</v>
      </c>
      <c r="I282" s="15" t="s">
        <v>17</v>
      </c>
      <c r="L282" s="17"/>
      <c r="M282" s="17"/>
    </row>
    <row r="283" spans="1:13" s="20" customFormat="1" x14ac:dyDescent="0.2">
      <c r="A283" s="10" t="s">
        <v>8</v>
      </c>
      <c r="B283" s="11" t="s">
        <v>9</v>
      </c>
      <c r="C283" s="75" t="s">
        <v>260</v>
      </c>
      <c r="D283" s="86">
        <v>7178296</v>
      </c>
      <c r="E283" s="85">
        <v>45586</v>
      </c>
      <c r="F283" s="12">
        <v>1247.0800000000002</v>
      </c>
      <c r="G283" s="13" t="s">
        <v>261</v>
      </c>
      <c r="H283" s="14" t="s">
        <v>16</v>
      </c>
      <c r="I283" s="15" t="s">
        <v>17</v>
      </c>
      <c r="L283" s="17"/>
      <c r="M283" s="17"/>
    </row>
    <row r="284" spans="1:13" s="20" customFormat="1" x14ac:dyDescent="0.2">
      <c r="A284" s="10" t="s">
        <v>8</v>
      </c>
      <c r="B284" s="11" t="s">
        <v>9</v>
      </c>
      <c r="C284" s="75" t="s">
        <v>289</v>
      </c>
      <c r="D284" s="86">
        <v>7177696</v>
      </c>
      <c r="E284" s="85">
        <v>45595</v>
      </c>
      <c r="F284" s="12">
        <v>1235.81</v>
      </c>
      <c r="G284" s="13" t="s">
        <v>75</v>
      </c>
      <c r="H284" s="14" t="s">
        <v>16</v>
      </c>
      <c r="I284" s="15" t="s">
        <v>17</v>
      </c>
      <c r="L284" s="17"/>
      <c r="M284" s="17"/>
    </row>
    <row r="285" spans="1:13" s="20" customFormat="1" x14ac:dyDescent="0.2">
      <c r="A285" s="10" t="s">
        <v>8</v>
      </c>
      <c r="B285" s="11" t="s">
        <v>9</v>
      </c>
      <c r="C285" s="75" t="s">
        <v>74</v>
      </c>
      <c r="D285" s="86">
        <v>7177920</v>
      </c>
      <c r="E285" s="85">
        <v>45574</v>
      </c>
      <c r="F285" s="12">
        <v>1222.1400000000001</v>
      </c>
      <c r="G285" s="13" t="s">
        <v>75</v>
      </c>
      <c r="H285" s="14" t="s">
        <v>16</v>
      </c>
      <c r="I285" s="15" t="s">
        <v>17</v>
      </c>
      <c r="L285" s="17"/>
      <c r="M285" s="17"/>
    </row>
    <row r="286" spans="1:13" s="20" customFormat="1" x14ac:dyDescent="0.2">
      <c r="A286" s="10" t="s">
        <v>8</v>
      </c>
      <c r="B286" s="11" t="s">
        <v>9</v>
      </c>
      <c r="C286" s="75" t="s">
        <v>217</v>
      </c>
      <c r="D286" s="86">
        <v>7178225</v>
      </c>
      <c r="E286" s="85">
        <v>45583</v>
      </c>
      <c r="F286" s="12">
        <v>1200</v>
      </c>
      <c r="G286" s="13" t="s">
        <v>84</v>
      </c>
      <c r="H286" s="14" t="s">
        <v>16</v>
      </c>
      <c r="I286" s="15" t="s">
        <v>17</v>
      </c>
      <c r="L286" s="17"/>
      <c r="M286" s="17"/>
    </row>
    <row r="287" spans="1:13" s="20" customFormat="1" x14ac:dyDescent="0.2">
      <c r="A287" s="10" t="s">
        <v>8</v>
      </c>
      <c r="B287" s="11" t="s">
        <v>9</v>
      </c>
      <c r="C287" s="75" t="s">
        <v>810</v>
      </c>
      <c r="D287" s="86">
        <v>7178476</v>
      </c>
      <c r="E287" s="85">
        <v>45595</v>
      </c>
      <c r="F287" s="12">
        <v>1200</v>
      </c>
      <c r="G287" s="13" t="s">
        <v>106</v>
      </c>
      <c r="H287" s="14" t="s">
        <v>16</v>
      </c>
      <c r="I287" s="15" t="s">
        <v>17</v>
      </c>
      <c r="L287" s="17"/>
      <c r="M287" s="17"/>
    </row>
    <row r="288" spans="1:13" s="20" customFormat="1" x14ac:dyDescent="0.2">
      <c r="A288" s="10" t="s">
        <v>8</v>
      </c>
      <c r="B288" s="11" t="s">
        <v>9</v>
      </c>
      <c r="C288" s="75" t="s">
        <v>386</v>
      </c>
      <c r="D288" s="86">
        <v>7177413</v>
      </c>
      <c r="E288" s="85">
        <v>45566</v>
      </c>
      <c r="F288" s="12">
        <v>1200</v>
      </c>
      <c r="G288" s="13" t="s">
        <v>106</v>
      </c>
      <c r="H288" s="14" t="s">
        <v>16</v>
      </c>
      <c r="I288" s="15" t="s">
        <v>17</v>
      </c>
      <c r="L288" s="17"/>
      <c r="M288" s="17"/>
    </row>
    <row r="289" spans="1:13" s="20" customFormat="1" x14ac:dyDescent="0.2">
      <c r="A289" s="10" t="s">
        <v>8</v>
      </c>
      <c r="B289" s="11" t="s">
        <v>9</v>
      </c>
      <c r="C289" s="75" t="s">
        <v>830</v>
      </c>
      <c r="D289" s="86">
        <v>7177661</v>
      </c>
      <c r="E289" s="85">
        <v>45589</v>
      </c>
      <c r="F289" s="12">
        <v>1191.24</v>
      </c>
      <c r="G289" s="13" t="s">
        <v>131</v>
      </c>
      <c r="H289" s="14" t="s">
        <v>16</v>
      </c>
      <c r="I289" s="15" t="s">
        <v>17</v>
      </c>
      <c r="L289" s="17"/>
      <c r="M289" s="17"/>
    </row>
    <row r="290" spans="1:13" s="20" customFormat="1" x14ac:dyDescent="0.2">
      <c r="A290" s="10" t="s">
        <v>8</v>
      </c>
      <c r="B290" s="11" t="s">
        <v>9</v>
      </c>
      <c r="C290" s="75" t="s">
        <v>256</v>
      </c>
      <c r="D290" s="86">
        <v>7178184</v>
      </c>
      <c r="E290" s="85">
        <v>45580</v>
      </c>
      <c r="F290" s="12">
        <v>1180.69</v>
      </c>
      <c r="G290" s="13" t="s">
        <v>155</v>
      </c>
      <c r="H290" s="14" t="s">
        <v>16</v>
      </c>
      <c r="I290" s="15" t="s">
        <v>17</v>
      </c>
      <c r="L290" s="17"/>
      <c r="M290" s="17"/>
    </row>
    <row r="291" spans="1:13" s="20" customFormat="1" x14ac:dyDescent="0.2">
      <c r="A291" s="10" t="s">
        <v>8</v>
      </c>
      <c r="B291" s="11" t="s">
        <v>9</v>
      </c>
      <c r="C291" s="75" t="s">
        <v>10</v>
      </c>
      <c r="D291" s="86">
        <v>7177952</v>
      </c>
      <c r="E291" s="85">
        <v>45589</v>
      </c>
      <c r="F291" s="12">
        <v>1168.2</v>
      </c>
      <c r="G291" s="13" t="s">
        <v>22</v>
      </c>
      <c r="H291" s="14" t="s">
        <v>16</v>
      </c>
      <c r="I291" s="15" t="s">
        <v>17</v>
      </c>
      <c r="L291" s="17"/>
      <c r="M291" s="17"/>
    </row>
    <row r="292" spans="1:13" s="20" customFormat="1" x14ac:dyDescent="0.2">
      <c r="A292" s="10" t="s">
        <v>8</v>
      </c>
      <c r="B292" s="11" t="s">
        <v>9</v>
      </c>
      <c r="C292" s="75" t="s">
        <v>921</v>
      </c>
      <c r="D292" s="86">
        <v>7178121</v>
      </c>
      <c r="E292" s="85">
        <v>45593</v>
      </c>
      <c r="F292" s="12">
        <v>1162.04</v>
      </c>
      <c r="G292" s="13" t="s">
        <v>106</v>
      </c>
      <c r="H292" s="14" t="s">
        <v>16</v>
      </c>
      <c r="I292" s="15" t="s">
        <v>17</v>
      </c>
      <c r="L292" s="17"/>
      <c r="M292" s="17"/>
    </row>
    <row r="293" spans="1:13" s="20" customFormat="1" x14ac:dyDescent="0.2">
      <c r="A293" s="10" t="s">
        <v>8</v>
      </c>
      <c r="B293" s="11" t="s">
        <v>9</v>
      </c>
      <c r="C293" s="75" t="s">
        <v>281</v>
      </c>
      <c r="D293" s="86">
        <v>7177765</v>
      </c>
      <c r="E293" s="85">
        <v>45573</v>
      </c>
      <c r="F293" s="12">
        <v>1160.6500000000001</v>
      </c>
      <c r="G293" s="13" t="s">
        <v>209</v>
      </c>
      <c r="H293" s="14" t="s">
        <v>16</v>
      </c>
      <c r="I293" s="15" t="s">
        <v>17</v>
      </c>
      <c r="L293" s="17"/>
      <c r="M293" s="17"/>
    </row>
    <row r="294" spans="1:13" s="20" customFormat="1" x14ac:dyDescent="0.2">
      <c r="A294" s="10" t="s">
        <v>8</v>
      </c>
      <c r="B294" s="11" t="s">
        <v>9</v>
      </c>
      <c r="C294" s="75" t="s">
        <v>750</v>
      </c>
      <c r="D294" s="86">
        <v>7178832</v>
      </c>
      <c r="E294" s="85">
        <v>45596</v>
      </c>
      <c r="F294" s="12">
        <v>1138.3399999999999</v>
      </c>
      <c r="G294" s="13" t="s">
        <v>53</v>
      </c>
      <c r="H294" s="14" t="s">
        <v>16</v>
      </c>
      <c r="I294" s="15" t="s">
        <v>17</v>
      </c>
      <c r="L294" s="17"/>
      <c r="M294" s="17"/>
    </row>
    <row r="295" spans="1:13" s="20" customFormat="1" x14ac:dyDescent="0.2">
      <c r="A295" s="10" t="s">
        <v>8</v>
      </c>
      <c r="B295" s="11" t="s">
        <v>9</v>
      </c>
      <c r="C295" s="75" t="s">
        <v>366</v>
      </c>
      <c r="D295" s="86">
        <v>7178655</v>
      </c>
      <c r="E295" s="85">
        <v>45594</v>
      </c>
      <c r="F295" s="12">
        <v>1132.8</v>
      </c>
      <c r="G295" s="13" t="s">
        <v>155</v>
      </c>
      <c r="H295" s="14" t="s">
        <v>16</v>
      </c>
      <c r="I295" s="15" t="s">
        <v>17</v>
      </c>
      <c r="L295" s="17"/>
      <c r="M295" s="17"/>
    </row>
    <row r="296" spans="1:13" s="20" customFormat="1" x14ac:dyDescent="0.2">
      <c r="A296" s="10" t="s">
        <v>8</v>
      </c>
      <c r="B296" s="11" t="s">
        <v>9</v>
      </c>
      <c r="C296" s="75" t="s">
        <v>721</v>
      </c>
      <c r="D296" s="86">
        <v>7178056</v>
      </c>
      <c r="E296" s="85">
        <v>45575</v>
      </c>
      <c r="F296" s="12">
        <v>1125</v>
      </c>
      <c r="G296" s="13" t="s">
        <v>22</v>
      </c>
      <c r="H296" s="14" t="s">
        <v>16</v>
      </c>
      <c r="I296" s="15" t="s">
        <v>17</v>
      </c>
      <c r="L296" s="17"/>
      <c r="M296" s="17"/>
    </row>
    <row r="297" spans="1:13" s="20" customFormat="1" x14ac:dyDescent="0.2">
      <c r="A297" s="10" t="s">
        <v>8</v>
      </c>
      <c r="B297" s="11" t="s">
        <v>9</v>
      </c>
      <c r="C297" s="75" t="s">
        <v>920</v>
      </c>
      <c r="D297" s="86">
        <v>7178155</v>
      </c>
      <c r="E297" s="85">
        <v>45589</v>
      </c>
      <c r="F297" s="12">
        <v>1125</v>
      </c>
      <c r="G297" s="13" t="s">
        <v>15</v>
      </c>
      <c r="H297" s="14" t="s">
        <v>16</v>
      </c>
      <c r="I297" s="15" t="s">
        <v>17</v>
      </c>
      <c r="L297" s="17"/>
      <c r="M297" s="17"/>
    </row>
    <row r="298" spans="1:13" x14ac:dyDescent="0.2">
      <c r="A298" s="10" t="s">
        <v>8</v>
      </c>
      <c r="B298" s="11" t="s">
        <v>9</v>
      </c>
      <c r="C298" s="75" t="s">
        <v>727</v>
      </c>
      <c r="D298" s="86">
        <v>7178796</v>
      </c>
      <c r="E298" s="85">
        <v>45596</v>
      </c>
      <c r="F298" s="12">
        <v>1100</v>
      </c>
      <c r="G298" s="13" t="s">
        <v>106</v>
      </c>
      <c r="H298" s="14" t="s">
        <v>16</v>
      </c>
      <c r="I298" s="15" t="s">
        <v>17</v>
      </c>
    </row>
    <row r="299" spans="1:13" x14ac:dyDescent="0.2">
      <c r="A299" s="10" t="s">
        <v>8</v>
      </c>
      <c r="B299" s="11" t="s">
        <v>9</v>
      </c>
      <c r="C299" s="75" t="s">
        <v>919</v>
      </c>
      <c r="D299" s="86">
        <v>7178526</v>
      </c>
      <c r="E299" s="85">
        <v>45588</v>
      </c>
      <c r="F299" s="12">
        <v>1100</v>
      </c>
      <c r="G299" s="13" t="s">
        <v>345</v>
      </c>
      <c r="H299" s="14" t="s">
        <v>16</v>
      </c>
      <c r="I299" s="15" t="s">
        <v>17</v>
      </c>
    </row>
    <row r="300" spans="1:13" x14ac:dyDescent="0.2">
      <c r="A300" s="10" t="s">
        <v>8</v>
      </c>
      <c r="B300" s="11" t="s">
        <v>9</v>
      </c>
      <c r="C300" s="75" t="s">
        <v>596</v>
      </c>
      <c r="D300" s="86">
        <v>7177781</v>
      </c>
      <c r="E300" s="85">
        <v>45568</v>
      </c>
      <c r="F300" s="12">
        <v>851.93</v>
      </c>
      <c r="G300" s="13" t="s">
        <v>319</v>
      </c>
      <c r="H300" s="14" t="s">
        <v>12</v>
      </c>
      <c r="I300" s="15" t="s">
        <v>13</v>
      </c>
    </row>
    <row r="301" spans="1:13" x14ac:dyDescent="0.2">
      <c r="A301" s="10" t="s">
        <v>8</v>
      </c>
      <c r="B301" s="11" t="s">
        <v>9</v>
      </c>
      <c r="C301" s="75" t="s">
        <v>294</v>
      </c>
      <c r="D301" s="86">
        <v>7177967</v>
      </c>
      <c r="E301" s="85">
        <v>45572</v>
      </c>
      <c r="F301" s="12">
        <v>1079.2</v>
      </c>
      <c r="G301" s="13" t="s">
        <v>131</v>
      </c>
      <c r="H301" s="14" t="s">
        <v>16</v>
      </c>
      <c r="I301" s="15" t="s">
        <v>17</v>
      </c>
    </row>
    <row r="302" spans="1:13" x14ac:dyDescent="0.2">
      <c r="A302" s="10" t="s">
        <v>8</v>
      </c>
      <c r="B302" s="11" t="s">
        <v>9</v>
      </c>
      <c r="C302" s="75" t="s">
        <v>279</v>
      </c>
      <c r="D302" s="86">
        <v>7178641</v>
      </c>
      <c r="E302" s="85">
        <v>45590</v>
      </c>
      <c r="F302" s="12">
        <v>1078</v>
      </c>
      <c r="G302" s="13" t="s">
        <v>155</v>
      </c>
      <c r="H302" s="14" t="s">
        <v>16</v>
      </c>
      <c r="I302" s="15" t="s">
        <v>17</v>
      </c>
    </row>
    <row r="303" spans="1:13" x14ac:dyDescent="0.2">
      <c r="A303" s="10" t="s">
        <v>8</v>
      </c>
      <c r="B303" s="11" t="s">
        <v>9</v>
      </c>
      <c r="C303" s="75" t="s">
        <v>279</v>
      </c>
      <c r="D303" s="86">
        <v>7178650</v>
      </c>
      <c r="E303" s="85">
        <v>45590</v>
      </c>
      <c r="F303" s="12">
        <v>1078</v>
      </c>
      <c r="G303" s="13" t="s">
        <v>155</v>
      </c>
      <c r="H303" s="14" t="s">
        <v>16</v>
      </c>
      <c r="I303" s="15" t="s">
        <v>17</v>
      </c>
    </row>
    <row r="304" spans="1:13" x14ac:dyDescent="0.2">
      <c r="A304" s="10" t="s">
        <v>8</v>
      </c>
      <c r="B304" s="11" t="s">
        <v>9</v>
      </c>
      <c r="C304" s="75" t="s">
        <v>511</v>
      </c>
      <c r="D304" s="86">
        <v>7177475</v>
      </c>
      <c r="E304" s="85">
        <v>45589</v>
      </c>
      <c r="F304" s="12">
        <v>1078</v>
      </c>
      <c r="G304" s="13" t="s">
        <v>319</v>
      </c>
      <c r="H304" s="14" t="s">
        <v>16</v>
      </c>
      <c r="I304" s="15" t="s">
        <v>17</v>
      </c>
    </row>
    <row r="305" spans="1:9" x14ac:dyDescent="0.2">
      <c r="A305" s="10" t="s">
        <v>8</v>
      </c>
      <c r="B305" s="11" t="s">
        <v>9</v>
      </c>
      <c r="C305" s="75" t="s">
        <v>419</v>
      </c>
      <c r="D305" s="86">
        <v>7178550</v>
      </c>
      <c r="E305" s="85">
        <v>45589</v>
      </c>
      <c r="F305" s="12">
        <v>1070</v>
      </c>
      <c r="G305" s="13" t="s">
        <v>22</v>
      </c>
      <c r="H305" s="14" t="s">
        <v>16</v>
      </c>
      <c r="I305" s="15" t="s">
        <v>17</v>
      </c>
    </row>
    <row r="306" spans="1:9" x14ac:dyDescent="0.2">
      <c r="A306" s="10" t="s">
        <v>8</v>
      </c>
      <c r="B306" s="11" t="s">
        <v>9</v>
      </c>
      <c r="C306" s="75" t="s">
        <v>74</v>
      </c>
      <c r="D306" s="86">
        <v>7178444</v>
      </c>
      <c r="E306" s="85">
        <v>45586</v>
      </c>
      <c r="F306" s="12">
        <v>1056.4000000000001</v>
      </c>
      <c r="G306" s="13" t="s">
        <v>177</v>
      </c>
      <c r="H306" s="14" t="s">
        <v>16</v>
      </c>
      <c r="I306" s="15" t="s">
        <v>17</v>
      </c>
    </row>
    <row r="307" spans="1:9" x14ac:dyDescent="0.2">
      <c r="A307" s="10" t="s">
        <v>8</v>
      </c>
      <c r="B307" s="11" t="s">
        <v>9</v>
      </c>
      <c r="C307" s="77" t="s">
        <v>256</v>
      </c>
      <c r="D307" s="86">
        <v>7177931</v>
      </c>
      <c r="E307" s="85">
        <v>45574</v>
      </c>
      <c r="F307" s="12">
        <v>1052.4000000000001</v>
      </c>
      <c r="G307" s="13" t="s">
        <v>155</v>
      </c>
      <c r="H307" s="14" t="s">
        <v>16</v>
      </c>
      <c r="I307" s="15" t="s">
        <v>17</v>
      </c>
    </row>
    <row r="308" spans="1:9" x14ac:dyDescent="0.2">
      <c r="A308" s="10" t="s">
        <v>8</v>
      </c>
      <c r="B308" s="11" t="s">
        <v>9</v>
      </c>
      <c r="C308" s="75" t="s">
        <v>245</v>
      </c>
      <c r="D308" s="86">
        <v>7177864</v>
      </c>
      <c r="E308" s="85">
        <v>45572</v>
      </c>
      <c r="F308" s="18">
        <v>1050</v>
      </c>
      <c r="G308" s="13" t="s">
        <v>106</v>
      </c>
      <c r="H308" s="14" t="s">
        <v>16</v>
      </c>
      <c r="I308" s="15" t="s">
        <v>17</v>
      </c>
    </row>
    <row r="309" spans="1:9" x14ac:dyDescent="0.2">
      <c r="A309" s="10" t="s">
        <v>8</v>
      </c>
      <c r="B309" s="11" t="s">
        <v>9</v>
      </c>
      <c r="C309" s="75" t="s">
        <v>741</v>
      </c>
      <c r="D309" s="86">
        <v>7178020</v>
      </c>
      <c r="E309" s="85">
        <v>45575</v>
      </c>
      <c r="F309" s="12">
        <v>1038.6400000000001</v>
      </c>
      <c r="G309" s="13" t="s">
        <v>131</v>
      </c>
      <c r="H309" s="14" t="s">
        <v>16</v>
      </c>
      <c r="I309" s="15" t="s">
        <v>17</v>
      </c>
    </row>
    <row r="310" spans="1:9" x14ac:dyDescent="0.2">
      <c r="A310" s="10" t="s">
        <v>8</v>
      </c>
      <c r="B310" s="11" t="s">
        <v>9</v>
      </c>
      <c r="C310" s="75" t="s">
        <v>124</v>
      </c>
      <c r="D310" s="86">
        <v>7178233</v>
      </c>
      <c r="E310" s="85">
        <v>45579</v>
      </c>
      <c r="F310" s="12">
        <v>1029</v>
      </c>
      <c r="G310" s="13" t="s">
        <v>91</v>
      </c>
      <c r="H310" s="14" t="s">
        <v>16</v>
      </c>
      <c r="I310" s="15" t="s">
        <v>17</v>
      </c>
    </row>
    <row r="311" spans="1:9" x14ac:dyDescent="0.2">
      <c r="A311" s="10" t="s">
        <v>8</v>
      </c>
      <c r="B311" s="11" t="s">
        <v>9</v>
      </c>
      <c r="C311" s="75" t="s">
        <v>107</v>
      </c>
      <c r="D311" s="86">
        <v>7177863</v>
      </c>
      <c r="E311" s="85">
        <v>45573</v>
      </c>
      <c r="F311" s="12">
        <v>1023</v>
      </c>
      <c r="G311" s="13" t="s">
        <v>108</v>
      </c>
      <c r="H311" s="14" t="s">
        <v>16</v>
      </c>
      <c r="I311" s="15" t="s">
        <v>17</v>
      </c>
    </row>
    <row r="312" spans="1:9" x14ac:dyDescent="0.2">
      <c r="A312" s="10" t="s">
        <v>8</v>
      </c>
      <c r="B312" s="11" t="s">
        <v>9</v>
      </c>
      <c r="C312" s="75" t="s">
        <v>883</v>
      </c>
      <c r="D312" s="86">
        <v>7178247</v>
      </c>
      <c r="E312" s="85">
        <v>45587</v>
      </c>
      <c r="F312" s="12">
        <v>1020</v>
      </c>
      <c r="G312" s="13" t="s">
        <v>133</v>
      </c>
      <c r="H312" s="14" t="s">
        <v>16</v>
      </c>
      <c r="I312" s="15" t="s">
        <v>17</v>
      </c>
    </row>
    <row r="313" spans="1:9" x14ac:dyDescent="0.2">
      <c r="A313" s="10" t="s">
        <v>8</v>
      </c>
      <c r="B313" s="11" t="s">
        <v>9</v>
      </c>
      <c r="C313" s="75" t="s">
        <v>283</v>
      </c>
      <c r="D313" s="86">
        <v>7177736</v>
      </c>
      <c r="E313" s="85">
        <v>45573</v>
      </c>
      <c r="F313" s="12">
        <v>1000.8</v>
      </c>
      <c r="G313" s="13" t="s">
        <v>40</v>
      </c>
      <c r="H313" s="14" t="s">
        <v>16</v>
      </c>
      <c r="I313" s="15" t="s">
        <v>17</v>
      </c>
    </row>
    <row r="314" spans="1:9" x14ac:dyDescent="0.2">
      <c r="A314" s="10" t="s">
        <v>8</v>
      </c>
      <c r="B314" s="11" t="s">
        <v>9</v>
      </c>
      <c r="C314" s="75" t="s">
        <v>223</v>
      </c>
      <c r="D314" s="86">
        <v>7178242</v>
      </c>
      <c r="E314" s="85">
        <v>45580</v>
      </c>
      <c r="F314" s="12">
        <v>1000</v>
      </c>
      <c r="G314" s="13" t="s">
        <v>909</v>
      </c>
      <c r="H314" s="14" t="s">
        <v>12</v>
      </c>
      <c r="I314" s="15" t="s">
        <v>13</v>
      </c>
    </row>
    <row r="315" spans="1:9" x14ac:dyDescent="0.2">
      <c r="A315" s="10" t="s">
        <v>8</v>
      </c>
      <c r="B315" s="11" t="s">
        <v>9</v>
      </c>
      <c r="C315" s="75" t="s">
        <v>256</v>
      </c>
      <c r="D315" s="86">
        <v>7176735</v>
      </c>
      <c r="E315" s="85">
        <v>45575</v>
      </c>
      <c r="F315" s="12">
        <v>995.3</v>
      </c>
      <c r="G315" s="13" t="s">
        <v>131</v>
      </c>
      <c r="H315" s="14" t="s">
        <v>12</v>
      </c>
      <c r="I315" s="15" t="s">
        <v>13</v>
      </c>
    </row>
    <row r="316" spans="1:9" x14ac:dyDescent="0.2">
      <c r="A316" s="10" t="s">
        <v>8</v>
      </c>
      <c r="B316" s="11" t="s">
        <v>9</v>
      </c>
      <c r="C316" s="75" t="s">
        <v>256</v>
      </c>
      <c r="D316" s="86">
        <v>7178199</v>
      </c>
      <c r="E316" s="85">
        <v>45586</v>
      </c>
      <c r="F316" s="12">
        <v>993.7</v>
      </c>
      <c r="G316" s="13" t="s">
        <v>131</v>
      </c>
      <c r="H316" s="14" t="s">
        <v>12</v>
      </c>
      <c r="I316" s="15" t="s">
        <v>13</v>
      </c>
    </row>
    <row r="317" spans="1:9" x14ac:dyDescent="0.2">
      <c r="A317" s="10" t="s">
        <v>8</v>
      </c>
      <c r="B317" s="11" t="s">
        <v>9</v>
      </c>
      <c r="C317" s="75" t="s">
        <v>289</v>
      </c>
      <c r="D317" s="86">
        <v>7178686</v>
      </c>
      <c r="E317" s="85">
        <v>45593</v>
      </c>
      <c r="F317" s="12">
        <v>992.6</v>
      </c>
      <c r="G317" s="13" t="s">
        <v>177</v>
      </c>
      <c r="H317" s="14" t="s">
        <v>12</v>
      </c>
      <c r="I317" s="15" t="s">
        <v>13</v>
      </c>
    </row>
    <row r="318" spans="1:9" x14ac:dyDescent="0.2">
      <c r="A318" s="10" t="s">
        <v>8</v>
      </c>
      <c r="B318" s="11" t="s">
        <v>9</v>
      </c>
      <c r="C318" s="75" t="s">
        <v>305</v>
      </c>
      <c r="D318" s="86">
        <v>7178153</v>
      </c>
      <c r="E318" s="85">
        <v>45579</v>
      </c>
      <c r="F318" s="12">
        <v>974.18</v>
      </c>
      <c r="G318" s="13" t="s">
        <v>306</v>
      </c>
      <c r="H318" s="14" t="s">
        <v>12</v>
      </c>
      <c r="I318" s="15" t="s">
        <v>13</v>
      </c>
    </row>
    <row r="319" spans="1:9" x14ac:dyDescent="0.2">
      <c r="A319" s="10" t="s">
        <v>8</v>
      </c>
      <c r="B319" s="11" t="s">
        <v>9</v>
      </c>
      <c r="C319" s="75" t="s">
        <v>314</v>
      </c>
      <c r="D319" s="86">
        <v>7177979</v>
      </c>
      <c r="E319" s="85">
        <v>45573</v>
      </c>
      <c r="F319" s="12">
        <v>972.51</v>
      </c>
      <c r="G319" s="13" t="s">
        <v>315</v>
      </c>
      <c r="H319" s="14" t="s">
        <v>12</v>
      </c>
      <c r="I319" s="15" t="s">
        <v>13</v>
      </c>
    </row>
    <row r="320" spans="1:9" x14ac:dyDescent="0.2">
      <c r="A320" s="10" t="s">
        <v>8</v>
      </c>
      <c r="B320" s="11" t="s">
        <v>9</v>
      </c>
      <c r="C320" s="75" t="s">
        <v>119</v>
      </c>
      <c r="D320" s="86">
        <v>7178439</v>
      </c>
      <c r="E320" s="85">
        <v>45587</v>
      </c>
      <c r="F320" s="12">
        <v>954.33</v>
      </c>
      <c r="G320" s="13" t="s">
        <v>120</v>
      </c>
      <c r="H320" s="14" t="s">
        <v>12</v>
      </c>
      <c r="I320" s="15" t="s">
        <v>13</v>
      </c>
    </row>
    <row r="321" spans="1:9" x14ac:dyDescent="0.2">
      <c r="A321" s="10" t="s">
        <v>8</v>
      </c>
      <c r="B321" s="11" t="s">
        <v>9</v>
      </c>
      <c r="C321" s="75" t="s">
        <v>266</v>
      </c>
      <c r="D321" s="86">
        <v>7178003</v>
      </c>
      <c r="E321" s="85">
        <v>45578</v>
      </c>
      <c r="F321" s="12">
        <v>949</v>
      </c>
      <c r="G321" s="13" t="s">
        <v>209</v>
      </c>
      <c r="H321" s="14" t="s">
        <v>12</v>
      </c>
      <c r="I321" s="15" t="s">
        <v>13</v>
      </c>
    </row>
    <row r="322" spans="1:9" x14ac:dyDescent="0.2">
      <c r="A322" s="10" t="s">
        <v>8</v>
      </c>
      <c r="B322" s="11" t="s">
        <v>9</v>
      </c>
      <c r="C322" s="75" t="s">
        <v>90</v>
      </c>
      <c r="D322" s="86">
        <v>7178137</v>
      </c>
      <c r="E322" s="85">
        <v>45576</v>
      </c>
      <c r="F322" s="12">
        <v>938.15</v>
      </c>
      <c r="G322" s="13" t="s">
        <v>91</v>
      </c>
      <c r="H322" s="14" t="s">
        <v>12</v>
      </c>
      <c r="I322" s="15" t="s">
        <v>13</v>
      </c>
    </row>
    <row r="323" spans="1:9" x14ac:dyDescent="0.2">
      <c r="A323" s="10" t="s">
        <v>8</v>
      </c>
      <c r="B323" s="11" t="s">
        <v>9</v>
      </c>
      <c r="C323" s="75" t="s">
        <v>918</v>
      </c>
      <c r="D323" s="86">
        <v>7178275</v>
      </c>
      <c r="E323" s="85">
        <v>45581</v>
      </c>
      <c r="F323" s="12">
        <v>925</v>
      </c>
      <c r="G323" s="13" t="s">
        <v>131</v>
      </c>
      <c r="H323" s="14" t="s">
        <v>12</v>
      </c>
      <c r="I323" s="15" t="s">
        <v>13</v>
      </c>
    </row>
    <row r="324" spans="1:9" x14ac:dyDescent="0.2">
      <c r="A324" s="10" t="s">
        <v>8</v>
      </c>
      <c r="B324" s="11" t="s">
        <v>9</v>
      </c>
      <c r="C324" s="75" t="s">
        <v>321</v>
      </c>
      <c r="D324" s="86">
        <v>7177469</v>
      </c>
      <c r="E324" s="85">
        <v>45566</v>
      </c>
      <c r="F324" s="12">
        <v>925</v>
      </c>
      <c r="G324" s="13" t="s">
        <v>15</v>
      </c>
      <c r="H324" s="14" t="s">
        <v>12</v>
      </c>
      <c r="I324" s="15" t="s">
        <v>13</v>
      </c>
    </row>
    <row r="325" spans="1:9" x14ac:dyDescent="0.2">
      <c r="A325" s="10" t="s">
        <v>8</v>
      </c>
      <c r="B325" s="11" t="s">
        <v>9</v>
      </c>
      <c r="C325" s="75" t="s">
        <v>822</v>
      </c>
      <c r="D325" s="86">
        <v>7178297</v>
      </c>
      <c r="E325" s="85">
        <v>45581</v>
      </c>
      <c r="F325" s="12">
        <v>920</v>
      </c>
      <c r="G325" s="13" t="s">
        <v>91</v>
      </c>
      <c r="H325" s="14" t="s">
        <v>12</v>
      </c>
      <c r="I325" s="15" t="s">
        <v>13</v>
      </c>
    </row>
    <row r="326" spans="1:9" x14ac:dyDescent="0.2">
      <c r="A326" s="10" t="s">
        <v>8</v>
      </c>
      <c r="B326" s="11" t="s">
        <v>9</v>
      </c>
      <c r="C326" s="75" t="s">
        <v>163</v>
      </c>
      <c r="D326" s="86">
        <v>7177826</v>
      </c>
      <c r="E326" s="85">
        <v>45568</v>
      </c>
      <c r="F326" s="12">
        <v>841.5</v>
      </c>
      <c r="G326" s="13" t="s">
        <v>81</v>
      </c>
      <c r="H326" s="14" t="s">
        <v>12</v>
      </c>
      <c r="I326" s="15" t="s">
        <v>13</v>
      </c>
    </row>
    <row r="327" spans="1:9" x14ac:dyDescent="0.2">
      <c r="A327" s="10" t="s">
        <v>8</v>
      </c>
      <c r="B327" s="11" t="s">
        <v>9</v>
      </c>
      <c r="C327" s="75" t="s">
        <v>256</v>
      </c>
      <c r="D327" s="86">
        <v>7178481</v>
      </c>
      <c r="E327" s="85">
        <v>45587</v>
      </c>
      <c r="F327" s="12">
        <v>906.32</v>
      </c>
      <c r="G327" s="13" t="s">
        <v>131</v>
      </c>
      <c r="H327" s="14" t="s">
        <v>12</v>
      </c>
      <c r="I327" s="15" t="s">
        <v>13</v>
      </c>
    </row>
    <row r="328" spans="1:9" x14ac:dyDescent="0.2">
      <c r="A328" s="10" t="s">
        <v>8</v>
      </c>
      <c r="B328" s="11" t="s">
        <v>9</v>
      </c>
      <c r="C328" s="75" t="s">
        <v>352</v>
      </c>
      <c r="D328" s="86">
        <v>7178760</v>
      </c>
      <c r="E328" s="85">
        <v>45594</v>
      </c>
      <c r="F328" s="12">
        <v>900</v>
      </c>
      <c r="G328" s="13" t="s">
        <v>106</v>
      </c>
      <c r="H328" s="14" t="s">
        <v>12</v>
      </c>
      <c r="I328" s="15" t="s">
        <v>13</v>
      </c>
    </row>
    <row r="329" spans="1:9" x14ac:dyDescent="0.2">
      <c r="A329" s="10" t="s">
        <v>8</v>
      </c>
      <c r="B329" s="11" t="s">
        <v>9</v>
      </c>
      <c r="C329" s="75" t="s">
        <v>814</v>
      </c>
      <c r="D329" s="86">
        <v>7178276</v>
      </c>
      <c r="E329" s="85">
        <v>45580</v>
      </c>
      <c r="F329" s="12">
        <v>900</v>
      </c>
      <c r="G329" s="13" t="s">
        <v>123</v>
      </c>
      <c r="H329" s="14" t="s">
        <v>12</v>
      </c>
      <c r="I329" s="15" t="s">
        <v>13</v>
      </c>
    </row>
    <row r="330" spans="1:9" x14ac:dyDescent="0.2">
      <c r="A330" s="10" t="s">
        <v>8</v>
      </c>
      <c r="B330" s="11" t="s">
        <v>9</v>
      </c>
      <c r="C330" s="75" t="s">
        <v>149</v>
      </c>
      <c r="D330" s="86">
        <v>7177700</v>
      </c>
      <c r="E330" s="85">
        <v>45568</v>
      </c>
      <c r="F330" s="12">
        <v>889.21999999999991</v>
      </c>
      <c r="G330" s="13" t="s">
        <v>138</v>
      </c>
      <c r="H330" s="14" t="s">
        <v>12</v>
      </c>
      <c r="I330" s="15" t="s">
        <v>13</v>
      </c>
    </row>
    <row r="331" spans="1:9" x14ac:dyDescent="0.2">
      <c r="A331" s="10" t="s">
        <v>8</v>
      </c>
      <c r="B331" s="11" t="s">
        <v>9</v>
      </c>
      <c r="C331" s="75" t="s">
        <v>223</v>
      </c>
      <c r="D331" s="86">
        <v>7177913</v>
      </c>
      <c r="E331" s="85">
        <v>45572</v>
      </c>
      <c r="F331" s="12">
        <v>875</v>
      </c>
      <c r="G331" s="13" t="s">
        <v>909</v>
      </c>
      <c r="H331" s="14" t="s">
        <v>12</v>
      </c>
      <c r="I331" s="15" t="s">
        <v>13</v>
      </c>
    </row>
    <row r="332" spans="1:9" x14ac:dyDescent="0.2">
      <c r="A332" s="10" t="s">
        <v>8</v>
      </c>
      <c r="B332" s="11" t="s">
        <v>9</v>
      </c>
      <c r="C332" s="75" t="s">
        <v>223</v>
      </c>
      <c r="D332" s="86">
        <v>7178241</v>
      </c>
      <c r="E332" s="85">
        <v>45580</v>
      </c>
      <c r="F332" s="12">
        <v>875</v>
      </c>
      <c r="G332" s="13" t="s">
        <v>909</v>
      </c>
      <c r="H332" s="14" t="s">
        <v>12</v>
      </c>
      <c r="I332" s="15" t="s">
        <v>13</v>
      </c>
    </row>
    <row r="333" spans="1:9" x14ac:dyDescent="0.2">
      <c r="A333" s="10" t="s">
        <v>8</v>
      </c>
      <c r="B333" s="11" t="s">
        <v>9</v>
      </c>
      <c r="C333" s="75" t="s">
        <v>279</v>
      </c>
      <c r="D333" s="86">
        <v>7178306</v>
      </c>
      <c r="E333" s="85">
        <v>45581</v>
      </c>
      <c r="F333" s="12">
        <v>874.16</v>
      </c>
      <c r="G333" s="13" t="s">
        <v>390</v>
      </c>
      <c r="H333" s="14" t="s">
        <v>12</v>
      </c>
      <c r="I333" s="15" t="s">
        <v>13</v>
      </c>
    </row>
    <row r="334" spans="1:9" x14ac:dyDescent="0.2">
      <c r="A334" s="10" t="s">
        <v>8</v>
      </c>
      <c r="B334" s="11" t="s">
        <v>9</v>
      </c>
      <c r="C334" s="75" t="s">
        <v>807</v>
      </c>
      <c r="D334" s="86">
        <v>7177999</v>
      </c>
      <c r="E334" s="85">
        <v>45573</v>
      </c>
      <c r="F334" s="12">
        <v>870</v>
      </c>
      <c r="G334" s="13" t="s">
        <v>106</v>
      </c>
      <c r="H334" s="14" t="s">
        <v>12</v>
      </c>
      <c r="I334" s="15" t="s">
        <v>13</v>
      </c>
    </row>
    <row r="335" spans="1:9" x14ac:dyDescent="0.2">
      <c r="A335" s="10" t="s">
        <v>8</v>
      </c>
      <c r="B335" s="11" t="s">
        <v>9</v>
      </c>
      <c r="C335" s="75" t="s">
        <v>74</v>
      </c>
      <c r="D335" s="86">
        <v>7177922</v>
      </c>
      <c r="E335" s="85">
        <v>45572</v>
      </c>
      <c r="F335" s="12">
        <v>868.52</v>
      </c>
      <c r="G335" s="13" t="s">
        <v>131</v>
      </c>
      <c r="H335" s="14" t="s">
        <v>12</v>
      </c>
      <c r="I335" s="15" t="s">
        <v>13</v>
      </c>
    </row>
    <row r="336" spans="1:9" x14ac:dyDescent="0.2">
      <c r="A336" s="10" t="s">
        <v>8</v>
      </c>
      <c r="B336" s="11" t="s">
        <v>9</v>
      </c>
      <c r="C336" s="75" t="s">
        <v>502</v>
      </c>
      <c r="D336" s="86">
        <v>7178077</v>
      </c>
      <c r="E336" s="85">
        <v>45575</v>
      </c>
      <c r="F336" s="12">
        <v>868.3</v>
      </c>
      <c r="G336" s="13" t="s">
        <v>38</v>
      </c>
      <c r="H336" s="14" t="s">
        <v>12</v>
      </c>
      <c r="I336" s="15" t="s">
        <v>13</v>
      </c>
    </row>
    <row r="337" spans="1:9" x14ac:dyDescent="0.2">
      <c r="A337" s="10" t="s">
        <v>8</v>
      </c>
      <c r="B337" s="11" t="s">
        <v>9</v>
      </c>
      <c r="C337" s="75" t="s">
        <v>181</v>
      </c>
      <c r="D337" s="86">
        <v>7177369</v>
      </c>
      <c r="E337" s="85">
        <v>45566</v>
      </c>
      <c r="F337" s="12">
        <v>859</v>
      </c>
      <c r="G337" s="13" t="s">
        <v>182</v>
      </c>
      <c r="H337" s="14" t="s">
        <v>12</v>
      </c>
      <c r="I337" s="15" t="s">
        <v>13</v>
      </c>
    </row>
    <row r="338" spans="1:9" x14ac:dyDescent="0.2">
      <c r="A338" s="10" t="s">
        <v>8</v>
      </c>
      <c r="B338" s="11" t="s">
        <v>9</v>
      </c>
      <c r="C338" s="75" t="s">
        <v>181</v>
      </c>
      <c r="D338" s="86">
        <v>7178436</v>
      </c>
      <c r="E338" s="85">
        <v>45586</v>
      </c>
      <c r="F338" s="12">
        <v>859</v>
      </c>
      <c r="G338" s="13" t="s">
        <v>182</v>
      </c>
      <c r="H338" s="14" t="s">
        <v>12</v>
      </c>
      <c r="I338" s="15" t="s">
        <v>13</v>
      </c>
    </row>
    <row r="339" spans="1:9" x14ac:dyDescent="0.2">
      <c r="A339" s="10" t="s">
        <v>8</v>
      </c>
      <c r="B339" s="11" t="s">
        <v>9</v>
      </c>
      <c r="C339" s="75" t="s">
        <v>302</v>
      </c>
      <c r="D339" s="86">
        <v>7177871</v>
      </c>
      <c r="E339" s="85">
        <v>45569</v>
      </c>
      <c r="F339" s="12">
        <v>857.27</v>
      </c>
      <c r="G339" s="13" t="s">
        <v>131</v>
      </c>
      <c r="H339" s="14" t="s">
        <v>12</v>
      </c>
      <c r="I339" s="15" t="s">
        <v>13</v>
      </c>
    </row>
    <row r="340" spans="1:9" x14ac:dyDescent="0.2">
      <c r="A340" s="10" t="s">
        <v>8</v>
      </c>
      <c r="B340" s="11" t="s">
        <v>9</v>
      </c>
      <c r="C340" s="75" t="s">
        <v>256</v>
      </c>
      <c r="D340" s="86">
        <v>7178422</v>
      </c>
      <c r="E340" s="85">
        <v>45586</v>
      </c>
      <c r="F340" s="12">
        <v>856.6</v>
      </c>
      <c r="G340" s="13" t="s">
        <v>203</v>
      </c>
      <c r="H340" s="14" t="s">
        <v>12</v>
      </c>
      <c r="I340" s="15" t="s">
        <v>13</v>
      </c>
    </row>
    <row r="341" spans="1:9" x14ac:dyDescent="0.2">
      <c r="A341" s="10" t="s">
        <v>8</v>
      </c>
      <c r="B341" s="11" t="s">
        <v>9</v>
      </c>
      <c r="C341" s="75" t="s">
        <v>391</v>
      </c>
      <c r="D341" s="86">
        <v>7177730</v>
      </c>
      <c r="E341" s="85">
        <v>45567</v>
      </c>
      <c r="F341" s="12">
        <v>850</v>
      </c>
      <c r="G341" s="13" t="s">
        <v>131</v>
      </c>
      <c r="H341" s="14" t="s">
        <v>12</v>
      </c>
      <c r="I341" s="15" t="s">
        <v>13</v>
      </c>
    </row>
    <row r="342" spans="1:9" x14ac:dyDescent="0.2">
      <c r="A342" s="10" t="s">
        <v>8</v>
      </c>
      <c r="B342" s="11" t="s">
        <v>9</v>
      </c>
      <c r="C342" s="75" t="s">
        <v>304</v>
      </c>
      <c r="D342" s="86">
        <v>7177191</v>
      </c>
      <c r="E342" s="85">
        <v>45572</v>
      </c>
      <c r="F342" s="12">
        <v>847</v>
      </c>
      <c r="G342" s="13" t="s">
        <v>155</v>
      </c>
      <c r="H342" s="14" t="s">
        <v>12</v>
      </c>
      <c r="I342" s="15" t="s">
        <v>13</v>
      </c>
    </row>
    <row r="343" spans="1:9" x14ac:dyDescent="0.2">
      <c r="A343" s="10" t="s">
        <v>8</v>
      </c>
      <c r="B343" s="11" t="s">
        <v>9</v>
      </c>
      <c r="C343" s="75" t="s">
        <v>385</v>
      </c>
      <c r="D343" s="86">
        <v>7178018</v>
      </c>
      <c r="E343" s="85">
        <v>45579</v>
      </c>
      <c r="F343" s="12">
        <v>841.63</v>
      </c>
      <c r="G343" s="13" t="s">
        <v>112</v>
      </c>
      <c r="H343" s="14" t="s">
        <v>12</v>
      </c>
      <c r="I343" s="15" t="s">
        <v>13</v>
      </c>
    </row>
    <row r="344" spans="1:9" x14ac:dyDescent="0.2">
      <c r="A344" s="10" t="s">
        <v>8</v>
      </c>
      <c r="B344" s="11" t="s">
        <v>9</v>
      </c>
      <c r="C344" s="75" t="s">
        <v>604</v>
      </c>
      <c r="D344" s="86">
        <v>7178552</v>
      </c>
      <c r="E344" s="85">
        <v>45588</v>
      </c>
      <c r="F344" s="12">
        <v>840</v>
      </c>
      <c r="G344" s="13" t="s">
        <v>80</v>
      </c>
      <c r="H344" s="14" t="s">
        <v>12</v>
      </c>
      <c r="I344" s="15" t="s">
        <v>13</v>
      </c>
    </row>
    <row r="345" spans="1:9" x14ac:dyDescent="0.2">
      <c r="A345" s="10" t="s">
        <v>8</v>
      </c>
      <c r="B345" s="11" t="s">
        <v>9</v>
      </c>
      <c r="C345" s="75" t="s">
        <v>316</v>
      </c>
      <c r="D345" s="86">
        <v>7177726</v>
      </c>
      <c r="E345" s="85">
        <v>45572</v>
      </c>
      <c r="F345" s="12">
        <v>837</v>
      </c>
      <c r="G345" s="13" t="s">
        <v>241</v>
      </c>
      <c r="H345" s="14" t="s">
        <v>12</v>
      </c>
      <c r="I345" s="15" t="s">
        <v>13</v>
      </c>
    </row>
    <row r="346" spans="1:9" x14ac:dyDescent="0.2">
      <c r="A346" s="10" t="s">
        <v>8</v>
      </c>
      <c r="B346" s="11" t="s">
        <v>9</v>
      </c>
      <c r="C346" s="75" t="s">
        <v>304</v>
      </c>
      <c r="D346" s="86">
        <v>7178497</v>
      </c>
      <c r="E346" s="85">
        <v>45587</v>
      </c>
      <c r="F346" s="12">
        <v>837</v>
      </c>
      <c r="G346" s="13" t="s">
        <v>155</v>
      </c>
      <c r="H346" s="14" t="s">
        <v>12</v>
      </c>
      <c r="I346" s="15" t="s">
        <v>13</v>
      </c>
    </row>
    <row r="347" spans="1:9" x14ac:dyDescent="0.2">
      <c r="A347" s="10" t="s">
        <v>8</v>
      </c>
      <c r="B347" s="11" t="s">
        <v>9</v>
      </c>
      <c r="C347" s="75" t="s">
        <v>304</v>
      </c>
      <c r="D347" s="86">
        <v>7177739</v>
      </c>
      <c r="E347" s="85">
        <v>45572</v>
      </c>
      <c r="F347" s="12">
        <v>836</v>
      </c>
      <c r="G347" s="13" t="s">
        <v>155</v>
      </c>
      <c r="H347" s="14" t="s">
        <v>12</v>
      </c>
      <c r="I347" s="15" t="s">
        <v>13</v>
      </c>
    </row>
    <row r="348" spans="1:9" x14ac:dyDescent="0.2">
      <c r="A348" s="10" t="s">
        <v>8</v>
      </c>
      <c r="B348" s="11" t="s">
        <v>9</v>
      </c>
      <c r="C348" s="75" t="s">
        <v>181</v>
      </c>
      <c r="D348" s="86">
        <v>7178717</v>
      </c>
      <c r="E348" s="85">
        <v>45594</v>
      </c>
      <c r="F348" s="12">
        <v>833</v>
      </c>
      <c r="G348" s="13" t="s">
        <v>106</v>
      </c>
      <c r="H348" s="14" t="s">
        <v>12</v>
      </c>
      <c r="I348" s="15" t="s">
        <v>13</v>
      </c>
    </row>
    <row r="349" spans="1:9" x14ac:dyDescent="0.2">
      <c r="A349" s="10" t="s">
        <v>8</v>
      </c>
      <c r="B349" s="11" t="s">
        <v>9</v>
      </c>
      <c r="C349" s="75" t="s">
        <v>284</v>
      </c>
      <c r="D349" s="86">
        <v>7177707</v>
      </c>
      <c r="E349" s="85">
        <v>45586</v>
      </c>
      <c r="F349" s="12">
        <v>830.74</v>
      </c>
      <c r="G349" s="13" t="s">
        <v>131</v>
      </c>
      <c r="H349" s="14" t="s">
        <v>12</v>
      </c>
      <c r="I349" s="15" t="s">
        <v>13</v>
      </c>
    </row>
    <row r="350" spans="1:9" x14ac:dyDescent="0.2">
      <c r="A350" s="10" t="s">
        <v>8</v>
      </c>
      <c r="B350" s="11" t="s">
        <v>9</v>
      </c>
      <c r="C350" s="75" t="s">
        <v>917</v>
      </c>
      <c r="D350" s="86">
        <v>7177804</v>
      </c>
      <c r="E350" s="85">
        <v>45568</v>
      </c>
      <c r="F350" s="12">
        <v>821</v>
      </c>
      <c r="G350" s="13" t="s">
        <v>80</v>
      </c>
      <c r="H350" s="14" t="s">
        <v>12</v>
      </c>
      <c r="I350" s="15" t="s">
        <v>13</v>
      </c>
    </row>
    <row r="351" spans="1:9" x14ac:dyDescent="0.2">
      <c r="A351" s="10" t="s">
        <v>8</v>
      </c>
      <c r="B351" s="11" t="s">
        <v>9</v>
      </c>
      <c r="C351" s="75" t="s">
        <v>276</v>
      </c>
      <c r="D351" s="86">
        <v>7177851</v>
      </c>
      <c r="E351" s="85">
        <v>45573</v>
      </c>
      <c r="F351" s="12">
        <v>810.5</v>
      </c>
      <c r="G351" s="13" t="s">
        <v>40</v>
      </c>
      <c r="H351" s="14" t="s">
        <v>12</v>
      </c>
      <c r="I351" s="15" t="s">
        <v>13</v>
      </c>
    </row>
    <row r="352" spans="1:9" x14ac:dyDescent="0.2">
      <c r="A352" s="10" t="s">
        <v>8</v>
      </c>
      <c r="B352" s="11" t="s">
        <v>9</v>
      </c>
      <c r="C352" s="75" t="s">
        <v>312</v>
      </c>
      <c r="D352" s="86">
        <v>7176640</v>
      </c>
      <c r="E352" s="85">
        <v>45587</v>
      </c>
      <c r="F352" s="12">
        <v>809</v>
      </c>
      <c r="G352" s="13" t="s">
        <v>151</v>
      </c>
      <c r="H352" s="14" t="s">
        <v>12</v>
      </c>
      <c r="I352" s="15" t="s">
        <v>13</v>
      </c>
    </row>
    <row r="353" spans="1:9" x14ac:dyDescent="0.2">
      <c r="A353" s="10" t="s">
        <v>8</v>
      </c>
      <c r="B353" s="11" t="s">
        <v>9</v>
      </c>
      <c r="C353" s="75" t="s">
        <v>312</v>
      </c>
      <c r="D353" s="86">
        <v>7178822</v>
      </c>
      <c r="E353" s="85">
        <v>45596</v>
      </c>
      <c r="F353" s="12">
        <v>809</v>
      </c>
      <c r="G353" s="13" t="s">
        <v>151</v>
      </c>
      <c r="H353" s="14" t="s">
        <v>12</v>
      </c>
      <c r="I353" s="15" t="s">
        <v>13</v>
      </c>
    </row>
    <row r="354" spans="1:9" x14ac:dyDescent="0.2">
      <c r="A354" s="10" t="s">
        <v>8</v>
      </c>
      <c r="B354" s="11" t="s">
        <v>9</v>
      </c>
      <c r="C354" s="75" t="s">
        <v>312</v>
      </c>
      <c r="D354" s="86">
        <v>7178214</v>
      </c>
      <c r="E354" s="85">
        <v>45580</v>
      </c>
      <c r="F354" s="12">
        <v>809</v>
      </c>
      <c r="G354" s="13" t="s">
        <v>151</v>
      </c>
      <c r="H354" s="14" t="s">
        <v>12</v>
      </c>
      <c r="I354" s="15" t="s">
        <v>13</v>
      </c>
    </row>
    <row r="355" spans="1:9" x14ac:dyDescent="0.2">
      <c r="A355" s="10" t="s">
        <v>8</v>
      </c>
      <c r="B355" s="11" t="s">
        <v>9</v>
      </c>
      <c r="C355" s="75" t="s">
        <v>181</v>
      </c>
      <c r="D355" s="86">
        <v>7178494</v>
      </c>
      <c r="E355" s="85">
        <v>45590</v>
      </c>
      <c r="F355" s="12">
        <v>802.64</v>
      </c>
      <c r="G355" s="13" t="s">
        <v>98</v>
      </c>
      <c r="H355" s="14" t="s">
        <v>12</v>
      </c>
      <c r="I355" s="15" t="s">
        <v>13</v>
      </c>
    </row>
    <row r="356" spans="1:9" x14ac:dyDescent="0.2">
      <c r="A356" s="10" t="s">
        <v>8</v>
      </c>
      <c r="B356" s="11" t="s">
        <v>9</v>
      </c>
      <c r="C356" s="75" t="s">
        <v>277</v>
      </c>
      <c r="D356" s="86">
        <v>7178502</v>
      </c>
      <c r="E356" s="85">
        <v>45587</v>
      </c>
      <c r="F356" s="12">
        <v>801</v>
      </c>
      <c r="G356" s="13" t="s">
        <v>278</v>
      </c>
      <c r="H356" s="14" t="s">
        <v>12</v>
      </c>
      <c r="I356" s="15" t="s">
        <v>13</v>
      </c>
    </row>
    <row r="357" spans="1:9" x14ac:dyDescent="0.2">
      <c r="A357" s="10" t="s">
        <v>8</v>
      </c>
      <c r="B357" s="11" t="s">
        <v>9</v>
      </c>
      <c r="C357" s="75" t="s">
        <v>482</v>
      </c>
      <c r="D357" s="86">
        <v>7178684</v>
      </c>
      <c r="E357" s="85">
        <v>45590</v>
      </c>
      <c r="F357" s="12">
        <v>800</v>
      </c>
      <c r="G357" s="13" t="s">
        <v>15</v>
      </c>
      <c r="H357" s="14" t="s">
        <v>12</v>
      </c>
      <c r="I357" s="15" t="s">
        <v>13</v>
      </c>
    </row>
    <row r="358" spans="1:9" x14ac:dyDescent="0.2">
      <c r="A358" s="10" t="s">
        <v>8</v>
      </c>
      <c r="B358" s="11" t="s">
        <v>9</v>
      </c>
      <c r="C358" s="75" t="s">
        <v>916</v>
      </c>
      <c r="D358" s="86">
        <v>7178321</v>
      </c>
      <c r="E358" s="85">
        <v>45582</v>
      </c>
      <c r="F358" s="12">
        <v>800</v>
      </c>
      <c r="G358" s="13" t="s">
        <v>106</v>
      </c>
      <c r="H358" s="14" t="s">
        <v>12</v>
      </c>
      <c r="I358" s="15" t="s">
        <v>13</v>
      </c>
    </row>
    <row r="359" spans="1:9" x14ac:dyDescent="0.2">
      <c r="A359" s="10" t="s">
        <v>8</v>
      </c>
      <c r="B359" s="11" t="s">
        <v>9</v>
      </c>
      <c r="C359" s="75" t="s">
        <v>225</v>
      </c>
      <c r="D359" s="86">
        <v>7177506</v>
      </c>
      <c r="E359" s="85">
        <v>45566</v>
      </c>
      <c r="F359" s="12">
        <v>800</v>
      </c>
      <c r="G359" s="13" t="s">
        <v>22</v>
      </c>
      <c r="H359" s="14" t="s">
        <v>12</v>
      </c>
      <c r="I359" s="15" t="s">
        <v>13</v>
      </c>
    </row>
    <row r="360" spans="1:9" x14ac:dyDescent="0.2">
      <c r="A360" s="10" t="s">
        <v>8</v>
      </c>
      <c r="B360" s="11" t="s">
        <v>9</v>
      </c>
      <c r="C360" s="75" t="s">
        <v>915</v>
      </c>
      <c r="D360" s="86">
        <v>7178226</v>
      </c>
      <c r="E360" s="85">
        <v>45589</v>
      </c>
      <c r="F360" s="12">
        <v>796.83</v>
      </c>
      <c r="G360" s="13" t="s">
        <v>155</v>
      </c>
      <c r="H360" s="14" t="s">
        <v>12</v>
      </c>
      <c r="I360" s="15" t="s">
        <v>13</v>
      </c>
    </row>
    <row r="361" spans="1:9" x14ac:dyDescent="0.2">
      <c r="A361" s="10" t="s">
        <v>8</v>
      </c>
      <c r="B361" s="11" t="s">
        <v>9</v>
      </c>
      <c r="C361" s="75" t="s">
        <v>882</v>
      </c>
      <c r="D361" s="86">
        <v>7177953</v>
      </c>
      <c r="E361" s="85">
        <v>45572</v>
      </c>
      <c r="F361" s="12">
        <v>790</v>
      </c>
      <c r="G361" s="13" t="s">
        <v>106</v>
      </c>
      <c r="H361" s="14" t="s">
        <v>12</v>
      </c>
      <c r="I361" s="15" t="s">
        <v>13</v>
      </c>
    </row>
    <row r="362" spans="1:9" x14ac:dyDescent="0.2">
      <c r="A362" s="10" t="s">
        <v>8</v>
      </c>
      <c r="B362" s="11" t="s">
        <v>9</v>
      </c>
      <c r="C362" s="75" t="s">
        <v>74</v>
      </c>
      <c r="D362" s="86">
        <v>7177996</v>
      </c>
      <c r="E362" s="85">
        <v>45573</v>
      </c>
      <c r="F362" s="12">
        <v>786.08</v>
      </c>
      <c r="G362" s="13" t="s">
        <v>345</v>
      </c>
      <c r="H362" s="14" t="s">
        <v>12</v>
      </c>
      <c r="I362" s="15" t="s">
        <v>13</v>
      </c>
    </row>
    <row r="363" spans="1:9" x14ac:dyDescent="0.2">
      <c r="A363" s="10" t="s">
        <v>8</v>
      </c>
      <c r="B363" s="11" t="s">
        <v>9</v>
      </c>
      <c r="C363" s="75" t="s">
        <v>260</v>
      </c>
      <c r="D363" s="86">
        <v>7177928</v>
      </c>
      <c r="E363" s="85">
        <v>45572</v>
      </c>
      <c r="F363" s="12">
        <v>770.52</v>
      </c>
      <c r="G363" s="13" t="s">
        <v>261</v>
      </c>
      <c r="H363" s="14" t="s">
        <v>12</v>
      </c>
      <c r="I363" s="15" t="s">
        <v>13</v>
      </c>
    </row>
    <row r="364" spans="1:9" x14ac:dyDescent="0.2">
      <c r="A364" s="10" t="s">
        <v>8</v>
      </c>
      <c r="B364" s="11" t="s">
        <v>9</v>
      </c>
      <c r="C364" s="75" t="s">
        <v>334</v>
      </c>
      <c r="D364" s="86">
        <v>7178012</v>
      </c>
      <c r="E364" s="85">
        <v>45581</v>
      </c>
      <c r="F364" s="12">
        <v>765</v>
      </c>
      <c r="G364" s="13" t="s">
        <v>91</v>
      </c>
      <c r="H364" s="14" t="s">
        <v>12</v>
      </c>
      <c r="I364" s="15" t="s">
        <v>13</v>
      </c>
    </row>
    <row r="365" spans="1:9" x14ac:dyDescent="0.2">
      <c r="A365" s="10" t="s">
        <v>8</v>
      </c>
      <c r="B365" s="11" t="s">
        <v>9</v>
      </c>
      <c r="C365" s="75" t="s">
        <v>200</v>
      </c>
      <c r="D365" s="86">
        <v>7177717</v>
      </c>
      <c r="E365" s="85">
        <v>45566</v>
      </c>
      <c r="F365" s="12">
        <v>754</v>
      </c>
      <c r="G365" s="13" t="s">
        <v>38</v>
      </c>
      <c r="H365" s="14" t="s">
        <v>12</v>
      </c>
      <c r="I365" s="15" t="s">
        <v>13</v>
      </c>
    </row>
    <row r="366" spans="1:9" x14ac:dyDescent="0.2">
      <c r="A366" s="10" t="s">
        <v>8</v>
      </c>
      <c r="B366" s="11" t="s">
        <v>9</v>
      </c>
      <c r="C366" s="75" t="s">
        <v>514</v>
      </c>
      <c r="D366" s="86">
        <v>7178357</v>
      </c>
      <c r="E366" s="85">
        <v>45583</v>
      </c>
      <c r="F366" s="12">
        <v>752.7</v>
      </c>
      <c r="G366" s="13" t="s">
        <v>151</v>
      </c>
      <c r="H366" s="14" t="s">
        <v>12</v>
      </c>
      <c r="I366" s="15" t="s">
        <v>13</v>
      </c>
    </row>
    <row r="367" spans="1:9" x14ac:dyDescent="0.2">
      <c r="A367" s="10" t="s">
        <v>8</v>
      </c>
      <c r="B367" s="11" t="s">
        <v>9</v>
      </c>
      <c r="C367" s="75" t="s">
        <v>223</v>
      </c>
      <c r="D367" s="86">
        <v>7178170</v>
      </c>
      <c r="E367" s="85">
        <v>45582</v>
      </c>
      <c r="F367" s="12">
        <v>750</v>
      </c>
      <c r="G367" s="13" t="s">
        <v>909</v>
      </c>
      <c r="H367" s="14" t="s">
        <v>12</v>
      </c>
      <c r="I367" s="15" t="s">
        <v>13</v>
      </c>
    </row>
    <row r="368" spans="1:9" x14ac:dyDescent="0.2">
      <c r="A368" s="10" t="s">
        <v>8</v>
      </c>
      <c r="B368" s="11" t="s">
        <v>9</v>
      </c>
      <c r="C368" s="75" t="s">
        <v>223</v>
      </c>
      <c r="D368" s="86">
        <v>7177915</v>
      </c>
      <c r="E368" s="85">
        <v>45572</v>
      </c>
      <c r="F368" s="12">
        <v>750</v>
      </c>
      <c r="G368" s="13" t="s">
        <v>909</v>
      </c>
      <c r="H368" s="14" t="s">
        <v>12</v>
      </c>
      <c r="I368" s="15" t="s">
        <v>13</v>
      </c>
    </row>
    <row r="369" spans="1:13" x14ac:dyDescent="0.2">
      <c r="A369" s="10" t="s">
        <v>8</v>
      </c>
      <c r="B369" s="11" t="s">
        <v>9</v>
      </c>
      <c r="C369" s="75" t="s">
        <v>223</v>
      </c>
      <c r="D369" s="86">
        <v>7178185</v>
      </c>
      <c r="E369" s="85">
        <v>45582</v>
      </c>
      <c r="F369" s="12">
        <v>750</v>
      </c>
      <c r="G369" s="13" t="s">
        <v>909</v>
      </c>
      <c r="H369" s="14" t="s">
        <v>12</v>
      </c>
      <c r="I369" s="15" t="s">
        <v>13</v>
      </c>
    </row>
    <row r="370" spans="1:13" x14ac:dyDescent="0.2">
      <c r="A370" s="10" t="s">
        <v>8</v>
      </c>
      <c r="B370" s="11" t="s">
        <v>9</v>
      </c>
      <c r="C370" s="77" t="s">
        <v>74</v>
      </c>
      <c r="D370" s="86">
        <v>7178141</v>
      </c>
      <c r="E370" s="85">
        <v>45576</v>
      </c>
      <c r="F370" s="12">
        <v>737.86</v>
      </c>
      <c r="G370" s="13" t="s">
        <v>218</v>
      </c>
      <c r="H370" s="14" t="s">
        <v>12</v>
      </c>
      <c r="I370" s="15" t="s">
        <v>13</v>
      </c>
    </row>
    <row r="371" spans="1:13" x14ac:dyDescent="0.2">
      <c r="A371" s="10" t="s">
        <v>8</v>
      </c>
      <c r="B371" s="11" t="s">
        <v>9</v>
      </c>
      <c r="C371" s="75" t="s">
        <v>602</v>
      </c>
      <c r="D371" s="86">
        <v>7177843</v>
      </c>
      <c r="E371" s="85">
        <v>45569</v>
      </c>
      <c r="F371" s="12">
        <v>725.68</v>
      </c>
      <c r="G371" s="13" t="s">
        <v>131</v>
      </c>
      <c r="H371" s="14" t="s">
        <v>12</v>
      </c>
      <c r="I371" s="15" t="s">
        <v>13</v>
      </c>
    </row>
    <row r="372" spans="1:13" s="20" customFormat="1" x14ac:dyDescent="0.2">
      <c r="A372" s="10" t="s">
        <v>8</v>
      </c>
      <c r="B372" s="11" t="s">
        <v>9</v>
      </c>
      <c r="C372" s="75" t="s">
        <v>656</v>
      </c>
      <c r="D372" s="86">
        <v>7174863</v>
      </c>
      <c r="E372" s="85">
        <v>45576</v>
      </c>
      <c r="F372" s="12">
        <v>720</v>
      </c>
      <c r="G372" s="13" t="s">
        <v>133</v>
      </c>
      <c r="H372" s="14" t="s">
        <v>12</v>
      </c>
      <c r="I372" s="15" t="s">
        <v>13</v>
      </c>
      <c r="L372" s="17"/>
      <c r="M372" s="17"/>
    </row>
    <row r="373" spans="1:13" s="20" customFormat="1" x14ac:dyDescent="0.2">
      <c r="A373" s="10" t="s">
        <v>8</v>
      </c>
      <c r="B373" s="11" t="s">
        <v>9</v>
      </c>
      <c r="C373" s="75" t="s">
        <v>656</v>
      </c>
      <c r="D373" s="86">
        <v>7174860</v>
      </c>
      <c r="E373" s="85">
        <v>45576</v>
      </c>
      <c r="F373" s="12">
        <v>720</v>
      </c>
      <c r="G373" s="13" t="s">
        <v>133</v>
      </c>
      <c r="H373" s="14" t="s">
        <v>12</v>
      </c>
      <c r="I373" s="15" t="s">
        <v>13</v>
      </c>
      <c r="L373" s="17"/>
      <c r="M373" s="17"/>
    </row>
    <row r="374" spans="1:13" s="20" customFormat="1" x14ac:dyDescent="0.2">
      <c r="A374" s="10" t="s">
        <v>8</v>
      </c>
      <c r="B374" s="11" t="s">
        <v>9</v>
      </c>
      <c r="C374" s="75" t="s">
        <v>458</v>
      </c>
      <c r="D374" s="86">
        <v>7176827</v>
      </c>
      <c r="E374" s="85">
        <v>45580</v>
      </c>
      <c r="F374" s="12">
        <v>713.91</v>
      </c>
      <c r="G374" s="13" t="s">
        <v>457</v>
      </c>
      <c r="H374" s="14" t="s">
        <v>12</v>
      </c>
      <c r="I374" s="15" t="s">
        <v>13</v>
      </c>
      <c r="L374" s="17"/>
      <c r="M374" s="17"/>
    </row>
    <row r="375" spans="1:13" s="20" customFormat="1" x14ac:dyDescent="0.2">
      <c r="A375" s="10" t="s">
        <v>8</v>
      </c>
      <c r="B375" s="11" t="s">
        <v>9</v>
      </c>
      <c r="C375" s="75" t="s">
        <v>234</v>
      </c>
      <c r="D375" s="86">
        <v>7176627</v>
      </c>
      <c r="E375" s="85">
        <v>45572</v>
      </c>
      <c r="F375" s="12">
        <v>710.87</v>
      </c>
      <c r="G375" s="13" t="s">
        <v>42</v>
      </c>
      <c r="H375" s="14" t="s">
        <v>12</v>
      </c>
      <c r="I375" s="15" t="s">
        <v>13</v>
      </c>
      <c r="L375" s="17"/>
      <c r="M375" s="17"/>
    </row>
    <row r="376" spans="1:13" s="20" customFormat="1" x14ac:dyDescent="0.2">
      <c r="A376" s="10" t="s">
        <v>8</v>
      </c>
      <c r="B376" s="11" t="s">
        <v>9</v>
      </c>
      <c r="C376" s="75" t="s">
        <v>181</v>
      </c>
      <c r="D376" s="86">
        <v>7178456</v>
      </c>
      <c r="E376" s="85">
        <v>45594</v>
      </c>
      <c r="F376" s="12">
        <v>675.88</v>
      </c>
      <c r="G376" s="13" t="s">
        <v>106</v>
      </c>
      <c r="H376" s="14" t="s">
        <v>12</v>
      </c>
      <c r="I376" s="15" t="s">
        <v>13</v>
      </c>
      <c r="L376" s="17"/>
      <c r="M376" s="17"/>
    </row>
    <row r="377" spans="1:13" s="20" customFormat="1" x14ac:dyDescent="0.2">
      <c r="A377" s="10" t="s">
        <v>8</v>
      </c>
      <c r="B377" s="11" t="s">
        <v>9</v>
      </c>
      <c r="C377" s="77" t="s">
        <v>328</v>
      </c>
      <c r="D377" s="86">
        <v>7177689</v>
      </c>
      <c r="E377" s="85">
        <v>45567</v>
      </c>
      <c r="F377" s="12">
        <v>675</v>
      </c>
      <c r="G377" s="13" t="s">
        <v>131</v>
      </c>
      <c r="H377" s="14" t="s">
        <v>12</v>
      </c>
      <c r="I377" s="15" t="s">
        <v>13</v>
      </c>
      <c r="L377" s="17"/>
      <c r="M377" s="17"/>
    </row>
    <row r="378" spans="1:13" s="20" customFormat="1" x14ac:dyDescent="0.2">
      <c r="A378" s="10" t="s">
        <v>8</v>
      </c>
      <c r="B378" s="11" t="s">
        <v>9</v>
      </c>
      <c r="C378" s="75" t="s">
        <v>567</v>
      </c>
      <c r="D378" s="86">
        <v>7177660</v>
      </c>
      <c r="E378" s="85">
        <v>45573</v>
      </c>
      <c r="F378" s="12">
        <v>675</v>
      </c>
      <c r="G378" s="13" t="s">
        <v>89</v>
      </c>
      <c r="H378" s="14" t="s">
        <v>12</v>
      </c>
      <c r="I378" s="15" t="s">
        <v>13</v>
      </c>
      <c r="L378" s="17"/>
      <c r="M378" s="17"/>
    </row>
    <row r="379" spans="1:13" s="20" customFormat="1" x14ac:dyDescent="0.2">
      <c r="A379" s="10" t="s">
        <v>8</v>
      </c>
      <c r="B379" s="11" t="s">
        <v>9</v>
      </c>
      <c r="C379" s="75" t="s">
        <v>260</v>
      </c>
      <c r="D379" s="86">
        <v>7177909</v>
      </c>
      <c r="E379" s="85">
        <v>45572</v>
      </c>
      <c r="F379" s="12">
        <v>672.7</v>
      </c>
      <c r="G379" s="13" t="s">
        <v>261</v>
      </c>
      <c r="H379" s="14" t="s">
        <v>12</v>
      </c>
      <c r="I379" s="15" t="s">
        <v>13</v>
      </c>
      <c r="L379" s="17"/>
      <c r="M379" s="17"/>
    </row>
    <row r="380" spans="1:13" s="20" customFormat="1" x14ac:dyDescent="0.2">
      <c r="A380" s="10" t="s">
        <v>8</v>
      </c>
      <c r="B380" s="11" t="s">
        <v>9</v>
      </c>
      <c r="C380" s="75" t="s">
        <v>329</v>
      </c>
      <c r="D380" s="86">
        <v>7177878</v>
      </c>
      <c r="E380" s="85">
        <v>45569</v>
      </c>
      <c r="F380" s="12">
        <v>669.35</v>
      </c>
      <c r="G380" s="13" t="s">
        <v>131</v>
      </c>
      <c r="H380" s="14" t="s">
        <v>12</v>
      </c>
      <c r="I380" s="15" t="s">
        <v>13</v>
      </c>
      <c r="L380" s="17"/>
      <c r="M380" s="17"/>
    </row>
    <row r="381" spans="1:13" s="20" customFormat="1" x14ac:dyDescent="0.2">
      <c r="A381" s="10" t="s">
        <v>8</v>
      </c>
      <c r="B381" s="11" t="s">
        <v>9</v>
      </c>
      <c r="C381" s="75" t="s">
        <v>219</v>
      </c>
      <c r="D381" s="86">
        <v>7177705</v>
      </c>
      <c r="E381" s="85">
        <v>45573</v>
      </c>
      <c r="F381" s="12">
        <v>669.15</v>
      </c>
      <c r="G381" s="13" t="s">
        <v>220</v>
      </c>
      <c r="H381" s="14" t="s">
        <v>12</v>
      </c>
      <c r="I381" s="15" t="s">
        <v>13</v>
      </c>
      <c r="L381" s="17"/>
      <c r="M381" s="17"/>
    </row>
    <row r="382" spans="1:13" s="20" customFormat="1" x14ac:dyDescent="0.2">
      <c r="A382" s="10" t="s">
        <v>8</v>
      </c>
      <c r="B382" s="11" t="s">
        <v>9</v>
      </c>
      <c r="C382" s="75" t="s">
        <v>124</v>
      </c>
      <c r="D382" s="86">
        <v>7178398</v>
      </c>
      <c r="E382" s="85">
        <v>45587</v>
      </c>
      <c r="F382" s="12">
        <v>665.29</v>
      </c>
      <c r="G382" s="13" t="s">
        <v>91</v>
      </c>
      <c r="H382" s="14" t="s">
        <v>12</v>
      </c>
      <c r="I382" s="15" t="s">
        <v>13</v>
      </c>
      <c r="L382" s="17"/>
      <c r="M382" s="17"/>
    </row>
    <row r="383" spans="1:13" s="20" customFormat="1" x14ac:dyDescent="0.2">
      <c r="A383" s="10" t="s">
        <v>8</v>
      </c>
      <c r="B383" s="11" t="s">
        <v>9</v>
      </c>
      <c r="C383" s="75" t="s">
        <v>743</v>
      </c>
      <c r="D383" s="86">
        <v>7177768</v>
      </c>
      <c r="E383" s="85">
        <v>45569</v>
      </c>
      <c r="F383" s="12">
        <v>665</v>
      </c>
      <c r="G383" s="13" t="s">
        <v>66</v>
      </c>
      <c r="H383" s="14" t="s">
        <v>12</v>
      </c>
      <c r="I383" s="15" t="s">
        <v>13</v>
      </c>
      <c r="L383" s="17"/>
      <c r="M383" s="17"/>
    </row>
    <row r="384" spans="1:13" s="20" customFormat="1" x14ac:dyDescent="0.2">
      <c r="A384" s="10" t="s">
        <v>8</v>
      </c>
      <c r="B384" s="11" t="s">
        <v>9</v>
      </c>
      <c r="C384" s="75" t="s">
        <v>411</v>
      </c>
      <c r="D384" s="86">
        <v>7178404</v>
      </c>
      <c r="E384" s="85">
        <v>45586</v>
      </c>
      <c r="F384" s="12">
        <v>662.4</v>
      </c>
      <c r="G384" s="13" t="s">
        <v>156</v>
      </c>
      <c r="H384" s="14" t="s">
        <v>12</v>
      </c>
      <c r="I384" s="15" t="s">
        <v>13</v>
      </c>
      <c r="L384" s="17"/>
      <c r="M384" s="17"/>
    </row>
    <row r="385" spans="1:13" s="20" customFormat="1" x14ac:dyDescent="0.2">
      <c r="A385" s="10" t="s">
        <v>8</v>
      </c>
      <c r="B385" s="11" t="s">
        <v>9</v>
      </c>
      <c r="C385" s="75" t="s">
        <v>260</v>
      </c>
      <c r="D385" s="86">
        <v>7178150</v>
      </c>
      <c r="E385" s="85">
        <v>45576</v>
      </c>
      <c r="F385" s="12">
        <v>657.68000000000006</v>
      </c>
      <c r="G385" s="13" t="s">
        <v>261</v>
      </c>
      <c r="H385" s="14" t="s">
        <v>12</v>
      </c>
      <c r="I385" s="15" t="s">
        <v>13</v>
      </c>
      <c r="L385" s="17"/>
      <c r="M385" s="17"/>
    </row>
    <row r="386" spans="1:13" s="20" customFormat="1" x14ac:dyDescent="0.2">
      <c r="A386" s="10" t="s">
        <v>8</v>
      </c>
      <c r="B386" s="11" t="s">
        <v>9</v>
      </c>
      <c r="C386" s="75" t="s">
        <v>914</v>
      </c>
      <c r="D386" s="86">
        <v>7178007</v>
      </c>
      <c r="E386" s="85">
        <v>45573</v>
      </c>
      <c r="F386" s="12">
        <v>648.96</v>
      </c>
      <c r="G386" s="13" t="s">
        <v>22</v>
      </c>
      <c r="H386" s="14" t="s">
        <v>12</v>
      </c>
      <c r="I386" s="15" t="s">
        <v>13</v>
      </c>
      <c r="L386" s="17"/>
      <c r="M386" s="17"/>
    </row>
    <row r="387" spans="1:13" x14ac:dyDescent="0.2">
      <c r="A387" s="10" t="s">
        <v>8</v>
      </c>
      <c r="B387" s="11" t="s">
        <v>9</v>
      </c>
      <c r="C387" s="75" t="s">
        <v>329</v>
      </c>
      <c r="D387" s="86">
        <v>7178622</v>
      </c>
      <c r="E387" s="85">
        <v>45590</v>
      </c>
      <c r="F387" s="12">
        <v>646.25</v>
      </c>
      <c r="G387" s="13" t="s">
        <v>330</v>
      </c>
      <c r="H387" s="14" t="s">
        <v>12</v>
      </c>
      <c r="I387" s="15" t="s">
        <v>13</v>
      </c>
    </row>
    <row r="388" spans="1:13" x14ac:dyDescent="0.2">
      <c r="A388" s="10" t="s">
        <v>8</v>
      </c>
      <c r="B388" s="11" t="s">
        <v>9</v>
      </c>
      <c r="C388" s="75" t="s">
        <v>913</v>
      </c>
      <c r="D388" s="86">
        <v>7178468</v>
      </c>
      <c r="E388" s="85">
        <v>45589</v>
      </c>
      <c r="F388" s="12">
        <v>630.5</v>
      </c>
      <c r="G388" s="13" t="s">
        <v>131</v>
      </c>
      <c r="H388" s="14" t="s">
        <v>12</v>
      </c>
      <c r="I388" s="15" t="s">
        <v>13</v>
      </c>
    </row>
    <row r="389" spans="1:13" x14ac:dyDescent="0.2">
      <c r="A389" s="10" t="s">
        <v>8</v>
      </c>
      <c r="B389" s="11" t="s">
        <v>9</v>
      </c>
      <c r="C389" s="75" t="s">
        <v>223</v>
      </c>
      <c r="D389" s="86">
        <v>7178133</v>
      </c>
      <c r="E389" s="85">
        <v>45576</v>
      </c>
      <c r="F389" s="12">
        <v>625</v>
      </c>
      <c r="G389" s="13" t="s">
        <v>909</v>
      </c>
      <c r="H389" s="14" t="s">
        <v>12</v>
      </c>
      <c r="I389" s="15" t="s">
        <v>13</v>
      </c>
    </row>
    <row r="390" spans="1:13" x14ac:dyDescent="0.2">
      <c r="A390" s="10" t="s">
        <v>8</v>
      </c>
      <c r="B390" s="11" t="s">
        <v>9</v>
      </c>
      <c r="C390" s="75" t="s">
        <v>223</v>
      </c>
      <c r="D390" s="86">
        <v>7178134</v>
      </c>
      <c r="E390" s="85">
        <v>45576</v>
      </c>
      <c r="F390" s="12">
        <v>625</v>
      </c>
      <c r="G390" s="13" t="s">
        <v>909</v>
      </c>
      <c r="H390" s="14" t="s">
        <v>12</v>
      </c>
      <c r="I390" s="15" t="s">
        <v>13</v>
      </c>
    </row>
    <row r="391" spans="1:13" x14ac:dyDescent="0.2">
      <c r="A391" s="10" t="s">
        <v>8</v>
      </c>
      <c r="B391" s="11" t="s">
        <v>9</v>
      </c>
      <c r="C391" s="75" t="s">
        <v>279</v>
      </c>
      <c r="D391" s="86">
        <v>7178227</v>
      </c>
      <c r="E391" s="85">
        <v>45580</v>
      </c>
      <c r="F391" s="12">
        <v>620.17999999999995</v>
      </c>
      <c r="G391" s="13" t="s">
        <v>131</v>
      </c>
      <c r="H391" s="14" t="s">
        <v>12</v>
      </c>
      <c r="I391" s="15" t="s">
        <v>13</v>
      </c>
    </row>
    <row r="392" spans="1:13" x14ac:dyDescent="0.2">
      <c r="A392" s="10" t="s">
        <v>8</v>
      </c>
      <c r="B392" s="11" t="s">
        <v>9</v>
      </c>
      <c r="C392" s="75" t="s">
        <v>414</v>
      </c>
      <c r="D392" s="86">
        <v>7178757</v>
      </c>
      <c r="E392" s="85">
        <v>45594</v>
      </c>
      <c r="F392" s="12">
        <v>620</v>
      </c>
      <c r="G392" s="13" t="s">
        <v>106</v>
      </c>
      <c r="H392" s="14" t="s">
        <v>12</v>
      </c>
      <c r="I392" s="15" t="s">
        <v>13</v>
      </c>
    </row>
    <row r="393" spans="1:13" x14ac:dyDescent="0.2">
      <c r="A393" s="10" t="s">
        <v>8</v>
      </c>
      <c r="B393" s="11" t="s">
        <v>9</v>
      </c>
      <c r="C393" s="75" t="s">
        <v>124</v>
      </c>
      <c r="D393" s="86">
        <v>7177802</v>
      </c>
      <c r="E393" s="85">
        <v>45568</v>
      </c>
      <c r="F393" s="12">
        <v>610.82000000000005</v>
      </c>
      <c r="G393" s="13" t="s">
        <v>376</v>
      </c>
      <c r="H393" s="14" t="s">
        <v>12</v>
      </c>
      <c r="I393" s="15" t="s">
        <v>13</v>
      </c>
    </row>
    <row r="394" spans="1:13" x14ac:dyDescent="0.2">
      <c r="A394" s="10" t="s">
        <v>8</v>
      </c>
      <c r="B394" s="11" t="s">
        <v>9</v>
      </c>
      <c r="C394" s="75" t="s">
        <v>266</v>
      </c>
      <c r="D394" s="86">
        <v>7178289</v>
      </c>
      <c r="E394" s="85">
        <v>45582</v>
      </c>
      <c r="F394" s="12">
        <v>610.28</v>
      </c>
      <c r="G394" s="13" t="s">
        <v>209</v>
      </c>
      <c r="H394" s="14" t="s">
        <v>12</v>
      </c>
      <c r="I394" s="15" t="s">
        <v>13</v>
      </c>
    </row>
    <row r="395" spans="1:13" x14ac:dyDescent="0.2">
      <c r="A395" s="10" t="s">
        <v>8</v>
      </c>
      <c r="B395" s="11" t="s">
        <v>9</v>
      </c>
      <c r="C395" s="75" t="s">
        <v>272</v>
      </c>
      <c r="D395" s="86">
        <v>7178237</v>
      </c>
      <c r="E395" s="85">
        <v>45579</v>
      </c>
      <c r="F395" s="12">
        <v>608</v>
      </c>
      <c r="G395" s="13" t="s">
        <v>22</v>
      </c>
      <c r="H395" s="14" t="s">
        <v>12</v>
      </c>
      <c r="I395" s="15" t="s">
        <v>13</v>
      </c>
    </row>
    <row r="396" spans="1:13" x14ac:dyDescent="0.2">
      <c r="A396" s="10" t="s">
        <v>8</v>
      </c>
      <c r="B396" s="11" t="s">
        <v>9</v>
      </c>
      <c r="C396" s="75" t="s">
        <v>193</v>
      </c>
      <c r="D396" s="86">
        <v>7178742</v>
      </c>
      <c r="E396" s="85">
        <v>45593</v>
      </c>
      <c r="F396" s="12">
        <v>600</v>
      </c>
      <c r="G396" s="13" t="s">
        <v>22</v>
      </c>
      <c r="H396" s="14" t="s">
        <v>12</v>
      </c>
      <c r="I396" s="15" t="s">
        <v>13</v>
      </c>
    </row>
    <row r="397" spans="1:13" s="20" customFormat="1" x14ac:dyDescent="0.2">
      <c r="A397" s="10" t="s">
        <v>8</v>
      </c>
      <c r="B397" s="11" t="s">
        <v>9</v>
      </c>
      <c r="C397" s="75" t="s">
        <v>172</v>
      </c>
      <c r="D397" s="86">
        <v>7178681</v>
      </c>
      <c r="E397" s="85">
        <v>45590</v>
      </c>
      <c r="F397" s="12">
        <v>600</v>
      </c>
      <c r="G397" s="13" t="s">
        <v>112</v>
      </c>
      <c r="H397" s="14" t="s">
        <v>12</v>
      </c>
      <c r="I397" s="15" t="s">
        <v>13</v>
      </c>
      <c r="L397" s="17"/>
      <c r="M397" s="17"/>
    </row>
    <row r="398" spans="1:13" s="20" customFormat="1" x14ac:dyDescent="0.2">
      <c r="A398" s="10" t="s">
        <v>8</v>
      </c>
      <c r="B398" s="11" t="s">
        <v>9</v>
      </c>
      <c r="C398" s="75" t="s">
        <v>912</v>
      </c>
      <c r="D398" s="86">
        <v>7178477</v>
      </c>
      <c r="E398" s="85">
        <v>45587</v>
      </c>
      <c r="F398" s="12">
        <v>599.58000000000004</v>
      </c>
      <c r="G398" s="13" t="s">
        <v>382</v>
      </c>
      <c r="H398" s="14" t="s">
        <v>12</v>
      </c>
      <c r="I398" s="15" t="s">
        <v>13</v>
      </c>
      <c r="L398" s="17"/>
      <c r="M398" s="17"/>
    </row>
    <row r="399" spans="1:13" s="20" customFormat="1" x14ac:dyDescent="0.2">
      <c r="A399" s="10" t="s">
        <v>8</v>
      </c>
      <c r="B399" s="11" t="s">
        <v>9</v>
      </c>
      <c r="C399" s="75" t="s">
        <v>911</v>
      </c>
      <c r="D399" s="86">
        <v>7177697</v>
      </c>
      <c r="E399" s="85">
        <v>45568</v>
      </c>
      <c r="F399" s="12">
        <v>598.13</v>
      </c>
      <c r="G399" s="13" t="s">
        <v>94</v>
      </c>
      <c r="H399" s="14" t="s">
        <v>12</v>
      </c>
      <c r="I399" s="15" t="s">
        <v>13</v>
      </c>
      <c r="L399" s="17"/>
      <c r="M399" s="17"/>
    </row>
    <row r="400" spans="1:13" s="20" customFormat="1" x14ac:dyDescent="0.2">
      <c r="A400" s="10" t="s">
        <v>8</v>
      </c>
      <c r="B400" s="11" t="s">
        <v>9</v>
      </c>
      <c r="C400" s="75" t="s">
        <v>910</v>
      </c>
      <c r="D400" s="86">
        <v>3068680</v>
      </c>
      <c r="E400" s="85">
        <v>45581</v>
      </c>
      <c r="F400" s="12">
        <v>595</v>
      </c>
      <c r="G400" s="13" t="s">
        <v>53</v>
      </c>
      <c r="H400" s="14" t="s">
        <v>12</v>
      </c>
      <c r="I400" s="15" t="s">
        <v>13</v>
      </c>
      <c r="L400" s="17"/>
      <c r="M400" s="17"/>
    </row>
    <row r="401" spans="1:13" s="20" customFormat="1" x14ac:dyDescent="0.2">
      <c r="A401" s="10" t="s">
        <v>8</v>
      </c>
      <c r="B401" s="11" t="s">
        <v>9</v>
      </c>
      <c r="C401" s="75" t="s">
        <v>256</v>
      </c>
      <c r="D401" s="86">
        <v>7178482</v>
      </c>
      <c r="E401" s="85">
        <v>45587</v>
      </c>
      <c r="F401" s="12">
        <v>593.4</v>
      </c>
      <c r="G401" s="13" t="s">
        <v>131</v>
      </c>
      <c r="H401" s="14" t="s">
        <v>12</v>
      </c>
      <c r="I401" s="15" t="s">
        <v>13</v>
      </c>
      <c r="L401" s="17"/>
      <c r="M401" s="17"/>
    </row>
    <row r="402" spans="1:13" s="20" customFormat="1" x14ac:dyDescent="0.2">
      <c r="A402" s="10" t="s">
        <v>8</v>
      </c>
      <c r="B402" s="11" t="s">
        <v>9</v>
      </c>
      <c r="C402" s="75" t="s">
        <v>113</v>
      </c>
      <c r="D402" s="86">
        <v>7178270</v>
      </c>
      <c r="E402" s="85">
        <v>45582</v>
      </c>
      <c r="F402" s="12">
        <v>588.23</v>
      </c>
      <c r="G402" s="13" t="s">
        <v>114</v>
      </c>
      <c r="H402" s="14" t="s">
        <v>12</v>
      </c>
      <c r="I402" s="15" t="s">
        <v>13</v>
      </c>
      <c r="L402" s="17"/>
      <c r="M402" s="17"/>
    </row>
    <row r="403" spans="1:13" s="20" customFormat="1" x14ac:dyDescent="0.2">
      <c r="A403" s="10" t="s">
        <v>8</v>
      </c>
      <c r="B403" s="11" t="s">
        <v>9</v>
      </c>
      <c r="C403" s="75" t="s">
        <v>232</v>
      </c>
      <c r="D403" s="86">
        <v>7177949</v>
      </c>
      <c r="E403" s="85">
        <v>45587</v>
      </c>
      <c r="F403" s="12">
        <v>584.22</v>
      </c>
      <c r="G403" s="13" t="s">
        <v>94</v>
      </c>
      <c r="H403" s="14" t="s">
        <v>12</v>
      </c>
      <c r="I403" s="15" t="s">
        <v>13</v>
      </c>
      <c r="L403" s="17"/>
      <c r="M403" s="17"/>
    </row>
    <row r="404" spans="1:13" s="20" customFormat="1" x14ac:dyDescent="0.2">
      <c r="A404" s="10" t="s">
        <v>8</v>
      </c>
      <c r="B404" s="11" t="s">
        <v>9</v>
      </c>
      <c r="C404" s="75" t="s">
        <v>719</v>
      </c>
      <c r="D404" s="86">
        <v>7178560</v>
      </c>
      <c r="E404" s="85">
        <v>45588</v>
      </c>
      <c r="F404" s="12">
        <v>583.29999999999995</v>
      </c>
      <c r="G404" s="13" t="s">
        <v>106</v>
      </c>
      <c r="H404" s="14" t="s">
        <v>12</v>
      </c>
      <c r="I404" s="15" t="s">
        <v>13</v>
      </c>
      <c r="L404" s="17"/>
      <c r="M404" s="17"/>
    </row>
    <row r="405" spans="1:13" s="20" customFormat="1" x14ac:dyDescent="0.2">
      <c r="A405" s="10" t="s">
        <v>8</v>
      </c>
      <c r="B405" s="11" t="s">
        <v>9</v>
      </c>
      <c r="C405" s="75" t="s">
        <v>107</v>
      </c>
      <c r="D405" s="86">
        <v>7177899</v>
      </c>
      <c r="E405" s="85">
        <v>45569</v>
      </c>
      <c r="F405" s="12">
        <v>577.55999999999995</v>
      </c>
      <c r="G405" s="13" t="s">
        <v>118</v>
      </c>
      <c r="H405" s="14" t="s">
        <v>12</v>
      </c>
      <c r="I405" s="15" t="s">
        <v>13</v>
      </c>
      <c r="L405" s="17"/>
      <c r="M405" s="17"/>
    </row>
    <row r="406" spans="1:13" s="20" customFormat="1" x14ac:dyDescent="0.2">
      <c r="A406" s="10" t="s">
        <v>8</v>
      </c>
      <c r="B406" s="11" t="s">
        <v>9</v>
      </c>
      <c r="C406" s="75" t="s">
        <v>279</v>
      </c>
      <c r="D406" s="86">
        <v>7177825</v>
      </c>
      <c r="E406" s="85">
        <v>45572</v>
      </c>
      <c r="F406" s="12">
        <v>572.49</v>
      </c>
      <c r="G406" s="13" t="s">
        <v>131</v>
      </c>
      <c r="H406" s="14" t="s">
        <v>12</v>
      </c>
      <c r="I406" s="15" t="s">
        <v>13</v>
      </c>
      <c r="L406" s="17"/>
      <c r="M406" s="17"/>
    </row>
    <row r="407" spans="1:13" s="20" customFormat="1" x14ac:dyDescent="0.2">
      <c r="A407" s="10" t="s">
        <v>8</v>
      </c>
      <c r="B407" s="11" t="s">
        <v>9</v>
      </c>
      <c r="C407" s="75" t="s">
        <v>305</v>
      </c>
      <c r="D407" s="86">
        <v>7177716</v>
      </c>
      <c r="E407" s="85">
        <v>45573</v>
      </c>
      <c r="F407" s="12">
        <v>559.44000000000005</v>
      </c>
      <c r="G407" s="13" t="s">
        <v>22</v>
      </c>
      <c r="H407" s="14" t="s">
        <v>12</v>
      </c>
      <c r="I407" s="15" t="s">
        <v>13</v>
      </c>
      <c r="L407" s="17"/>
      <c r="M407" s="17"/>
    </row>
    <row r="408" spans="1:13" s="20" customFormat="1" x14ac:dyDescent="0.2">
      <c r="A408" s="10" t="s">
        <v>8</v>
      </c>
      <c r="B408" s="11" t="s">
        <v>9</v>
      </c>
      <c r="C408" s="75" t="s">
        <v>502</v>
      </c>
      <c r="D408" s="86">
        <v>7177861</v>
      </c>
      <c r="E408" s="85">
        <v>45569</v>
      </c>
      <c r="F408" s="12">
        <v>558.79999999999995</v>
      </c>
      <c r="G408" s="13" t="s">
        <v>38</v>
      </c>
      <c r="H408" s="14" t="s">
        <v>12</v>
      </c>
      <c r="I408" s="15" t="s">
        <v>13</v>
      </c>
      <c r="L408" s="17"/>
      <c r="M408" s="17"/>
    </row>
    <row r="409" spans="1:13" s="20" customFormat="1" x14ac:dyDescent="0.2">
      <c r="A409" s="10" t="s">
        <v>8</v>
      </c>
      <c r="B409" s="11" t="s">
        <v>9</v>
      </c>
      <c r="C409" s="75" t="s">
        <v>181</v>
      </c>
      <c r="D409" s="86">
        <v>7178261</v>
      </c>
      <c r="E409" s="85">
        <v>45580</v>
      </c>
      <c r="F409" s="12">
        <v>555</v>
      </c>
      <c r="G409" s="13" t="s">
        <v>106</v>
      </c>
      <c r="H409" s="14" t="s">
        <v>12</v>
      </c>
      <c r="I409" s="15" t="s">
        <v>13</v>
      </c>
      <c r="L409" s="17"/>
      <c r="M409" s="17"/>
    </row>
    <row r="410" spans="1:13" s="20" customFormat="1" x14ac:dyDescent="0.2">
      <c r="A410" s="10" t="s">
        <v>8</v>
      </c>
      <c r="B410" s="11" t="s">
        <v>9</v>
      </c>
      <c r="C410" s="75" t="s">
        <v>385</v>
      </c>
      <c r="D410" s="86">
        <v>7178359</v>
      </c>
      <c r="E410" s="85">
        <v>45583</v>
      </c>
      <c r="F410" s="12">
        <v>554</v>
      </c>
      <c r="G410" s="13" t="s">
        <v>91</v>
      </c>
      <c r="H410" s="14" t="s">
        <v>12</v>
      </c>
      <c r="I410" s="15" t="s">
        <v>13</v>
      </c>
      <c r="L410" s="17"/>
      <c r="M410" s="17"/>
    </row>
    <row r="411" spans="1:13" s="20" customFormat="1" x14ac:dyDescent="0.2">
      <c r="A411" s="10" t="s">
        <v>8</v>
      </c>
      <c r="B411" s="11" t="s">
        <v>9</v>
      </c>
      <c r="C411" s="75" t="s">
        <v>124</v>
      </c>
      <c r="D411" s="86">
        <v>7178287</v>
      </c>
      <c r="E411" s="85">
        <v>45580</v>
      </c>
      <c r="F411" s="12">
        <v>547.85</v>
      </c>
      <c r="G411" s="13" t="s">
        <v>376</v>
      </c>
      <c r="H411" s="14" t="s">
        <v>12</v>
      </c>
      <c r="I411" s="15" t="s">
        <v>13</v>
      </c>
      <c r="L411" s="17"/>
      <c r="M411" s="17"/>
    </row>
    <row r="412" spans="1:13" s="20" customFormat="1" x14ac:dyDescent="0.2">
      <c r="A412" s="10" t="s">
        <v>8</v>
      </c>
      <c r="B412" s="11" t="s">
        <v>9</v>
      </c>
      <c r="C412" s="75" t="s">
        <v>74</v>
      </c>
      <c r="D412" s="86">
        <v>7178838</v>
      </c>
      <c r="E412" s="85">
        <v>45596</v>
      </c>
      <c r="F412" s="12">
        <v>547.4</v>
      </c>
      <c r="G412" s="13" t="s">
        <v>345</v>
      </c>
      <c r="H412" s="14" t="s">
        <v>12</v>
      </c>
      <c r="I412" s="15" t="s">
        <v>13</v>
      </c>
      <c r="L412" s="17"/>
      <c r="M412" s="17"/>
    </row>
    <row r="413" spans="1:13" s="20" customFormat="1" x14ac:dyDescent="0.2">
      <c r="A413" s="10" t="s">
        <v>8</v>
      </c>
      <c r="B413" s="11" t="s">
        <v>9</v>
      </c>
      <c r="C413" s="75" t="s">
        <v>74</v>
      </c>
      <c r="D413" s="86">
        <v>7178117</v>
      </c>
      <c r="E413" s="85">
        <v>45575</v>
      </c>
      <c r="F413" s="12">
        <v>547.4</v>
      </c>
      <c r="G413" s="13" t="s">
        <v>345</v>
      </c>
      <c r="H413" s="14" t="s">
        <v>12</v>
      </c>
      <c r="I413" s="15" t="s">
        <v>13</v>
      </c>
      <c r="L413" s="17"/>
      <c r="M413" s="17"/>
    </row>
    <row r="414" spans="1:13" s="20" customFormat="1" x14ac:dyDescent="0.2">
      <c r="A414" s="10" t="s">
        <v>8</v>
      </c>
      <c r="B414" s="11" t="s">
        <v>9</v>
      </c>
      <c r="C414" s="75" t="s">
        <v>292</v>
      </c>
      <c r="D414" s="86">
        <v>7178162</v>
      </c>
      <c r="E414" s="85">
        <v>45578</v>
      </c>
      <c r="F414" s="12">
        <v>541.66</v>
      </c>
      <c r="G414" s="13" t="s">
        <v>84</v>
      </c>
      <c r="H414" s="14" t="s">
        <v>12</v>
      </c>
      <c r="I414" s="15" t="s">
        <v>13</v>
      </c>
      <c r="L414" s="17"/>
      <c r="M414" s="17"/>
    </row>
    <row r="415" spans="1:13" s="20" customFormat="1" x14ac:dyDescent="0.2">
      <c r="A415" s="10" t="s">
        <v>8</v>
      </c>
      <c r="B415" s="11" t="s">
        <v>9</v>
      </c>
      <c r="C415" s="75" t="s">
        <v>202</v>
      </c>
      <c r="D415" s="86">
        <v>7178692</v>
      </c>
      <c r="E415" s="85">
        <v>45593</v>
      </c>
      <c r="F415" s="12">
        <v>540.5</v>
      </c>
      <c r="G415" s="13" t="s">
        <v>203</v>
      </c>
      <c r="H415" s="14" t="s">
        <v>12</v>
      </c>
      <c r="I415" s="15" t="s">
        <v>13</v>
      </c>
      <c r="L415" s="17"/>
      <c r="M415" s="17"/>
    </row>
    <row r="416" spans="1:13" s="20" customFormat="1" x14ac:dyDescent="0.2">
      <c r="A416" s="10" t="s">
        <v>8</v>
      </c>
      <c r="B416" s="11" t="s">
        <v>9</v>
      </c>
      <c r="C416" s="75" t="s">
        <v>283</v>
      </c>
      <c r="D416" s="86">
        <v>7178099</v>
      </c>
      <c r="E416" s="85">
        <v>45575</v>
      </c>
      <c r="F416" s="12">
        <v>539</v>
      </c>
      <c r="G416" s="13" t="s">
        <v>40</v>
      </c>
      <c r="H416" s="14" t="s">
        <v>12</v>
      </c>
      <c r="I416" s="15" t="s">
        <v>13</v>
      </c>
      <c r="L416" s="17"/>
      <c r="M416" s="17"/>
    </row>
    <row r="417" spans="1:13" s="20" customFormat="1" x14ac:dyDescent="0.2">
      <c r="A417" s="10" t="s">
        <v>8</v>
      </c>
      <c r="B417" s="11" t="s">
        <v>9</v>
      </c>
      <c r="C417" s="75" t="s">
        <v>260</v>
      </c>
      <c r="D417" s="86">
        <v>7178623</v>
      </c>
      <c r="E417" s="85">
        <v>45590</v>
      </c>
      <c r="F417" s="12">
        <v>538.71</v>
      </c>
      <c r="G417" s="13" t="s">
        <v>261</v>
      </c>
      <c r="H417" s="14" t="s">
        <v>12</v>
      </c>
      <c r="I417" s="15" t="s">
        <v>13</v>
      </c>
      <c r="L417" s="17"/>
      <c r="M417" s="17"/>
    </row>
    <row r="418" spans="1:13" s="20" customFormat="1" x14ac:dyDescent="0.2">
      <c r="A418" s="10" t="s">
        <v>8</v>
      </c>
      <c r="B418" s="11" t="s">
        <v>9</v>
      </c>
      <c r="C418" s="75" t="s">
        <v>256</v>
      </c>
      <c r="D418" s="86">
        <v>7178197</v>
      </c>
      <c r="E418" s="85">
        <v>45579</v>
      </c>
      <c r="F418" s="12">
        <v>530.70000000000005</v>
      </c>
      <c r="G418" s="13" t="s">
        <v>155</v>
      </c>
      <c r="H418" s="14" t="s">
        <v>12</v>
      </c>
      <c r="I418" s="15" t="s">
        <v>13</v>
      </c>
      <c r="L418" s="17"/>
      <c r="M418" s="17"/>
    </row>
    <row r="419" spans="1:13" s="20" customFormat="1" x14ac:dyDescent="0.2">
      <c r="A419" s="10" t="s">
        <v>8</v>
      </c>
      <c r="B419" s="11" t="s">
        <v>9</v>
      </c>
      <c r="C419" s="75" t="s">
        <v>242</v>
      </c>
      <c r="D419" s="86">
        <v>7177986</v>
      </c>
      <c r="E419" s="85">
        <v>45573</v>
      </c>
      <c r="F419" s="12">
        <v>530.6</v>
      </c>
      <c r="G419" s="13" t="s">
        <v>94</v>
      </c>
      <c r="H419" s="14" t="s">
        <v>12</v>
      </c>
      <c r="I419" s="15" t="s">
        <v>13</v>
      </c>
      <c r="L419" s="17"/>
      <c r="M419" s="17"/>
    </row>
    <row r="420" spans="1:13" s="20" customFormat="1" x14ac:dyDescent="0.2">
      <c r="A420" s="10" t="s">
        <v>8</v>
      </c>
      <c r="B420" s="11" t="s">
        <v>9</v>
      </c>
      <c r="C420" s="75" t="s">
        <v>202</v>
      </c>
      <c r="D420" s="86">
        <v>7178027</v>
      </c>
      <c r="E420" s="85">
        <v>45574</v>
      </c>
      <c r="F420" s="12">
        <v>530</v>
      </c>
      <c r="G420" s="13" t="s">
        <v>203</v>
      </c>
      <c r="H420" s="14" t="s">
        <v>12</v>
      </c>
      <c r="I420" s="15" t="s">
        <v>13</v>
      </c>
      <c r="L420" s="17"/>
      <c r="M420" s="17"/>
    </row>
    <row r="421" spans="1:13" s="20" customFormat="1" x14ac:dyDescent="0.2">
      <c r="A421" s="10" t="s">
        <v>8</v>
      </c>
      <c r="B421" s="11" t="s">
        <v>9</v>
      </c>
      <c r="C421" s="75" t="s">
        <v>256</v>
      </c>
      <c r="D421" s="86">
        <v>7177592</v>
      </c>
      <c r="E421" s="85">
        <v>45574</v>
      </c>
      <c r="F421" s="12">
        <v>526.29999999999995</v>
      </c>
      <c r="G421" s="13" t="s">
        <v>155</v>
      </c>
      <c r="H421" s="14" t="s">
        <v>12</v>
      </c>
      <c r="I421" s="15" t="s">
        <v>13</v>
      </c>
      <c r="L421" s="17"/>
      <c r="M421" s="17"/>
    </row>
    <row r="422" spans="1:13" s="20" customFormat="1" x14ac:dyDescent="0.2">
      <c r="A422" s="10" t="s">
        <v>8</v>
      </c>
      <c r="B422" s="11" t="s">
        <v>9</v>
      </c>
      <c r="C422" s="75" t="s">
        <v>266</v>
      </c>
      <c r="D422" s="86">
        <v>7178024</v>
      </c>
      <c r="E422" s="85">
        <v>45578</v>
      </c>
      <c r="F422" s="12">
        <v>526</v>
      </c>
      <c r="G422" s="13" t="s">
        <v>209</v>
      </c>
      <c r="H422" s="14" t="s">
        <v>12</v>
      </c>
      <c r="I422" s="15" t="s">
        <v>13</v>
      </c>
      <c r="L422" s="17"/>
      <c r="M422" s="17"/>
    </row>
    <row r="423" spans="1:13" s="20" customFormat="1" x14ac:dyDescent="0.2">
      <c r="A423" s="10" t="s">
        <v>8</v>
      </c>
      <c r="B423" s="11" t="s">
        <v>9</v>
      </c>
      <c r="C423" s="75" t="s">
        <v>201</v>
      </c>
      <c r="D423" s="86">
        <v>7177900</v>
      </c>
      <c r="E423" s="85">
        <v>45572</v>
      </c>
      <c r="F423" s="12">
        <v>521.34</v>
      </c>
      <c r="G423" s="13" t="s">
        <v>94</v>
      </c>
      <c r="H423" s="14" t="s">
        <v>12</v>
      </c>
      <c r="I423" s="15" t="s">
        <v>13</v>
      </c>
      <c r="L423" s="17"/>
      <c r="M423" s="17"/>
    </row>
    <row r="424" spans="1:13" s="20" customFormat="1" x14ac:dyDescent="0.2">
      <c r="A424" s="10" t="s">
        <v>8</v>
      </c>
      <c r="B424" s="11" t="s">
        <v>9</v>
      </c>
      <c r="C424" s="75" t="s">
        <v>256</v>
      </c>
      <c r="D424" s="86">
        <v>7178740</v>
      </c>
      <c r="E424" s="85">
        <v>45593</v>
      </c>
      <c r="F424" s="12">
        <v>520.76</v>
      </c>
      <c r="G424" s="13" t="s">
        <v>131</v>
      </c>
      <c r="H424" s="14" t="s">
        <v>12</v>
      </c>
      <c r="I424" s="15" t="s">
        <v>13</v>
      </c>
      <c r="L424" s="17"/>
      <c r="M424" s="17"/>
    </row>
    <row r="425" spans="1:13" s="20" customFormat="1" x14ac:dyDescent="0.2">
      <c r="A425" s="10" t="s">
        <v>8</v>
      </c>
      <c r="B425" s="11" t="s">
        <v>9</v>
      </c>
      <c r="C425" s="75" t="s">
        <v>202</v>
      </c>
      <c r="D425" s="86">
        <v>7178253</v>
      </c>
      <c r="E425" s="85">
        <v>45580</v>
      </c>
      <c r="F425" s="12">
        <v>513.5</v>
      </c>
      <c r="G425" s="13" t="s">
        <v>203</v>
      </c>
      <c r="H425" s="14" t="s">
        <v>12</v>
      </c>
      <c r="I425" s="15" t="s">
        <v>13</v>
      </c>
      <c r="L425" s="17"/>
      <c r="M425" s="17"/>
    </row>
    <row r="426" spans="1:13" s="20" customFormat="1" x14ac:dyDescent="0.2">
      <c r="A426" s="10" t="s">
        <v>8</v>
      </c>
      <c r="B426" s="11" t="s">
        <v>9</v>
      </c>
      <c r="C426" s="75" t="s">
        <v>501</v>
      </c>
      <c r="D426" s="86">
        <v>7178279</v>
      </c>
      <c r="E426" s="85">
        <v>45581</v>
      </c>
      <c r="F426" s="12">
        <v>501.49</v>
      </c>
      <c r="G426" s="13" t="s">
        <v>94</v>
      </c>
      <c r="H426" s="14" t="s">
        <v>12</v>
      </c>
      <c r="I426" s="15" t="s">
        <v>13</v>
      </c>
      <c r="L426" s="17"/>
      <c r="M426" s="17"/>
    </row>
    <row r="427" spans="1:13" s="20" customFormat="1" x14ac:dyDescent="0.2">
      <c r="A427" s="10" t="s">
        <v>8</v>
      </c>
      <c r="B427" s="11" t="s">
        <v>9</v>
      </c>
      <c r="C427" s="75" t="s">
        <v>223</v>
      </c>
      <c r="D427" s="86">
        <v>7178132</v>
      </c>
      <c r="E427" s="85">
        <v>45576</v>
      </c>
      <c r="F427" s="12">
        <v>500</v>
      </c>
      <c r="G427" s="13" t="s">
        <v>909</v>
      </c>
      <c r="H427" s="14" t="s">
        <v>12</v>
      </c>
      <c r="I427" s="15" t="s">
        <v>13</v>
      </c>
      <c r="L427" s="17"/>
      <c r="M427" s="17"/>
    </row>
    <row r="428" spans="1:13" s="20" customFormat="1" x14ac:dyDescent="0.2">
      <c r="A428" s="10" t="s">
        <v>8</v>
      </c>
      <c r="B428" s="11" t="s">
        <v>9</v>
      </c>
      <c r="C428" s="75" t="s">
        <v>223</v>
      </c>
      <c r="D428" s="86">
        <v>7177914</v>
      </c>
      <c r="E428" s="85">
        <v>45572</v>
      </c>
      <c r="F428" s="12">
        <v>500</v>
      </c>
      <c r="G428" s="13" t="s">
        <v>909</v>
      </c>
      <c r="H428" s="14" t="s">
        <v>12</v>
      </c>
      <c r="I428" s="15" t="s">
        <v>13</v>
      </c>
      <c r="L428" s="17"/>
      <c r="M428" s="17"/>
    </row>
    <row r="429" spans="1:13" s="20" customFormat="1" x14ac:dyDescent="0.2">
      <c r="A429" s="10" t="s">
        <v>8</v>
      </c>
      <c r="B429" s="11" t="s">
        <v>9</v>
      </c>
      <c r="C429" s="75" t="s">
        <v>846</v>
      </c>
      <c r="D429" s="86">
        <v>7178171</v>
      </c>
      <c r="E429" s="85">
        <v>45579</v>
      </c>
      <c r="F429" s="12">
        <v>-500</v>
      </c>
      <c r="G429" s="20" t="s">
        <v>241</v>
      </c>
      <c r="H429" s="14" t="s">
        <v>12</v>
      </c>
      <c r="I429" s="15" t="s">
        <v>13</v>
      </c>
      <c r="L429" s="17"/>
      <c r="M429" s="17"/>
    </row>
    <row r="430" spans="1:13" s="20" customFormat="1" x14ac:dyDescent="0.2">
      <c r="A430" s="10" t="s">
        <v>8</v>
      </c>
      <c r="B430" s="11" t="s">
        <v>9</v>
      </c>
      <c r="C430" s="75" t="s">
        <v>320</v>
      </c>
      <c r="D430" s="86">
        <v>3068686</v>
      </c>
      <c r="E430" s="85">
        <v>45582</v>
      </c>
      <c r="F430" s="12">
        <v>-850</v>
      </c>
      <c r="G430" s="20" t="s">
        <v>106</v>
      </c>
      <c r="H430" s="14" t="s">
        <v>12</v>
      </c>
      <c r="I430" s="15" t="s">
        <v>13</v>
      </c>
      <c r="L430" s="17"/>
      <c r="M430" s="17"/>
    </row>
    <row r="431" spans="1:13" s="20" customFormat="1" x14ac:dyDescent="0.2">
      <c r="A431" s="10" t="s">
        <v>8</v>
      </c>
      <c r="B431" s="11" t="s">
        <v>9</v>
      </c>
      <c r="C431" s="75" t="s">
        <v>107</v>
      </c>
      <c r="D431" s="86">
        <v>7178607</v>
      </c>
      <c r="E431" s="85">
        <v>45590</v>
      </c>
      <c r="F431" s="12">
        <v>-945.48</v>
      </c>
      <c r="G431" s="20" t="s">
        <v>108</v>
      </c>
      <c r="H431" s="14" t="s">
        <v>12</v>
      </c>
      <c r="I431" s="15" t="s">
        <v>13</v>
      </c>
      <c r="L431" s="17"/>
      <c r="M431" s="17"/>
    </row>
    <row r="432" spans="1:13" s="20" customFormat="1" x14ac:dyDescent="0.2">
      <c r="A432" s="10" t="s">
        <v>8</v>
      </c>
      <c r="B432" s="11" t="s">
        <v>9</v>
      </c>
      <c r="C432" s="75" t="s">
        <v>340</v>
      </c>
      <c r="D432" s="86">
        <v>7178734</v>
      </c>
      <c r="E432" s="85">
        <v>45595</v>
      </c>
      <c r="F432" s="12">
        <v>-1000</v>
      </c>
      <c r="G432" s="20" t="s">
        <v>15</v>
      </c>
      <c r="H432" s="14" t="s">
        <v>12</v>
      </c>
      <c r="I432" s="15" t="s">
        <v>13</v>
      </c>
      <c r="L432" s="17"/>
      <c r="M432" s="17"/>
    </row>
    <row r="433" spans="1:13" s="20" customFormat="1" x14ac:dyDescent="0.2">
      <c r="A433" s="10" t="s">
        <v>8</v>
      </c>
      <c r="B433" s="11" t="s">
        <v>9</v>
      </c>
      <c r="C433" s="75" t="s">
        <v>340</v>
      </c>
      <c r="D433" s="86">
        <v>7178756</v>
      </c>
      <c r="E433" s="85">
        <v>45596</v>
      </c>
      <c r="F433" s="12">
        <v>-1000</v>
      </c>
      <c r="G433" s="13" t="s">
        <v>15</v>
      </c>
      <c r="H433" s="14" t="s">
        <v>12</v>
      </c>
      <c r="I433" s="15" t="s">
        <v>13</v>
      </c>
      <c r="L433" s="17"/>
      <c r="M433" s="17"/>
    </row>
    <row r="434" spans="1:13" s="20" customFormat="1" x14ac:dyDescent="0.2">
      <c r="A434" s="10" t="s">
        <v>8</v>
      </c>
      <c r="B434" s="11" t="s">
        <v>9</v>
      </c>
      <c r="C434" s="75" t="s">
        <v>458</v>
      </c>
      <c r="D434" s="86">
        <v>3068688</v>
      </c>
      <c r="E434" s="85">
        <v>45582</v>
      </c>
      <c r="F434" s="12">
        <v>-1734.66</v>
      </c>
      <c r="G434" s="13" t="s">
        <v>457</v>
      </c>
      <c r="H434" s="14" t="s">
        <v>12</v>
      </c>
      <c r="I434" s="15" t="s">
        <v>13</v>
      </c>
      <c r="L434" s="17"/>
      <c r="M434" s="17"/>
    </row>
    <row r="435" spans="1:13" s="20" customFormat="1" x14ac:dyDescent="0.2">
      <c r="A435" s="10" t="s">
        <v>8</v>
      </c>
      <c r="B435" s="11" t="s">
        <v>9</v>
      </c>
      <c r="C435" s="75" t="s">
        <v>748</v>
      </c>
      <c r="D435" s="86">
        <v>7178498</v>
      </c>
      <c r="E435" s="85">
        <v>45587</v>
      </c>
      <c r="F435" s="12">
        <v>-2120.75</v>
      </c>
      <c r="G435" s="13" t="s">
        <v>94</v>
      </c>
      <c r="H435" s="14" t="s">
        <v>12</v>
      </c>
      <c r="I435" s="15" t="s">
        <v>13</v>
      </c>
      <c r="L435" s="17"/>
      <c r="M435" s="17"/>
    </row>
    <row r="436" spans="1:13" s="20" customFormat="1" x14ac:dyDescent="0.2">
      <c r="A436" s="10" t="s">
        <v>8</v>
      </c>
      <c r="B436" s="11" t="s">
        <v>9</v>
      </c>
      <c r="C436" s="75" t="s">
        <v>73</v>
      </c>
      <c r="D436" s="86">
        <v>7174857</v>
      </c>
      <c r="E436" s="85">
        <v>45575</v>
      </c>
      <c r="F436" s="12">
        <v>-2340</v>
      </c>
      <c r="G436" s="13" t="s">
        <v>15</v>
      </c>
      <c r="H436" s="14" t="s">
        <v>12</v>
      </c>
      <c r="I436" s="15" t="s">
        <v>13</v>
      </c>
      <c r="L436" s="17"/>
      <c r="M436" s="17"/>
    </row>
    <row r="437" spans="1:13" s="20" customFormat="1" x14ac:dyDescent="0.2">
      <c r="A437" s="10" t="s">
        <v>8</v>
      </c>
      <c r="B437" s="11" t="s">
        <v>9</v>
      </c>
      <c r="C437" s="75" t="s">
        <v>74</v>
      </c>
      <c r="D437" s="86">
        <v>7177447</v>
      </c>
      <c r="E437" s="85">
        <v>45566</v>
      </c>
      <c r="F437" s="12">
        <v>-2591.6</v>
      </c>
      <c r="G437" s="13" t="s">
        <v>158</v>
      </c>
      <c r="H437" s="14" t="s">
        <v>12</v>
      </c>
      <c r="I437" s="15" t="s">
        <v>13</v>
      </c>
      <c r="L437" s="17"/>
      <c r="M437" s="17"/>
    </row>
    <row r="438" spans="1:13" s="20" customFormat="1" x14ac:dyDescent="0.2">
      <c r="A438" s="10" t="s">
        <v>8</v>
      </c>
      <c r="B438" s="11" t="s">
        <v>9</v>
      </c>
      <c r="C438" s="75" t="s">
        <v>252</v>
      </c>
      <c r="D438" s="86">
        <v>7178529</v>
      </c>
      <c r="E438" s="85">
        <v>45595</v>
      </c>
      <c r="F438" s="12">
        <v>-10050</v>
      </c>
      <c r="G438" s="13" t="s">
        <v>148</v>
      </c>
      <c r="H438" s="14" t="s">
        <v>12</v>
      </c>
      <c r="I438" s="15" t="s">
        <v>13</v>
      </c>
      <c r="L438" s="17"/>
      <c r="M438" s="17"/>
    </row>
    <row r="439" spans="1:13" s="20" customFormat="1" x14ac:dyDescent="0.2">
      <c r="A439" s="10" t="s">
        <v>8</v>
      </c>
      <c r="B439" s="11" t="s">
        <v>9</v>
      </c>
      <c r="C439" s="75" t="s">
        <v>252</v>
      </c>
      <c r="D439" s="86">
        <v>7178768</v>
      </c>
      <c r="E439" s="85">
        <v>45596</v>
      </c>
      <c r="F439" s="12">
        <v>-13620</v>
      </c>
      <c r="G439" s="13" t="s">
        <v>148</v>
      </c>
      <c r="H439" s="14" t="s">
        <v>12</v>
      </c>
      <c r="I439" s="15" t="s">
        <v>13</v>
      </c>
      <c r="L439" s="17"/>
      <c r="M439" s="17"/>
    </row>
    <row r="440" spans="1:13" s="20" customFormat="1" x14ac:dyDescent="0.2">
      <c r="A440" s="10" t="s">
        <v>8</v>
      </c>
      <c r="B440" s="11" t="s">
        <v>9</v>
      </c>
      <c r="C440" s="75"/>
      <c r="D440" s="86"/>
      <c r="E440" s="85"/>
      <c r="F440" s="12"/>
      <c r="G440" s="13"/>
      <c r="H440" s="14" t="s">
        <v>12</v>
      </c>
      <c r="I440" s="15" t="s">
        <v>13</v>
      </c>
      <c r="L440" s="17"/>
      <c r="M440" s="17"/>
    </row>
    <row r="441" spans="1:13" s="20" customFormat="1" x14ac:dyDescent="0.2">
      <c r="A441" s="10" t="s">
        <v>8</v>
      </c>
      <c r="B441" s="11" t="s">
        <v>9</v>
      </c>
      <c r="C441" s="75"/>
      <c r="D441" s="86"/>
      <c r="E441" s="85"/>
      <c r="F441" s="12"/>
      <c r="G441" s="13"/>
      <c r="H441" s="14" t="s">
        <v>12</v>
      </c>
      <c r="I441" s="15" t="s">
        <v>13</v>
      </c>
      <c r="L441" s="17"/>
      <c r="M441" s="17"/>
    </row>
    <row r="442" spans="1:13" x14ac:dyDescent="0.2">
      <c r="A442" s="10" t="s">
        <v>8</v>
      </c>
      <c r="B442" s="11" t="s">
        <v>9</v>
      </c>
      <c r="C442" s="75"/>
      <c r="D442" s="86"/>
      <c r="E442" s="85"/>
      <c r="F442" s="12"/>
      <c r="G442" s="13"/>
      <c r="H442" s="14" t="s">
        <v>12</v>
      </c>
      <c r="I442" s="15" t="s">
        <v>13</v>
      </c>
    </row>
    <row r="443" spans="1:13" x14ac:dyDescent="0.2">
      <c r="A443" s="10" t="s">
        <v>8</v>
      </c>
      <c r="B443" s="11" t="s">
        <v>9</v>
      </c>
      <c r="C443" s="75"/>
      <c r="D443" s="86"/>
      <c r="E443" s="85"/>
      <c r="F443" s="12"/>
      <c r="G443" s="13"/>
      <c r="H443" s="14" t="s">
        <v>12</v>
      </c>
      <c r="I443" s="15" t="s">
        <v>13</v>
      </c>
    </row>
    <row r="444" spans="1:13" x14ac:dyDescent="0.2">
      <c r="A444" s="10" t="s">
        <v>8</v>
      </c>
      <c r="B444" s="11" t="s">
        <v>9</v>
      </c>
      <c r="C444" s="75"/>
      <c r="D444" s="86"/>
      <c r="E444" s="85"/>
      <c r="F444" s="12"/>
      <c r="G444" s="13"/>
      <c r="H444" s="14" t="s">
        <v>12</v>
      </c>
      <c r="I444" s="15" t="s">
        <v>13</v>
      </c>
    </row>
    <row r="445" spans="1:13" x14ac:dyDescent="0.2">
      <c r="A445" s="10" t="s">
        <v>8</v>
      </c>
      <c r="B445" s="11" t="s">
        <v>9</v>
      </c>
      <c r="C445" s="75"/>
      <c r="D445" s="86"/>
      <c r="E445" s="85"/>
      <c r="F445" s="12"/>
      <c r="G445" s="13"/>
      <c r="H445" s="14" t="s">
        <v>12</v>
      </c>
      <c r="I445" s="15" t="s">
        <v>13</v>
      </c>
    </row>
    <row r="446" spans="1:13" x14ac:dyDescent="0.2">
      <c r="A446" s="10" t="s">
        <v>8</v>
      </c>
      <c r="B446" s="11" t="s">
        <v>9</v>
      </c>
      <c r="C446" s="75"/>
      <c r="D446" s="86"/>
      <c r="E446" s="85"/>
      <c r="F446" s="12"/>
      <c r="G446" s="13"/>
      <c r="H446" s="14" t="s">
        <v>12</v>
      </c>
      <c r="I446" s="15" t="s">
        <v>13</v>
      </c>
    </row>
    <row r="447" spans="1:13" x14ac:dyDescent="0.2">
      <c r="A447" s="10" t="s">
        <v>8</v>
      </c>
      <c r="B447" s="11" t="s">
        <v>9</v>
      </c>
      <c r="C447" s="75"/>
      <c r="D447" s="86"/>
      <c r="E447" s="85"/>
      <c r="F447" s="12"/>
      <c r="G447" s="13"/>
      <c r="H447" s="14" t="s">
        <v>12</v>
      </c>
      <c r="I447" s="15" t="s">
        <v>13</v>
      </c>
    </row>
    <row r="448" spans="1:13" x14ac:dyDescent="0.2">
      <c r="A448" s="10" t="s">
        <v>8</v>
      </c>
      <c r="B448" s="11" t="s">
        <v>9</v>
      </c>
      <c r="C448" s="75"/>
      <c r="D448" s="86"/>
      <c r="E448" s="85"/>
      <c r="F448" s="12"/>
      <c r="G448" s="13"/>
      <c r="H448" s="14" t="s">
        <v>12</v>
      </c>
      <c r="I448" s="15" t="s">
        <v>13</v>
      </c>
    </row>
    <row r="449" spans="1:9" x14ac:dyDescent="0.2">
      <c r="A449" s="10" t="s">
        <v>8</v>
      </c>
      <c r="B449" s="11" t="s">
        <v>9</v>
      </c>
      <c r="C449" s="75"/>
      <c r="D449" s="86"/>
      <c r="E449" s="85"/>
      <c r="F449" s="12"/>
      <c r="G449" s="13"/>
      <c r="H449" s="14" t="s">
        <v>12</v>
      </c>
      <c r="I449" s="15" t="s">
        <v>13</v>
      </c>
    </row>
    <row r="450" spans="1:9" x14ac:dyDescent="0.2">
      <c r="A450" s="10" t="s">
        <v>8</v>
      </c>
      <c r="B450" s="11" t="s">
        <v>9</v>
      </c>
      <c r="C450" s="75"/>
      <c r="D450" s="86"/>
      <c r="E450" s="85"/>
      <c r="F450" s="12"/>
      <c r="G450" s="13"/>
      <c r="H450" s="14" t="s">
        <v>12</v>
      </c>
      <c r="I450" s="15" t="s">
        <v>13</v>
      </c>
    </row>
    <row r="451" spans="1:9" x14ac:dyDescent="0.2">
      <c r="A451" s="10" t="s">
        <v>8</v>
      </c>
      <c r="B451" s="11" t="s">
        <v>9</v>
      </c>
      <c r="C451" s="75"/>
      <c r="D451" s="86"/>
      <c r="E451" s="85"/>
      <c r="F451" s="12"/>
      <c r="G451" s="13"/>
      <c r="H451" s="14" t="s">
        <v>12</v>
      </c>
      <c r="I451" s="15" t="s">
        <v>13</v>
      </c>
    </row>
    <row r="452" spans="1:9" x14ac:dyDescent="0.2">
      <c r="A452" s="10" t="s">
        <v>8</v>
      </c>
      <c r="B452" s="11" t="s">
        <v>9</v>
      </c>
      <c r="C452" s="75"/>
      <c r="D452" s="86"/>
      <c r="E452" s="85"/>
      <c r="F452" s="12"/>
      <c r="G452" s="13"/>
      <c r="H452" s="14" t="s">
        <v>12</v>
      </c>
      <c r="I452" s="15" t="s">
        <v>13</v>
      </c>
    </row>
    <row r="453" spans="1:9" x14ac:dyDescent="0.2">
      <c r="A453" s="10" t="s">
        <v>8</v>
      </c>
      <c r="B453" s="11" t="s">
        <v>9</v>
      </c>
      <c r="C453" s="75"/>
      <c r="D453" s="86"/>
      <c r="E453" s="85"/>
      <c r="F453" s="12"/>
      <c r="G453" s="13"/>
      <c r="H453" s="14" t="s">
        <v>12</v>
      </c>
      <c r="I453" s="15" t="s">
        <v>13</v>
      </c>
    </row>
    <row r="454" spans="1:9" x14ac:dyDescent="0.2">
      <c r="A454" s="10" t="s">
        <v>8</v>
      </c>
      <c r="B454" s="11" t="s">
        <v>9</v>
      </c>
      <c r="C454" s="75"/>
      <c r="D454" s="86"/>
      <c r="E454" s="85"/>
      <c r="F454" s="12"/>
      <c r="G454" s="13"/>
      <c r="H454" s="14" t="s">
        <v>12</v>
      </c>
      <c r="I454" s="15" t="s">
        <v>13</v>
      </c>
    </row>
    <row r="455" spans="1:9" x14ac:dyDescent="0.2">
      <c r="A455" s="10" t="s">
        <v>8</v>
      </c>
      <c r="B455" s="11" t="s">
        <v>9</v>
      </c>
      <c r="C455" s="75"/>
      <c r="D455" s="86"/>
      <c r="E455" s="85"/>
      <c r="F455" s="12"/>
      <c r="G455" s="13"/>
      <c r="H455" s="14" t="s">
        <v>12</v>
      </c>
      <c r="I455" s="15" t="s">
        <v>13</v>
      </c>
    </row>
    <row r="456" spans="1:9" x14ac:dyDescent="0.2">
      <c r="A456" s="10" t="s">
        <v>8</v>
      </c>
      <c r="B456" s="11" t="s">
        <v>9</v>
      </c>
      <c r="C456" s="75"/>
      <c r="D456" s="86"/>
      <c r="E456" s="85"/>
      <c r="F456" s="12"/>
      <c r="G456" s="13"/>
      <c r="H456" s="14" t="s">
        <v>12</v>
      </c>
      <c r="I456" s="15" t="s">
        <v>13</v>
      </c>
    </row>
    <row r="457" spans="1:9" x14ac:dyDescent="0.2">
      <c r="A457" s="10" t="s">
        <v>8</v>
      </c>
      <c r="B457" s="11" t="s">
        <v>9</v>
      </c>
      <c r="C457" s="75"/>
      <c r="D457" s="86"/>
      <c r="E457" s="85"/>
      <c r="F457" s="12"/>
      <c r="G457" s="13"/>
      <c r="H457" s="14" t="s">
        <v>12</v>
      </c>
      <c r="I457" s="15" t="s">
        <v>13</v>
      </c>
    </row>
    <row r="458" spans="1:9" x14ac:dyDescent="0.2">
      <c r="A458" s="10" t="s">
        <v>8</v>
      </c>
      <c r="B458" s="11" t="s">
        <v>9</v>
      </c>
      <c r="C458" s="75"/>
      <c r="D458" s="86"/>
      <c r="E458" s="85"/>
      <c r="F458" s="12"/>
      <c r="G458" s="13"/>
      <c r="H458" s="14" t="s">
        <v>12</v>
      </c>
      <c r="I458" s="15" t="s">
        <v>13</v>
      </c>
    </row>
    <row r="459" spans="1:9" x14ac:dyDescent="0.2">
      <c r="A459" s="10" t="s">
        <v>8</v>
      </c>
      <c r="B459" s="11" t="s">
        <v>9</v>
      </c>
      <c r="C459" s="75"/>
      <c r="D459" s="86"/>
      <c r="E459" s="85"/>
      <c r="F459" s="12"/>
      <c r="G459" s="13"/>
      <c r="H459" s="14" t="s">
        <v>12</v>
      </c>
      <c r="I459" s="15" t="s">
        <v>13</v>
      </c>
    </row>
    <row r="460" spans="1:9" x14ac:dyDescent="0.2">
      <c r="A460" s="10" t="s">
        <v>8</v>
      </c>
      <c r="B460" s="11" t="s">
        <v>9</v>
      </c>
      <c r="C460" s="75"/>
      <c r="D460" s="86"/>
      <c r="E460" s="85"/>
      <c r="F460" s="12"/>
      <c r="G460" s="13"/>
      <c r="H460" s="14" t="s">
        <v>12</v>
      </c>
      <c r="I460" s="15" t="s">
        <v>13</v>
      </c>
    </row>
    <row r="461" spans="1:9" x14ac:dyDescent="0.2">
      <c r="A461" s="10" t="s">
        <v>8</v>
      </c>
      <c r="B461" s="11" t="s">
        <v>9</v>
      </c>
      <c r="C461" s="75"/>
      <c r="D461" s="86"/>
      <c r="E461" s="85"/>
      <c r="F461" s="12"/>
      <c r="G461" s="13"/>
      <c r="H461" s="14" t="s">
        <v>12</v>
      </c>
      <c r="I461" s="15" t="s">
        <v>13</v>
      </c>
    </row>
    <row r="462" spans="1:9" x14ac:dyDescent="0.2">
      <c r="A462" s="10" t="s">
        <v>8</v>
      </c>
      <c r="B462" s="11" t="s">
        <v>9</v>
      </c>
      <c r="C462" s="75"/>
      <c r="D462" s="86"/>
      <c r="E462" s="85"/>
      <c r="F462" s="12"/>
      <c r="G462" s="13"/>
      <c r="H462" s="14" t="s">
        <v>12</v>
      </c>
      <c r="I462" s="15" t="s">
        <v>13</v>
      </c>
    </row>
    <row r="463" spans="1:9" x14ac:dyDescent="0.2">
      <c r="A463" s="10" t="s">
        <v>8</v>
      </c>
      <c r="B463" s="11" t="s">
        <v>9</v>
      </c>
      <c r="C463" s="75"/>
      <c r="D463" s="86"/>
      <c r="E463" s="85"/>
      <c r="F463" s="12"/>
      <c r="G463" s="13"/>
      <c r="H463" s="14" t="s">
        <v>12</v>
      </c>
      <c r="I463" s="15" t="s">
        <v>13</v>
      </c>
    </row>
    <row r="464" spans="1:9" x14ac:dyDescent="0.2">
      <c r="A464" s="10" t="s">
        <v>8</v>
      </c>
      <c r="B464" s="11" t="s">
        <v>9</v>
      </c>
      <c r="C464" s="75"/>
      <c r="D464" s="86"/>
      <c r="E464" s="85"/>
      <c r="F464" s="12"/>
      <c r="G464" s="13"/>
      <c r="H464" s="14" t="s">
        <v>12</v>
      </c>
      <c r="I464" s="15" t="s">
        <v>13</v>
      </c>
    </row>
    <row r="465" spans="1:9" x14ac:dyDescent="0.2">
      <c r="A465" s="10" t="s">
        <v>8</v>
      </c>
      <c r="B465" s="11" t="s">
        <v>9</v>
      </c>
      <c r="C465" s="75"/>
      <c r="D465" s="86"/>
      <c r="E465" s="85"/>
      <c r="F465" s="12"/>
      <c r="G465" s="13"/>
      <c r="H465" s="14" t="s">
        <v>12</v>
      </c>
      <c r="I465" s="15" t="s">
        <v>13</v>
      </c>
    </row>
    <row r="466" spans="1:9" x14ac:dyDescent="0.2">
      <c r="A466" s="10" t="s">
        <v>8</v>
      </c>
      <c r="B466" s="11" t="s">
        <v>9</v>
      </c>
      <c r="C466" s="75"/>
      <c r="D466" s="86"/>
      <c r="E466" s="85"/>
      <c r="F466" s="12"/>
      <c r="G466" s="13"/>
      <c r="H466" s="14" t="s">
        <v>12</v>
      </c>
      <c r="I466" s="15" t="s">
        <v>13</v>
      </c>
    </row>
    <row r="467" spans="1:9" x14ac:dyDescent="0.2">
      <c r="A467" s="10" t="s">
        <v>8</v>
      </c>
      <c r="B467" s="11" t="s">
        <v>9</v>
      </c>
      <c r="C467" s="75"/>
      <c r="D467" s="86"/>
      <c r="E467" s="85"/>
      <c r="F467" s="12"/>
      <c r="G467" s="13"/>
      <c r="H467" s="14" t="s">
        <v>12</v>
      </c>
      <c r="I467" s="15" t="s">
        <v>13</v>
      </c>
    </row>
    <row r="468" spans="1:9" x14ac:dyDescent="0.2">
      <c r="A468" s="10" t="s">
        <v>8</v>
      </c>
      <c r="B468" s="11" t="s">
        <v>9</v>
      </c>
      <c r="C468" s="75"/>
      <c r="D468" s="86"/>
      <c r="E468" s="85"/>
      <c r="F468" s="12"/>
      <c r="G468" s="13"/>
      <c r="H468" s="14" t="s">
        <v>12</v>
      </c>
      <c r="I468" s="15" t="s">
        <v>13</v>
      </c>
    </row>
    <row r="469" spans="1:9" x14ac:dyDescent="0.2">
      <c r="A469" s="10" t="s">
        <v>8</v>
      </c>
      <c r="B469" s="11" t="s">
        <v>9</v>
      </c>
      <c r="C469" s="75"/>
      <c r="D469" s="86"/>
      <c r="E469" s="85"/>
      <c r="F469" s="12"/>
      <c r="G469" s="13"/>
      <c r="H469" s="14" t="s">
        <v>12</v>
      </c>
      <c r="I469" s="15" t="s">
        <v>13</v>
      </c>
    </row>
    <row r="470" spans="1:9" x14ac:dyDescent="0.2">
      <c r="A470" s="10" t="s">
        <v>8</v>
      </c>
      <c r="B470" s="11" t="s">
        <v>9</v>
      </c>
      <c r="C470" s="75"/>
      <c r="D470" s="86"/>
      <c r="E470" s="85"/>
      <c r="F470" s="12"/>
      <c r="G470" s="13"/>
      <c r="H470" s="14" t="s">
        <v>12</v>
      </c>
      <c r="I470" s="15" t="s">
        <v>13</v>
      </c>
    </row>
    <row r="471" spans="1:9" x14ac:dyDescent="0.2">
      <c r="A471" s="10" t="s">
        <v>8</v>
      </c>
      <c r="B471" s="11" t="s">
        <v>9</v>
      </c>
      <c r="C471" s="75"/>
      <c r="D471" s="86"/>
      <c r="E471" s="85"/>
      <c r="F471" s="12"/>
      <c r="G471" s="13"/>
      <c r="H471" s="14" t="s">
        <v>12</v>
      </c>
      <c r="I471" s="15" t="s">
        <v>13</v>
      </c>
    </row>
    <row r="472" spans="1:9" x14ac:dyDescent="0.2">
      <c r="A472" s="10" t="s">
        <v>8</v>
      </c>
      <c r="B472" s="11" t="s">
        <v>9</v>
      </c>
      <c r="C472" s="75"/>
      <c r="D472" s="86"/>
      <c r="E472" s="85"/>
      <c r="F472" s="12"/>
      <c r="G472" s="13"/>
      <c r="H472" s="14" t="s">
        <v>12</v>
      </c>
      <c r="I472" s="15" t="s">
        <v>13</v>
      </c>
    </row>
    <row r="473" spans="1:9" x14ac:dyDescent="0.2">
      <c r="A473" s="10" t="s">
        <v>8</v>
      </c>
      <c r="B473" s="11" t="s">
        <v>9</v>
      </c>
      <c r="C473" s="75"/>
      <c r="D473" s="86"/>
      <c r="E473" s="85"/>
      <c r="F473" s="12"/>
      <c r="G473" s="13"/>
      <c r="H473" s="14" t="s">
        <v>12</v>
      </c>
      <c r="I473" s="15" t="s">
        <v>13</v>
      </c>
    </row>
    <row r="474" spans="1:9" x14ac:dyDescent="0.2">
      <c r="A474" s="10" t="s">
        <v>8</v>
      </c>
      <c r="B474" s="11" t="s">
        <v>9</v>
      </c>
      <c r="C474" s="75"/>
      <c r="D474" s="86"/>
      <c r="E474" s="85"/>
      <c r="F474" s="12"/>
      <c r="G474" s="13"/>
      <c r="H474" s="14" t="s">
        <v>12</v>
      </c>
      <c r="I474" s="15" t="s">
        <v>13</v>
      </c>
    </row>
    <row r="475" spans="1:9" x14ac:dyDescent="0.2">
      <c r="A475" s="10" t="s">
        <v>8</v>
      </c>
      <c r="B475" s="11" t="s">
        <v>9</v>
      </c>
      <c r="C475" s="75"/>
      <c r="D475" s="86"/>
      <c r="E475" s="85"/>
      <c r="F475" s="12"/>
      <c r="G475" s="13"/>
      <c r="H475" s="14" t="s">
        <v>12</v>
      </c>
      <c r="I475" s="15" t="s">
        <v>13</v>
      </c>
    </row>
    <row r="476" spans="1:9" x14ac:dyDescent="0.2">
      <c r="A476" s="10" t="s">
        <v>8</v>
      </c>
      <c r="B476" s="11" t="s">
        <v>9</v>
      </c>
      <c r="H476" s="14" t="s">
        <v>12</v>
      </c>
      <c r="I476" s="15" t="s">
        <v>13</v>
      </c>
    </row>
    <row r="477" spans="1:9" x14ac:dyDescent="0.2">
      <c r="A477" s="10" t="s">
        <v>8</v>
      </c>
      <c r="B477" s="11" t="s">
        <v>9</v>
      </c>
      <c r="H477" s="14" t="s">
        <v>12</v>
      </c>
      <c r="I477" s="15" t="s">
        <v>13</v>
      </c>
    </row>
    <row r="478" spans="1:9" x14ac:dyDescent="0.2">
      <c r="A478" s="10" t="s">
        <v>8</v>
      </c>
      <c r="B478" s="11" t="s">
        <v>9</v>
      </c>
      <c r="H478" s="14" t="s">
        <v>12</v>
      </c>
      <c r="I478" s="15" t="s">
        <v>13</v>
      </c>
    </row>
    <row r="479" spans="1:9" x14ac:dyDescent="0.2">
      <c r="A479" s="10" t="s">
        <v>8</v>
      </c>
      <c r="B479" s="11" t="s">
        <v>9</v>
      </c>
      <c r="H479" s="14" t="s">
        <v>12</v>
      </c>
      <c r="I479" s="15" t="s">
        <v>13</v>
      </c>
    </row>
    <row r="480" spans="1:9" x14ac:dyDescent="0.2">
      <c r="A480" s="10" t="s">
        <v>8</v>
      </c>
      <c r="B480" s="11" t="s">
        <v>9</v>
      </c>
      <c r="H480" s="14" t="s">
        <v>12</v>
      </c>
      <c r="I480" s="15" t="s">
        <v>13</v>
      </c>
    </row>
    <row r="481" spans="1:9" x14ac:dyDescent="0.2">
      <c r="A481" s="10" t="s">
        <v>8</v>
      </c>
      <c r="B481" s="11" t="s">
        <v>9</v>
      </c>
      <c r="H481" s="14" t="s">
        <v>12</v>
      </c>
      <c r="I481" s="15" t="s">
        <v>13</v>
      </c>
    </row>
    <row r="482" spans="1:9" x14ac:dyDescent="0.2">
      <c r="A482" s="10" t="s">
        <v>8</v>
      </c>
      <c r="B482" s="11" t="s">
        <v>9</v>
      </c>
      <c r="H482" s="14" t="s">
        <v>12</v>
      </c>
      <c r="I482" s="15" t="s">
        <v>13</v>
      </c>
    </row>
    <row r="483" spans="1:9" x14ac:dyDescent="0.2">
      <c r="A483" s="10" t="s">
        <v>8</v>
      </c>
      <c r="B483" s="11" t="s">
        <v>9</v>
      </c>
      <c r="H483" s="14" t="s">
        <v>12</v>
      </c>
      <c r="I483" s="15" t="s">
        <v>13</v>
      </c>
    </row>
    <row r="484" spans="1:9" x14ac:dyDescent="0.2">
      <c r="A484" s="10" t="s">
        <v>8</v>
      </c>
      <c r="B484" s="11" t="s">
        <v>9</v>
      </c>
      <c r="H484" s="14" t="s">
        <v>12</v>
      </c>
      <c r="I484" s="15" t="s">
        <v>13</v>
      </c>
    </row>
    <row r="485" spans="1:9" x14ac:dyDescent="0.2">
      <c r="A485" s="10" t="s">
        <v>8</v>
      </c>
      <c r="B485" s="11" t="s">
        <v>9</v>
      </c>
      <c r="H485" s="14" t="s">
        <v>12</v>
      </c>
      <c r="I485" s="15" t="s">
        <v>13</v>
      </c>
    </row>
    <row r="486" spans="1:9" x14ac:dyDescent="0.2">
      <c r="A486" s="10" t="s">
        <v>8</v>
      </c>
      <c r="B486" s="11" t="s">
        <v>9</v>
      </c>
      <c r="H486" s="14" t="s">
        <v>12</v>
      </c>
      <c r="I486" s="15" t="s">
        <v>13</v>
      </c>
    </row>
    <row r="487" spans="1:9" x14ac:dyDescent="0.2">
      <c r="A487" s="10" t="s">
        <v>8</v>
      </c>
      <c r="B487" s="11" t="s">
        <v>9</v>
      </c>
      <c r="H487" s="14" t="s">
        <v>12</v>
      </c>
      <c r="I487" s="15" t="s">
        <v>13</v>
      </c>
    </row>
    <row r="488" spans="1:9" x14ac:dyDescent="0.2">
      <c r="A488" s="10" t="s">
        <v>8</v>
      </c>
      <c r="B488" s="11" t="s">
        <v>9</v>
      </c>
      <c r="H488" s="14" t="s">
        <v>12</v>
      </c>
      <c r="I488" s="15" t="s">
        <v>13</v>
      </c>
    </row>
    <row r="489" spans="1:9" x14ac:dyDescent="0.2">
      <c r="A489" s="10" t="s">
        <v>8</v>
      </c>
      <c r="B489" s="11" t="s">
        <v>9</v>
      </c>
      <c r="H489" s="14" t="s">
        <v>12</v>
      </c>
      <c r="I489" s="15" t="s">
        <v>13</v>
      </c>
    </row>
    <row r="490" spans="1:9" x14ac:dyDescent="0.2">
      <c r="A490" s="10" t="s">
        <v>8</v>
      </c>
      <c r="B490" s="11" t="s">
        <v>9</v>
      </c>
      <c r="H490" s="14" t="s">
        <v>12</v>
      </c>
      <c r="I490" s="15" t="s">
        <v>13</v>
      </c>
    </row>
    <row r="491" spans="1:9" x14ac:dyDescent="0.2">
      <c r="A491" s="10" t="s">
        <v>8</v>
      </c>
      <c r="B491" s="11" t="s">
        <v>9</v>
      </c>
      <c r="H491" s="14" t="s">
        <v>12</v>
      </c>
      <c r="I491" s="15" t="s">
        <v>13</v>
      </c>
    </row>
    <row r="492" spans="1:9" x14ac:dyDescent="0.2">
      <c r="A492" s="10" t="s">
        <v>8</v>
      </c>
      <c r="B492" s="11" t="s">
        <v>9</v>
      </c>
      <c r="H492" s="14" t="s">
        <v>12</v>
      </c>
      <c r="I492" s="15" t="s">
        <v>13</v>
      </c>
    </row>
    <row r="493" spans="1:9" x14ac:dyDescent="0.2">
      <c r="A493" s="10" t="s">
        <v>8</v>
      </c>
      <c r="B493" s="11" t="s">
        <v>9</v>
      </c>
      <c r="H493" s="14" t="s">
        <v>12</v>
      </c>
      <c r="I493" s="15" t="s">
        <v>13</v>
      </c>
    </row>
    <row r="494" spans="1:9" x14ac:dyDescent="0.2">
      <c r="A494" s="10" t="s">
        <v>8</v>
      </c>
      <c r="B494" s="11" t="s">
        <v>9</v>
      </c>
      <c r="H494" s="14" t="s">
        <v>12</v>
      </c>
      <c r="I494" s="15" t="s">
        <v>13</v>
      </c>
    </row>
    <row r="495" spans="1:9" x14ac:dyDescent="0.2">
      <c r="A495" s="10" t="s">
        <v>8</v>
      </c>
      <c r="B495" s="11" t="s">
        <v>9</v>
      </c>
      <c r="H495" s="14" t="s">
        <v>12</v>
      </c>
      <c r="I495" s="15" t="s">
        <v>13</v>
      </c>
    </row>
    <row r="496" spans="1:9" x14ac:dyDescent="0.2">
      <c r="A496" s="10" t="s">
        <v>8</v>
      </c>
      <c r="B496" s="11" t="s">
        <v>9</v>
      </c>
      <c r="H496" s="14" t="s">
        <v>12</v>
      </c>
      <c r="I496" s="15" t="s">
        <v>13</v>
      </c>
    </row>
    <row r="497" spans="1:9" x14ac:dyDescent="0.2">
      <c r="A497" s="10" t="s">
        <v>8</v>
      </c>
      <c r="B497" s="11" t="s">
        <v>9</v>
      </c>
      <c r="H497" s="14" t="s">
        <v>12</v>
      </c>
      <c r="I497" s="15" t="s">
        <v>13</v>
      </c>
    </row>
    <row r="498" spans="1:9" x14ac:dyDescent="0.2">
      <c r="A498" s="10" t="s">
        <v>8</v>
      </c>
      <c r="B498" s="11" t="s">
        <v>9</v>
      </c>
      <c r="H498" s="14" t="s">
        <v>12</v>
      </c>
      <c r="I498" s="15" t="s">
        <v>13</v>
      </c>
    </row>
    <row r="499" spans="1:9" x14ac:dyDescent="0.2">
      <c r="A499" s="10" t="s">
        <v>8</v>
      </c>
      <c r="B499" s="11" t="s">
        <v>9</v>
      </c>
      <c r="H499" s="14" t="s">
        <v>12</v>
      </c>
      <c r="I499" s="15" t="s">
        <v>13</v>
      </c>
    </row>
    <row r="500" spans="1:9" x14ac:dyDescent="0.2">
      <c r="A500" s="10" t="s">
        <v>8</v>
      </c>
      <c r="B500" s="11" t="s">
        <v>9</v>
      </c>
      <c r="H500" s="14" t="s">
        <v>12</v>
      </c>
      <c r="I500" s="15" t="s">
        <v>13</v>
      </c>
    </row>
    <row r="501" spans="1:9" x14ac:dyDescent="0.2">
      <c r="A501" s="10" t="s">
        <v>8</v>
      </c>
      <c r="B501" s="11" t="s">
        <v>9</v>
      </c>
      <c r="H501" s="14" t="s">
        <v>12</v>
      </c>
      <c r="I501" s="15" t="s">
        <v>13</v>
      </c>
    </row>
    <row r="502" spans="1:9" x14ac:dyDescent="0.2">
      <c r="A502" s="10" t="s">
        <v>8</v>
      </c>
      <c r="B502" s="11" t="s">
        <v>9</v>
      </c>
      <c r="H502" s="14" t="s">
        <v>12</v>
      </c>
      <c r="I502" s="15" t="s">
        <v>13</v>
      </c>
    </row>
    <row r="503" spans="1:9" x14ac:dyDescent="0.2">
      <c r="A503" s="10" t="s">
        <v>8</v>
      </c>
      <c r="B503" s="11" t="s">
        <v>9</v>
      </c>
      <c r="H503" s="14" t="s">
        <v>12</v>
      </c>
      <c r="I503" s="15" t="s">
        <v>13</v>
      </c>
    </row>
    <row r="504" spans="1:9" x14ac:dyDescent="0.2">
      <c r="A504" s="10" t="s">
        <v>8</v>
      </c>
      <c r="B504" s="11" t="s">
        <v>9</v>
      </c>
      <c r="H504" s="14" t="s">
        <v>12</v>
      </c>
      <c r="I504" s="15" t="s">
        <v>13</v>
      </c>
    </row>
    <row r="505" spans="1:9" x14ac:dyDescent="0.2">
      <c r="A505" s="10" t="s">
        <v>8</v>
      </c>
      <c r="B505" s="11" t="s">
        <v>9</v>
      </c>
      <c r="H505" s="14" t="s">
        <v>12</v>
      </c>
      <c r="I505" s="15" t="s">
        <v>13</v>
      </c>
    </row>
    <row r="506" spans="1:9" x14ac:dyDescent="0.2">
      <c r="A506" s="10" t="s">
        <v>8</v>
      </c>
      <c r="B506" s="11" t="s">
        <v>9</v>
      </c>
      <c r="H506" s="14" t="s">
        <v>12</v>
      </c>
      <c r="I506" s="15" t="s">
        <v>13</v>
      </c>
    </row>
  </sheetData>
  <autoFilter ref="A1:N506" xr:uid="{272ED5F8-8732-4656-9BAD-7C67FFCB84A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2321-7B25-43FF-9D97-5A40F63A9BCF}">
  <sheetPr>
    <pageSetUpPr fitToPage="1"/>
  </sheetPr>
  <dimension ref="A1:M47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"/>
  <cols>
    <col min="1" max="1" width="35.28515625" style="47" bestFit="1" customWidth="1"/>
    <col min="2" max="2" width="18.85546875" style="47" bestFit="1" customWidth="1"/>
    <col min="3" max="3" width="44.85546875" style="42" bestFit="1" customWidth="1"/>
    <col min="4" max="4" width="20" style="46" customWidth="1"/>
    <col min="5" max="5" width="10.28515625" style="45" customWidth="1"/>
    <col min="6" max="6" width="11.140625" style="44" bestFit="1" customWidth="1"/>
    <col min="7" max="7" width="38.85546875" style="42" bestFit="1" customWidth="1"/>
    <col min="8" max="8" width="11.7109375" style="43" bestFit="1" customWidth="1"/>
    <col min="9" max="9" width="93.42578125" style="42" bestFit="1" customWidth="1"/>
    <col min="10" max="10" width="1.7109375" style="42" customWidth="1"/>
    <col min="11" max="11" width="16.140625" style="42" bestFit="1" customWidth="1"/>
    <col min="12" max="13" width="5.7109375" style="41" hidden="1" customWidth="1"/>
    <col min="14" max="14" width="5.7109375" style="41" bestFit="1" customWidth="1"/>
    <col min="15" max="16384" width="9.140625" style="41"/>
  </cols>
  <sheetData>
    <row r="1" spans="1:13" s="61" customFormat="1" ht="32.25" thickBot="1" x14ac:dyDescent="0.3">
      <c r="A1" s="70" t="s">
        <v>0</v>
      </c>
      <c r="B1" s="69" t="s">
        <v>1</v>
      </c>
      <c r="C1" s="68"/>
      <c r="D1" s="67"/>
      <c r="E1" s="66"/>
      <c r="F1" s="65"/>
      <c r="G1" s="64"/>
      <c r="H1" s="64" t="s">
        <v>6</v>
      </c>
      <c r="I1" s="63" t="s">
        <v>7</v>
      </c>
      <c r="K1" s="62"/>
    </row>
    <row r="2" spans="1:13" x14ac:dyDescent="0.2">
      <c r="A2" s="56" t="s">
        <v>8</v>
      </c>
      <c r="B2" s="55" t="s">
        <v>9</v>
      </c>
      <c r="C2" s="81" t="s">
        <v>488</v>
      </c>
      <c r="D2" s="53">
        <v>7179446</v>
      </c>
      <c r="E2" s="52">
        <v>45625</v>
      </c>
      <c r="F2" s="80">
        <v>491909.04</v>
      </c>
      <c r="G2" s="79" t="s">
        <v>114</v>
      </c>
      <c r="H2" s="49" t="str">
        <f>IF(F2&gt;25000,"C",IF(F2&gt;1000,"B","A"))</f>
        <v>C</v>
      </c>
      <c r="I2" s="48" t="str">
        <f>VLOOKUP(H2,$L$2:$M$4,2,FALSE)</f>
        <v>The Commissioner &amp; Chief Constable are satisfied the spend represents VFM in accordance with the requirements of Category C</v>
      </c>
      <c r="J2" s="60"/>
      <c r="K2" s="60"/>
      <c r="L2" s="41" t="s">
        <v>12</v>
      </c>
      <c r="M2" s="48" t="s">
        <v>13</v>
      </c>
    </row>
    <row r="3" spans="1:13" x14ac:dyDescent="0.2">
      <c r="A3" s="56" t="s">
        <v>8</v>
      </c>
      <c r="B3" s="55" t="s">
        <v>9</v>
      </c>
      <c r="C3" s="81" t="s">
        <v>105</v>
      </c>
      <c r="D3" s="53">
        <v>7178782</v>
      </c>
      <c r="E3" s="52">
        <v>45622</v>
      </c>
      <c r="F3" s="80">
        <v>410000</v>
      </c>
      <c r="G3" s="79" t="s">
        <v>22</v>
      </c>
      <c r="H3" s="49" t="str">
        <f>IF(F3&gt;25000,"C",IF(F3&gt;1000,"B","A"))</f>
        <v>C</v>
      </c>
      <c r="I3" s="48" t="str">
        <f>VLOOKUP(H3,$L$2:$M$4,2,FALSE)</f>
        <v>The Commissioner &amp; Chief Constable are satisfied the spend represents VFM in accordance with the requirements of Category C</v>
      </c>
      <c r="J3" s="60"/>
      <c r="K3" s="60"/>
      <c r="L3" s="41" t="s">
        <v>16</v>
      </c>
      <c r="M3" s="48" t="s">
        <v>17</v>
      </c>
    </row>
    <row r="4" spans="1:13" x14ac:dyDescent="0.2">
      <c r="A4" s="56" t="s">
        <v>8</v>
      </c>
      <c r="B4" s="55" t="s">
        <v>9</v>
      </c>
      <c r="C4" s="81" t="s">
        <v>74</v>
      </c>
      <c r="D4" s="53">
        <v>7179303</v>
      </c>
      <c r="E4" s="52">
        <v>45609</v>
      </c>
      <c r="F4" s="80">
        <v>390414.66</v>
      </c>
      <c r="G4" s="79" t="s">
        <v>15</v>
      </c>
      <c r="H4" s="49" t="str">
        <f>IF(F4&gt;25000,"C",IF(F4&gt;1000,"B","A"))</f>
        <v>C</v>
      </c>
      <c r="I4" s="48" t="str">
        <f>VLOOKUP(H4,$L$2:$M$4,2,FALSE)</f>
        <v>The Commissioner &amp; Chief Constable are satisfied the spend represents VFM in accordance with the requirements of Category C</v>
      </c>
      <c r="J4" s="60"/>
      <c r="K4" s="60"/>
      <c r="L4" s="41" t="s">
        <v>20</v>
      </c>
      <c r="M4" s="48" t="s">
        <v>21</v>
      </c>
    </row>
    <row r="5" spans="1:13" x14ac:dyDescent="0.2">
      <c r="A5" s="56" t="s">
        <v>8</v>
      </c>
      <c r="B5" s="55" t="s">
        <v>9</v>
      </c>
      <c r="C5" s="81" t="s">
        <v>10</v>
      </c>
      <c r="D5" s="53">
        <v>7178392</v>
      </c>
      <c r="E5" s="52">
        <v>45600</v>
      </c>
      <c r="F5" s="80">
        <v>386471.24</v>
      </c>
      <c r="G5" s="79" t="s">
        <v>11</v>
      </c>
      <c r="H5" s="49" t="str">
        <f>IF(F5&gt;25000,"C",IF(F5&gt;1000,"B","A"))</f>
        <v>C</v>
      </c>
      <c r="I5" s="48" t="str">
        <f>VLOOKUP(H5,$L$2:$M$4,2,FALSE)</f>
        <v>The Commissioner &amp; Chief Constable are satisfied the spend represents VFM in accordance with the requirements of Category C</v>
      </c>
      <c r="J5" s="60"/>
      <c r="K5" s="60"/>
    </row>
    <row r="6" spans="1:13" x14ac:dyDescent="0.2">
      <c r="A6" s="56" t="s">
        <v>8</v>
      </c>
      <c r="B6" s="55" t="s">
        <v>9</v>
      </c>
      <c r="C6" s="81" t="s">
        <v>10</v>
      </c>
      <c r="D6" s="53">
        <v>7179514</v>
      </c>
      <c r="E6" s="52">
        <v>45618</v>
      </c>
      <c r="F6" s="80">
        <v>386471.24</v>
      </c>
      <c r="G6" s="79" t="s">
        <v>11</v>
      </c>
      <c r="H6" s="49" t="str">
        <f>IF(F6&gt;25000,"C",IF(F6&gt;1000,"B","A"))</f>
        <v>C</v>
      </c>
      <c r="I6" s="48" t="str">
        <f>VLOOKUP(H6,$L$2:$M$4,2,FALSE)</f>
        <v>The Commissioner &amp; Chief Constable are satisfied the spend represents VFM in accordance with the requirements of Category C</v>
      </c>
      <c r="J6" s="60"/>
      <c r="K6" s="60"/>
    </row>
    <row r="7" spans="1:13" x14ac:dyDescent="0.2">
      <c r="A7" s="56" t="s">
        <v>8</v>
      </c>
      <c r="B7" s="55" t="s">
        <v>9</v>
      </c>
      <c r="C7" s="82" t="s">
        <v>496</v>
      </c>
      <c r="D7" s="53">
        <v>7177544</v>
      </c>
      <c r="E7" s="52">
        <v>45603</v>
      </c>
      <c r="F7" s="80">
        <v>339062.25</v>
      </c>
      <c r="G7" s="79" t="s">
        <v>102</v>
      </c>
      <c r="H7" s="49" t="str">
        <f>IF(F7&gt;25000,"C",IF(F7&gt;1000,"B","A"))</f>
        <v>C</v>
      </c>
      <c r="I7" s="48" t="str">
        <f>VLOOKUP(H7,$L$2:$M$4,2,FALSE)</f>
        <v>The Commissioner &amp; Chief Constable are satisfied the spend represents VFM in accordance with the requirements of Category C</v>
      </c>
      <c r="J7" s="60"/>
      <c r="K7" s="60"/>
    </row>
    <row r="8" spans="1:13" x14ac:dyDescent="0.2">
      <c r="A8" s="56" t="s">
        <v>8</v>
      </c>
      <c r="B8" s="55" t="s">
        <v>9</v>
      </c>
      <c r="C8" s="81" t="s">
        <v>18</v>
      </c>
      <c r="D8" s="53">
        <v>9036799</v>
      </c>
      <c r="E8" s="52">
        <v>45621</v>
      </c>
      <c r="F8" s="80">
        <v>325665.08</v>
      </c>
      <c r="G8" s="79" t="s">
        <v>19</v>
      </c>
      <c r="H8" s="49" t="str">
        <f>IF(F8&gt;25000,"C",IF(F8&gt;1000,"B","A"))</f>
        <v>C</v>
      </c>
      <c r="I8" s="48" t="str">
        <f>VLOOKUP(H8,$L$2:$M$4,2,FALSE)</f>
        <v>The Commissioner &amp; Chief Constable are satisfied the spend represents VFM in accordance with the requirements of Category C</v>
      </c>
      <c r="J8" s="60"/>
      <c r="K8" s="60"/>
    </row>
    <row r="9" spans="1:13" x14ac:dyDescent="0.2">
      <c r="A9" s="56" t="s">
        <v>8</v>
      </c>
      <c r="B9" s="55" t="s">
        <v>9</v>
      </c>
      <c r="C9" s="81" t="s">
        <v>140</v>
      </c>
      <c r="D9" s="53">
        <v>7178685</v>
      </c>
      <c r="E9" s="52">
        <v>45617</v>
      </c>
      <c r="F9" s="80">
        <v>110558.35</v>
      </c>
      <c r="G9" s="79" t="s">
        <v>34</v>
      </c>
      <c r="H9" s="49" t="str">
        <f>IF(F9&gt;25000,"C",IF(F9&gt;1000,"B","A"))</f>
        <v>C</v>
      </c>
      <c r="I9" s="48" t="str">
        <f>VLOOKUP(H9,$L$2:$M$4,2,FALSE)</f>
        <v>The Commissioner &amp; Chief Constable are satisfied the spend represents VFM in accordance with the requirements of Category C</v>
      </c>
      <c r="J9" s="60"/>
      <c r="K9" s="60"/>
    </row>
    <row r="10" spans="1:13" x14ac:dyDescent="0.2">
      <c r="A10" s="56" t="s">
        <v>8</v>
      </c>
      <c r="B10" s="55" t="s">
        <v>9</v>
      </c>
      <c r="C10" s="81" t="s">
        <v>23</v>
      </c>
      <c r="D10" s="53">
        <v>7178779</v>
      </c>
      <c r="E10" s="52">
        <v>45600</v>
      </c>
      <c r="F10" s="83">
        <v>109435.66</v>
      </c>
      <c r="G10" s="79" t="s">
        <v>24</v>
      </c>
      <c r="H10" s="49" t="str">
        <f>IF(F10&gt;25000,"C",IF(F10&gt;1000,"B","A"))</f>
        <v>C</v>
      </c>
      <c r="I10" s="48" t="str">
        <f>VLOOKUP(H10,$L$2:$M$4,2,FALSE)</f>
        <v>The Commissioner &amp; Chief Constable are satisfied the spend represents VFM in accordance with the requirements of Category C</v>
      </c>
      <c r="J10" s="60"/>
      <c r="K10" s="60"/>
    </row>
    <row r="11" spans="1:13" x14ac:dyDescent="0.2">
      <c r="A11" s="56" t="s">
        <v>8</v>
      </c>
      <c r="B11" s="55" t="s">
        <v>9</v>
      </c>
      <c r="C11" s="81" t="s">
        <v>30</v>
      </c>
      <c r="D11" s="53">
        <v>7178935</v>
      </c>
      <c r="E11" s="52">
        <v>45601</v>
      </c>
      <c r="F11" s="80">
        <v>97682.42</v>
      </c>
      <c r="G11" s="84" t="s">
        <v>31</v>
      </c>
      <c r="H11" s="49" t="str">
        <f>IF(F11&gt;25000,"C",IF(F11&gt;1000,"B","A"))</f>
        <v>C</v>
      </c>
      <c r="I11" s="48" t="str">
        <f>VLOOKUP(H11,$L$2:$M$4,2,FALSE)</f>
        <v>The Commissioner &amp; Chief Constable are satisfied the spend represents VFM in accordance with the requirements of Category C</v>
      </c>
      <c r="J11" s="60"/>
      <c r="K11" s="60"/>
    </row>
    <row r="12" spans="1:13" x14ac:dyDescent="0.2">
      <c r="A12" s="56" t="s">
        <v>8</v>
      </c>
      <c r="B12" s="55" t="s">
        <v>9</v>
      </c>
      <c r="C12" s="82" t="s">
        <v>30</v>
      </c>
      <c r="D12" s="53">
        <v>7178935</v>
      </c>
      <c r="E12" s="52">
        <v>45601</v>
      </c>
      <c r="F12" s="83">
        <v>12.92</v>
      </c>
      <c r="G12" s="79" t="s">
        <v>32</v>
      </c>
      <c r="H12" s="49" t="str">
        <f>IF(F12&gt;25000,"C",IF(F12&gt;1000,"B","A"))</f>
        <v>A</v>
      </c>
      <c r="I12" s="48" t="str">
        <f>VLOOKUP(H12,$L$2:$M$4,2,FALSE)</f>
        <v>The Commissioner &amp; Chief Constable are satisfied the spend represents VFM in accordance with the requirements of Category A</v>
      </c>
      <c r="J12" s="60"/>
      <c r="K12" s="60"/>
    </row>
    <row r="13" spans="1:13" x14ac:dyDescent="0.2">
      <c r="A13" s="56" t="s">
        <v>8</v>
      </c>
      <c r="B13" s="55" t="s">
        <v>9</v>
      </c>
      <c r="C13" s="81" t="s">
        <v>799</v>
      </c>
      <c r="D13" s="53">
        <v>7179004</v>
      </c>
      <c r="E13" s="52">
        <v>45614</v>
      </c>
      <c r="F13" s="83">
        <v>91097.06</v>
      </c>
      <c r="G13" s="79" t="s">
        <v>164</v>
      </c>
      <c r="H13" s="49" t="str">
        <f>IF(F13&gt;25000,"C",IF(F13&gt;1000,"B","A"))</f>
        <v>C</v>
      </c>
      <c r="I13" s="48" t="str">
        <f>VLOOKUP(H13,$L$2:$M$4,2,FALSE)</f>
        <v>The Commissioner &amp; Chief Constable are satisfied the spend represents VFM in accordance with the requirements of Category C</v>
      </c>
      <c r="J13" s="60"/>
      <c r="K13" s="60"/>
    </row>
    <row r="14" spans="1:13" x14ac:dyDescent="0.2">
      <c r="A14" s="56" t="s">
        <v>8</v>
      </c>
      <c r="B14" s="55" t="s">
        <v>9</v>
      </c>
      <c r="C14" s="81" t="s">
        <v>497</v>
      </c>
      <c r="D14" s="53">
        <v>7178951</v>
      </c>
      <c r="E14" s="52">
        <v>45625</v>
      </c>
      <c r="F14" s="83">
        <v>90000</v>
      </c>
      <c r="G14" s="84" t="s">
        <v>54</v>
      </c>
      <c r="H14" s="49" t="str">
        <f>IF(F14&gt;25000,"C",IF(F14&gt;1000,"B","A"))</f>
        <v>C</v>
      </c>
      <c r="I14" s="48" t="str">
        <f>VLOOKUP(H14,$L$2:$M$4,2,FALSE)</f>
        <v>The Commissioner &amp; Chief Constable are satisfied the spend represents VFM in accordance with the requirements of Category C</v>
      </c>
      <c r="J14" s="60"/>
      <c r="K14" s="60"/>
    </row>
    <row r="15" spans="1:13" x14ac:dyDescent="0.2">
      <c r="A15" s="56" t="s">
        <v>8</v>
      </c>
      <c r="B15" s="55" t="s">
        <v>9</v>
      </c>
      <c r="C15" s="81" t="s">
        <v>46</v>
      </c>
      <c r="D15" s="53">
        <v>7178878</v>
      </c>
      <c r="E15" s="52">
        <v>45601</v>
      </c>
      <c r="F15" s="83">
        <v>80949.009999999995</v>
      </c>
      <c r="G15" s="79" t="s">
        <v>47</v>
      </c>
      <c r="H15" s="49" t="str">
        <f>IF(F15&gt;25000,"C",IF(F15&gt;1000,"B","A"))</f>
        <v>C</v>
      </c>
      <c r="I15" s="48" t="str">
        <f>VLOOKUP(H15,$L$2:$M$4,2,FALSE)</f>
        <v>The Commissioner &amp; Chief Constable are satisfied the spend represents VFM in accordance with the requirements of Category C</v>
      </c>
      <c r="J15" s="60"/>
      <c r="K15" s="60"/>
    </row>
    <row r="16" spans="1:13" x14ac:dyDescent="0.2">
      <c r="A16" s="56" t="s">
        <v>8</v>
      </c>
      <c r="B16" s="55" t="s">
        <v>9</v>
      </c>
      <c r="C16" s="81" t="s">
        <v>44</v>
      </c>
      <c r="D16" s="53">
        <v>7179134</v>
      </c>
      <c r="E16" s="52">
        <v>45608</v>
      </c>
      <c r="F16" s="83">
        <v>64962</v>
      </c>
      <c r="G16" s="79" t="s">
        <v>45</v>
      </c>
      <c r="H16" s="49" t="str">
        <f>IF(F16&gt;25000,"C",IF(F16&gt;1000,"B","A"))</f>
        <v>C</v>
      </c>
      <c r="I16" s="48" t="str">
        <f>VLOOKUP(H16,$L$2:$M$4,2,FALSE)</f>
        <v>The Commissioner &amp; Chief Constable are satisfied the spend represents VFM in accordance with the requirements of Category C</v>
      </c>
      <c r="J16" s="60"/>
      <c r="K16" s="60"/>
    </row>
    <row r="17" spans="1:11" x14ac:dyDescent="0.2">
      <c r="A17" s="56" t="s">
        <v>8</v>
      </c>
      <c r="B17" s="55" t="s">
        <v>9</v>
      </c>
      <c r="C17" s="82" t="s">
        <v>153</v>
      </c>
      <c r="D17" s="53">
        <v>7178962</v>
      </c>
      <c r="E17" s="52">
        <v>45601</v>
      </c>
      <c r="F17" s="83">
        <v>64485.05</v>
      </c>
      <c r="G17" s="79" t="s">
        <v>39</v>
      </c>
      <c r="H17" s="49" t="str">
        <f>IF(F17&gt;25000,"C",IF(F17&gt;1000,"B","A"))</f>
        <v>C</v>
      </c>
      <c r="I17" s="48" t="str">
        <f>VLOOKUP(H17,$L$2:$M$4,2,FALSE)</f>
        <v>The Commissioner &amp; Chief Constable are satisfied the spend represents VFM in accordance with the requirements of Category C</v>
      </c>
      <c r="J17" s="60"/>
      <c r="K17" s="60"/>
    </row>
    <row r="18" spans="1:11" x14ac:dyDescent="0.2">
      <c r="A18" s="56" t="s">
        <v>8</v>
      </c>
      <c r="B18" s="55" t="s">
        <v>9</v>
      </c>
      <c r="C18" s="81" t="s">
        <v>26</v>
      </c>
      <c r="D18" s="53">
        <v>7179101</v>
      </c>
      <c r="E18" s="52">
        <v>45603</v>
      </c>
      <c r="F18" s="83">
        <v>62818.32</v>
      </c>
      <c r="G18" s="79" t="s">
        <v>53</v>
      </c>
      <c r="H18" s="49" t="str">
        <f>IF(F18&gt;25000,"C",IF(F18&gt;1000,"B","A"))</f>
        <v>C</v>
      </c>
      <c r="I18" s="48" t="str">
        <f>VLOOKUP(H18,$L$2:$M$4,2,FALSE)</f>
        <v>The Commissioner &amp; Chief Constable are satisfied the spend represents VFM in accordance with the requirements of Category C</v>
      </c>
      <c r="J18" s="60"/>
      <c r="K18" s="60"/>
    </row>
    <row r="19" spans="1:11" x14ac:dyDescent="0.2">
      <c r="A19" s="56" t="s">
        <v>8</v>
      </c>
      <c r="B19" s="55" t="s">
        <v>9</v>
      </c>
      <c r="C19" s="82" t="s">
        <v>448</v>
      </c>
      <c r="D19" s="53">
        <v>7179344</v>
      </c>
      <c r="E19" s="52">
        <v>45610</v>
      </c>
      <c r="F19" s="83">
        <v>59932</v>
      </c>
      <c r="G19" s="79" t="s">
        <v>27</v>
      </c>
      <c r="H19" s="49" t="str">
        <f>IF(F19&gt;25000,"C",IF(F19&gt;1000,"B","A"))</f>
        <v>C</v>
      </c>
      <c r="I19" s="48" t="str">
        <f>VLOOKUP(H19,$L$2:$M$4,2,FALSE)</f>
        <v>The Commissioner &amp; Chief Constable are satisfied the spend represents VFM in accordance with the requirements of Category C</v>
      </c>
      <c r="J19" s="60"/>
      <c r="K19" s="60"/>
    </row>
    <row r="20" spans="1:11" x14ac:dyDescent="0.2">
      <c r="A20" s="56" t="s">
        <v>8</v>
      </c>
      <c r="B20" s="55" t="s">
        <v>9</v>
      </c>
      <c r="C20" s="81" t="s">
        <v>908</v>
      </c>
      <c r="D20" s="53">
        <v>7179154</v>
      </c>
      <c r="E20" s="52">
        <v>45608</v>
      </c>
      <c r="F20" s="83">
        <v>58256.78</v>
      </c>
      <c r="G20" s="79" t="s">
        <v>164</v>
      </c>
      <c r="H20" s="49" t="str">
        <f>IF(F20&gt;25000,"C",IF(F20&gt;1000,"B","A"))</f>
        <v>C</v>
      </c>
      <c r="I20" s="48" t="str">
        <f>VLOOKUP(H20,$L$2:$M$4,2,FALSE)</f>
        <v>The Commissioner &amp; Chief Constable are satisfied the spend represents VFM in accordance with the requirements of Category C</v>
      </c>
      <c r="J20" s="60"/>
      <c r="K20" s="60"/>
    </row>
    <row r="21" spans="1:11" x14ac:dyDescent="0.2">
      <c r="A21" s="56" t="s">
        <v>8</v>
      </c>
      <c r="B21" s="55" t="s">
        <v>9</v>
      </c>
      <c r="C21" s="81" t="s">
        <v>448</v>
      </c>
      <c r="D21" s="53">
        <v>7179089</v>
      </c>
      <c r="E21" s="52">
        <v>45608</v>
      </c>
      <c r="F21" s="80">
        <v>56994</v>
      </c>
      <c r="G21" s="79" t="s">
        <v>27</v>
      </c>
      <c r="H21" s="49" t="str">
        <f>IF(F21&gt;25000,"C",IF(F21&gt;1000,"B","A"))</f>
        <v>C</v>
      </c>
      <c r="I21" s="48" t="str">
        <f>VLOOKUP(H21,$L$2:$M$4,2,FALSE)</f>
        <v>The Commissioner &amp; Chief Constable are satisfied the spend represents VFM in accordance with the requirements of Category C</v>
      </c>
      <c r="J21" s="60"/>
      <c r="K21" s="60"/>
    </row>
    <row r="22" spans="1:11" x14ac:dyDescent="0.2">
      <c r="A22" s="56" t="s">
        <v>8</v>
      </c>
      <c r="B22" s="55" t="s">
        <v>9</v>
      </c>
      <c r="C22" s="81" t="s">
        <v>26</v>
      </c>
      <c r="D22" s="53">
        <v>7179151</v>
      </c>
      <c r="E22" s="52">
        <v>45608</v>
      </c>
      <c r="F22" s="80">
        <v>56694</v>
      </c>
      <c r="G22" s="79" t="s">
        <v>54</v>
      </c>
      <c r="H22" s="49" t="str">
        <f>IF(F22&gt;25000,"C",IF(F22&gt;1000,"B","A"))</f>
        <v>C</v>
      </c>
      <c r="I22" s="48" t="str">
        <f>VLOOKUP(H22,$L$2:$M$4,2,FALSE)</f>
        <v>The Commissioner &amp; Chief Constable are satisfied the spend represents VFM in accordance with the requirements of Category C</v>
      </c>
      <c r="J22" s="60"/>
      <c r="K22" s="60"/>
    </row>
    <row r="23" spans="1:11" x14ac:dyDescent="0.2">
      <c r="A23" s="56" t="s">
        <v>8</v>
      </c>
      <c r="B23" s="55" t="s">
        <v>9</v>
      </c>
      <c r="C23" s="82" t="s">
        <v>52</v>
      </c>
      <c r="D23" s="53">
        <v>7179103</v>
      </c>
      <c r="E23" s="52">
        <v>45608</v>
      </c>
      <c r="F23" s="80">
        <v>55731</v>
      </c>
      <c r="G23" s="79" t="s">
        <v>45</v>
      </c>
      <c r="H23" s="49" t="str">
        <f>IF(F23&gt;25000,"C",IF(F23&gt;1000,"B","A"))</f>
        <v>C</v>
      </c>
      <c r="I23" s="48" t="str">
        <f>VLOOKUP(H23,$L$2:$M$4,2,FALSE)</f>
        <v>The Commissioner &amp; Chief Constable are satisfied the spend represents VFM in accordance with the requirements of Category C</v>
      </c>
      <c r="J23" s="60"/>
      <c r="K23" s="60"/>
    </row>
    <row r="24" spans="1:11" x14ac:dyDescent="0.2">
      <c r="A24" s="56" t="s">
        <v>8</v>
      </c>
      <c r="B24" s="55" t="s">
        <v>9</v>
      </c>
      <c r="C24" s="81" t="s">
        <v>389</v>
      </c>
      <c r="D24" s="53">
        <v>7179365</v>
      </c>
      <c r="E24" s="52">
        <v>45617</v>
      </c>
      <c r="F24" s="80">
        <v>52370</v>
      </c>
      <c r="G24" s="79" t="s">
        <v>15</v>
      </c>
      <c r="H24" s="49" t="str">
        <f>IF(F24&gt;25000,"C",IF(F24&gt;1000,"B","A"))</f>
        <v>C</v>
      </c>
      <c r="I24" s="48" t="str">
        <f>VLOOKUP(H24,$L$2:$M$4,2,FALSE)</f>
        <v>The Commissioner &amp; Chief Constable are satisfied the spend represents VFM in accordance with the requirements of Category C</v>
      </c>
      <c r="J24" s="60"/>
      <c r="K24" s="60"/>
    </row>
    <row r="25" spans="1:11" x14ac:dyDescent="0.2">
      <c r="A25" s="56" t="s">
        <v>8</v>
      </c>
      <c r="B25" s="55" t="s">
        <v>9</v>
      </c>
      <c r="C25" s="81" t="s">
        <v>85</v>
      </c>
      <c r="D25" s="53">
        <v>7178879</v>
      </c>
      <c r="E25" s="52">
        <v>45600</v>
      </c>
      <c r="F25" s="80">
        <v>50712.6</v>
      </c>
      <c r="G25" s="79" t="s">
        <v>27</v>
      </c>
      <c r="H25" s="49" t="str">
        <f>IF(F25&gt;25000,"C",IF(F25&gt;1000,"B","A"))</f>
        <v>C</v>
      </c>
      <c r="I25" s="48" t="str">
        <f>VLOOKUP(H25,$L$2:$M$4,2,FALSE)</f>
        <v>The Commissioner &amp; Chief Constable are satisfied the spend represents VFM in accordance with the requirements of Category C</v>
      </c>
      <c r="J25" s="60"/>
      <c r="K25" s="60"/>
    </row>
    <row r="26" spans="1:11" x14ac:dyDescent="0.2">
      <c r="A26" s="56" t="s">
        <v>8</v>
      </c>
      <c r="B26" s="55" t="s">
        <v>9</v>
      </c>
      <c r="C26" s="81" t="s">
        <v>793</v>
      </c>
      <c r="D26" s="53">
        <v>7178809</v>
      </c>
      <c r="E26" s="52">
        <v>45600</v>
      </c>
      <c r="F26" s="80">
        <v>47679</v>
      </c>
      <c r="G26" s="79" t="s">
        <v>27</v>
      </c>
      <c r="H26" s="49" t="str">
        <f>IF(F26&gt;25000,"C",IF(F26&gt;1000,"B","A"))</f>
        <v>C</v>
      </c>
      <c r="I26" s="48" t="str">
        <f>VLOOKUP(H26,$L$2:$M$4,2,FALSE)</f>
        <v>The Commissioner &amp; Chief Constable are satisfied the spend represents VFM in accordance with the requirements of Category C</v>
      </c>
      <c r="J26" s="60"/>
      <c r="K26" s="60"/>
    </row>
    <row r="27" spans="1:11" x14ac:dyDescent="0.2">
      <c r="A27" s="56" t="s">
        <v>8</v>
      </c>
      <c r="B27" s="55" t="s">
        <v>9</v>
      </c>
      <c r="C27" s="81" t="s">
        <v>415</v>
      </c>
      <c r="D27" s="53">
        <v>7179276</v>
      </c>
      <c r="E27" s="52">
        <v>45611</v>
      </c>
      <c r="F27" s="80">
        <v>47023.01</v>
      </c>
      <c r="G27" s="79" t="s">
        <v>38</v>
      </c>
      <c r="H27" s="49" t="str">
        <f>IF(F27&gt;25000,"C",IF(F27&gt;1000,"B","A"))</f>
        <v>C</v>
      </c>
      <c r="I27" s="48" t="str">
        <f>VLOOKUP(H27,$L$2:$M$4,2,FALSE)</f>
        <v>The Commissioner &amp; Chief Constable are satisfied the spend represents VFM in accordance with the requirements of Category C</v>
      </c>
      <c r="J27" s="60"/>
      <c r="K27" s="60"/>
    </row>
    <row r="28" spans="1:11" x14ac:dyDescent="0.2">
      <c r="A28" s="56" t="s">
        <v>8</v>
      </c>
      <c r="B28" s="55" t="s">
        <v>9</v>
      </c>
      <c r="C28" s="81" t="s">
        <v>113</v>
      </c>
      <c r="D28" s="53">
        <v>7176077</v>
      </c>
      <c r="E28" s="52">
        <v>45603</v>
      </c>
      <c r="F28" s="80">
        <v>41700</v>
      </c>
      <c r="G28" s="84" t="s">
        <v>75</v>
      </c>
      <c r="H28" s="49" t="str">
        <f>IF(F28&gt;25000,"C",IF(F28&gt;1000,"B","A"))</f>
        <v>C</v>
      </c>
      <c r="I28" s="48" t="str">
        <f>VLOOKUP(H28,$L$2:$M$4,2,FALSE)</f>
        <v>The Commissioner &amp; Chief Constable are satisfied the spend represents VFM in accordance with the requirements of Category C</v>
      </c>
      <c r="J28" s="60"/>
      <c r="K28" s="60"/>
    </row>
    <row r="29" spans="1:11" x14ac:dyDescent="0.2">
      <c r="A29" s="56" t="s">
        <v>8</v>
      </c>
      <c r="B29" s="55" t="s">
        <v>9</v>
      </c>
      <c r="C29" s="81" t="s">
        <v>79</v>
      </c>
      <c r="D29" s="53">
        <v>9036656</v>
      </c>
      <c r="E29" s="52">
        <v>45604</v>
      </c>
      <c r="F29" s="80">
        <v>41646.68</v>
      </c>
      <c r="G29" s="84" t="s">
        <v>80</v>
      </c>
      <c r="H29" s="49" t="str">
        <f>IF(F29&gt;25000,"C",IF(F29&gt;1000,"B","A"))</f>
        <v>C</v>
      </c>
      <c r="I29" s="48" t="str">
        <f>VLOOKUP(H29,$L$2:$M$4,2,FALSE)</f>
        <v>The Commissioner &amp; Chief Constable are satisfied the spend represents VFM in accordance with the requirements of Category C</v>
      </c>
      <c r="J29" s="60"/>
      <c r="K29" s="60"/>
    </row>
    <row r="30" spans="1:11" x14ac:dyDescent="0.2">
      <c r="A30" s="56" t="s">
        <v>8</v>
      </c>
      <c r="B30" s="55" t="s">
        <v>9</v>
      </c>
      <c r="C30" s="81" t="s">
        <v>65</v>
      </c>
      <c r="D30" s="53">
        <v>7179228</v>
      </c>
      <c r="E30" s="52">
        <v>45608</v>
      </c>
      <c r="F30" s="80">
        <v>41170.85</v>
      </c>
      <c r="G30" s="84" t="s">
        <v>66</v>
      </c>
      <c r="H30" s="49" t="str">
        <f>IF(F30&gt;25000,"C",IF(F30&gt;1000,"B","A"))</f>
        <v>C</v>
      </c>
      <c r="I30" s="48" t="str">
        <f>VLOOKUP(H30,$L$2:$M$4,2,FALSE)</f>
        <v>The Commissioner &amp; Chief Constable are satisfied the spend represents VFM in accordance with the requirements of Category C</v>
      </c>
      <c r="J30" s="60"/>
      <c r="K30" s="60"/>
    </row>
    <row r="31" spans="1:11" x14ac:dyDescent="0.2">
      <c r="A31" s="56" t="s">
        <v>8</v>
      </c>
      <c r="B31" s="55" t="s">
        <v>9</v>
      </c>
      <c r="C31" s="81" t="s">
        <v>33</v>
      </c>
      <c r="D31" s="53">
        <v>7179213</v>
      </c>
      <c r="E31" s="52">
        <v>45608</v>
      </c>
      <c r="F31" s="80">
        <v>40309.43</v>
      </c>
      <c r="G31" s="84" t="s">
        <v>15</v>
      </c>
      <c r="H31" s="49" t="str">
        <f>IF(F31&gt;25000,"C",IF(F31&gt;1000,"B","A"))</f>
        <v>C</v>
      </c>
      <c r="I31" s="48" t="str">
        <f>VLOOKUP(H31,$L$2:$M$4,2,FALSE)</f>
        <v>The Commissioner &amp; Chief Constable are satisfied the spend represents VFM in accordance with the requirements of Category C</v>
      </c>
      <c r="J31" s="60"/>
      <c r="K31" s="60"/>
    </row>
    <row r="32" spans="1:11" x14ac:dyDescent="0.2">
      <c r="A32" s="56" t="s">
        <v>8</v>
      </c>
      <c r="B32" s="55" t="s">
        <v>9</v>
      </c>
      <c r="C32" s="82" t="s">
        <v>74</v>
      </c>
      <c r="D32" s="53">
        <v>7179352</v>
      </c>
      <c r="E32" s="52">
        <v>45614</v>
      </c>
      <c r="F32" s="80">
        <v>37920.620000000003</v>
      </c>
      <c r="G32" s="84" t="s">
        <v>15</v>
      </c>
      <c r="H32" s="49" t="str">
        <f>IF(F32&gt;25000,"C",IF(F32&gt;1000,"B","A"))</f>
        <v>C</v>
      </c>
      <c r="I32" s="48" t="str">
        <f>VLOOKUP(H32,$L$2:$M$4,2,FALSE)</f>
        <v>The Commissioner &amp; Chief Constable are satisfied the spend represents VFM in accordance with the requirements of Category C</v>
      </c>
      <c r="J32" s="60"/>
      <c r="K32" s="60"/>
    </row>
    <row r="33" spans="1:11" x14ac:dyDescent="0.2">
      <c r="A33" s="56" t="s">
        <v>8</v>
      </c>
      <c r="B33" s="55" t="s">
        <v>9</v>
      </c>
      <c r="C33" s="81" t="s">
        <v>52</v>
      </c>
      <c r="D33" s="53">
        <v>7178926</v>
      </c>
      <c r="E33" s="52">
        <v>45600</v>
      </c>
      <c r="F33" s="80">
        <v>8527.15</v>
      </c>
      <c r="G33" s="84" t="s">
        <v>45</v>
      </c>
      <c r="H33" s="49" t="str">
        <f>IF(F33&gt;25000,"C",IF(F33&gt;1000,"B","A"))</f>
        <v>B</v>
      </c>
      <c r="I33" s="48" t="str">
        <f>VLOOKUP(H33,$L$2:$M$4,2,FALSE)</f>
        <v>The Commissioner &amp; Chief Constable are satisfied the spend represents VFM in accordance with the requirements of Category B</v>
      </c>
      <c r="J33" s="60"/>
      <c r="K33" s="60"/>
    </row>
    <row r="34" spans="1:11" x14ac:dyDescent="0.2">
      <c r="A34" s="56" t="s">
        <v>8</v>
      </c>
      <c r="B34" s="55" t="s">
        <v>9</v>
      </c>
      <c r="C34" s="81" t="s">
        <v>52</v>
      </c>
      <c r="D34" s="53">
        <v>7178926</v>
      </c>
      <c r="E34" s="52">
        <v>45600</v>
      </c>
      <c r="F34" s="80">
        <v>16420</v>
      </c>
      <c r="G34" s="84" t="s">
        <v>81</v>
      </c>
      <c r="H34" s="49" t="str">
        <f>IF(F34&gt;25000,"C",IF(F34&gt;1000,"B","A"))</f>
        <v>B</v>
      </c>
      <c r="I34" s="48" t="str">
        <f>VLOOKUP(H34,$L$2:$M$4,2,FALSE)</f>
        <v>The Commissioner &amp; Chief Constable are satisfied the spend represents VFM in accordance with the requirements of Category B</v>
      </c>
      <c r="J34" s="60"/>
      <c r="K34" s="60"/>
    </row>
    <row r="35" spans="1:11" x14ac:dyDescent="0.2">
      <c r="A35" s="56" t="s">
        <v>8</v>
      </c>
      <c r="B35" s="55" t="s">
        <v>9</v>
      </c>
      <c r="C35" s="81" t="s">
        <v>52</v>
      </c>
      <c r="D35" s="53">
        <v>7178926</v>
      </c>
      <c r="E35" s="52">
        <v>45600</v>
      </c>
      <c r="F35" s="83">
        <v>9896.5</v>
      </c>
      <c r="G35" s="79" t="s">
        <v>82</v>
      </c>
      <c r="H35" s="49" t="str">
        <f>IF(F35&gt;25000,"C",IF(F35&gt;1000,"B","A"))</f>
        <v>B</v>
      </c>
      <c r="I35" s="48" t="str">
        <f>VLOOKUP(H35,$L$2:$M$4,2,FALSE)</f>
        <v>The Commissioner &amp; Chief Constable are satisfied the spend represents VFM in accordance with the requirements of Category B</v>
      </c>
      <c r="J35" s="60"/>
      <c r="K35" s="60"/>
    </row>
    <row r="36" spans="1:11" x14ac:dyDescent="0.2">
      <c r="A36" s="56" t="s">
        <v>8</v>
      </c>
      <c r="B36" s="55" t="s">
        <v>9</v>
      </c>
      <c r="C36" s="81" t="s">
        <v>497</v>
      </c>
      <c r="D36" s="53">
        <v>7179095</v>
      </c>
      <c r="E36" s="52">
        <v>45608</v>
      </c>
      <c r="F36" s="80">
        <v>34128.28</v>
      </c>
      <c r="G36" s="79" t="s">
        <v>89</v>
      </c>
      <c r="H36" s="49" t="str">
        <f>IF(F36&gt;25000,"C",IF(F36&gt;1000,"B","A"))</f>
        <v>C</v>
      </c>
      <c r="I36" s="48" t="str">
        <f>VLOOKUP(H36,$L$2:$M$4,2,FALSE)</f>
        <v>The Commissioner &amp; Chief Constable are satisfied the spend represents VFM in accordance with the requirements of Category C</v>
      </c>
      <c r="J36" s="60"/>
      <c r="K36" s="60"/>
    </row>
    <row r="37" spans="1:11" x14ac:dyDescent="0.2">
      <c r="A37" s="56" t="s">
        <v>8</v>
      </c>
      <c r="B37" s="55" t="s">
        <v>9</v>
      </c>
      <c r="C37" s="81" t="s">
        <v>33</v>
      </c>
      <c r="D37" s="53">
        <v>7179223</v>
      </c>
      <c r="E37" s="52">
        <v>45608</v>
      </c>
      <c r="F37" s="80">
        <v>33064.68</v>
      </c>
      <c r="G37" s="79" t="s">
        <v>15</v>
      </c>
      <c r="H37" s="49" t="str">
        <f>IF(F37&gt;25000,"C",IF(F37&gt;1000,"B","A"))</f>
        <v>C</v>
      </c>
      <c r="I37" s="48" t="str">
        <f>VLOOKUP(H37,$L$2:$M$4,2,FALSE)</f>
        <v>The Commissioner &amp; Chief Constable are satisfied the spend represents VFM in accordance with the requirements of Category C</v>
      </c>
      <c r="J37" s="60"/>
      <c r="K37" s="60"/>
    </row>
    <row r="38" spans="1:11" x14ac:dyDescent="0.2">
      <c r="A38" s="56" t="s">
        <v>8</v>
      </c>
      <c r="B38" s="55" t="s">
        <v>9</v>
      </c>
      <c r="C38" s="81" t="s">
        <v>448</v>
      </c>
      <c r="D38" s="53">
        <v>7179088</v>
      </c>
      <c r="E38" s="52">
        <v>45608</v>
      </c>
      <c r="F38" s="80">
        <v>30507</v>
      </c>
      <c r="G38" s="79" t="s">
        <v>27</v>
      </c>
      <c r="H38" s="49" t="str">
        <f>IF(F38&gt;25000,"C",IF(F38&gt;1000,"B","A"))</f>
        <v>C</v>
      </c>
      <c r="I38" s="48" t="str">
        <f>VLOOKUP(H38,$L$2:$M$4,2,FALSE)</f>
        <v>The Commissioner &amp; Chief Constable are satisfied the spend represents VFM in accordance with the requirements of Category C</v>
      </c>
      <c r="J38" s="60"/>
      <c r="K38" s="60"/>
    </row>
    <row r="39" spans="1:11" x14ac:dyDescent="0.2">
      <c r="A39" s="56" t="s">
        <v>8</v>
      </c>
      <c r="B39" s="55" t="s">
        <v>9</v>
      </c>
      <c r="C39" s="81" t="s">
        <v>44</v>
      </c>
      <c r="D39" s="53">
        <v>7178908</v>
      </c>
      <c r="E39" s="52">
        <v>45597</v>
      </c>
      <c r="F39" s="80">
        <v>4852.63</v>
      </c>
      <c r="G39" s="79" t="s">
        <v>45</v>
      </c>
      <c r="H39" s="49" t="str">
        <f>IF(F39&gt;25000,"C",IF(F39&gt;1000,"B","A"))</f>
        <v>B</v>
      </c>
      <c r="I39" s="48" t="str">
        <f>VLOOKUP(H39,$L$2:$M$4,2,FALSE)</f>
        <v>The Commissioner &amp; Chief Constable are satisfied the spend represents VFM in accordance with the requirements of Category B</v>
      </c>
      <c r="J39" s="60"/>
      <c r="K39" s="60"/>
    </row>
    <row r="40" spans="1:11" x14ac:dyDescent="0.2">
      <c r="A40" s="56" t="s">
        <v>8</v>
      </c>
      <c r="B40" s="55" t="s">
        <v>9</v>
      </c>
      <c r="C40" s="81" t="s">
        <v>44</v>
      </c>
      <c r="D40" s="53">
        <v>7178908</v>
      </c>
      <c r="E40" s="52">
        <v>45597</v>
      </c>
      <c r="F40" s="80">
        <v>16279</v>
      </c>
      <c r="G40" s="79" t="s">
        <v>81</v>
      </c>
      <c r="H40" s="49" t="str">
        <f>IF(F40&gt;25000,"C",IF(F40&gt;1000,"B","A"))</f>
        <v>B</v>
      </c>
      <c r="I40" s="48" t="str">
        <f>VLOOKUP(H40,$L$2:$M$4,2,FALSE)</f>
        <v>The Commissioner &amp; Chief Constable are satisfied the spend represents VFM in accordance with the requirements of Category B</v>
      </c>
      <c r="J40" s="60"/>
      <c r="K40" s="60"/>
    </row>
    <row r="41" spans="1:11" x14ac:dyDescent="0.2">
      <c r="A41" s="56" t="s">
        <v>8</v>
      </c>
      <c r="B41" s="55" t="s">
        <v>9</v>
      </c>
      <c r="C41" s="81" t="s">
        <v>44</v>
      </c>
      <c r="D41" s="53">
        <v>7178908</v>
      </c>
      <c r="E41" s="52">
        <v>45597</v>
      </c>
      <c r="F41" s="80">
        <v>8631</v>
      </c>
      <c r="G41" s="79" t="s">
        <v>82</v>
      </c>
      <c r="H41" s="49" t="str">
        <f>IF(F41&gt;25000,"C",IF(F41&gt;1000,"B","A"))</f>
        <v>B</v>
      </c>
      <c r="I41" s="48" t="str">
        <f>VLOOKUP(H41,$L$2:$M$4,2,FALSE)</f>
        <v>The Commissioner &amp; Chief Constable are satisfied the spend represents VFM in accordance with the requirements of Category B</v>
      </c>
      <c r="J41" s="60"/>
      <c r="K41" s="60"/>
    </row>
    <row r="42" spans="1:11" x14ac:dyDescent="0.2">
      <c r="A42" s="56" t="s">
        <v>8</v>
      </c>
      <c r="B42" s="55" t="s">
        <v>9</v>
      </c>
      <c r="C42" s="81" t="s">
        <v>478</v>
      </c>
      <c r="D42" s="53">
        <v>7179496</v>
      </c>
      <c r="E42" s="52">
        <v>45621</v>
      </c>
      <c r="F42" s="80">
        <v>28758.62</v>
      </c>
      <c r="G42" s="79" t="s">
        <v>89</v>
      </c>
      <c r="H42" s="49" t="str">
        <f>IF(F42&gt;25000,"C",IF(F42&gt;1000,"B","A"))</f>
        <v>C</v>
      </c>
      <c r="I42" s="48" t="str">
        <f>VLOOKUP(H42,$L$2:$M$4,2,FALSE)</f>
        <v>The Commissioner &amp; Chief Constable are satisfied the spend represents VFM in accordance with the requirements of Category C</v>
      </c>
      <c r="J42" s="60"/>
      <c r="K42" s="60"/>
    </row>
    <row r="43" spans="1:11" x14ac:dyDescent="0.2">
      <c r="A43" s="56" t="s">
        <v>8</v>
      </c>
      <c r="B43" s="55" t="s">
        <v>9</v>
      </c>
      <c r="C43" s="81" t="s">
        <v>90</v>
      </c>
      <c r="D43" s="53">
        <v>7179318</v>
      </c>
      <c r="E43" s="52">
        <v>45610</v>
      </c>
      <c r="F43" s="80">
        <v>28421.95</v>
      </c>
      <c r="G43" s="79" t="s">
        <v>91</v>
      </c>
      <c r="H43" s="49" t="str">
        <f>IF(F43&gt;25000,"C",IF(F43&gt;1000,"B","A"))</f>
        <v>C</v>
      </c>
      <c r="I43" s="48" t="str">
        <f>VLOOKUP(H43,$L$2:$M$4,2,FALSE)</f>
        <v>The Commissioner &amp; Chief Constable are satisfied the spend represents VFM in accordance with the requirements of Category C</v>
      </c>
      <c r="J43" s="60"/>
      <c r="K43" s="60"/>
    </row>
    <row r="44" spans="1:11" x14ac:dyDescent="0.2">
      <c r="A44" s="56" t="s">
        <v>8</v>
      </c>
      <c r="B44" s="55" t="s">
        <v>9</v>
      </c>
      <c r="C44" s="81" t="s">
        <v>925</v>
      </c>
      <c r="D44" s="53">
        <v>7178649</v>
      </c>
      <c r="E44" s="52">
        <v>45601</v>
      </c>
      <c r="F44" s="80">
        <v>27883.99</v>
      </c>
      <c r="G44" s="79" t="s">
        <v>177</v>
      </c>
      <c r="H44" s="49" t="str">
        <f>IF(F44&gt;25000,"C",IF(F44&gt;1000,"B","A"))</f>
        <v>C</v>
      </c>
      <c r="I44" s="48" t="str">
        <f>VLOOKUP(H44,$L$2:$M$4,2,FALSE)</f>
        <v>The Commissioner &amp; Chief Constable are satisfied the spend represents VFM in accordance with the requirements of Category C</v>
      </c>
      <c r="J44" s="60"/>
      <c r="K44" s="60"/>
    </row>
    <row r="45" spans="1:11" x14ac:dyDescent="0.2">
      <c r="A45" s="56" t="s">
        <v>8</v>
      </c>
      <c r="B45" s="55" t="s">
        <v>9</v>
      </c>
      <c r="C45" s="81" t="s">
        <v>72</v>
      </c>
      <c r="D45" s="53">
        <v>7178903</v>
      </c>
      <c r="E45" s="52">
        <v>45600</v>
      </c>
      <c r="F45" s="80">
        <v>26981.13</v>
      </c>
      <c r="G45" s="79" t="s">
        <v>27</v>
      </c>
      <c r="H45" s="49" t="str">
        <f>IF(F45&gt;25000,"C",IF(F45&gt;1000,"B","A"))</f>
        <v>C</v>
      </c>
      <c r="I45" s="48" t="str">
        <f>VLOOKUP(H45,$L$2:$M$4,2,FALSE)</f>
        <v>The Commissioner &amp; Chief Constable are satisfied the spend represents VFM in accordance with the requirements of Category C</v>
      </c>
      <c r="J45" s="60"/>
      <c r="K45" s="60"/>
    </row>
    <row r="46" spans="1:11" x14ac:dyDescent="0.2">
      <c r="A46" s="56" t="s">
        <v>8</v>
      </c>
      <c r="B46" s="55" t="s">
        <v>9</v>
      </c>
      <c r="C46" s="81" t="s">
        <v>74</v>
      </c>
      <c r="D46" s="53">
        <v>7179830</v>
      </c>
      <c r="E46" s="52">
        <v>45624</v>
      </c>
      <c r="F46" s="83">
        <v>26782.47</v>
      </c>
      <c r="G46" s="79" t="s">
        <v>218</v>
      </c>
      <c r="H46" s="49" t="str">
        <f>IF(F46&gt;25000,"C",IF(F46&gt;1000,"B","A"))</f>
        <v>C</v>
      </c>
      <c r="I46" s="48" t="str">
        <f>VLOOKUP(H46,$L$2:$M$4,2,FALSE)</f>
        <v>The Commissioner &amp; Chief Constable are satisfied the spend represents VFM in accordance with the requirements of Category C</v>
      </c>
      <c r="J46" s="60"/>
      <c r="K46" s="60"/>
    </row>
    <row r="47" spans="1:11" x14ac:dyDescent="0.2">
      <c r="A47" s="56" t="s">
        <v>8</v>
      </c>
      <c r="B47" s="55" t="s">
        <v>9</v>
      </c>
      <c r="C47" s="81" t="s">
        <v>152</v>
      </c>
      <c r="D47" s="53">
        <v>7179392</v>
      </c>
      <c r="E47" s="52">
        <v>45617</v>
      </c>
      <c r="F47" s="80">
        <v>25584</v>
      </c>
      <c r="G47" s="79" t="s">
        <v>102</v>
      </c>
      <c r="H47" s="49" t="str">
        <f>IF(F47&gt;25000,"C",IF(F47&gt;1000,"B","A"))</f>
        <v>C</v>
      </c>
      <c r="I47" s="48" t="str">
        <f>VLOOKUP(H47,$L$2:$M$4,2,FALSE)</f>
        <v>The Commissioner &amp; Chief Constable are satisfied the spend represents VFM in accordance with the requirements of Category C</v>
      </c>
      <c r="J47" s="60"/>
      <c r="K47" s="60"/>
    </row>
    <row r="48" spans="1:11" x14ac:dyDescent="0.2">
      <c r="A48" s="56" t="s">
        <v>8</v>
      </c>
      <c r="B48" s="55" t="s">
        <v>9</v>
      </c>
      <c r="C48" s="81" t="s">
        <v>103</v>
      </c>
      <c r="D48" s="53">
        <v>7179623</v>
      </c>
      <c r="E48" s="52">
        <v>45622</v>
      </c>
      <c r="F48" s="80">
        <v>24960</v>
      </c>
      <c r="G48" s="79" t="s">
        <v>164</v>
      </c>
      <c r="H48" s="49" t="str">
        <f>IF(F48&gt;25000,"C",IF(F48&gt;1000,"B","A"))</f>
        <v>B</v>
      </c>
      <c r="I48" s="48" t="str">
        <f>VLOOKUP(H48,$L$2:$M$4,2,FALSE)</f>
        <v>The Commissioner &amp; Chief Constable are satisfied the spend represents VFM in accordance with the requirements of Category B</v>
      </c>
      <c r="J48" s="60"/>
      <c r="K48" s="60"/>
    </row>
    <row r="49" spans="1:11" x14ac:dyDescent="0.2">
      <c r="A49" s="56" t="s">
        <v>8</v>
      </c>
      <c r="B49" s="55" t="s">
        <v>9</v>
      </c>
      <c r="C49" s="81" t="s">
        <v>85</v>
      </c>
      <c r="D49" s="53">
        <v>7178877</v>
      </c>
      <c r="E49" s="52">
        <v>45600</v>
      </c>
      <c r="F49" s="83">
        <v>24879.75</v>
      </c>
      <c r="G49" s="84" t="s">
        <v>27</v>
      </c>
      <c r="H49" s="49" t="str">
        <f>IF(F49&gt;25000,"C",IF(F49&gt;1000,"B","A"))</f>
        <v>B</v>
      </c>
      <c r="I49" s="48" t="str">
        <f>VLOOKUP(H49,$L$2:$M$4,2,FALSE)</f>
        <v>The Commissioner &amp; Chief Constable are satisfied the spend represents VFM in accordance with the requirements of Category B</v>
      </c>
      <c r="J49" s="60"/>
      <c r="K49" s="60"/>
    </row>
    <row r="50" spans="1:11" x14ac:dyDescent="0.2">
      <c r="A50" s="56" t="s">
        <v>8</v>
      </c>
      <c r="B50" s="55" t="s">
        <v>9</v>
      </c>
      <c r="C50" s="81" t="s">
        <v>26</v>
      </c>
      <c r="D50" s="53">
        <v>7179833</v>
      </c>
      <c r="E50" s="52">
        <v>45624</v>
      </c>
      <c r="F50" s="80">
        <v>22664.100000000002</v>
      </c>
      <c r="G50" s="84" t="s">
        <v>88</v>
      </c>
      <c r="H50" s="49" t="str">
        <f>IF(F50&gt;25000,"C",IF(F50&gt;1000,"B","A"))</f>
        <v>B</v>
      </c>
      <c r="I50" s="48" t="str">
        <f>VLOOKUP(H50,$L$2:$M$4,2,FALSE)</f>
        <v>The Commissioner &amp; Chief Constable are satisfied the spend represents VFM in accordance with the requirements of Category B</v>
      </c>
      <c r="J50" s="60"/>
      <c r="K50" s="60"/>
    </row>
    <row r="51" spans="1:11" x14ac:dyDescent="0.2">
      <c r="A51" s="56" t="s">
        <v>8</v>
      </c>
      <c r="B51" s="55" t="s">
        <v>9</v>
      </c>
      <c r="C51" s="81" t="s">
        <v>85</v>
      </c>
      <c r="D51" s="53">
        <v>7179031</v>
      </c>
      <c r="E51" s="52">
        <v>45608</v>
      </c>
      <c r="F51" s="83">
        <v>22419.5</v>
      </c>
      <c r="G51" s="79" t="s">
        <v>27</v>
      </c>
      <c r="H51" s="49" t="str">
        <f>IF(F51&gt;25000,"C",IF(F51&gt;1000,"B","A"))</f>
        <v>B</v>
      </c>
      <c r="I51" s="48" t="str">
        <f>VLOOKUP(H51,$L$2:$M$4,2,FALSE)</f>
        <v>The Commissioner &amp; Chief Constable are satisfied the spend represents VFM in accordance with the requirements of Category B</v>
      </c>
      <c r="J51" s="60"/>
      <c r="K51" s="60"/>
    </row>
    <row r="52" spans="1:11" x14ac:dyDescent="0.2">
      <c r="A52" s="56" t="s">
        <v>8</v>
      </c>
      <c r="B52" s="55" t="s">
        <v>9</v>
      </c>
      <c r="C52" s="81" t="s">
        <v>117</v>
      </c>
      <c r="D52" s="53">
        <v>7179162</v>
      </c>
      <c r="E52" s="52">
        <v>45610</v>
      </c>
      <c r="F52" s="80">
        <v>22143.360000000001</v>
      </c>
      <c r="G52" s="84" t="s">
        <v>118</v>
      </c>
      <c r="H52" s="49" t="str">
        <f>IF(F52&gt;25000,"C",IF(F52&gt;1000,"B","A"))</f>
        <v>B</v>
      </c>
      <c r="I52" s="48" t="str">
        <f>VLOOKUP(H52,$L$2:$M$4,2,FALSE)</f>
        <v>The Commissioner &amp; Chief Constable are satisfied the spend represents VFM in accordance with the requirements of Category B</v>
      </c>
      <c r="J52" s="60"/>
      <c r="K52" s="60"/>
    </row>
    <row r="53" spans="1:11" x14ac:dyDescent="0.2">
      <c r="A53" s="56" t="s">
        <v>8</v>
      </c>
      <c r="B53" s="55" t="s">
        <v>9</v>
      </c>
      <c r="C53" s="82" t="s">
        <v>793</v>
      </c>
      <c r="D53" s="53">
        <v>7178808</v>
      </c>
      <c r="E53" s="52">
        <v>45600</v>
      </c>
      <c r="F53" s="83">
        <v>21999.75</v>
      </c>
      <c r="G53" s="79" t="s">
        <v>27</v>
      </c>
      <c r="H53" s="49" t="str">
        <f>IF(F53&gt;25000,"C",IF(F53&gt;1000,"B","A"))</f>
        <v>B</v>
      </c>
      <c r="I53" s="48" t="str">
        <f>VLOOKUP(H53,$L$2:$M$4,2,FALSE)</f>
        <v>The Commissioner &amp; Chief Constable are satisfied the spend represents VFM in accordance with the requirements of Category B</v>
      </c>
      <c r="J53" s="60"/>
      <c r="K53" s="60"/>
    </row>
    <row r="54" spans="1:11" x14ac:dyDescent="0.2">
      <c r="A54" s="56" t="s">
        <v>8</v>
      </c>
      <c r="B54" s="55" t="s">
        <v>9</v>
      </c>
      <c r="C54" s="81" t="s">
        <v>85</v>
      </c>
      <c r="D54" s="53">
        <v>7179374</v>
      </c>
      <c r="E54" s="52">
        <v>45610</v>
      </c>
      <c r="F54" s="80">
        <v>21872.55</v>
      </c>
      <c r="G54" s="84" t="s">
        <v>27</v>
      </c>
      <c r="H54" s="49" t="str">
        <f>IF(F54&gt;25000,"C",IF(F54&gt;1000,"B","A"))</f>
        <v>B</v>
      </c>
      <c r="I54" s="48" t="str">
        <f>VLOOKUP(H54,$L$2:$M$4,2,FALSE)</f>
        <v>The Commissioner &amp; Chief Constable are satisfied the spend represents VFM in accordance with the requirements of Category B</v>
      </c>
      <c r="J54" s="60"/>
      <c r="K54" s="60"/>
    </row>
    <row r="55" spans="1:11" x14ac:dyDescent="0.2">
      <c r="A55" s="56" t="s">
        <v>8</v>
      </c>
      <c r="B55" s="55" t="s">
        <v>9</v>
      </c>
      <c r="C55" s="81" t="s">
        <v>86</v>
      </c>
      <c r="D55" s="53">
        <v>7179142</v>
      </c>
      <c r="E55" s="52">
        <v>45607</v>
      </c>
      <c r="F55" s="83">
        <v>21742.15</v>
      </c>
      <c r="G55" s="79" t="s">
        <v>87</v>
      </c>
      <c r="H55" s="49" t="str">
        <f>IF(F55&gt;25000,"C",IF(F55&gt;1000,"B","A"))</f>
        <v>B</v>
      </c>
      <c r="I55" s="48" t="str">
        <f>VLOOKUP(H55,$L$2:$M$4,2,FALSE)</f>
        <v>The Commissioner &amp; Chief Constable are satisfied the spend represents VFM in accordance with the requirements of Category B</v>
      </c>
      <c r="J55" s="60"/>
      <c r="K55" s="60"/>
    </row>
    <row r="56" spans="1:11" x14ac:dyDescent="0.2">
      <c r="A56" s="56" t="s">
        <v>8</v>
      </c>
      <c r="B56" s="55" t="s">
        <v>9</v>
      </c>
      <c r="C56" s="81" t="s">
        <v>530</v>
      </c>
      <c r="D56" s="53">
        <v>7179443</v>
      </c>
      <c r="E56" s="52">
        <v>45611</v>
      </c>
      <c r="F56" s="80">
        <v>21278.97</v>
      </c>
      <c r="G56" s="79" t="s">
        <v>75</v>
      </c>
      <c r="H56" s="49" t="str">
        <f>IF(F56&gt;25000,"C",IF(F56&gt;1000,"B","A"))</f>
        <v>B</v>
      </c>
      <c r="I56" s="48" t="str">
        <f>VLOOKUP(H56,$L$2:$M$4,2,FALSE)</f>
        <v>The Commissioner &amp; Chief Constable are satisfied the spend represents VFM in accordance with the requirements of Category B</v>
      </c>
      <c r="J56" s="60"/>
      <c r="K56" s="60"/>
    </row>
    <row r="57" spans="1:11" x14ac:dyDescent="0.2">
      <c r="A57" s="56" t="s">
        <v>8</v>
      </c>
      <c r="B57" s="55" t="s">
        <v>9</v>
      </c>
      <c r="C57" s="82" t="s">
        <v>448</v>
      </c>
      <c r="D57" s="53">
        <v>7179087</v>
      </c>
      <c r="E57" s="52">
        <v>45608</v>
      </c>
      <c r="F57" s="83">
        <v>21000</v>
      </c>
      <c r="G57" s="79" t="s">
        <v>27</v>
      </c>
      <c r="H57" s="49" t="str">
        <f>IF(F57&gt;25000,"C",IF(F57&gt;1000,"B","A"))</f>
        <v>B</v>
      </c>
      <c r="I57" s="48" t="str">
        <f>VLOOKUP(H57,$L$2:$M$4,2,FALSE)</f>
        <v>The Commissioner &amp; Chief Constable are satisfied the spend represents VFM in accordance with the requirements of Category B</v>
      </c>
      <c r="J57" s="60"/>
      <c r="K57" s="60"/>
    </row>
    <row r="58" spans="1:11" x14ac:dyDescent="0.2">
      <c r="A58" s="56" t="s">
        <v>8</v>
      </c>
      <c r="B58" s="55" t="s">
        <v>9</v>
      </c>
      <c r="C58" s="82" t="s">
        <v>26</v>
      </c>
      <c r="D58" s="53">
        <v>7175182</v>
      </c>
      <c r="E58" s="52">
        <v>45607</v>
      </c>
      <c r="F58" s="83">
        <v>20887</v>
      </c>
      <c r="G58" s="79" t="s">
        <v>54</v>
      </c>
      <c r="H58" s="49" t="str">
        <f>IF(F58&gt;25000,"C",IF(F58&gt;1000,"B","A"))</f>
        <v>B</v>
      </c>
      <c r="I58" s="48" t="str">
        <f>VLOOKUP(H58,$L$2:$M$4,2,FALSE)</f>
        <v>The Commissioner &amp; Chief Constable are satisfied the spend represents VFM in accordance with the requirements of Category B</v>
      </c>
      <c r="J58" s="60"/>
      <c r="K58" s="60"/>
    </row>
    <row r="59" spans="1:11" x14ac:dyDescent="0.2">
      <c r="A59" s="56" t="s">
        <v>8</v>
      </c>
      <c r="B59" s="55" t="s">
        <v>9</v>
      </c>
      <c r="C59" s="81" t="s">
        <v>74</v>
      </c>
      <c r="D59" s="53">
        <v>7174512</v>
      </c>
      <c r="E59" s="52">
        <v>45611</v>
      </c>
      <c r="F59" s="80">
        <v>19295.5</v>
      </c>
      <c r="G59" s="79" t="s">
        <v>15</v>
      </c>
      <c r="H59" s="49" t="str">
        <f>IF(F59&gt;25000,"C",IF(F59&gt;1000,"B","A"))</f>
        <v>B</v>
      </c>
      <c r="I59" s="48" t="str">
        <f>VLOOKUP(H59,$L$2:$M$4,2,FALSE)</f>
        <v>The Commissioner &amp; Chief Constable are satisfied the spend represents VFM in accordance with the requirements of Category B</v>
      </c>
      <c r="J59" s="60"/>
      <c r="K59" s="60"/>
    </row>
    <row r="60" spans="1:11" x14ac:dyDescent="0.2">
      <c r="A60" s="56" t="s">
        <v>8</v>
      </c>
      <c r="B60" s="55" t="s">
        <v>9</v>
      </c>
      <c r="C60" s="82" t="s">
        <v>793</v>
      </c>
      <c r="D60" s="53">
        <v>7178807</v>
      </c>
      <c r="E60" s="52">
        <v>45600</v>
      </c>
      <c r="F60" s="80">
        <v>19214.5</v>
      </c>
      <c r="G60" s="79" t="s">
        <v>27</v>
      </c>
      <c r="H60" s="49" t="str">
        <f>IF(F60&gt;25000,"C",IF(F60&gt;1000,"B","A"))</f>
        <v>B</v>
      </c>
      <c r="I60" s="48" t="str">
        <f>VLOOKUP(H60,$L$2:$M$4,2,FALSE)</f>
        <v>The Commissioner &amp; Chief Constable are satisfied the spend represents VFM in accordance with the requirements of Category B</v>
      </c>
      <c r="J60" s="60"/>
      <c r="K60" s="60"/>
    </row>
    <row r="61" spans="1:11" x14ac:dyDescent="0.2">
      <c r="A61" s="56" t="s">
        <v>8</v>
      </c>
      <c r="B61" s="55" t="s">
        <v>9</v>
      </c>
      <c r="C61" s="82" t="s">
        <v>982</v>
      </c>
      <c r="D61" s="53">
        <v>7179371</v>
      </c>
      <c r="E61" s="52">
        <v>45610</v>
      </c>
      <c r="F61" s="83">
        <v>19039</v>
      </c>
      <c r="G61" s="79" t="s">
        <v>27</v>
      </c>
      <c r="H61" s="49" t="str">
        <f>IF(F61&gt;25000,"C",IF(F61&gt;1000,"B","A"))</f>
        <v>B</v>
      </c>
      <c r="I61" s="48" t="str">
        <f>VLOOKUP(H61,$L$2:$M$4,2,FALSE)</f>
        <v>The Commissioner &amp; Chief Constable are satisfied the spend represents VFM in accordance with the requirements of Category B</v>
      </c>
      <c r="J61" s="60"/>
      <c r="K61" s="60"/>
    </row>
    <row r="62" spans="1:11" x14ac:dyDescent="0.2">
      <c r="A62" s="56" t="s">
        <v>8</v>
      </c>
      <c r="B62" s="55" t="s">
        <v>9</v>
      </c>
      <c r="C62" s="82" t="s">
        <v>981</v>
      </c>
      <c r="D62" s="53">
        <v>7176189</v>
      </c>
      <c r="E62" s="52">
        <v>45600</v>
      </c>
      <c r="F62" s="80">
        <v>18747</v>
      </c>
      <c r="G62" s="79" t="s">
        <v>148</v>
      </c>
      <c r="H62" s="49" t="str">
        <f>IF(F62&gt;25000,"C",IF(F62&gt;1000,"B","A"))</f>
        <v>B</v>
      </c>
      <c r="I62" s="48" t="str">
        <f>VLOOKUP(H62,$L$2:$M$4,2,FALSE)</f>
        <v>The Commissioner &amp; Chief Constable are satisfied the spend represents VFM in accordance with the requirements of Category B</v>
      </c>
      <c r="J62" s="60"/>
      <c r="K62" s="60"/>
    </row>
    <row r="63" spans="1:11" x14ac:dyDescent="0.2">
      <c r="A63" s="56" t="s">
        <v>8</v>
      </c>
      <c r="B63" s="55" t="s">
        <v>9</v>
      </c>
      <c r="C63" s="81" t="s">
        <v>57</v>
      </c>
      <c r="D63" s="53">
        <v>7178863</v>
      </c>
      <c r="E63" s="52">
        <v>45597</v>
      </c>
      <c r="F63" s="80">
        <v>17964.52</v>
      </c>
      <c r="G63" s="79" t="s">
        <v>58</v>
      </c>
      <c r="H63" s="49" t="str">
        <f>IF(F63&gt;25000,"C",IF(F63&gt;1000,"B","A"))</f>
        <v>B</v>
      </c>
      <c r="I63" s="48" t="str">
        <f>VLOOKUP(H63,$L$2:$M$4,2,FALSE)</f>
        <v>The Commissioner &amp; Chief Constable are satisfied the spend represents VFM in accordance with the requirements of Category B</v>
      </c>
      <c r="J63" s="60"/>
      <c r="K63" s="60"/>
    </row>
    <row r="64" spans="1:11" x14ac:dyDescent="0.2">
      <c r="A64" s="56" t="s">
        <v>8</v>
      </c>
      <c r="B64" s="55" t="s">
        <v>9</v>
      </c>
      <c r="C64" s="82" t="s">
        <v>980</v>
      </c>
      <c r="D64" s="53">
        <v>9036654</v>
      </c>
      <c r="E64" s="52">
        <v>45604</v>
      </c>
      <c r="F64" s="80">
        <v>17935.68</v>
      </c>
      <c r="G64" s="84" t="s">
        <v>979</v>
      </c>
      <c r="H64" s="49" t="str">
        <f>IF(F64&gt;25000,"C",IF(F64&gt;1000,"B","A"))</f>
        <v>B</v>
      </c>
      <c r="I64" s="48" t="str">
        <f>VLOOKUP(H64,$L$2:$M$4,2,FALSE)</f>
        <v>The Commissioner &amp; Chief Constable are satisfied the spend represents VFM in accordance with the requirements of Category B</v>
      </c>
      <c r="J64" s="60"/>
      <c r="K64" s="60"/>
    </row>
    <row r="65" spans="1:11" x14ac:dyDescent="0.2">
      <c r="A65" s="56" t="s">
        <v>8</v>
      </c>
      <c r="B65" s="55" t="s">
        <v>9</v>
      </c>
      <c r="C65" s="82" t="s">
        <v>706</v>
      </c>
      <c r="D65" s="53">
        <v>7178961</v>
      </c>
      <c r="E65" s="52">
        <v>45603</v>
      </c>
      <c r="F65" s="80">
        <v>17483.77</v>
      </c>
      <c r="G65" s="84" t="s">
        <v>574</v>
      </c>
      <c r="H65" s="49" t="str">
        <f>IF(F65&gt;25000,"C",IF(F65&gt;1000,"B","A"))</f>
        <v>B</v>
      </c>
      <c r="I65" s="48" t="str">
        <f>VLOOKUP(H65,$L$2:$M$4,2,FALSE)</f>
        <v>The Commissioner &amp; Chief Constable are satisfied the spend represents VFM in accordance with the requirements of Category B</v>
      </c>
      <c r="J65" s="60"/>
      <c r="K65" s="60"/>
    </row>
    <row r="66" spans="1:11" x14ac:dyDescent="0.2">
      <c r="A66" s="56" t="s">
        <v>8</v>
      </c>
      <c r="B66" s="55" t="s">
        <v>9</v>
      </c>
      <c r="C66" s="81" t="s">
        <v>706</v>
      </c>
      <c r="D66" s="53">
        <v>7179291</v>
      </c>
      <c r="E66" s="52">
        <v>45609</v>
      </c>
      <c r="F66" s="80">
        <v>17483.77</v>
      </c>
      <c r="G66" s="79" t="s">
        <v>574</v>
      </c>
      <c r="H66" s="49" t="str">
        <f>IF(F66&gt;25000,"C",IF(F66&gt;1000,"B","A"))</f>
        <v>B</v>
      </c>
      <c r="I66" s="48" t="str">
        <f>VLOOKUP(H66,$L$2:$M$4,2,FALSE)</f>
        <v>The Commissioner &amp; Chief Constable are satisfied the spend represents VFM in accordance with the requirements of Category B</v>
      </c>
      <c r="J66" s="60"/>
      <c r="K66" s="60"/>
    </row>
    <row r="67" spans="1:11" x14ac:dyDescent="0.2">
      <c r="A67" s="56" t="s">
        <v>8</v>
      </c>
      <c r="B67" s="55" t="s">
        <v>9</v>
      </c>
      <c r="C67" s="82" t="s">
        <v>706</v>
      </c>
      <c r="D67" s="53">
        <v>7179293</v>
      </c>
      <c r="E67" s="52">
        <v>45609</v>
      </c>
      <c r="F67" s="80">
        <v>17483.77</v>
      </c>
      <c r="G67" s="79" t="s">
        <v>574</v>
      </c>
      <c r="H67" s="49" t="str">
        <f>IF(F67&gt;25000,"C",IF(F67&gt;1000,"B","A"))</f>
        <v>B</v>
      </c>
      <c r="I67" s="48" t="str">
        <f>VLOOKUP(H67,$L$2:$M$4,2,FALSE)</f>
        <v>The Commissioner &amp; Chief Constable are satisfied the spend represents VFM in accordance with the requirements of Category B</v>
      </c>
      <c r="J67" s="60"/>
      <c r="K67" s="60"/>
    </row>
    <row r="68" spans="1:11" x14ac:dyDescent="0.2">
      <c r="A68" s="56" t="s">
        <v>8</v>
      </c>
      <c r="B68" s="55" t="s">
        <v>9</v>
      </c>
      <c r="C68" s="81" t="s">
        <v>653</v>
      </c>
      <c r="D68" s="53">
        <v>7179379</v>
      </c>
      <c r="E68" s="52">
        <v>45610</v>
      </c>
      <c r="F68" s="80">
        <v>17192</v>
      </c>
      <c r="G68" s="79" t="s">
        <v>27</v>
      </c>
      <c r="H68" s="49" t="str">
        <f>IF(F68&gt;25000,"C",IF(F68&gt;1000,"B","A"))</f>
        <v>B</v>
      </c>
      <c r="I68" s="48" t="str">
        <f>VLOOKUP(H68,$L$2:$M$4,2,FALSE)</f>
        <v>The Commissioner &amp; Chief Constable are satisfied the spend represents VFM in accordance with the requirements of Category B</v>
      </c>
      <c r="J68" s="60"/>
      <c r="K68" s="60"/>
    </row>
    <row r="69" spans="1:11" x14ac:dyDescent="0.2">
      <c r="A69" s="56" t="s">
        <v>8</v>
      </c>
      <c r="B69" s="55" t="s">
        <v>9</v>
      </c>
      <c r="C69" s="82" t="s">
        <v>26</v>
      </c>
      <c r="D69" s="53">
        <v>7178915</v>
      </c>
      <c r="E69" s="52">
        <v>45600</v>
      </c>
      <c r="F69" s="80">
        <v>16351.4</v>
      </c>
      <c r="G69" s="79" t="s">
        <v>88</v>
      </c>
      <c r="H69" s="49" t="str">
        <f>IF(F69&gt;25000,"C",IF(F69&gt;1000,"B","A"))</f>
        <v>B</v>
      </c>
      <c r="I69" s="48" t="str">
        <f>VLOOKUP(H69,$L$2:$M$4,2,FALSE)</f>
        <v>The Commissioner &amp; Chief Constable are satisfied the spend represents VFM in accordance with the requirements of Category B</v>
      </c>
      <c r="J69" s="60"/>
      <c r="K69" s="60"/>
    </row>
    <row r="70" spans="1:11" x14ac:dyDescent="0.2">
      <c r="A70" s="56" t="s">
        <v>8</v>
      </c>
      <c r="B70" s="55" t="s">
        <v>9</v>
      </c>
      <c r="C70" s="81" t="s">
        <v>137</v>
      </c>
      <c r="D70" s="53">
        <v>7179429</v>
      </c>
      <c r="E70" s="52">
        <v>45618</v>
      </c>
      <c r="F70" s="80">
        <v>15425.54</v>
      </c>
      <c r="G70" s="84" t="s">
        <v>138</v>
      </c>
      <c r="H70" s="49" t="str">
        <f>IF(F70&gt;25000,"C",IF(F70&gt;1000,"B","A"))</f>
        <v>B</v>
      </c>
      <c r="I70" s="48" t="str">
        <f>VLOOKUP(H70,$L$2:$M$4,2,FALSE)</f>
        <v>The Commissioner &amp; Chief Constable are satisfied the spend represents VFM in accordance with the requirements of Category B</v>
      </c>
      <c r="J70" s="60"/>
      <c r="K70" s="60"/>
    </row>
    <row r="71" spans="1:11" x14ac:dyDescent="0.2">
      <c r="A71" s="56" t="s">
        <v>8</v>
      </c>
      <c r="B71" s="55" t="s">
        <v>9</v>
      </c>
      <c r="C71" s="82" t="s">
        <v>107</v>
      </c>
      <c r="D71" s="53">
        <v>7179017</v>
      </c>
      <c r="E71" s="52">
        <v>45603</v>
      </c>
      <c r="F71" s="80">
        <v>14256.56</v>
      </c>
      <c r="G71" s="79" t="s">
        <v>108</v>
      </c>
      <c r="H71" s="49" t="str">
        <f>IF(F71&gt;25000,"C",IF(F71&gt;1000,"B","A"))</f>
        <v>B</v>
      </c>
      <c r="I71" s="48" t="str">
        <f>VLOOKUP(H71,$L$2:$M$4,2,FALSE)</f>
        <v>The Commissioner &amp; Chief Constable are satisfied the spend represents VFM in accordance with the requirements of Category B</v>
      </c>
      <c r="J71" s="60"/>
      <c r="K71" s="60"/>
    </row>
    <row r="72" spans="1:11" x14ac:dyDescent="0.2">
      <c r="A72" s="56" t="s">
        <v>8</v>
      </c>
      <c r="B72" s="55" t="s">
        <v>9</v>
      </c>
      <c r="C72" s="81" t="s">
        <v>170</v>
      </c>
      <c r="D72" s="53">
        <v>7178057</v>
      </c>
      <c r="E72" s="52">
        <v>45602</v>
      </c>
      <c r="F72" s="80">
        <v>14233.93</v>
      </c>
      <c r="G72" s="84" t="s">
        <v>27</v>
      </c>
      <c r="H72" s="49" t="str">
        <f>IF(F72&gt;25000,"C",IF(F72&gt;1000,"B","A"))</f>
        <v>B</v>
      </c>
      <c r="I72" s="48" t="str">
        <f>VLOOKUP(H72,$L$2:$M$4,2,FALSE)</f>
        <v>The Commissioner &amp; Chief Constable are satisfied the spend represents VFM in accordance with the requirements of Category B</v>
      </c>
      <c r="J72" s="60"/>
      <c r="K72" s="60"/>
    </row>
    <row r="73" spans="1:11" x14ac:dyDescent="0.2">
      <c r="A73" s="56" t="s">
        <v>8</v>
      </c>
      <c r="B73" s="55" t="s">
        <v>9</v>
      </c>
      <c r="C73" s="82" t="s">
        <v>121</v>
      </c>
      <c r="D73" s="53">
        <v>7178859</v>
      </c>
      <c r="E73" s="52">
        <v>45602</v>
      </c>
      <c r="F73" s="80">
        <v>14156.26</v>
      </c>
      <c r="G73" s="79" t="s">
        <v>122</v>
      </c>
      <c r="H73" s="49" t="str">
        <f>IF(F73&gt;25000,"C",IF(F73&gt;1000,"B","A"))</f>
        <v>B</v>
      </c>
      <c r="I73" s="48" t="str">
        <f>VLOOKUP(H73,$L$2:$M$4,2,FALSE)</f>
        <v>The Commissioner &amp; Chief Constable are satisfied the spend represents VFM in accordance with the requirements of Category B</v>
      </c>
      <c r="J73" s="60"/>
      <c r="K73" s="60"/>
    </row>
    <row r="74" spans="1:11" x14ac:dyDescent="0.2">
      <c r="A74" s="56" t="s">
        <v>8</v>
      </c>
      <c r="B74" s="55" t="s">
        <v>9</v>
      </c>
      <c r="C74" s="82" t="s">
        <v>121</v>
      </c>
      <c r="D74" s="53">
        <v>7179844</v>
      </c>
      <c r="E74" s="52">
        <v>45624</v>
      </c>
      <c r="F74" s="80">
        <v>12981.44</v>
      </c>
      <c r="G74" s="84" t="s">
        <v>122</v>
      </c>
      <c r="H74" s="49" t="str">
        <f>IF(F74&gt;25000,"C",IF(F74&gt;1000,"B","A"))</f>
        <v>B</v>
      </c>
      <c r="I74" s="48" t="str">
        <f>VLOOKUP(H74,$L$2:$M$4,2,FALSE)</f>
        <v>The Commissioner &amp; Chief Constable are satisfied the spend represents VFM in accordance with the requirements of Category B</v>
      </c>
      <c r="J74" s="60"/>
      <c r="K74" s="60"/>
    </row>
    <row r="75" spans="1:11" x14ac:dyDescent="0.2">
      <c r="A75" s="56" t="s">
        <v>8</v>
      </c>
      <c r="B75" s="55" t="s">
        <v>9</v>
      </c>
      <c r="C75" s="81" t="s">
        <v>110</v>
      </c>
      <c r="D75" s="53">
        <v>7179305</v>
      </c>
      <c r="E75" s="52">
        <v>45624</v>
      </c>
      <c r="F75" s="80">
        <v>12922.83</v>
      </c>
      <c r="G75" s="79" t="s">
        <v>49</v>
      </c>
      <c r="H75" s="49" t="str">
        <f>IF(F75&gt;25000,"C",IF(F75&gt;1000,"B","A"))</f>
        <v>B</v>
      </c>
      <c r="I75" s="48" t="str">
        <f>VLOOKUP(H75,$L$2:$M$4,2,FALSE)</f>
        <v>The Commissioner &amp; Chief Constable are satisfied the spend represents VFM in accordance with the requirements of Category B</v>
      </c>
      <c r="J75" s="60"/>
      <c r="K75" s="60"/>
    </row>
    <row r="76" spans="1:11" x14ac:dyDescent="0.2">
      <c r="A76" s="56" t="s">
        <v>8</v>
      </c>
      <c r="B76" s="55" t="s">
        <v>9</v>
      </c>
      <c r="C76" s="82" t="s">
        <v>266</v>
      </c>
      <c r="D76" s="53">
        <v>7179269</v>
      </c>
      <c r="E76" s="52">
        <v>45610</v>
      </c>
      <c r="F76" s="80">
        <v>12512.52</v>
      </c>
      <c r="G76" s="84" t="s">
        <v>84</v>
      </c>
      <c r="H76" s="49" t="str">
        <f>IF(F76&gt;25000,"C",IF(F76&gt;1000,"B","A"))</f>
        <v>B</v>
      </c>
      <c r="I76" s="48" t="str">
        <f>VLOOKUP(H76,$L$2:$M$4,2,FALSE)</f>
        <v>The Commissioner &amp; Chief Constable are satisfied the spend represents VFM in accordance with the requirements of Category B</v>
      </c>
      <c r="J76" s="60"/>
      <c r="K76" s="60"/>
    </row>
    <row r="77" spans="1:11" x14ac:dyDescent="0.2">
      <c r="A77" s="56" t="s">
        <v>8</v>
      </c>
      <c r="B77" s="55" t="s">
        <v>9</v>
      </c>
      <c r="C77" s="82" t="s">
        <v>109</v>
      </c>
      <c r="D77" s="53">
        <v>7178995</v>
      </c>
      <c r="E77" s="52">
        <v>45607</v>
      </c>
      <c r="F77" s="80">
        <v>12500</v>
      </c>
      <c r="G77" s="79" t="s">
        <v>27</v>
      </c>
      <c r="H77" s="49" t="str">
        <f>IF(F77&gt;25000,"C",IF(F77&gt;1000,"B","A"))</f>
        <v>B</v>
      </c>
      <c r="I77" s="48" t="str">
        <f>VLOOKUP(H77,$L$2:$M$4,2,FALSE)</f>
        <v>The Commissioner &amp; Chief Constable are satisfied the spend represents VFM in accordance with the requirements of Category B</v>
      </c>
      <c r="J77" s="60"/>
      <c r="K77" s="60"/>
    </row>
    <row r="78" spans="1:11" x14ac:dyDescent="0.2">
      <c r="A78" s="56" t="s">
        <v>8</v>
      </c>
      <c r="B78" s="55" t="s">
        <v>9</v>
      </c>
      <c r="C78" s="81" t="s">
        <v>978</v>
      </c>
      <c r="D78" s="53">
        <v>7179217</v>
      </c>
      <c r="E78" s="52">
        <v>45623</v>
      </c>
      <c r="F78" s="80">
        <v>12450</v>
      </c>
      <c r="G78" s="79" t="s">
        <v>22</v>
      </c>
      <c r="H78" s="49" t="str">
        <f>IF(F78&gt;25000,"C",IF(F78&gt;1000,"B","A"))</f>
        <v>B</v>
      </c>
      <c r="I78" s="48" t="str">
        <f>VLOOKUP(H78,$L$2:$M$4,2,FALSE)</f>
        <v>The Commissioner &amp; Chief Constable are satisfied the spend represents VFM in accordance with the requirements of Category B</v>
      </c>
      <c r="J78" s="60"/>
      <c r="K78" s="60"/>
    </row>
    <row r="79" spans="1:11" x14ac:dyDescent="0.2">
      <c r="A79" s="56" t="s">
        <v>8</v>
      </c>
      <c r="B79" s="55" t="s">
        <v>9</v>
      </c>
      <c r="C79" s="82" t="s">
        <v>127</v>
      </c>
      <c r="D79" s="53">
        <v>7178883</v>
      </c>
      <c r="E79" s="52">
        <v>45601</v>
      </c>
      <c r="F79" s="80">
        <v>12313.05</v>
      </c>
      <c r="G79" s="79" t="s">
        <v>49</v>
      </c>
      <c r="H79" s="49" t="str">
        <f>IF(F79&gt;25000,"C",IF(F79&gt;1000,"B","A"))</f>
        <v>B</v>
      </c>
      <c r="I79" s="48" t="str">
        <f>VLOOKUP(H79,$L$2:$M$4,2,FALSE)</f>
        <v>The Commissioner &amp; Chief Constable are satisfied the spend represents VFM in accordance with the requirements of Category B</v>
      </c>
      <c r="J79" s="60"/>
      <c r="K79" s="60"/>
    </row>
    <row r="80" spans="1:11" x14ac:dyDescent="0.2">
      <c r="A80" s="56" t="s">
        <v>8</v>
      </c>
      <c r="B80" s="55" t="s">
        <v>9</v>
      </c>
      <c r="C80" s="82" t="s">
        <v>871</v>
      </c>
      <c r="D80" s="53">
        <v>3068835</v>
      </c>
      <c r="E80" s="52">
        <v>45611</v>
      </c>
      <c r="F80" s="80">
        <v>12214</v>
      </c>
      <c r="G80" s="79" t="s">
        <v>45</v>
      </c>
      <c r="H80" s="49" t="str">
        <f>IF(F80&gt;25000,"C",IF(F80&gt;1000,"B","A"))</f>
        <v>B</v>
      </c>
      <c r="I80" s="48" t="str">
        <f>VLOOKUP(H80,$L$2:$M$4,2,FALSE)</f>
        <v>The Commissioner &amp; Chief Constable are satisfied the spend represents VFM in accordance with the requirements of Category B</v>
      </c>
      <c r="J80" s="60"/>
      <c r="K80" s="60"/>
    </row>
    <row r="81" spans="1:11" x14ac:dyDescent="0.2">
      <c r="A81" s="56" t="s">
        <v>8</v>
      </c>
      <c r="B81" s="55" t="s">
        <v>9</v>
      </c>
      <c r="C81" s="81" t="s">
        <v>871</v>
      </c>
      <c r="D81" s="53">
        <v>3068804</v>
      </c>
      <c r="E81" s="52">
        <v>45604</v>
      </c>
      <c r="F81" s="80">
        <v>11914</v>
      </c>
      <c r="G81" s="79" t="s">
        <v>45</v>
      </c>
      <c r="H81" s="49" t="str">
        <f>IF(F81&gt;25000,"C",IF(F81&gt;1000,"B","A"))</f>
        <v>B</v>
      </c>
      <c r="I81" s="48" t="str">
        <f>VLOOKUP(H81,$L$2:$M$4,2,FALSE)</f>
        <v>The Commissioner &amp; Chief Constable are satisfied the spend represents VFM in accordance with the requirements of Category B</v>
      </c>
      <c r="J81" s="60"/>
      <c r="K81" s="60"/>
    </row>
    <row r="82" spans="1:11" x14ac:dyDescent="0.2">
      <c r="A82" s="56" t="s">
        <v>8</v>
      </c>
      <c r="B82" s="55" t="s">
        <v>9</v>
      </c>
      <c r="C82" s="82" t="s">
        <v>126</v>
      </c>
      <c r="D82" s="53">
        <v>7178109</v>
      </c>
      <c r="E82" s="52">
        <v>45623</v>
      </c>
      <c r="F82" s="80">
        <v>11431.98</v>
      </c>
      <c r="G82" s="79" t="s">
        <v>41</v>
      </c>
      <c r="H82" s="49" t="str">
        <f>IF(F82&gt;25000,"C",IF(F82&gt;1000,"B","A"))</f>
        <v>B</v>
      </c>
      <c r="I82" s="48" t="str">
        <f>VLOOKUP(H82,$L$2:$M$4,2,FALSE)</f>
        <v>The Commissioner &amp; Chief Constable are satisfied the spend represents VFM in accordance with the requirements of Category B</v>
      </c>
      <c r="J82" s="60"/>
      <c r="K82" s="60"/>
    </row>
    <row r="83" spans="1:11" x14ac:dyDescent="0.2">
      <c r="A83" s="56" t="s">
        <v>8</v>
      </c>
      <c r="B83" s="55" t="s">
        <v>9</v>
      </c>
      <c r="C83" s="81" t="s">
        <v>113</v>
      </c>
      <c r="D83" s="53">
        <v>7179422</v>
      </c>
      <c r="E83" s="52">
        <v>45614</v>
      </c>
      <c r="F83" s="80">
        <v>11415.22</v>
      </c>
      <c r="G83" s="79" t="s">
        <v>114</v>
      </c>
      <c r="H83" s="49" t="str">
        <f>IF(F83&gt;25000,"C",IF(F83&gt;1000,"B","A"))</f>
        <v>B</v>
      </c>
      <c r="I83" s="48" t="str">
        <f>VLOOKUP(H83,$L$2:$M$4,2,FALSE)</f>
        <v>The Commissioner &amp; Chief Constable are satisfied the spend represents VFM in accordance with the requirements of Category B</v>
      </c>
      <c r="J83" s="60"/>
      <c r="K83" s="60"/>
    </row>
    <row r="84" spans="1:11" x14ac:dyDescent="0.2">
      <c r="A84" s="56" t="s">
        <v>8</v>
      </c>
      <c r="B84" s="55" t="s">
        <v>9</v>
      </c>
      <c r="C84" s="82" t="s">
        <v>800</v>
      </c>
      <c r="D84" s="53">
        <v>7178710</v>
      </c>
      <c r="E84" s="52">
        <v>45608</v>
      </c>
      <c r="F84" s="80">
        <v>11236.67</v>
      </c>
      <c r="G84" s="79" t="s">
        <v>27</v>
      </c>
      <c r="H84" s="49" t="str">
        <f>IF(F84&gt;25000,"C",IF(F84&gt;1000,"B","A"))</f>
        <v>B</v>
      </c>
      <c r="I84" s="48" t="str">
        <f>VLOOKUP(H84,$L$2:$M$4,2,FALSE)</f>
        <v>The Commissioner &amp; Chief Constable are satisfied the spend represents VFM in accordance with the requirements of Category B</v>
      </c>
      <c r="J84" s="60"/>
      <c r="K84" s="60"/>
    </row>
    <row r="85" spans="1:11" x14ac:dyDescent="0.2">
      <c r="A85" s="56" t="s">
        <v>8</v>
      </c>
      <c r="B85" s="55" t="s">
        <v>9</v>
      </c>
      <c r="C85" s="82" t="s">
        <v>126</v>
      </c>
      <c r="D85" s="53">
        <v>7179077</v>
      </c>
      <c r="E85" s="52">
        <v>45623</v>
      </c>
      <c r="F85" s="80">
        <v>10900.78</v>
      </c>
      <c r="G85" s="79" t="s">
        <v>41</v>
      </c>
      <c r="H85" s="49" t="str">
        <f>IF(F85&gt;25000,"C",IF(F85&gt;1000,"B","A"))</f>
        <v>B</v>
      </c>
      <c r="I85" s="48" t="str">
        <f>VLOOKUP(H85,$L$2:$M$4,2,FALSE)</f>
        <v>The Commissioner &amp; Chief Constable are satisfied the spend represents VFM in accordance with the requirements of Category B</v>
      </c>
      <c r="J85" s="60"/>
      <c r="K85" s="60"/>
    </row>
    <row r="86" spans="1:11" x14ac:dyDescent="0.2">
      <c r="A86" s="56" t="s">
        <v>8</v>
      </c>
      <c r="B86" s="55" t="s">
        <v>9</v>
      </c>
      <c r="C86" s="81" t="s">
        <v>468</v>
      </c>
      <c r="D86" s="53">
        <v>7179280</v>
      </c>
      <c r="E86" s="52">
        <v>45610</v>
      </c>
      <c r="F86" s="80">
        <v>10748.24</v>
      </c>
      <c r="G86" s="79" t="s">
        <v>27</v>
      </c>
      <c r="H86" s="49" t="str">
        <f>IF(F86&gt;25000,"C",IF(F86&gt;1000,"B","A"))</f>
        <v>B</v>
      </c>
      <c r="I86" s="48" t="str">
        <f>VLOOKUP(H86,$L$2:$M$4,2,FALSE)</f>
        <v>The Commissioner &amp; Chief Constable are satisfied the spend represents VFM in accordance with the requirements of Category B</v>
      </c>
      <c r="J86" s="60"/>
      <c r="K86" s="60"/>
    </row>
    <row r="87" spans="1:11" x14ac:dyDescent="0.2">
      <c r="A87" s="56" t="s">
        <v>8</v>
      </c>
      <c r="B87" s="55" t="s">
        <v>9</v>
      </c>
      <c r="C87" s="82" t="s">
        <v>26</v>
      </c>
      <c r="D87" s="53">
        <v>7179587</v>
      </c>
      <c r="E87" s="52">
        <v>45617</v>
      </c>
      <c r="F87" s="80">
        <v>10659.42</v>
      </c>
      <c r="G87" s="79" t="s">
        <v>88</v>
      </c>
      <c r="H87" s="49" t="str">
        <f>IF(F87&gt;25000,"C",IF(F87&gt;1000,"B","A"))</f>
        <v>B</v>
      </c>
      <c r="I87" s="48" t="str">
        <f>VLOOKUP(H87,$L$2:$M$4,2,FALSE)</f>
        <v>The Commissioner &amp; Chief Constable are satisfied the spend represents VFM in accordance with the requirements of Category B</v>
      </c>
      <c r="J87" s="60"/>
      <c r="K87" s="60"/>
    </row>
    <row r="88" spans="1:11" x14ac:dyDescent="0.2">
      <c r="A88" s="56" t="s">
        <v>8</v>
      </c>
      <c r="B88" s="55" t="s">
        <v>9</v>
      </c>
      <c r="C88" s="81" t="s">
        <v>127</v>
      </c>
      <c r="D88" s="53">
        <v>7179606</v>
      </c>
      <c r="E88" s="52">
        <v>45618</v>
      </c>
      <c r="F88" s="80">
        <v>9682.5400000000009</v>
      </c>
      <c r="G88" s="79" t="s">
        <v>49</v>
      </c>
      <c r="H88" s="49" t="str">
        <f>IF(F88&gt;25000,"C",IF(F88&gt;1000,"B","A"))</f>
        <v>B</v>
      </c>
      <c r="I88" s="48" t="str">
        <f>VLOOKUP(H88,$L$2:$M$4,2,FALSE)</f>
        <v>The Commissioner &amp; Chief Constable are satisfied the spend represents VFM in accordance with the requirements of Category B</v>
      </c>
      <c r="J88" s="60"/>
      <c r="K88" s="60"/>
    </row>
    <row r="89" spans="1:11" x14ac:dyDescent="0.2">
      <c r="A89" s="56" t="s">
        <v>8</v>
      </c>
      <c r="B89" s="55" t="s">
        <v>9</v>
      </c>
      <c r="C89" s="81" t="s">
        <v>163</v>
      </c>
      <c r="D89" s="53">
        <v>7178960</v>
      </c>
      <c r="E89" s="52">
        <v>45600</v>
      </c>
      <c r="F89" s="80">
        <v>9660</v>
      </c>
      <c r="G89" s="79" t="s">
        <v>45</v>
      </c>
      <c r="H89" s="49" t="str">
        <f>IF(F89&gt;25000,"C",IF(F89&gt;1000,"B","A"))</f>
        <v>B</v>
      </c>
      <c r="I89" s="48" t="str">
        <f>VLOOKUP(H89,$L$2:$M$4,2,FALSE)</f>
        <v>The Commissioner &amp; Chief Constable are satisfied the spend represents VFM in accordance with the requirements of Category B</v>
      </c>
      <c r="J89" s="60"/>
      <c r="K89" s="60"/>
    </row>
    <row r="90" spans="1:11" x14ac:dyDescent="0.2">
      <c r="A90" s="56" t="s">
        <v>8</v>
      </c>
      <c r="B90" s="55" t="s">
        <v>9</v>
      </c>
      <c r="C90" s="81" t="s">
        <v>48</v>
      </c>
      <c r="D90" s="53">
        <v>7179860</v>
      </c>
      <c r="E90" s="52">
        <v>45624</v>
      </c>
      <c r="F90" s="80">
        <v>9493.1299999999992</v>
      </c>
      <c r="G90" s="79" t="s">
        <v>58</v>
      </c>
      <c r="H90" s="49" t="str">
        <f>IF(F90&gt;25000,"C",IF(F90&gt;1000,"B","A"))</f>
        <v>B</v>
      </c>
      <c r="I90" s="48" t="str">
        <f>VLOOKUP(H90,$L$2:$M$4,2,FALSE)</f>
        <v>The Commissioner &amp; Chief Constable are satisfied the spend represents VFM in accordance with the requirements of Category B</v>
      </c>
      <c r="J90" s="60"/>
      <c r="K90" s="60"/>
    </row>
    <row r="91" spans="1:11" x14ac:dyDescent="0.2">
      <c r="A91" s="56" t="s">
        <v>8</v>
      </c>
      <c r="B91" s="55" t="s">
        <v>9</v>
      </c>
      <c r="C91" s="81" t="s">
        <v>90</v>
      </c>
      <c r="D91" s="53">
        <v>7179384</v>
      </c>
      <c r="E91" s="52">
        <v>45615</v>
      </c>
      <c r="F91" s="80">
        <v>9430.92</v>
      </c>
      <c r="G91" s="79" t="s">
        <v>164</v>
      </c>
      <c r="H91" s="49" t="str">
        <f>IF(F91&gt;25000,"C",IF(F91&gt;1000,"B","A"))</f>
        <v>B</v>
      </c>
      <c r="I91" s="48" t="str">
        <f>VLOOKUP(H91,$L$2:$M$4,2,FALSE)</f>
        <v>The Commissioner &amp; Chief Constable are satisfied the spend represents VFM in accordance with the requirements of Category B</v>
      </c>
      <c r="J91" s="60"/>
      <c r="K91" s="60"/>
    </row>
    <row r="92" spans="1:11" x14ac:dyDescent="0.2">
      <c r="A92" s="56" t="s">
        <v>8</v>
      </c>
      <c r="B92" s="55" t="s">
        <v>9</v>
      </c>
      <c r="C92" s="82" t="s">
        <v>74</v>
      </c>
      <c r="D92" s="53">
        <v>7179588</v>
      </c>
      <c r="E92" s="52">
        <v>45617</v>
      </c>
      <c r="F92" s="80">
        <v>9247.64</v>
      </c>
      <c r="G92" s="79" t="s">
        <v>15</v>
      </c>
      <c r="H92" s="49" t="str">
        <f>IF(F92&gt;25000,"C",IF(F92&gt;1000,"B","A"))</f>
        <v>B</v>
      </c>
      <c r="I92" s="48" t="str">
        <f>VLOOKUP(H92,$L$2:$M$4,2,FALSE)</f>
        <v>The Commissioner &amp; Chief Constable are satisfied the spend represents VFM in accordance with the requirements of Category B</v>
      </c>
      <c r="J92" s="60"/>
      <c r="K92" s="60"/>
    </row>
    <row r="93" spans="1:11" x14ac:dyDescent="0.2">
      <c r="A93" s="56" t="s">
        <v>8</v>
      </c>
      <c r="B93" s="55" t="s">
        <v>9</v>
      </c>
      <c r="C93" s="81" t="s">
        <v>157</v>
      </c>
      <c r="D93" s="53">
        <v>7178735</v>
      </c>
      <c r="E93" s="52">
        <v>45617</v>
      </c>
      <c r="F93" s="80">
        <v>9105.36</v>
      </c>
      <c r="G93" s="79" t="s">
        <v>43</v>
      </c>
      <c r="H93" s="49" t="str">
        <f>IF(F93&gt;25000,"C",IF(F93&gt;1000,"B","A"))</f>
        <v>B</v>
      </c>
      <c r="I93" s="48" t="str">
        <f>VLOOKUP(H93,$L$2:$M$4,2,FALSE)</f>
        <v>The Commissioner &amp; Chief Constable are satisfied the spend represents VFM in accordance with the requirements of Category B</v>
      </c>
      <c r="J93" s="60"/>
      <c r="K93" s="60"/>
    </row>
    <row r="94" spans="1:11" x14ac:dyDescent="0.2">
      <c r="A94" s="56" t="s">
        <v>8</v>
      </c>
      <c r="B94" s="55" t="s">
        <v>9</v>
      </c>
      <c r="C94" s="81" t="s">
        <v>74</v>
      </c>
      <c r="D94" s="53">
        <v>7179304</v>
      </c>
      <c r="E94" s="52">
        <v>45609</v>
      </c>
      <c r="F94" s="80">
        <v>9018.35</v>
      </c>
      <c r="G94" s="79" t="s">
        <v>75</v>
      </c>
      <c r="H94" s="49" t="str">
        <f>IF(F94&gt;25000,"C",IF(F94&gt;1000,"B","A"))</f>
        <v>B</v>
      </c>
      <c r="I94" s="48" t="str">
        <f>VLOOKUP(H94,$L$2:$M$4,2,FALSE)</f>
        <v>The Commissioner &amp; Chief Constable are satisfied the spend represents VFM in accordance with the requirements of Category B</v>
      </c>
      <c r="J94" s="60"/>
      <c r="K94" s="60"/>
    </row>
    <row r="95" spans="1:11" x14ac:dyDescent="0.2">
      <c r="A95" s="56" t="s">
        <v>8</v>
      </c>
      <c r="B95" s="55" t="s">
        <v>9</v>
      </c>
      <c r="C95" s="81" t="s">
        <v>152</v>
      </c>
      <c r="D95" s="53">
        <v>7178799</v>
      </c>
      <c r="E95" s="52">
        <v>45602</v>
      </c>
      <c r="F95" s="80">
        <v>8501.8799999999992</v>
      </c>
      <c r="G95" s="79" t="s">
        <v>102</v>
      </c>
      <c r="H95" s="49" t="str">
        <f>IF(F95&gt;25000,"C",IF(F95&gt;1000,"B","A"))</f>
        <v>B</v>
      </c>
      <c r="I95" s="48" t="str">
        <f>VLOOKUP(H95,$L$2:$M$4,2,FALSE)</f>
        <v>The Commissioner &amp; Chief Constable are satisfied the spend represents VFM in accordance with the requirements of Category B</v>
      </c>
      <c r="J95" s="60"/>
      <c r="K95" s="60"/>
    </row>
    <row r="96" spans="1:11" x14ac:dyDescent="0.2">
      <c r="A96" s="56" t="s">
        <v>8</v>
      </c>
      <c r="B96" s="55" t="s">
        <v>9</v>
      </c>
      <c r="C96" s="81" t="s">
        <v>196</v>
      </c>
      <c r="D96" s="53">
        <v>7178981</v>
      </c>
      <c r="E96" s="52">
        <v>45608</v>
      </c>
      <c r="F96" s="80">
        <v>8482.8799999999992</v>
      </c>
      <c r="G96" s="79" t="s">
        <v>169</v>
      </c>
      <c r="H96" s="49" t="str">
        <f>IF(F96&gt;25000,"C",IF(F96&gt;1000,"B","A"))</f>
        <v>B</v>
      </c>
      <c r="I96" s="48" t="str">
        <f>VLOOKUP(H96,$L$2:$M$4,2,FALSE)</f>
        <v>The Commissioner &amp; Chief Constable are satisfied the spend represents VFM in accordance with the requirements of Category B</v>
      </c>
      <c r="J96" s="60"/>
      <c r="K96" s="60"/>
    </row>
    <row r="97" spans="1:9" x14ac:dyDescent="0.2">
      <c r="A97" s="56" t="s">
        <v>8</v>
      </c>
      <c r="B97" s="55" t="s">
        <v>9</v>
      </c>
      <c r="C97" s="81" t="s">
        <v>109</v>
      </c>
      <c r="D97" s="53">
        <v>7178996</v>
      </c>
      <c r="E97" s="52">
        <v>45607</v>
      </c>
      <c r="F97" s="80">
        <v>8325.58</v>
      </c>
      <c r="G97" s="79" t="s">
        <v>27</v>
      </c>
      <c r="H97" s="49" t="str">
        <f>IF(F97&gt;25000,"C",IF(F97&gt;1000,"B","A"))</f>
        <v>B</v>
      </c>
      <c r="I97" s="48" t="str">
        <f>VLOOKUP(H97,$L$2:$M$4,2,FALSE)</f>
        <v>The Commissioner &amp; Chief Constable are satisfied the spend represents VFM in accordance with the requirements of Category B</v>
      </c>
    </row>
    <row r="98" spans="1:9" x14ac:dyDescent="0.2">
      <c r="A98" s="56" t="s">
        <v>8</v>
      </c>
      <c r="B98" s="55" t="s">
        <v>9</v>
      </c>
      <c r="C98" s="81" t="s">
        <v>215</v>
      </c>
      <c r="D98" s="53">
        <v>7179378</v>
      </c>
      <c r="E98" s="52">
        <v>45610</v>
      </c>
      <c r="F98" s="80">
        <v>8268.2900000000009</v>
      </c>
      <c r="G98" s="79" t="s">
        <v>27</v>
      </c>
      <c r="H98" s="49" t="str">
        <f>IF(F98&gt;25000,"C",IF(F98&gt;1000,"B","A"))</f>
        <v>B</v>
      </c>
      <c r="I98" s="48" t="str">
        <f>VLOOKUP(H98,$L$2:$M$4,2,FALSE)</f>
        <v>The Commissioner &amp; Chief Constable are satisfied the spend represents VFM in accordance with the requirements of Category B</v>
      </c>
    </row>
    <row r="99" spans="1:9" x14ac:dyDescent="0.2">
      <c r="A99" s="56" t="s">
        <v>8</v>
      </c>
      <c r="B99" s="55" t="s">
        <v>9</v>
      </c>
      <c r="C99" s="82" t="s">
        <v>196</v>
      </c>
      <c r="D99" s="53">
        <v>7179448</v>
      </c>
      <c r="E99" s="52">
        <v>45615</v>
      </c>
      <c r="F99" s="80">
        <v>8121.3499999999995</v>
      </c>
      <c r="G99" s="79" t="s">
        <v>169</v>
      </c>
      <c r="H99" s="49" t="str">
        <f>IF(F99&gt;25000,"C",IF(F99&gt;1000,"B","A"))</f>
        <v>B</v>
      </c>
      <c r="I99" s="48" t="str">
        <f>VLOOKUP(H99,$L$2:$M$4,2,FALSE)</f>
        <v>The Commissioner &amp; Chief Constable are satisfied the spend represents VFM in accordance with the requirements of Category B</v>
      </c>
    </row>
    <row r="100" spans="1:9" x14ac:dyDescent="0.2">
      <c r="A100" s="56" t="s">
        <v>8</v>
      </c>
      <c r="B100" s="55" t="s">
        <v>9</v>
      </c>
      <c r="C100" s="81" t="s">
        <v>103</v>
      </c>
      <c r="D100" s="53">
        <v>7178691</v>
      </c>
      <c r="E100" s="52">
        <v>45615</v>
      </c>
      <c r="F100" s="80">
        <v>8082</v>
      </c>
      <c r="G100" s="79" t="s">
        <v>91</v>
      </c>
      <c r="H100" s="49" t="str">
        <f>IF(F100&gt;25000,"C",IF(F100&gt;1000,"B","A"))</f>
        <v>B</v>
      </c>
      <c r="I100" s="48" t="str">
        <f>VLOOKUP(H100,$L$2:$M$4,2,FALSE)</f>
        <v>The Commissioner &amp; Chief Constable are satisfied the spend represents VFM in accordance with the requirements of Category B</v>
      </c>
    </row>
    <row r="101" spans="1:9" x14ac:dyDescent="0.2">
      <c r="A101" s="56" t="s">
        <v>8</v>
      </c>
      <c r="B101" s="55" t="s">
        <v>9</v>
      </c>
      <c r="C101" s="81" t="s">
        <v>890</v>
      </c>
      <c r="D101" s="53">
        <v>7178625</v>
      </c>
      <c r="E101" s="52">
        <v>45597</v>
      </c>
      <c r="F101" s="80">
        <v>8000</v>
      </c>
      <c r="G101" s="79" t="s">
        <v>98</v>
      </c>
      <c r="H101" s="49" t="str">
        <f>IF(F101&gt;25000,"C",IF(F101&gt;1000,"B","A"))</f>
        <v>B</v>
      </c>
      <c r="I101" s="48" t="str">
        <f>VLOOKUP(H101,$L$2:$M$4,2,FALSE)</f>
        <v>The Commissioner &amp; Chief Constable are satisfied the spend represents VFM in accordance with the requirements of Category B</v>
      </c>
    </row>
    <row r="102" spans="1:9" x14ac:dyDescent="0.2">
      <c r="A102" s="56" t="s">
        <v>8</v>
      </c>
      <c r="B102" s="55" t="s">
        <v>9</v>
      </c>
      <c r="C102" s="81" t="s">
        <v>119</v>
      </c>
      <c r="D102" s="53">
        <v>7179739</v>
      </c>
      <c r="E102" s="52">
        <v>45622</v>
      </c>
      <c r="F102" s="80">
        <v>7780.67</v>
      </c>
      <c r="G102" s="79" t="s">
        <v>120</v>
      </c>
      <c r="H102" s="49" t="str">
        <f>IF(F102&gt;25000,"C",IF(F102&gt;1000,"B","A"))</f>
        <v>B</v>
      </c>
      <c r="I102" s="48" t="str">
        <f>VLOOKUP(H102,$L$2:$M$4,2,FALSE)</f>
        <v>The Commissioner &amp; Chief Constable are satisfied the spend represents VFM in accordance with the requirements of Category B</v>
      </c>
    </row>
    <row r="103" spans="1:9" x14ac:dyDescent="0.2">
      <c r="A103" s="56" t="s">
        <v>8</v>
      </c>
      <c r="B103" s="55" t="s">
        <v>9</v>
      </c>
      <c r="C103" s="81" t="s">
        <v>124</v>
      </c>
      <c r="D103" s="53">
        <v>7178397</v>
      </c>
      <c r="E103" s="52">
        <v>45608</v>
      </c>
      <c r="F103" s="80">
        <v>7750.24</v>
      </c>
      <c r="G103" s="79" t="s">
        <v>91</v>
      </c>
      <c r="H103" s="49" t="str">
        <f>IF(F103&gt;25000,"C",IF(F103&gt;1000,"B","A"))</f>
        <v>B</v>
      </c>
      <c r="I103" s="48" t="str">
        <f>VLOOKUP(H103,$L$2:$M$4,2,FALSE)</f>
        <v>The Commissioner &amp; Chief Constable are satisfied the spend represents VFM in accordance with the requirements of Category B</v>
      </c>
    </row>
    <row r="104" spans="1:9" x14ac:dyDescent="0.2">
      <c r="A104" s="56" t="s">
        <v>8</v>
      </c>
      <c r="B104" s="55" t="s">
        <v>9</v>
      </c>
      <c r="C104" s="81" t="s">
        <v>527</v>
      </c>
      <c r="D104" s="53">
        <v>7179518</v>
      </c>
      <c r="E104" s="52">
        <v>45615</v>
      </c>
      <c r="F104" s="80">
        <v>7740.82</v>
      </c>
      <c r="G104" s="79" t="s">
        <v>296</v>
      </c>
      <c r="H104" s="49" t="str">
        <f>IF(F104&gt;25000,"C",IF(F104&gt;1000,"B","A"))</f>
        <v>B</v>
      </c>
      <c r="I104" s="48" t="str">
        <f>VLOOKUP(H104,$L$2:$M$4,2,FALSE)</f>
        <v>The Commissioner &amp; Chief Constable are satisfied the spend represents VFM in accordance with the requirements of Category B</v>
      </c>
    </row>
    <row r="105" spans="1:9" x14ac:dyDescent="0.2">
      <c r="A105" s="56" t="s">
        <v>8</v>
      </c>
      <c r="B105" s="55" t="s">
        <v>9</v>
      </c>
      <c r="C105" s="81" t="s">
        <v>454</v>
      </c>
      <c r="D105" s="53">
        <v>7179252</v>
      </c>
      <c r="E105" s="52">
        <v>45611</v>
      </c>
      <c r="F105" s="80">
        <v>7709.73</v>
      </c>
      <c r="G105" s="79" t="s">
        <v>38</v>
      </c>
      <c r="H105" s="49" t="str">
        <f>IF(F105&gt;25000,"C",IF(F105&gt;1000,"B","A"))</f>
        <v>B</v>
      </c>
      <c r="I105" s="48" t="str">
        <f>VLOOKUP(H105,$L$2:$M$4,2,FALSE)</f>
        <v>The Commissioner &amp; Chief Constable are satisfied the spend represents VFM in accordance with the requirements of Category B</v>
      </c>
    </row>
    <row r="106" spans="1:9" x14ac:dyDescent="0.2">
      <c r="A106" s="56" t="s">
        <v>8</v>
      </c>
      <c r="B106" s="55" t="s">
        <v>9</v>
      </c>
      <c r="C106" s="81" t="s">
        <v>196</v>
      </c>
      <c r="D106" s="53">
        <v>7179171</v>
      </c>
      <c r="E106" s="52">
        <v>45608</v>
      </c>
      <c r="F106" s="80">
        <v>7706.14</v>
      </c>
      <c r="G106" s="79" t="s">
        <v>169</v>
      </c>
      <c r="H106" s="49" t="str">
        <f>IF(F106&gt;25000,"C",IF(F106&gt;1000,"B","A"))</f>
        <v>B</v>
      </c>
      <c r="I106" s="48" t="str">
        <f>VLOOKUP(H106,$L$2:$M$4,2,FALSE)</f>
        <v>The Commissioner &amp; Chief Constable are satisfied the spend represents VFM in accordance with the requirements of Category B</v>
      </c>
    </row>
    <row r="107" spans="1:9" x14ac:dyDescent="0.2">
      <c r="A107" s="56" t="s">
        <v>8</v>
      </c>
      <c r="B107" s="55" t="s">
        <v>9</v>
      </c>
      <c r="C107" s="81" t="s">
        <v>159</v>
      </c>
      <c r="D107" s="53">
        <v>7178931</v>
      </c>
      <c r="E107" s="52">
        <v>45602</v>
      </c>
      <c r="F107" s="80">
        <v>7585.23</v>
      </c>
      <c r="G107" s="79" t="s">
        <v>22</v>
      </c>
      <c r="H107" s="49" t="str">
        <f>IF(F107&gt;25000,"C",IF(F107&gt;1000,"B","A"))</f>
        <v>B</v>
      </c>
      <c r="I107" s="48" t="str">
        <f>VLOOKUP(H107,$L$2:$M$4,2,FALSE)</f>
        <v>The Commissioner &amp; Chief Constable are satisfied the spend represents VFM in accordance with the requirements of Category B</v>
      </c>
    </row>
    <row r="108" spans="1:9" x14ac:dyDescent="0.2">
      <c r="A108" s="56" t="s">
        <v>8</v>
      </c>
      <c r="B108" s="55" t="s">
        <v>9</v>
      </c>
      <c r="C108" s="81" t="s">
        <v>871</v>
      </c>
      <c r="D108" s="53">
        <v>3068803</v>
      </c>
      <c r="E108" s="52">
        <v>45604</v>
      </c>
      <c r="F108" s="80">
        <v>7474</v>
      </c>
      <c r="G108" s="79" t="s">
        <v>45</v>
      </c>
      <c r="H108" s="49" t="str">
        <f>IF(F108&gt;25000,"C",IF(F108&gt;1000,"B","A"))</f>
        <v>B</v>
      </c>
      <c r="I108" s="48" t="str">
        <f>VLOOKUP(H108,$L$2:$M$4,2,FALSE)</f>
        <v>The Commissioner &amp; Chief Constable are satisfied the spend represents VFM in accordance with the requirements of Category B</v>
      </c>
    </row>
    <row r="109" spans="1:9" x14ac:dyDescent="0.2">
      <c r="A109" s="56" t="s">
        <v>8</v>
      </c>
      <c r="B109" s="55" t="s">
        <v>9</v>
      </c>
      <c r="C109" s="81" t="s">
        <v>977</v>
      </c>
      <c r="D109" s="53">
        <v>7179340</v>
      </c>
      <c r="E109" s="52">
        <v>45611</v>
      </c>
      <c r="F109" s="80">
        <v>7453.42</v>
      </c>
      <c r="G109" s="79" t="s">
        <v>106</v>
      </c>
      <c r="H109" s="49" t="str">
        <f>IF(F109&gt;25000,"C",IF(F109&gt;1000,"B","A"))</f>
        <v>B</v>
      </c>
      <c r="I109" s="48" t="str">
        <f>VLOOKUP(H109,$L$2:$M$4,2,FALSE)</f>
        <v>The Commissioner &amp; Chief Constable are satisfied the spend represents VFM in accordance with the requirements of Category B</v>
      </c>
    </row>
    <row r="110" spans="1:9" x14ac:dyDescent="0.2">
      <c r="A110" s="56" t="s">
        <v>8</v>
      </c>
      <c r="B110" s="55" t="s">
        <v>9</v>
      </c>
      <c r="C110" s="81" t="s">
        <v>103</v>
      </c>
      <c r="D110" s="53">
        <v>7179561</v>
      </c>
      <c r="E110" s="52">
        <v>45617</v>
      </c>
      <c r="F110" s="80">
        <v>7210</v>
      </c>
      <c r="G110" s="79" t="s">
        <v>91</v>
      </c>
      <c r="H110" s="49" t="str">
        <f>IF(F110&gt;25000,"C",IF(F110&gt;1000,"B","A"))</f>
        <v>B</v>
      </c>
      <c r="I110" s="48" t="str">
        <f>VLOOKUP(H110,$L$2:$M$4,2,FALSE)</f>
        <v>The Commissioner &amp; Chief Constable are satisfied the spend represents VFM in accordance with the requirements of Category B</v>
      </c>
    </row>
    <row r="111" spans="1:9" x14ac:dyDescent="0.2">
      <c r="A111" s="56" t="s">
        <v>8</v>
      </c>
      <c r="B111" s="55" t="s">
        <v>9</v>
      </c>
      <c r="C111" s="81" t="s">
        <v>90</v>
      </c>
      <c r="D111" s="53">
        <v>7179727</v>
      </c>
      <c r="E111" s="52">
        <v>45622</v>
      </c>
      <c r="F111" s="80">
        <v>6936.82</v>
      </c>
      <c r="G111" s="79" t="s">
        <v>91</v>
      </c>
      <c r="H111" s="49" t="str">
        <f>IF(F111&gt;25000,"C",IF(F111&gt;1000,"B","A"))</f>
        <v>B</v>
      </c>
      <c r="I111" s="48" t="str">
        <f>VLOOKUP(H111,$L$2:$M$4,2,FALSE)</f>
        <v>The Commissioner &amp; Chief Constable are satisfied the spend represents VFM in accordance with the requirements of Category B</v>
      </c>
    </row>
    <row r="112" spans="1:9" x14ac:dyDescent="0.2">
      <c r="A112" s="56" t="s">
        <v>8</v>
      </c>
      <c r="B112" s="55" t="s">
        <v>9</v>
      </c>
      <c r="C112" s="82" t="s">
        <v>195</v>
      </c>
      <c r="D112" s="53">
        <v>7179054</v>
      </c>
      <c r="E112" s="52">
        <v>45611</v>
      </c>
      <c r="F112" s="80">
        <v>6773.44</v>
      </c>
      <c r="G112" s="79" t="s">
        <v>22</v>
      </c>
      <c r="H112" s="49" t="str">
        <f>IF(F112&gt;25000,"C",IF(F112&gt;1000,"B","A"))</f>
        <v>B</v>
      </c>
      <c r="I112" s="48" t="str">
        <f>VLOOKUP(H112,$L$2:$M$4,2,FALSE)</f>
        <v>The Commissioner &amp; Chief Constable are satisfied the spend represents VFM in accordance with the requirements of Category B</v>
      </c>
    </row>
    <row r="113" spans="1:13" x14ac:dyDescent="0.2">
      <c r="A113" s="56" t="s">
        <v>8</v>
      </c>
      <c r="B113" s="55" t="s">
        <v>9</v>
      </c>
      <c r="C113" s="82" t="s">
        <v>162</v>
      </c>
      <c r="D113" s="53">
        <v>7179655</v>
      </c>
      <c r="E113" s="52">
        <v>45618</v>
      </c>
      <c r="F113" s="80">
        <v>6687</v>
      </c>
      <c r="G113" s="79" t="s">
        <v>38</v>
      </c>
      <c r="H113" s="49" t="str">
        <f>IF(F113&gt;25000,"C",IF(F113&gt;1000,"B","A"))</f>
        <v>B</v>
      </c>
      <c r="I113" s="48" t="str">
        <f>VLOOKUP(H113,$L$2:$M$4,2,FALSE)</f>
        <v>The Commissioner &amp; Chief Constable are satisfied the spend represents VFM in accordance with the requirements of Category B</v>
      </c>
    </row>
    <row r="114" spans="1:13" x14ac:dyDescent="0.2">
      <c r="A114" s="56" t="s">
        <v>8</v>
      </c>
      <c r="B114" s="55" t="s">
        <v>9</v>
      </c>
      <c r="C114" s="81" t="s">
        <v>107</v>
      </c>
      <c r="D114" s="53">
        <v>7179033</v>
      </c>
      <c r="E114" s="52">
        <v>45603</v>
      </c>
      <c r="F114" s="80">
        <v>6587.04</v>
      </c>
      <c r="G114" s="79" t="s">
        <v>108</v>
      </c>
      <c r="H114" s="49" t="str">
        <f>IF(F114&gt;25000,"C",IF(F114&gt;1000,"B","A"))</f>
        <v>B</v>
      </c>
      <c r="I114" s="48" t="str">
        <f>VLOOKUP(H114,$L$2:$M$4,2,FALSE)</f>
        <v>The Commissioner &amp; Chief Constable are satisfied the spend represents VFM in accordance with the requirements of Category B</v>
      </c>
    </row>
    <row r="115" spans="1:13" s="42" customFormat="1" x14ac:dyDescent="0.2">
      <c r="A115" s="56" t="s">
        <v>8</v>
      </c>
      <c r="B115" s="55" t="s">
        <v>9</v>
      </c>
      <c r="C115" s="81" t="s">
        <v>144</v>
      </c>
      <c r="D115" s="53">
        <v>7178551</v>
      </c>
      <c r="E115" s="52">
        <v>45607</v>
      </c>
      <c r="F115" s="80">
        <v>6215</v>
      </c>
      <c r="G115" s="79" t="s">
        <v>145</v>
      </c>
      <c r="H115" s="49" t="str">
        <f>IF(F115&gt;25000,"C",IF(F115&gt;1000,"B","A"))</f>
        <v>B</v>
      </c>
      <c r="I115" s="48" t="str">
        <f>VLOOKUP(H115,$L$2:$M$4,2,FALSE)</f>
        <v>The Commissioner &amp; Chief Constable are satisfied the spend represents VFM in accordance with the requirements of Category B</v>
      </c>
      <c r="L115" s="41"/>
      <c r="M115" s="41"/>
    </row>
    <row r="116" spans="1:13" s="42" customFormat="1" x14ac:dyDescent="0.2">
      <c r="A116" s="56" t="s">
        <v>8</v>
      </c>
      <c r="B116" s="55" t="s">
        <v>9</v>
      </c>
      <c r="C116" s="81" t="s">
        <v>162</v>
      </c>
      <c r="D116" s="53">
        <v>7179656</v>
      </c>
      <c r="E116" s="52">
        <v>45622</v>
      </c>
      <c r="F116" s="80">
        <v>6136</v>
      </c>
      <c r="G116" s="79" t="s">
        <v>164</v>
      </c>
      <c r="H116" s="49" t="str">
        <f>IF(F116&gt;25000,"C",IF(F116&gt;1000,"B","A"))</f>
        <v>B</v>
      </c>
      <c r="I116" s="48" t="str">
        <f>VLOOKUP(H116,$L$2:$M$4,2,FALSE)</f>
        <v>The Commissioner &amp; Chief Constable are satisfied the spend represents VFM in accordance with the requirements of Category B</v>
      </c>
      <c r="L116" s="41"/>
      <c r="M116" s="41"/>
    </row>
    <row r="117" spans="1:13" s="42" customFormat="1" x14ac:dyDescent="0.2">
      <c r="A117" s="56" t="s">
        <v>8</v>
      </c>
      <c r="B117" s="55" t="s">
        <v>9</v>
      </c>
      <c r="C117" s="81" t="s">
        <v>486</v>
      </c>
      <c r="D117" s="53">
        <v>7178930</v>
      </c>
      <c r="E117" s="52">
        <v>45601</v>
      </c>
      <c r="F117" s="80">
        <v>5793</v>
      </c>
      <c r="G117" s="79" t="s">
        <v>91</v>
      </c>
      <c r="H117" s="49" t="str">
        <f>IF(F117&gt;25000,"C",IF(F117&gt;1000,"B","A"))</f>
        <v>B</v>
      </c>
      <c r="I117" s="48" t="str">
        <f>VLOOKUP(H117,$L$2:$M$4,2,FALSE)</f>
        <v>The Commissioner &amp; Chief Constable are satisfied the spend represents VFM in accordance with the requirements of Category B</v>
      </c>
      <c r="L117" s="41"/>
      <c r="M117" s="41"/>
    </row>
    <row r="118" spans="1:13" s="42" customFormat="1" x14ac:dyDescent="0.2">
      <c r="A118" s="56" t="s">
        <v>8</v>
      </c>
      <c r="B118" s="55" t="s">
        <v>9</v>
      </c>
      <c r="C118" s="82" t="s">
        <v>26</v>
      </c>
      <c r="D118" s="53">
        <v>7179627</v>
      </c>
      <c r="E118" s="52">
        <v>45621</v>
      </c>
      <c r="F118" s="80">
        <v>5594.18</v>
      </c>
      <c r="G118" s="79" t="s">
        <v>88</v>
      </c>
      <c r="H118" s="49" t="str">
        <f>IF(F118&gt;25000,"C",IF(F118&gt;1000,"B","A"))</f>
        <v>B</v>
      </c>
      <c r="I118" s="48" t="str">
        <f>VLOOKUP(H118,$L$2:$M$4,2,FALSE)</f>
        <v>The Commissioner &amp; Chief Constable are satisfied the spend represents VFM in accordance with the requirements of Category B</v>
      </c>
      <c r="L118" s="41"/>
      <c r="M118" s="41"/>
    </row>
    <row r="119" spans="1:13" s="42" customFormat="1" x14ac:dyDescent="0.2">
      <c r="A119" s="56" t="s">
        <v>8</v>
      </c>
      <c r="B119" s="55" t="s">
        <v>9</v>
      </c>
      <c r="C119" s="81" t="s">
        <v>150</v>
      </c>
      <c r="D119" s="53">
        <v>7179110</v>
      </c>
      <c r="E119" s="52">
        <v>45607</v>
      </c>
      <c r="F119" s="80">
        <v>5530.07</v>
      </c>
      <c r="G119" s="79" t="s">
        <v>151</v>
      </c>
      <c r="H119" s="49" t="str">
        <f>IF(F119&gt;25000,"C",IF(F119&gt;1000,"B","A"))</f>
        <v>B</v>
      </c>
      <c r="I119" s="48" t="str">
        <f>VLOOKUP(H119,$L$2:$M$4,2,FALSE)</f>
        <v>The Commissioner &amp; Chief Constable are satisfied the spend represents VFM in accordance with the requirements of Category B</v>
      </c>
      <c r="L119" s="41"/>
      <c r="M119" s="41"/>
    </row>
    <row r="120" spans="1:13" s="42" customFormat="1" x14ac:dyDescent="0.2">
      <c r="A120" s="56" t="s">
        <v>8</v>
      </c>
      <c r="B120" s="55" t="s">
        <v>9</v>
      </c>
      <c r="C120" s="81" t="s">
        <v>90</v>
      </c>
      <c r="D120" s="53">
        <v>7179386</v>
      </c>
      <c r="E120" s="52">
        <v>45615</v>
      </c>
      <c r="F120" s="80">
        <v>5525.69</v>
      </c>
      <c r="G120" s="79" t="s">
        <v>91</v>
      </c>
      <c r="H120" s="49" t="str">
        <f>IF(F120&gt;25000,"C",IF(F120&gt;1000,"B","A"))</f>
        <v>B</v>
      </c>
      <c r="I120" s="48" t="str">
        <f>VLOOKUP(H120,$L$2:$M$4,2,FALSE)</f>
        <v>The Commissioner &amp; Chief Constable are satisfied the spend represents VFM in accordance with the requirements of Category B</v>
      </c>
      <c r="L120" s="41"/>
      <c r="M120" s="41"/>
    </row>
    <row r="121" spans="1:13" s="42" customFormat="1" x14ac:dyDescent="0.2">
      <c r="A121" s="56" t="s">
        <v>8</v>
      </c>
      <c r="B121" s="55" t="s">
        <v>9</v>
      </c>
      <c r="C121" s="81" t="s">
        <v>976</v>
      </c>
      <c r="D121" s="53">
        <v>7179086</v>
      </c>
      <c r="E121" s="52">
        <v>45603</v>
      </c>
      <c r="F121" s="80">
        <v>5400</v>
      </c>
      <c r="G121" s="79" t="s">
        <v>22</v>
      </c>
      <c r="H121" s="49" t="str">
        <f>IF(F121&gt;25000,"C",IF(F121&gt;1000,"B","A"))</f>
        <v>B</v>
      </c>
      <c r="I121" s="48" t="str">
        <f>VLOOKUP(H121,$L$2:$M$4,2,FALSE)</f>
        <v>The Commissioner &amp; Chief Constable are satisfied the spend represents VFM in accordance with the requirements of Category B</v>
      </c>
      <c r="L121" s="41"/>
      <c r="M121" s="41"/>
    </row>
    <row r="122" spans="1:13" s="42" customFormat="1" x14ac:dyDescent="0.2">
      <c r="A122" s="56" t="s">
        <v>8</v>
      </c>
      <c r="B122" s="55" t="s">
        <v>9</v>
      </c>
      <c r="C122" s="81" t="s">
        <v>74</v>
      </c>
      <c r="D122" s="53">
        <v>7179166</v>
      </c>
      <c r="E122" s="52">
        <v>45608</v>
      </c>
      <c r="F122" s="80">
        <v>5388.99</v>
      </c>
      <c r="G122" s="79" t="s">
        <v>15</v>
      </c>
      <c r="H122" s="49" t="str">
        <f>IF(F122&gt;25000,"C",IF(F122&gt;1000,"B","A"))</f>
        <v>B</v>
      </c>
      <c r="I122" s="48" t="str">
        <f>VLOOKUP(H122,$L$2:$M$4,2,FALSE)</f>
        <v>The Commissioner &amp; Chief Constable are satisfied the spend represents VFM in accordance with the requirements of Category B</v>
      </c>
      <c r="L122" s="41"/>
      <c r="M122" s="41"/>
    </row>
    <row r="123" spans="1:13" s="42" customFormat="1" x14ac:dyDescent="0.2">
      <c r="A123" s="56" t="s">
        <v>8</v>
      </c>
      <c r="B123" s="55" t="s">
        <v>9</v>
      </c>
      <c r="C123" s="81" t="s">
        <v>48</v>
      </c>
      <c r="D123" s="53">
        <v>7179645</v>
      </c>
      <c r="E123" s="52">
        <v>45622</v>
      </c>
      <c r="F123" s="80">
        <v>5309.99</v>
      </c>
      <c r="G123" s="79" t="s">
        <v>22</v>
      </c>
      <c r="H123" s="49" t="str">
        <f>IF(F123&gt;25000,"C",IF(F123&gt;1000,"B","A"))</f>
        <v>B</v>
      </c>
      <c r="I123" s="48" t="str">
        <f>VLOOKUP(H123,$L$2:$M$4,2,FALSE)</f>
        <v>The Commissioner &amp; Chief Constable are satisfied the spend represents VFM in accordance with the requirements of Category B</v>
      </c>
      <c r="L123" s="41"/>
      <c r="M123" s="41"/>
    </row>
    <row r="124" spans="1:13" s="42" customFormat="1" x14ac:dyDescent="0.2">
      <c r="A124" s="56" t="s">
        <v>8</v>
      </c>
      <c r="B124" s="55" t="s">
        <v>9</v>
      </c>
      <c r="C124" s="82" t="s">
        <v>545</v>
      </c>
      <c r="D124" s="53">
        <v>7178873</v>
      </c>
      <c r="E124" s="52">
        <v>45597</v>
      </c>
      <c r="F124" s="80">
        <v>5125</v>
      </c>
      <c r="G124" s="79" t="s">
        <v>22</v>
      </c>
      <c r="H124" s="49" t="str">
        <f>IF(F124&gt;25000,"C",IF(F124&gt;1000,"B","A"))</f>
        <v>B</v>
      </c>
      <c r="I124" s="48" t="str">
        <f>VLOOKUP(H124,$L$2:$M$4,2,FALSE)</f>
        <v>The Commissioner &amp; Chief Constable are satisfied the spend represents VFM in accordance with the requirements of Category B</v>
      </c>
      <c r="L124" s="41"/>
      <c r="M124" s="41"/>
    </row>
    <row r="125" spans="1:13" s="42" customFormat="1" x14ac:dyDescent="0.2">
      <c r="A125" s="56" t="s">
        <v>8</v>
      </c>
      <c r="B125" s="55" t="s">
        <v>9</v>
      </c>
      <c r="C125" s="81" t="s">
        <v>150</v>
      </c>
      <c r="D125" s="53">
        <v>7177744</v>
      </c>
      <c r="E125" s="52">
        <v>45624</v>
      </c>
      <c r="F125" s="80">
        <v>362.28</v>
      </c>
      <c r="G125" s="79" t="s">
        <v>131</v>
      </c>
      <c r="H125" s="49" t="str">
        <f>IF(F125&gt;25000,"C",IF(F125&gt;1000,"B","A"))</f>
        <v>A</v>
      </c>
      <c r="I125" s="48" t="str">
        <f>VLOOKUP(H125,$L$2:$M$4,2,FALSE)</f>
        <v>The Commissioner &amp; Chief Constable are satisfied the spend represents VFM in accordance with the requirements of Category A</v>
      </c>
      <c r="L125" s="41"/>
      <c r="M125" s="41"/>
    </row>
    <row r="126" spans="1:13" s="42" customFormat="1" x14ac:dyDescent="0.2">
      <c r="A126" s="56" t="s">
        <v>8</v>
      </c>
      <c r="B126" s="55" t="s">
        <v>9</v>
      </c>
      <c r="C126" s="81" t="s">
        <v>150</v>
      </c>
      <c r="D126" s="53">
        <v>7177744</v>
      </c>
      <c r="E126" s="52">
        <v>45624</v>
      </c>
      <c r="F126" s="80">
        <v>129.19999999999999</v>
      </c>
      <c r="G126" s="79" t="s">
        <v>155</v>
      </c>
      <c r="H126" s="49" t="str">
        <f>IF(F126&gt;25000,"C",IF(F126&gt;1000,"B","A"))</f>
        <v>A</v>
      </c>
      <c r="I126" s="48" t="str">
        <f>VLOOKUP(H126,$L$2:$M$4,2,FALSE)</f>
        <v>The Commissioner &amp; Chief Constable are satisfied the spend represents VFM in accordance with the requirements of Category A</v>
      </c>
      <c r="L126" s="41"/>
      <c r="M126" s="41"/>
    </row>
    <row r="127" spans="1:13" s="42" customFormat="1" x14ac:dyDescent="0.2">
      <c r="A127" s="56" t="s">
        <v>8</v>
      </c>
      <c r="B127" s="55" t="s">
        <v>9</v>
      </c>
      <c r="C127" s="82" t="s">
        <v>150</v>
      </c>
      <c r="D127" s="53">
        <v>7177744</v>
      </c>
      <c r="E127" s="52">
        <v>45624</v>
      </c>
      <c r="F127" s="80">
        <v>4617.6499999999996</v>
      </c>
      <c r="G127" s="79" t="s">
        <v>151</v>
      </c>
      <c r="H127" s="49" t="str">
        <f>IF(F127&gt;25000,"C",IF(F127&gt;1000,"B","A"))</f>
        <v>B</v>
      </c>
      <c r="I127" s="48" t="str">
        <f>VLOOKUP(H127,$L$2:$M$4,2,FALSE)</f>
        <v>The Commissioner &amp; Chief Constable are satisfied the spend represents VFM in accordance with the requirements of Category B</v>
      </c>
      <c r="L127" s="41"/>
      <c r="M127" s="41"/>
    </row>
    <row r="128" spans="1:13" s="42" customFormat="1" x14ac:dyDescent="0.2">
      <c r="A128" s="56" t="s">
        <v>8</v>
      </c>
      <c r="B128" s="55" t="s">
        <v>9</v>
      </c>
      <c r="C128" s="82" t="s">
        <v>74</v>
      </c>
      <c r="D128" s="53">
        <v>7179427</v>
      </c>
      <c r="E128" s="52">
        <v>45617</v>
      </c>
      <c r="F128" s="83">
        <v>5090</v>
      </c>
      <c r="G128" s="79" t="s">
        <v>15</v>
      </c>
      <c r="H128" s="49" t="str">
        <f>IF(F128&gt;25000,"C",IF(F128&gt;1000,"B","A"))</f>
        <v>B</v>
      </c>
      <c r="I128" s="48" t="str">
        <f>VLOOKUP(H128,$L$2:$M$4,2,FALSE)</f>
        <v>The Commissioner &amp; Chief Constable are satisfied the spend represents VFM in accordance with the requirements of Category B</v>
      </c>
      <c r="L128" s="41"/>
      <c r="M128" s="41"/>
    </row>
    <row r="129" spans="1:13" s="42" customFormat="1" x14ac:dyDescent="0.2">
      <c r="A129" s="56" t="s">
        <v>8</v>
      </c>
      <c r="B129" s="55" t="s">
        <v>9</v>
      </c>
      <c r="C129" s="81" t="s">
        <v>975</v>
      </c>
      <c r="D129" s="53">
        <v>7179372</v>
      </c>
      <c r="E129" s="52">
        <v>45610</v>
      </c>
      <c r="F129" s="83">
        <v>5000</v>
      </c>
      <c r="G129" s="79" t="s">
        <v>27</v>
      </c>
      <c r="H129" s="49" t="str">
        <f>IF(F129&gt;25000,"C",IF(F129&gt;1000,"B","A"))</f>
        <v>B</v>
      </c>
      <c r="I129" s="48" t="str">
        <f>VLOOKUP(H129,$L$2:$M$4,2,FALSE)</f>
        <v>The Commissioner &amp; Chief Constable are satisfied the spend represents VFM in accordance with the requirements of Category B</v>
      </c>
      <c r="L129" s="41"/>
      <c r="M129" s="41"/>
    </row>
    <row r="130" spans="1:13" s="42" customFormat="1" x14ac:dyDescent="0.2">
      <c r="A130" s="56" t="s">
        <v>8</v>
      </c>
      <c r="B130" s="55" t="s">
        <v>9</v>
      </c>
      <c r="C130" s="81" t="s">
        <v>168</v>
      </c>
      <c r="D130" s="53">
        <v>3068806</v>
      </c>
      <c r="E130" s="52">
        <v>45607</v>
      </c>
      <c r="F130" s="83">
        <v>5000</v>
      </c>
      <c r="G130" s="79" t="s">
        <v>169</v>
      </c>
      <c r="H130" s="49" t="str">
        <f>IF(F130&gt;25000,"C",IF(F130&gt;1000,"B","A"))</f>
        <v>B</v>
      </c>
      <c r="I130" s="48" t="str">
        <f>VLOOKUP(H130,$L$2:$M$4,2,FALSE)</f>
        <v>The Commissioner &amp; Chief Constable are satisfied the spend represents VFM in accordance with the requirements of Category B</v>
      </c>
      <c r="L130" s="41"/>
      <c r="M130" s="41"/>
    </row>
    <row r="131" spans="1:13" s="42" customFormat="1" x14ac:dyDescent="0.2">
      <c r="A131" s="56" t="s">
        <v>8</v>
      </c>
      <c r="B131" s="55" t="s">
        <v>9</v>
      </c>
      <c r="C131" s="81" t="s">
        <v>168</v>
      </c>
      <c r="D131" s="53">
        <v>3068865</v>
      </c>
      <c r="E131" s="52">
        <v>45621</v>
      </c>
      <c r="F131" s="80">
        <v>5000</v>
      </c>
      <c r="G131" s="79" t="s">
        <v>169</v>
      </c>
      <c r="H131" s="49" t="str">
        <f>IF(F131&gt;25000,"C",IF(F131&gt;1000,"B","A"))</f>
        <v>B</v>
      </c>
      <c r="I131" s="48" t="str">
        <f>VLOOKUP(H131,$L$2:$M$4,2,FALSE)</f>
        <v>The Commissioner &amp; Chief Constable are satisfied the spend represents VFM in accordance with the requirements of Category B</v>
      </c>
      <c r="L131" s="41"/>
      <c r="M131" s="41"/>
    </row>
    <row r="132" spans="1:13" s="42" customFormat="1" x14ac:dyDescent="0.2">
      <c r="A132" s="56" t="s">
        <v>8</v>
      </c>
      <c r="B132" s="55" t="s">
        <v>9</v>
      </c>
      <c r="C132" s="81" t="s">
        <v>166</v>
      </c>
      <c r="D132" s="53">
        <v>7177858</v>
      </c>
      <c r="E132" s="52">
        <v>45610</v>
      </c>
      <c r="F132" s="80">
        <v>5000</v>
      </c>
      <c r="G132" s="79" t="s">
        <v>27</v>
      </c>
      <c r="H132" s="49" t="str">
        <f>IF(F132&gt;25000,"C",IF(F132&gt;1000,"B","A"))</f>
        <v>B</v>
      </c>
      <c r="I132" s="48" t="str">
        <f>VLOOKUP(H132,$L$2:$M$4,2,FALSE)</f>
        <v>The Commissioner &amp; Chief Constable are satisfied the spend represents VFM in accordance with the requirements of Category B</v>
      </c>
      <c r="L132" s="41"/>
      <c r="M132" s="41"/>
    </row>
    <row r="133" spans="1:13" s="42" customFormat="1" x14ac:dyDescent="0.2">
      <c r="A133" s="56" t="s">
        <v>8</v>
      </c>
      <c r="B133" s="55" t="s">
        <v>9</v>
      </c>
      <c r="C133" s="81" t="s">
        <v>536</v>
      </c>
      <c r="D133" s="53">
        <v>7178662</v>
      </c>
      <c r="E133" s="52">
        <v>45615</v>
      </c>
      <c r="F133" s="80">
        <v>4995</v>
      </c>
      <c r="G133" s="79" t="s">
        <v>319</v>
      </c>
      <c r="H133" s="49" t="str">
        <f>IF(F133&gt;25000,"C",IF(F133&gt;1000,"B","A"))</f>
        <v>B</v>
      </c>
      <c r="I133" s="48" t="str">
        <f>VLOOKUP(H133,$L$2:$M$4,2,FALSE)</f>
        <v>The Commissioner &amp; Chief Constable are satisfied the spend represents VFM in accordance with the requirements of Category B</v>
      </c>
      <c r="L133" s="41"/>
      <c r="M133" s="41"/>
    </row>
    <row r="134" spans="1:13" s="42" customFormat="1" x14ac:dyDescent="0.2">
      <c r="A134" s="56" t="s">
        <v>8</v>
      </c>
      <c r="B134" s="55" t="s">
        <v>9</v>
      </c>
      <c r="C134" s="81" t="s">
        <v>172</v>
      </c>
      <c r="D134" s="53">
        <v>7179441</v>
      </c>
      <c r="E134" s="52">
        <v>45617</v>
      </c>
      <c r="F134" s="80">
        <v>4933.5</v>
      </c>
      <c r="G134" s="79" t="s">
        <v>39</v>
      </c>
      <c r="H134" s="49" t="str">
        <f>IF(F134&gt;25000,"C",IF(F134&gt;1000,"B","A"))</f>
        <v>B</v>
      </c>
      <c r="I134" s="48" t="str">
        <f>VLOOKUP(H134,$L$2:$M$4,2,FALSE)</f>
        <v>The Commissioner &amp; Chief Constable are satisfied the spend represents VFM in accordance with the requirements of Category B</v>
      </c>
      <c r="L134" s="41"/>
      <c r="M134" s="41"/>
    </row>
    <row r="135" spans="1:13" s="42" customFormat="1" x14ac:dyDescent="0.2">
      <c r="A135" s="56" t="s">
        <v>8</v>
      </c>
      <c r="B135" s="55" t="s">
        <v>9</v>
      </c>
      <c r="C135" s="81" t="s">
        <v>974</v>
      </c>
      <c r="D135" s="53">
        <v>7179149</v>
      </c>
      <c r="E135" s="52">
        <v>45616</v>
      </c>
      <c r="F135" s="80">
        <v>4840</v>
      </c>
      <c r="G135" s="79" t="s">
        <v>106</v>
      </c>
      <c r="H135" s="49" t="str">
        <f>IF(F135&gt;25000,"C",IF(F135&gt;1000,"B","A"))</f>
        <v>B</v>
      </c>
      <c r="I135" s="48" t="str">
        <f>VLOOKUP(H135,$L$2:$M$4,2,FALSE)</f>
        <v>The Commissioner &amp; Chief Constable are satisfied the spend represents VFM in accordance with the requirements of Category B</v>
      </c>
      <c r="L135" s="41"/>
      <c r="M135" s="41"/>
    </row>
    <row r="136" spans="1:13" s="42" customFormat="1" x14ac:dyDescent="0.2">
      <c r="A136" s="56" t="s">
        <v>8</v>
      </c>
      <c r="B136" s="55" t="s">
        <v>9</v>
      </c>
      <c r="C136" s="81" t="s">
        <v>410</v>
      </c>
      <c r="D136" s="53">
        <v>7179300</v>
      </c>
      <c r="E136" s="52">
        <v>45611</v>
      </c>
      <c r="F136" s="80">
        <v>4700</v>
      </c>
      <c r="G136" s="79" t="s">
        <v>123</v>
      </c>
      <c r="H136" s="49" t="str">
        <f>IF(F136&gt;25000,"C",IF(F136&gt;1000,"B","A"))</f>
        <v>B</v>
      </c>
      <c r="I136" s="48" t="str">
        <f>VLOOKUP(H136,$L$2:$M$4,2,FALSE)</f>
        <v>The Commissioner &amp; Chief Constable are satisfied the spend represents VFM in accordance with the requirements of Category B</v>
      </c>
      <c r="L136" s="41"/>
      <c r="M136" s="41"/>
    </row>
    <row r="137" spans="1:13" s="42" customFormat="1" x14ac:dyDescent="0.2">
      <c r="A137" s="56" t="s">
        <v>8</v>
      </c>
      <c r="B137" s="55" t="s">
        <v>9</v>
      </c>
      <c r="C137" s="81" t="s">
        <v>973</v>
      </c>
      <c r="D137" s="53">
        <v>7179391</v>
      </c>
      <c r="E137" s="52">
        <v>45611</v>
      </c>
      <c r="F137" s="80">
        <v>4700</v>
      </c>
      <c r="G137" s="79" t="s">
        <v>106</v>
      </c>
      <c r="H137" s="49" t="str">
        <f>IF(F137&gt;25000,"C",IF(F137&gt;1000,"B","A"))</f>
        <v>B</v>
      </c>
      <c r="I137" s="48" t="str">
        <f>VLOOKUP(H137,$L$2:$M$4,2,FALSE)</f>
        <v>The Commissioner &amp; Chief Constable are satisfied the spend represents VFM in accordance with the requirements of Category B</v>
      </c>
      <c r="L137" s="41"/>
      <c r="M137" s="41"/>
    </row>
    <row r="138" spans="1:13" s="42" customFormat="1" x14ac:dyDescent="0.2">
      <c r="A138" s="56" t="s">
        <v>8</v>
      </c>
      <c r="B138" s="55" t="s">
        <v>9</v>
      </c>
      <c r="C138" s="82" t="s">
        <v>23</v>
      </c>
      <c r="D138" s="53">
        <v>7178014</v>
      </c>
      <c r="E138" s="52">
        <v>45602</v>
      </c>
      <c r="F138" s="80">
        <v>4645.7299999999996</v>
      </c>
      <c r="G138" s="79" t="s">
        <v>24</v>
      </c>
      <c r="H138" s="49" t="str">
        <f>IF(F138&gt;25000,"C",IF(F138&gt;1000,"B","A"))</f>
        <v>B</v>
      </c>
      <c r="I138" s="48" t="str">
        <f>VLOOKUP(H138,$L$2:$M$4,2,FALSE)</f>
        <v>The Commissioner &amp; Chief Constable are satisfied the spend represents VFM in accordance with the requirements of Category B</v>
      </c>
      <c r="L138" s="41"/>
      <c r="M138" s="41"/>
    </row>
    <row r="139" spans="1:13" s="42" customFormat="1" x14ac:dyDescent="0.2">
      <c r="A139" s="56" t="s">
        <v>8</v>
      </c>
      <c r="B139" s="55" t="s">
        <v>9</v>
      </c>
      <c r="C139" s="81" t="s">
        <v>115</v>
      </c>
      <c r="D139" s="53">
        <v>7179343</v>
      </c>
      <c r="E139" s="52">
        <v>45610</v>
      </c>
      <c r="F139" s="80">
        <v>4620.7700000000004</v>
      </c>
      <c r="G139" s="79" t="s">
        <v>116</v>
      </c>
      <c r="H139" s="49" t="str">
        <f>IF(F139&gt;25000,"C",IF(F139&gt;1000,"B","A"))</f>
        <v>B</v>
      </c>
      <c r="I139" s="48" t="str">
        <f>VLOOKUP(H139,$L$2:$M$4,2,FALSE)</f>
        <v>The Commissioner &amp; Chief Constable are satisfied the spend represents VFM in accordance with the requirements of Category B</v>
      </c>
      <c r="L139" s="41"/>
      <c r="M139" s="41"/>
    </row>
    <row r="140" spans="1:13" s="42" customFormat="1" x14ac:dyDescent="0.2">
      <c r="A140" s="56" t="s">
        <v>8</v>
      </c>
      <c r="B140" s="55" t="s">
        <v>9</v>
      </c>
      <c r="C140" s="81" t="s">
        <v>173</v>
      </c>
      <c r="D140" s="53">
        <v>7179212</v>
      </c>
      <c r="E140" s="52">
        <v>45609</v>
      </c>
      <c r="F140" s="80">
        <v>4483.67</v>
      </c>
      <c r="G140" s="79" t="s">
        <v>80</v>
      </c>
      <c r="H140" s="49" t="str">
        <f>IF(F140&gt;25000,"C",IF(F140&gt;1000,"B","A"))</f>
        <v>B</v>
      </c>
      <c r="I140" s="48" t="str">
        <f>VLOOKUP(H140,$L$2:$M$4,2,FALSE)</f>
        <v>The Commissioner &amp; Chief Constable are satisfied the spend represents VFM in accordance with the requirements of Category B</v>
      </c>
      <c r="L140" s="41"/>
      <c r="M140" s="41"/>
    </row>
    <row r="141" spans="1:13" s="42" customFormat="1" x14ac:dyDescent="0.2">
      <c r="A141" s="56" t="s">
        <v>8</v>
      </c>
      <c r="B141" s="55" t="s">
        <v>9</v>
      </c>
      <c r="C141" s="81" t="s">
        <v>326</v>
      </c>
      <c r="D141" s="53">
        <v>7179135</v>
      </c>
      <c r="E141" s="52">
        <v>45607</v>
      </c>
      <c r="F141" s="80">
        <v>4292</v>
      </c>
      <c r="G141" s="79" t="s">
        <v>112</v>
      </c>
      <c r="H141" s="49" t="str">
        <f>IF(F141&gt;25000,"C",IF(F141&gt;1000,"B","A"))</f>
        <v>B</v>
      </c>
      <c r="I141" s="48" t="str">
        <f>VLOOKUP(H141,$L$2:$M$4,2,FALSE)</f>
        <v>The Commissioner &amp; Chief Constable are satisfied the spend represents VFM in accordance with the requirements of Category B</v>
      </c>
      <c r="L141" s="41"/>
      <c r="M141" s="41"/>
    </row>
    <row r="142" spans="1:13" s="42" customFormat="1" x14ac:dyDescent="0.2">
      <c r="A142" s="56" t="s">
        <v>8</v>
      </c>
      <c r="B142" s="55" t="s">
        <v>9</v>
      </c>
      <c r="C142" s="81" t="s">
        <v>100</v>
      </c>
      <c r="D142" s="53">
        <v>7179062</v>
      </c>
      <c r="E142" s="52">
        <v>45607</v>
      </c>
      <c r="F142" s="80">
        <v>4167.95</v>
      </c>
      <c r="G142" s="79" t="s">
        <v>38</v>
      </c>
      <c r="H142" s="49" t="str">
        <f>IF(F142&gt;25000,"C",IF(F142&gt;1000,"B","A"))</f>
        <v>B</v>
      </c>
      <c r="I142" s="48" t="str">
        <f>VLOOKUP(H142,$L$2:$M$4,2,FALSE)</f>
        <v>The Commissioner &amp; Chief Constable are satisfied the spend represents VFM in accordance with the requirements of Category B</v>
      </c>
      <c r="L142" s="41"/>
      <c r="M142" s="41"/>
    </row>
    <row r="143" spans="1:13" s="42" customFormat="1" x14ac:dyDescent="0.2">
      <c r="A143" s="56" t="s">
        <v>8</v>
      </c>
      <c r="B143" s="55" t="s">
        <v>9</v>
      </c>
      <c r="C143" s="81" t="s">
        <v>74</v>
      </c>
      <c r="D143" s="53">
        <v>7179748</v>
      </c>
      <c r="E143" s="52">
        <v>45623</v>
      </c>
      <c r="F143" s="80">
        <v>4102.5600000000004</v>
      </c>
      <c r="G143" s="79" t="s">
        <v>75</v>
      </c>
      <c r="H143" s="49" t="str">
        <f>IF(F143&gt;25000,"C",IF(F143&gt;1000,"B","A"))</f>
        <v>B</v>
      </c>
      <c r="I143" s="48" t="str">
        <f>VLOOKUP(H143,$L$2:$M$4,2,FALSE)</f>
        <v>The Commissioner &amp; Chief Constable are satisfied the spend represents VFM in accordance with the requirements of Category B</v>
      </c>
      <c r="L143" s="41"/>
      <c r="M143" s="41"/>
    </row>
    <row r="144" spans="1:13" s="42" customFormat="1" x14ac:dyDescent="0.2">
      <c r="A144" s="56" t="s">
        <v>8</v>
      </c>
      <c r="B144" s="55" t="s">
        <v>9</v>
      </c>
      <c r="C144" s="81" t="s">
        <v>207</v>
      </c>
      <c r="D144" s="53">
        <v>7178957</v>
      </c>
      <c r="E144" s="52">
        <v>45602</v>
      </c>
      <c r="F144" s="80">
        <v>4063.09</v>
      </c>
      <c r="G144" s="79" t="s">
        <v>114</v>
      </c>
      <c r="H144" s="49" t="str">
        <f>IF(F144&gt;25000,"C",IF(F144&gt;1000,"B","A"))</f>
        <v>B</v>
      </c>
      <c r="I144" s="48" t="str">
        <f>VLOOKUP(H144,$L$2:$M$4,2,FALSE)</f>
        <v>The Commissioner &amp; Chief Constable are satisfied the spend represents VFM in accordance with the requirements of Category B</v>
      </c>
      <c r="L144" s="41"/>
      <c r="M144" s="41"/>
    </row>
    <row r="145" spans="1:13" s="42" customFormat="1" x14ac:dyDescent="0.2">
      <c r="A145" s="56" t="s">
        <v>8</v>
      </c>
      <c r="B145" s="55" t="s">
        <v>9</v>
      </c>
      <c r="C145" s="81" t="s">
        <v>647</v>
      </c>
      <c r="D145" s="53">
        <v>7179407</v>
      </c>
      <c r="E145" s="52">
        <v>45617</v>
      </c>
      <c r="F145" s="80">
        <v>3990</v>
      </c>
      <c r="G145" s="79" t="s">
        <v>94</v>
      </c>
      <c r="H145" s="49" t="str">
        <f>IF(F145&gt;25000,"C",IF(F145&gt;1000,"B","A"))</f>
        <v>B</v>
      </c>
      <c r="I145" s="48" t="str">
        <f>VLOOKUP(H145,$L$2:$M$4,2,FALSE)</f>
        <v>The Commissioner &amp; Chief Constable are satisfied the spend represents VFM in accordance with the requirements of Category B</v>
      </c>
      <c r="L145" s="41"/>
      <c r="M145" s="41"/>
    </row>
    <row r="146" spans="1:13" s="42" customFormat="1" x14ac:dyDescent="0.2">
      <c r="A146" s="56" t="s">
        <v>8</v>
      </c>
      <c r="B146" s="55" t="s">
        <v>9</v>
      </c>
      <c r="C146" s="81" t="s">
        <v>128</v>
      </c>
      <c r="D146" s="53">
        <v>7178842</v>
      </c>
      <c r="E146" s="52">
        <v>45608</v>
      </c>
      <c r="F146" s="80">
        <v>3807.98</v>
      </c>
      <c r="G146" s="79" t="s">
        <v>129</v>
      </c>
      <c r="H146" s="49" t="str">
        <f>IF(F146&gt;25000,"C",IF(F146&gt;1000,"B","A"))</f>
        <v>B</v>
      </c>
      <c r="I146" s="48" t="str">
        <f>VLOOKUP(H146,$L$2:$M$4,2,FALSE)</f>
        <v>The Commissioner &amp; Chief Constable are satisfied the spend represents VFM in accordance with the requirements of Category B</v>
      </c>
      <c r="L146" s="41"/>
      <c r="M146" s="41"/>
    </row>
    <row r="147" spans="1:13" s="42" customFormat="1" x14ac:dyDescent="0.2">
      <c r="A147" s="56" t="s">
        <v>8</v>
      </c>
      <c r="B147" s="55" t="s">
        <v>9</v>
      </c>
      <c r="C147" s="81" t="s">
        <v>289</v>
      </c>
      <c r="D147" s="53">
        <v>7176582</v>
      </c>
      <c r="E147" s="52">
        <v>45615</v>
      </c>
      <c r="F147" s="80">
        <v>3800.41</v>
      </c>
      <c r="G147" s="79" t="s">
        <v>75</v>
      </c>
      <c r="H147" s="49" t="str">
        <f>IF(F147&gt;25000,"C",IF(F147&gt;1000,"B","A"))</f>
        <v>B</v>
      </c>
      <c r="I147" s="48" t="str">
        <f>VLOOKUP(H147,$L$2:$M$4,2,FALSE)</f>
        <v>The Commissioner &amp; Chief Constable are satisfied the spend represents VFM in accordance with the requirements of Category B</v>
      </c>
      <c r="L147" s="41"/>
      <c r="M147" s="41"/>
    </row>
    <row r="148" spans="1:13" s="42" customFormat="1" x14ac:dyDescent="0.2">
      <c r="A148" s="56" t="s">
        <v>8</v>
      </c>
      <c r="B148" s="55" t="s">
        <v>9</v>
      </c>
      <c r="C148" s="81" t="s">
        <v>410</v>
      </c>
      <c r="D148" s="53">
        <v>7179241</v>
      </c>
      <c r="E148" s="52">
        <v>45611</v>
      </c>
      <c r="F148" s="80">
        <v>3793</v>
      </c>
      <c r="G148" s="79" t="s">
        <v>123</v>
      </c>
      <c r="H148" s="49" t="str">
        <f>IF(F148&gt;25000,"C",IF(F148&gt;1000,"B","A"))</f>
        <v>B</v>
      </c>
      <c r="I148" s="48" t="str">
        <f>VLOOKUP(H148,$L$2:$M$4,2,FALSE)</f>
        <v>The Commissioner &amp; Chief Constable are satisfied the spend represents VFM in accordance with the requirements of Category B</v>
      </c>
      <c r="L148" s="41"/>
      <c r="M148" s="41"/>
    </row>
    <row r="149" spans="1:13" s="42" customFormat="1" x14ac:dyDescent="0.2">
      <c r="A149" s="56" t="s">
        <v>8</v>
      </c>
      <c r="B149" s="55" t="s">
        <v>9</v>
      </c>
      <c r="C149" s="81" t="s">
        <v>972</v>
      </c>
      <c r="D149" s="53">
        <v>7179741</v>
      </c>
      <c r="E149" s="52">
        <v>45623</v>
      </c>
      <c r="F149" s="80">
        <v>3785.8</v>
      </c>
      <c r="G149" s="79" t="s">
        <v>106</v>
      </c>
      <c r="H149" s="49" t="str">
        <f>IF(F149&gt;25000,"C",IF(F149&gt;1000,"B","A"))</f>
        <v>B</v>
      </c>
      <c r="I149" s="48" t="str">
        <f>VLOOKUP(H149,$L$2:$M$4,2,FALSE)</f>
        <v>The Commissioner &amp; Chief Constable are satisfied the spend represents VFM in accordance with the requirements of Category B</v>
      </c>
      <c r="L149" s="41"/>
      <c r="M149" s="41"/>
    </row>
    <row r="150" spans="1:13" s="42" customFormat="1" x14ac:dyDescent="0.2">
      <c r="A150" s="56" t="s">
        <v>8</v>
      </c>
      <c r="B150" s="55" t="s">
        <v>9</v>
      </c>
      <c r="C150" s="81" t="s">
        <v>152</v>
      </c>
      <c r="D150" s="53">
        <v>7178833</v>
      </c>
      <c r="E150" s="52">
        <v>45602</v>
      </c>
      <c r="F150" s="80">
        <v>3765.6</v>
      </c>
      <c r="G150" s="79" t="s">
        <v>102</v>
      </c>
      <c r="H150" s="49" t="str">
        <f>IF(F150&gt;25000,"C",IF(F150&gt;1000,"B","A"))</f>
        <v>B</v>
      </c>
      <c r="I150" s="48" t="str">
        <f>VLOOKUP(H150,$L$2:$M$4,2,FALSE)</f>
        <v>The Commissioner &amp; Chief Constable are satisfied the spend represents VFM in accordance with the requirements of Category B</v>
      </c>
      <c r="L150" s="41"/>
      <c r="M150" s="41"/>
    </row>
    <row r="151" spans="1:13" s="42" customFormat="1" x14ac:dyDescent="0.2">
      <c r="A151" s="56" t="s">
        <v>8</v>
      </c>
      <c r="B151" s="55" t="s">
        <v>9</v>
      </c>
      <c r="C151" s="81" t="s">
        <v>374</v>
      </c>
      <c r="D151" s="53">
        <v>7178135</v>
      </c>
      <c r="E151" s="52">
        <v>45602</v>
      </c>
      <c r="F151" s="80">
        <v>3750</v>
      </c>
      <c r="G151" s="79" t="s">
        <v>373</v>
      </c>
      <c r="H151" s="49" t="str">
        <f>IF(F151&gt;25000,"C",IF(F151&gt;1000,"B","A"))</f>
        <v>B</v>
      </c>
      <c r="I151" s="48" t="str">
        <f>VLOOKUP(H151,$L$2:$M$4,2,FALSE)</f>
        <v>The Commissioner &amp; Chief Constable are satisfied the spend represents VFM in accordance with the requirements of Category B</v>
      </c>
      <c r="L151" s="41"/>
      <c r="M151" s="41"/>
    </row>
    <row r="152" spans="1:13" s="42" customFormat="1" x14ac:dyDescent="0.2">
      <c r="A152" s="56" t="s">
        <v>8</v>
      </c>
      <c r="B152" s="55" t="s">
        <v>9</v>
      </c>
      <c r="C152" s="81" t="s">
        <v>374</v>
      </c>
      <c r="D152" s="53">
        <v>7177283</v>
      </c>
      <c r="E152" s="52">
        <v>45602</v>
      </c>
      <c r="F152" s="80">
        <v>3750</v>
      </c>
      <c r="G152" s="79" t="s">
        <v>373</v>
      </c>
      <c r="H152" s="49" t="str">
        <f>IF(F152&gt;25000,"C",IF(F152&gt;1000,"B","A"))</f>
        <v>B</v>
      </c>
      <c r="I152" s="48" t="str">
        <f>VLOOKUP(H152,$L$2:$M$4,2,FALSE)</f>
        <v>The Commissioner &amp; Chief Constable are satisfied the spend represents VFM in accordance with the requirements of Category B</v>
      </c>
      <c r="L152" s="41"/>
      <c r="M152" s="41"/>
    </row>
    <row r="153" spans="1:13" s="42" customFormat="1" x14ac:dyDescent="0.2">
      <c r="A153" s="56" t="s">
        <v>8</v>
      </c>
      <c r="B153" s="55" t="s">
        <v>9</v>
      </c>
      <c r="C153" s="81" t="s">
        <v>351</v>
      </c>
      <c r="D153" s="53">
        <v>7178839</v>
      </c>
      <c r="E153" s="52">
        <v>45600</v>
      </c>
      <c r="F153" s="80">
        <v>3723.98</v>
      </c>
      <c r="G153" s="79" t="s">
        <v>80</v>
      </c>
      <c r="H153" s="49" t="str">
        <f>IF(F153&gt;25000,"C",IF(F153&gt;1000,"B","A"))</f>
        <v>B</v>
      </c>
      <c r="I153" s="48" t="str">
        <f>VLOOKUP(H153,$L$2:$M$4,2,FALSE)</f>
        <v>The Commissioner &amp; Chief Constable are satisfied the spend represents VFM in accordance with the requirements of Category B</v>
      </c>
      <c r="L153" s="41"/>
      <c r="M153" s="41"/>
    </row>
    <row r="154" spans="1:13" s="42" customFormat="1" x14ac:dyDescent="0.2">
      <c r="A154" s="56" t="s">
        <v>8</v>
      </c>
      <c r="B154" s="55" t="s">
        <v>9</v>
      </c>
      <c r="C154" s="81" t="s">
        <v>135</v>
      </c>
      <c r="D154" s="53">
        <v>7179282</v>
      </c>
      <c r="E154" s="52">
        <v>45617</v>
      </c>
      <c r="F154" s="80">
        <v>3661.65</v>
      </c>
      <c r="G154" s="79" t="s">
        <v>40</v>
      </c>
      <c r="H154" s="49" t="str">
        <f>IF(F154&gt;25000,"C",IF(F154&gt;1000,"B","A"))</f>
        <v>B</v>
      </c>
      <c r="I154" s="48" t="str">
        <f>VLOOKUP(H154,$L$2:$M$4,2,FALSE)</f>
        <v>The Commissioner &amp; Chief Constable are satisfied the spend represents VFM in accordance with the requirements of Category B</v>
      </c>
      <c r="L154" s="41"/>
      <c r="M154" s="41"/>
    </row>
    <row r="155" spans="1:13" s="42" customFormat="1" x14ac:dyDescent="0.2">
      <c r="A155" s="56" t="s">
        <v>8</v>
      </c>
      <c r="B155" s="55" t="s">
        <v>9</v>
      </c>
      <c r="C155" s="81" t="s">
        <v>152</v>
      </c>
      <c r="D155" s="53">
        <v>7178835</v>
      </c>
      <c r="E155" s="52">
        <v>45602</v>
      </c>
      <c r="F155" s="80">
        <v>3640.08</v>
      </c>
      <c r="G155" s="79" t="s">
        <v>102</v>
      </c>
      <c r="H155" s="49" t="str">
        <f>IF(F155&gt;25000,"C",IF(F155&gt;1000,"B","A"))</f>
        <v>B</v>
      </c>
      <c r="I155" s="48" t="str">
        <f>VLOOKUP(H155,$L$2:$M$4,2,FALSE)</f>
        <v>The Commissioner &amp; Chief Constable are satisfied the spend represents VFM in accordance with the requirements of Category B</v>
      </c>
      <c r="L155" s="41"/>
      <c r="M155" s="41"/>
    </row>
    <row r="156" spans="1:13" s="42" customFormat="1" x14ac:dyDescent="0.2">
      <c r="A156" s="56" t="s">
        <v>8</v>
      </c>
      <c r="B156" s="55" t="s">
        <v>9</v>
      </c>
      <c r="C156" s="81" t="s">
        <v>90</v>
      </c>
      <c r="D156" s="53">
        <v>7179381</v>
      </c>
      <c r="E156" s="52">
        <v>45615</v>
      </c>
      <c r="F156" s="80">
        <v>3599.97</v>
      </c>
      <c r="G156" s="79" t="s">
        <v>91</v>
      </c>
      <c r="H156" s="49" t="str">
        <f>IF(F156&gt;25000,"C",IF(F156&gt;1000,"B","A"))</f>
        <v>B</v>
      </c>
      <c r="I156" s="48" t="str">
        <f>VLOOKUP(H156,$L$2:$M$4,2,FALSE)</f>
        <v>The Commissioner &amp; Chief Constable are satisfied the spend represents VFM in accordance with the requirements of Category B</v>
      </c>
      <c r="L156" s="41"/>
      <c r="M156" s="41"/>
    </row>
    <row r="157" spans="1:13" s="42" customFormat="1" x14ac:dyDescent="0.2">
      <c r="A157" s="56" t="s">
        <v>8</v>
      </c>
      <c r="B157" s="55" t="s">
        <v>9</v>
      </c>
      <c r="C157" s="81" t="s">
        <v>240</v>
      </c>
      <c r="D157" s="53">
        <v>7179463</v>
      </c>
      <c r="E157" s="52">
        <v>45614</v>
      </c>
      <c r="F157" s="80">
        <v>3518.14</v>
      </c>
      <c r="G157" s="79" t="s">
        <v>241</v>
      </c>
      <c r="H157" s="49" t="str">
        <f>IF(F157&gt;25000,"C",IF(F157&gt;1000,"B","A"))</f>
        <v>B</v>
      </c>
      <c r="I157" s="48" t="str">
        <f>VLOOKUP(H157,$L$2:$M$4,2,FALSE)</f>
        <v>The Commissioner &amp; Chief Constable are satisfied the spend represents VFM in accordance with the requirements of Category B</v>
      </c>
      <c r="L157" s="41"/>
      <c r="M157" s="41"/>
    </row>
    <row r="158" spans="1:13" s="42" customFormat="1" x14ac:dyDescent="0.2">
      <c r="A158" s="56" t="s">
        <v>8</v>
      </c>
      <c r="B158" s="55" t="s">
        <v>9</v>
      </c>
      <c r="C158" s="81" t="s">
        <v>135</v>
      </c>
      <c r="D158" s="53">
        <v>7179281</v>
      </c>
      <c r="E158" s="52">
        <v>45617</v>
      </c>
      <c r="F158" s="80">
        <v>3499.25</v>
      </c>
      <c r="G158" s="79" t="s">
        <v>40</v>
      </c>
      <c r="H158" s="49" t="str">
        <f>IF(F158&gt;25000,"C",IF(F158&gt;1000,"B","A"))</f>
        <v>B</v>
      </c>
      <c r="I158" s="48" t="str">
        <f>VLOOKUP(H158,$L$2:$M$4,2,FALSE)</f>
        <v>The Commissioner &amp; Chief Constable are satisfied the spend represents VFM in accordance with the requirements of Category B</v>
      </c>
      <c r="L158" s="41"/>
      <c r="M158" s="41"/>
    </row>
    <row r="159" spans="1:13" s="42" customFormat="1" x14ac:dyDescent="0.2">
      <c r="A159" s="56" t="s">
        <v>8</v>
      </c>
      <c r="B159" s="55" t="s">
        <v>9</v>
      </c>
      <c r="C159" s="81" t="s">
        <v>135</v>
      </c>
      <c r="D159" s="53">
        <v>7179285</v>
      </c>
      <c r="E159" s="52">
        <v>45617</v>
      </c>
      <c r="F159" s="80">
        <v>3467.15</v>
      </c>
      <c r="G159" s="79" t="s">
        <v>40</v>
      </c>
      <c r="H159" s="49" t="str">
        <f>IF(F159&gt;25000,"C",IF(F159&gt;1000,"B","A"))</f>
        <v>B</v>
      </c>
      <c r="I159" s="48" t="str">
        <f>VLOOKUP(H159,$L$2:$M$4,2,FALSE)</f>
        <v>The Commissioner &amp; Chief Constable are satisfied the spend represents VFM in accordance with the requirements of Category B</v>
      </c>
      <c r="L159" s="41"/>
      <c r="M159" s="41"/>
    </row>
    <row r="160" spans="1:13" s="42" customFormat="1" x14ac:dyDescent="0.2">
      <c r="A160" s="56" t="s">
        <v>8</v>
      </c>
      <c r="B160" s="55" t="s">
        <v>9</v>
      </c>
      <c r="C160" s="81" t="s">
        <v>124</v>
      </c>
      <c r="D160" s="53">
        <v>7178328</v>
      </c>
      <c r="E160" s="52">
        <v>45617</v>
      </c>
      <c r="F160" s="80">
        <v>3460.09</v>
      </c>
      <c r="G160" s="79" t="s">
        <v>91</v>
      </c>
      <c r="H160" s="49" t="str">
        <f>IF(F160&gt;25000,"C",IF(F160&gt;1000,"B","A"))</f>
        <v>B</v>
      </c>
      <c r="I160" s="48" t="str">
        <f>VLOOKUP(H160,$L$2:$M$4,2,FALSE)</f>
        <v>The Commissioner &amp; Chief Constable are satisfied the spend represents VFM in accordance with the requirements of Category B</v>
      </c>
      <c r="L160" s="41"/>
      <c r="M160" s="41"/>
    </row>
    <row r="161" spans="1:13" s="42" customFormat="1" x14ac:dyDescent="0.2">
      <c r="A161" s="56" t="s">
        <v>8</v>
      </c>
      <c r="B161" s="55" t="s">
        <v>9</v>
      </c>
      <c r="C161" s="81" t="s">
        <v>687</v>
      </c>
      <c r="D161" s="53">
        <v>7179670</v>
      </c>
      <c r="E161" s="52">
        <v>45625</v>
      </c>
      <c r="F161" s="80">
        <v>3450</v>
      </c>
      <c r="G161" s="79" t="s">
        <v>131</v>
      </c>
      <c r="H161" s="49" t="str">
        <f>IF(F161&gt;25000,"C",IF(F161&gt;1000,"B","A"))</f>
        <v>B</v>
      </c>
      <c r="I161" s="48" t="str">
        <f>VLOOKUP(H161,$L$2:$M$4,2,FALSE)</f>
        <v>The Commissioner &amp; Chief Constable are satisfied the spend represents VFM in accordance with the requirements of Category B</v>
      </c>
      <c r="L161" s="41"/>
      <c r="M161" s="41"/>
    </row>
    <row r="162" spans="1:13" s="42" customFormat="1" x14ac:dyDescent="0.2">
      <c r="A162" s="56" t="s">
        <v>8</v>
      </c>
      <c r="B162" s="55" t="s">
        <v>9</v>
      </c>
      <c r="C162" s="81" t="s">
        <v>140</v>
      </c>
      <c r="D162" s="53">
        <v>7179003</v>
      </c>
      <c r="E162" s="52">
        <v>45603</v>
      </c>
      <c r="F162" s="80">
        <v>3388.3</v>
      </c>
      <c r="G162" s="79" t="s">
        <v>156</v>
      </c>
      <c r="H162" s="49" t="str">
        <f>IF(F162&gt;25000,"C",IF(F162&gt;1000,"B","A"))</f>
        <v>B</v>
      </c>
      <c r="I162" s="48" t="str">
        <f>VLOOKUP(H162,$L$2:$M$4,2,FALSE)</f>
        <v>The Commissioner &amp; Chief Constable are satisfied the spend represents VFM in accordance with the requirements of Category B</v>
      </c>
      <c r="L162" s="41"/>
      <c r="M162" s="41"/>
    </row>
    <row r="163" spans="1:13" s="42" customFormat="1" x14ac:dyDescent="0.2">
      <c r="A163" s="56" t="s">
        <v>8</v>
      </c>
      <c r="B163" s="55" t="s">
        <v>9</v>
      </c>
      <c r="C163" s="81" t="s">
        <v>304</v>
      </c>
      <c r="D163" s="53">
        <v>7178967</v>
      </c>
      <c r="E163" s="52">
        <v>45607</v>
      </c>
      <c r="F163" s="80">
        <v>3360</v>
      </c>
      <c r="G163" s="79" t="s">
        <v>155</v>
      </c>
      <c r="H163" s="49" t="str">
        <f>IF(F163&gt;25000,"C",IF(F163&gt;1000,"B","A"))</f>
        <v>B</v>
      </c>
      <c r="I163" s="48" t="str">
        <f>VLOOKUP(H163,$L$2:$M$4,2,FALSE)</f>
        <v>The Commissioner &amp; Chief Constable are satisfied the spend represents VFM in accordance with the requirements of Category B</v>
      </c>
      <c r="L163" s="41"/>
      <c r="M163" s="41"/>
    </row>
    <row r="164" spans="1:13" s="42" customFormat="1" x14ac:dyDescent="0.2">
      <c r="A164" s="56" t="s">
        <v>8</v>
      </c>
      <c r="B164" s="55" t="s">
        <v>9</v>
      </c>
      <c r="C164" s="81" t="s">
        <v>294</v>
      </c>
      <c r="D164" s="53">
        <v>7179556</v>
      </c>
      <c r="E164" s="52">
        <v>45618</v>
      </c>
      <c r="F164" s="80">
        <v>3354.48</v>
      </c>
      <c r="G164" s="79" t="s">
        <v>131</v>
      </c>
      <c r="H164" s="49" t="str">
        <f>IF(F164&gt;25000,"C",IF(F164&gt;1000,"B","A"))</f>
        <v>B</v>
      </c>
      <c r="I164" s="48" t="str">
        <f>VLOOKUP(H164,$L$2:$M$4,2,FALSE)</f>
        <v>The Commissioner &amp; Chief Constable are satisfied the spend represents VFM in accordance with the requirements of Category B</v>
      </c>
      <c r="L164" s="41"/>
      <c r="M164" s="41"/>
    </row>
    <row r="165" spans="1:13" s="42" customFormat="1" x14ac:dyDescent="0.2">
      <c r="A165" s="56" t="s">
        <v>8</v>
      </c>
      <c r="B165" s="55" t="s">
        <v>9</v>
      </c>
      <c r="C165" s="81" t="s">
        <v>140</v>
      </c>
      <c r="D165" s="53">
        <v>7179658</v>
      </c>
      <c r="E165" s="52">
        <v>45623</v>
      </c>
      <c r="F165" s="80">
        <v>204.2</v>
      </c>
      <c r="G165" s="79" t="s">
        <v>88</v>
      </c>
      <c r="H165" s="49" t="str">
        <f>IF(F165&gt;25000,"C",IF(F165&gt;1000,"B","A"))</f>
        <v>A</v>
      </c>
      <c r="I165" s="48" t="str">
        <f>VLOOKUP(H165,$L$2:$M$4,2,FALSE)</f>
        <v>The Commissioner &amp; Chief Constable are satisfied the spend represents VFM in accordance with the requirements of Category A</v>
      </c>
      <c r="L165" s="41"/>
      <c r="M165" s="41"/>
    </row>
    <row r="166" spans="1:13" s="42" customFormat="1" x14ac:dyDescent="0.2">
      <c r="A166" s="56" t="s">
        <v>8</v>
      </c>
      <c r="B166" s="55" t="s">
        <v>9</v>
      </c>
      <c r="C166" s="81" t="s">
        <v>140</v>
      </c>
      <c r="D166" s="53">
        <v>7179658</v>
      </c>
      <c r="E166" s="52">
        <v>45623</v>
      </c>
      <c r="F166" s="80">
        <v>3123.35</v>
      </c>
      <c r="G166" s="79" t="s">
        <v>156</v>
      </c>
      <c r="H166" s="49" t="str">
        <f>IF(F166&gt;25000,"C",IF(F166&gt;1000,"B","A"))</f>
        <v>B</v>
      </c>
      <c r="I166" s="48" t="str">
        <f>VLOOKUP(H166,$L$2:$M$4,2,FALSE)</f>
        <v>The Commissioner &amp; Chief Constable are satisfied the spend represents VFM in accordance with the requirements of Category B</v>
      </c>
      <c r="L166" s="41"/>
      <c r="M166" s="41"/>
    </row>
    <row r="167" spans="1:13" s="42" customFormat="1" x14ac:dyDescent="0.2">
      <c r="A167" s="56" t="s">
        <v>8</v>
      </c>
      <c r="B167" s="55" t="s">
        <v>9</v>
      </c>
      <c r="C167" s="81" t="s">
        <v>30</v>
      </c>
      <c r="D167" s="53">
        <v>7178934</v>
      </c>
      <c r="E167" s="52">
        <v>45601</v>
      </c>
      <c r="F167" s="80">
        <v>3325.95</v>
      </c>
      <c r="G167" s="79" t="s">
        <v>31</v>
      </c>
      <c r="H167" s="49" t="str">
        <f>IF(F167&gt;25000,"C",IF(F167&gt;1000,"B","A"))</f>
        <v>B</v>
      </c>
      <c r="I167" s="48" t="str">
        <f>VLOOKUP(H167,$L$2:$M$4,2,FALSE)</f>
        <v>The Commissioner &amp; Chief Constable are satisfied the spend represents VFM in accordance with the requirements of Category B</v>
      </c>
      <c r="L167" s="41"/>
      <c r="M167" s="41"/>
    </row>
    <row r="168" spans="1:13" s="42" customFormat="1" x14ac:dyDescent="0.2">
      <c r="A168" s="56" t="s">
        <v>8</v>
      </c>
      <c r="B168" s="55" t="s">
        <v>9</v>
      </c>
      <c r="C168" s="81" t="s">
        <v>468</v>
      </c>
      <c r="D168" s="53">
        <v>7179277</v>
      </c>
      <c r="E168" s="52">
        <v>45610</v>
      </c>
      <c r="F168" s="80">
        <v>3321.8</v>
      </c>
      <c r="G168" s="79" t="s">
        <v>27</v>
      </c>
      <c r="H168" s="49" t="str">
        <f>IF(F168&gt;25000,"C",IF(F168&gt;1000,"B","A"))</f>
        <v>B</v>
      </c>
      <c r="I168" s="48" t="str">
        <f>VLOOKUP(H168,$L$2:$M$4,2,FALSE)</f>
        <v>The Commissioner &amp; Chief Constable are satisfied the spend represents VFM in accordance with the requirements of Category B</v>
      </c>
      <c r="L168" s="41"/>
      <c r="M168" s="41"/>
    </row>
    <row r="169" spans="1:13" s="42" customFormat="1" x14ac:dyDescent="0.2">
      <c r="A169" s="56" t="s">
        <v>8</v>
      </c>
      <c r="B169" s="55" t="s">
        <v>9</v>
      </c>
      <c r="C169" s="81" t="s">
        <v>276</v>
      </c>
      <c r="D169" s="53">
        <v>7178974</v>
      </c>
      <c r="E169" s="52">
        <v>45617</v>
      </c>
      <c r="F169" s="80">
        <v>3277</v>
      </c>
      <c r="G169" s="79" t="s">
        <v>40</v>
      </c>
      <c r="H169" s="49" t="str">
        <f>IF(F169&gt;25000,"C",IF(F169&gt;1000,"B","A"))</f>
        <v>B</v>
      </c>
      <c r="I169" s="48" t="str">
        <f>VLOOKUP(H169,$L$2:$M$4,2,FALSE)</f>
        <v>The Commissioner &amp; Chief Constable are satisfied the spend represents VFM in accordance with the requirements of Category B</v>
      </c>
      <c r="L169" s="41"/>
      <c r="M169" s="41"/>
    </row>
    <row r="170" spans="1:13" s="42" customFormat="1" x14ac:dyDescent="0.2">
      <c r="A170" s="56" t="s">
        <v>8</v>
      </c>
      <c r="B170" s="55" t="s">
        <v>9</v>
      </c>
      <c r="C170" s="81" t="s">
        <v>181</v>
      </c>
      <c r="D170" s="53">
        <v>7178202</v>
      </c>
      <c r="E170" s="52">
        <v>45597</v>
      </c>
      <c r="F170" s="80">
        <v>3239.5</v>
      </c>
      <c r="G170" s="79" t="s">
        <v>106</v>
      </c>
      <c r="H170" s="49" t="str">
        <f>IF(F170&gt;25000,"C",IF(F170&gt;1000,"B","A"))</f>
        <v>B</v>
      </c>
      <c r="I170" s="48" t="str">
        <f>VLOOKUP(H170,$L$2:$M$4,2,FALSE)</f>
        <v>The Commissioner &amp; Chief Constable are satisfied the spend represents VFM in accordance with the requirements of Category B</v>
      </c>
      <c r="L170" s="41"/>
      <c r="M170" s="41"/>
    </row>
    <row r="171" spans="1:13" s="42" customFormat="1" x14ac:dyDescent="0.2">
      <c r="A171" s="56" t="s">
        <v>8</v>
      </c>
      <c r="B171" s="55" t="s">
        <v>9</v>
      </c>
      <c r="C171" s="81" t="s">
        <v>183</v>
      </c>
      <c r="D171" s="53">
        <v>7179522</v>
      </c>
      <c r="E171" s="52">
        <v>45617</v>
      </c>
      <c r="F171" s="80">
        <v>3234.2</v>
      </c>
      <c r="G171" s="79" t="s">
        <v>129</v>
      </c>
      <c r="H171" s="49" t="str">
        <f>IF(F171&gt;25000,"C",IF(F171&gt;1000,"B","A"))</f>
        <v>B</v>
      </c>
      <c r="I171" s="48" t="str">
        <f>VLOOKUP(H171,$L$2:$M$4,2,FALSE)</f>
        <v>The Commissioner &amp; Chief Constable are satisfied the spend represents VFM in accordance with the requirements of Category B</v>
      </c>
      <c r="L171" s="41"/>
      <c r="M171" s="41"/>
    </row>
    <row r="172" spans="1:13" s="42" customFormat="1" x14ac:dyDescent="0.2">
      <c r="A172" s="56" t="s">
        <v>8</v>
      </c>
      <c r="B172" s="55" t="s">
        <v>9</v>
      </c>
      <c r="C172" s="81" t="s">
        <v>235</v>
      </c>
      <c r="D172" s="53">
        <v>7179289</v>
      </c>
      <c r="E172" s="52">
        <v>45609</v>
      </c>
      <c r="F172" s="80">
        <v>3216</v>
      </c>
      <c r="G172" s="79" t="s">
        <v>39</v>
      </c>
      <c r="H172" s="49" t="str">
        <f>IF(F172&gt;25000,"C",IF(F172&gt;1000,"B","A"))</f>
        <v>B</v>
      </c>
      <c r="I172" s="48" t="str">
        <f>VLOOKUP(H172,$L$2:$M$4,2,FALSE)</f>
        <v>The Commissioner &amp; Chief Constable are satisfied the spend represents VFM in accordance with the requirements of Category B</v>
      </c>
      <c r="L172" s="41"/>
      <c r="M172" s="41"/>
    </row>
    <row r="173" spans="1:13" s="42" customFormat="1" x14ac:dyDescent="0.2">
      <c r="A173" s="56" t="s">
        <v>8</v>
      </c>
      <c r="B173" s="55" t="s">
        <v>9</v>
      </c>
      <c r="C173" s="81" t="s">
        <v>135</v>
      </c>
      <c r="D173" s="53">
        <v>7179284</v>
      </c>
      <c r="E173" s="52">
        <v>45617</v>
      </c>
      <c r="F173" s="80">
        <v>3211.25</v>
      </c>
      <c r="G173" s="79" t="s">
        <v>40</v>
      </c>
      <c r="H173" s="49" t="str">
        <f>IF(F173&gt;25000,"C",IF(F173&gt;1000,"B","A"))</f>
        <v>B</v>
      </c>
      <c r="I173" s="48" t="str">
        <f>VLOOKUP(H173,$L$2:$M$4,2,FALSE)</f>
        <v>The Commissioner &amp; Chief Constable are satisfied the spend represents VFM in accordance with the requirements of Category B</v>
      </c>
      <c r="L173" s="41"/>
      <c r="M173" s="41"/>
    </row>
    <row r="174" spans="1:13" s="42" customFormat="1" x14ac:dyDescent="0.2">
      <c r="A174" s="56" t="s">
        <v>8</v>
      </c>
      <c r="B174" s="55" t="s">
        <v>9</v>
      </c>
      <c r="C174" s="81" t="s">
        <v>769</v>
      </c>
      <c r="D174" s="53">
        <v>7179564</v>
      </c>
      <c r="E174" s="52">
        <v>45616</v>
      </c>
      <c r="F174" s="83">
        <v>3200</v>
      </c>
      <c r="G174" s="79" t="s">
        <v>203</v>
      </c>
      <c r="H174" s="49" t="str">
        <f>IF(F174&gt;25000,"C",IF(F174&gt;1000,"B","A"))</f>
        <v>B</v>
      </c>
      <c r="I174" s="48" t="str">
        <f>VLOOKUP(H174,$L$2:$M$4,2,FALSE)</f>
        <v>The Commissioner &amp; Chief Constable are satisfied the spend represents VFM in accordance with the requirements of Category B</v>
      </c>
      <c r="L174" s="41"/>
      <c r="M174" s="41"/>
    </row>
    <row r="175" spans="1:13" s="42" customFormat="1" x14ac:dyDescent="0.2">
      <c r="A175" s="56" t="s">
        <v>8</v>
      </c>
      <c r="B175" s="55" t="s">
        <v>9</v>
      </c>
      <c r="C175" s="81" t="s">
        <v>769</v>
      </c>
      <c r="D175" s="53">
        <v>7179148</v>
      </c>
      <c r="E175" s="52">
        <v>45618</v>
      </c>
      <c r="F175" s="80">
        <v>3200</v>
      </c>
      <c r="G175" s="84" t="s">
        <v>203</v>
      </c>
      <c r="H175" s="49" t="str">
        <f>IF(F175&gt;25000,"C",IF(F175&gt;1000,"B","A"))</f>
        <v>B</v>
      </c>
      <c r="I175" s="48" t="str">
        <f>VLOOKUP(H175,$L$2:$M$4,2,FALSE)</f>
        <v>The Commissioner &amp; Chief Constable are satisfied the spend represents VFM in accordance with the requirements of Category B</v>
      </c>
      <c r="L175" s="41"/>
      <c r="M175" s="41"/>
    </row>
    <row r="176" spans="1:13" s="42" customFormat="1" x14ac:dyDescent="0.2">
      <c r="A176" s="56" t="s">
        <v>8</v>
      </c>
      <c r="B176" s="55" t="s">
        <v>9</v>
      </c>
      <c r="C176" s="81" t="s">
        <v>272</v>
      </c>
      <c r="D176" s="53">
        <v>7179647</v>
      </c>
      <c r="E176" s="52">
        <v>45622</v>
      </c>
      <c r="F176" s="80">
        <v>3199.5</v>
      </c>
      <c r="G176" s="84" t="s">
        <v>131</v>
      </c>
      <c r="H176" s="49" t="str">
        <f>IF(F176&gt;25000,"C",IF(F176&gt;1000,"B","A"))</f>
        <v>B</v>
      </c>
      <c r="I176" s="48" t="str">
        <f>VLOOKUP(H176,$L$2:$M$4,2,FALSE)</f>
        <v>The Commissioner &amp; Chief Constable are satisfied the spend represents VFM in accordance with the requirements of Category B</v>
      </c>
      <c r="L176" s="41"/>
      <c r="M176" s="41"/>
    </row>
    <row r="177" spans="1:13" s="42" customFormat="1" x14ac:dyDescent="0.2">
      <c r="A177" s="56" t="s">
        <v>8</v>
      </c>
      <c r="B177" s="55" t="s">
        <v>9</v>
      </c>
      <c r="C177" s="81" t="s">
        <v>142</v>
      </c>
      <c r="D177" s="53">
        <v>7178689</v>
      </c>
      <c r="E177" s="52">
        <v>45607</v>
      </c>
      <c r="F177" s="80">
        <v>3087.7</v>
      </c>
      <c r="G177" s="79" t="s">
        <v>143</v>
      </c>
      <c r="H177" s="49" t="str">
        <f>IF(F177&gt;25000,"C",IF(F177&gt;1000,"B","A"))</f>
        <v>B</v>
      </c>
      <c r="I177" s="48" t="str">
        <f>VLOOKUP(H177,$L$2:$M$4,2,FALSE)</f>
        <v>The Commissioner &amp; Chief Constable are satisfied the spend represents VFM in accordance with the requirements of Category B</v>
      </c>
      <c r="L177" s="41"/>
      <c r="M177" s="41"/>
    </row>
    <row r="178" spans="1:13" s="42" customFormat="1" x14ac:dyDescent="0.2">
      <c r="A178" s="56" t="s">
        <v>8</v>
      </c>
      <c r="B178" s="55" t="s">
        <v>9</v>
      </c>
      <c r="C178" s="81" t="s">
        <v>142</v>
      </c>
      <c r="D178" s="53">
        <v>7178690</v>
      </c>
      <c r="E178" s="52">
        <v>45602</v>
      </c>
      <c r="F178" s="80">
        <v>3087.7</v>
      </c>
      <c r="G178" s="79" t="s">
        <v>143</v>
      </c>
      <c r="H178" s="49" t="str">
        <f>IF(F178&gt;25000,"C",IF(F178&gt;1000,"B","A"))</f>
        <v>B</v>
      </c>
      <c r="I178" s="48" t="str">
        <f>VLOOKUP(H178,$L$2:$M$4,2,FALSE)</f>
        <v>The Commissioner &amp; Chief Constable are satisfied the spend represents VFM in accordance with the requirements of Category B</v>
      </c>
      <c r="L178" s="41"/>
      <c r="M178" s="41"/>
    </row>
    <row r="179" spans="1:13" s="42" customFormat="1" x14ac:dyDescent="0.2">
      <c r="A179" s="56" t="s">
        <v>8</v>
      </c>
      <c r="B179" s="55" t="s">
        <v>9</v>
      </c>
      <c r="C179" s="81" t="s">
        <v>454</v>
      </c>
      <c r="D179" s="53">
        <v>7179253</v>
      </c>
      <c r="E179" s="52">
        <v>45608</v>
      </c>
      <c r="F179" s="80">
        <v>3063.45</v>
      </c>
      <c r="G179" s="79" t="s">
        <v>38</v>
      </c>
      <c r="H179" s="49" t="str">
        <f>IF(F179&gt;25000,"C",IF(F179&gt;1000,"B","A"))</f>
        <v>B</v>
      </c>
      <c r="I179" s="48" t="str">
        <f>VLOOKUP(H179,$L$2:$M$4,2,FALSE)</f>
        <v>The Commissioner &amp; Chief Constable are satisfied the spend represents VFM in accordance with the requirements of Category B</v>
      </c>
      <c r="L179" s="41"/>
      <c r="M179" s="41"/>
    </row>
    <row r="180" spans="1:13" s="42" customFormat="1" x14ac:dyDescent="0.2">
      <c r="A180" s="56" t="s">
        <v>8</v>
      </c>
      <c r="B180" s="55" t="s">
        <v>9</v>
      </c>
      <c r="C180" s="81" t="s">
        <v>633</v>
      </c>
      <c r="D180" s="53">
        <v>7178896</v>
      </c>
      <c r="E180" s="52">
        <v>45607</v>
      </c>
      <c r="F180" s="80">
        <v>3053.97</v>
      </c>
      <c r="G180" s="79" t="s">
        <v>91</v>
      </c>
      <c r="H180" s="49" t="str">
        <f>IF(F180&gt;25000,"C",IF(F180&gt;1000,"B","A"))</f>
        <v>B</v>
      </c>
      <c r="I180" s="48" t="str">
        <f>VLOOKUP(H180,$L$2:$M$4,2,FALSE)</f>
        <v>The Commissioner &amp; Chief Constable are satisfied the spend represents VFM in accordance with the requirements of Category B</v>
      </c>
      <c r="L180" s="41"/>
      <c r="M180" s="41"/>
    </row>
    <row r="181" spans="1:13" s="42" customFormat="1" x14ac:dyDescent="0.2">
      <c r="A181" s="56" t="s">
        <v>8</v>
      </c>
      <c r="B181" s="55" t="s">
        <v>9</v>
      </c>
      <c r="C181" s="81" t="s">
        <v>971</v>
      </c>
      <c r="D181" s="53">
        <v>7179373</v>
      </c>
      <c r="E181" s="52">
        <v>45610</v>
      </c>
      <c r="F181" s="80">
        <v>3000</v>
      </c>
      <c r="G181" s="79" t="s">
        <v>27</v>
      </c>
      <c r="H181" s="49" t="str">
        <f>IF(F181&gt;25000,"C",IF(F181&gt;1000,"B","A"))</f>
        <v>B</v>
      </c>
      <c r="I181" s="48" t="str">
        <f>VLOOKUP(H181,$L$2:$M$4,2,FALSE)</f>
        <v>The Commissioner &amp; Chief Constable are satisfied the spend represents VFM in accordance with the requirements of Category B</v>
      </c>
      <c r="L181" s="41"/>
      <c r="M181" s="41"/>
    </row>
    <row r="182" spans="1:13" s="42" customFormat="1" x14ac:dyDescent="0.2">
      <c r="A182" s="56" t="s">
        <v>8</v>
      </c>
      <c r="B182" s="55" t="s">
        <v>9</v>
      </c>
      <c r="C182" s="81" t="s">
        <v>172</v>
      </c>
      <c r="D182" s="53">
        <v>7179442</v>
      </c>
      <c r="E182" s="52">
        <v>45618</v>
      </c>
      <c r="F182" s="80">
        <v>2941.66</v>
      </c>
      <c r="G182" s="79" t="s">
        <v>112</v>
      </c>
      <c r="H182" s="49" t="str">
        <f>IF(F182&gt;25000,"C",IF(F182&gt;1000,"B","A"))</f>
        <v>B</v>
      </c>
      <c r="I182" s="48" t="str">
        <f>VLOOKUP(H182,$L$2:$M$4,2,FALSE)</f>
        <v>The Commissioner &amp; Chief Constable are satisfied the spend represents VFM in accordance with the requirements of Category B</v>
      </c>
      <c r="L182" s="41"/>
      <c r="M182" s="41"/>
    </row>
    <row r="183" spans="1:13" s="42" customFormat="1" x14ac:dyDescent="0.2">
      <c r="A183" s="56" t="s">
        <v>8</v>
      </c>
      <c r="B183" s="55" t="s">
        <v>9</v>
      </c>
      <c r="C183" s="81" t="s">
        <v>283</v>
      </c>
      <c r="D183" s="53">
        <v>7178919</v>
      </c>
      <c r="E183" s="52">
        <v>45617</v>
      </c>
      <c r="F183" s="80">
        <v>2939.03</v>
      </c>
      <c r="G183" s="79" t="s">
        <v>40</v>
      </c>
      <c r="H183" s="49" t="str">
        <f>IF(F183&gt;25000,"C",IF(F183&gt;1000,"B","A"))</f>
        <v>B</v>
      </c>
      <c r="I183" s="48" t="str">
        <f>VLOOKUP(H183,$L$2:$M$4,2,FALSE)</f>
        <v>The Commissioner &amp; Chief Constable are satisfied the spend represents VFM in accordance with the requirements of Category B</v>
      </c>
      <c r="L183" s="41"/>
      <c r="M183" s="41"/>
    </row>
    <row r="184" spans="1:13" s="42" customFormat="1" x14ac:dyDescent="0.2">
      <c r="A184" s="56" t="s">
        <v>8</v>
      </c>
      <c r="B184" s="55" t="s">
        <v>9</v>
      </c>
      <c r="C184" s="81" t="s">
        <v>90</v>
      </c>
      <c r="D184" s="53">
        <v>7179317</v>
      </c>
      <c r="E184" s="52">
        <v>45610</v>
      </c>
      <c r="F184" s="80">
        <v>2928.87</v>
      </c>
      <c r="G184" s="79" t="s">
        <v>91</v>
      </c>
      <c r="H184" s="49" t="str">
        <f>IF(F184&gt;25000,"C",IF(F184&gt;1000,"B","A"))</f>
        <v>B</v>
      </c>
      <c r="I184" s="48" t="str">
        <f>VLOOKUP(H184,$L$2:$M$4,2,FALSE)</f>
        <v>The Commissioner &amp; Chief Constable are satisfied the spend represents VFM in accordance with the requirements of Category B</v>
      </c>
      <c r="L184" s="41"/>
      <c r="M184" s="41"/>
    </row>
    <row r="185" spans="1:13" s="42" customFormat="1" x14ac:dyDescent="0.2">
      <c r="A185" s="56" t="s">
        <v>8</v>
      </c>
      <c r="B185" s="55" t="s">
        <v>9</v>
      </c>
      <c r="C185" s="81" t="s">
        <v>470</v>
      </c>
      <c r="D185" s="53">
        <v>7179388</v>
      </c>
      <c r="E185" s="52">
        <v>45611</v>
      </c>
      <c r="F185" s="80">
        <v>2852</v>
      </c>
      <c r="G185" s="79" t="s">
        <v>106</v>
      </c>
      <c r="H185" s="49" t="str">
        <f>IF(F185&gt;25000,"C",IF(F185&gt;1000,"B","A"))</f>
        <v>B</v>
      </c>
      <c r="I185" s="48" t="str">
        <f>VLOOKUP(H185,$L$2:$M$4,2,FALSE)</f>
        <v>The Commissioner &amp; Chief Constable are satisfied the spend represents VFM in accordance with the requirements of Category B</v>
      </c>
      <c r="L185" s="41"/>
      <c r="M185" s="41"/>
    </row>
    <row r="186" spans="1:13" s="42" customFormat="1" x14ac:dyDescent="0.2">
      <c r="A186" s="56" t="s">
        <v>8</v>
      </c>
      <c r="B186" s="55" t="s">
        <v>9</v>
      </c>
      <c r="C186" s="81" t="s">
        <v>970</v>
      </c>
      <c r="D186" s="53">
        <v>7178888</v>
      </c>
      <c r="E186" s="52">
        <v>45601</v>
      </c>
      <c r="F186" s="80">
        <v>2847.33</v>
      </c>
      <c r="G186" s="79" t="s">
        <v>969</v>
      </c>
      <c r="H186" s="49" t="str">
        <f>IF(F186&gt;25000,"C",IF(F186&gt;1000,"B","A"))</f>
        <v>B</v>
      </c>
      <c r="I186" s="48" t="str">
        <f>VLOOKUP(H186,$L$2:$M$4,2,FALSE)</f>
        <v>The Commissioner &amp; Chief Constable are satisfied the spend represents VFM in accordance with the requirements of Category B</v>
      </c>
      <c r="L186" s="41"/>
      <c r="M186" s="41"/>
    </row>
    <row r="187" spans="1:13" s="42" customFormat="1" x14ac:dyDescent="0.2">
      <c r="A187" s="56" t="s">
        <v>8</v>
      </c>
      <c r="B187" s="55" t="s">
        <v>9</v>
      </c>
      <c r="C187" s="81" t="s">
        <v>706</v>
      </c>
      <c r="D187" s="53">
        <v>7179290</v>
      </c>
      <c r="E187" s="52">
        <v>45609</v>
      </c>
      <c r="F187" s="80">
        <v>2840.62</v>
      </c>
      <c r="G187" s="79" t="s">
        <v>574</v>
      </c>
      <c r="H187" s="49" t="str">
        <f>IF(F187&gt;25000,"C",IF(F187&gt;1000,"B","A"))</f>
        <v>B</v>
      </c>
      <c r="I187" s="48" t="str">
        <f>VLOOKUP(H187,$L$2:$M$4,2,FALSE)</f>
        <v>The Commissioner &amp; Chief Constable are satisfied the spend represents VFM in accordance with the requirements of Category B</v>
      </c>
      <c r="L187" s="41"/>
      <c r="M187" s="41"/>
    </row>
    <row r="188" spans="1:13" s="42" customFormat="1" x14ac:dyDescent="0.2">
      <c r="A188" s="56" t="s">
        <v>8</v>
      </c>
      <c r="B188" s="55" t="s">
        <v>9</v>
      </c>
      <c r="C188" s="81" t="s">
        <v>706</v>
      </c>
      <c r="D188" s="53">
        <v>7179292</v>
      </c>
      <c r="E188" s="52">
        <v>45609</v>
      </c>
      <c r="F188" s="80">
        <v>2840.62</v>
      </c>
      <c r="G188" s="79" t="s">
        <v>574</v>
      </c>
      <c r="H188" s="49" t="str">
        <f>IF(F188&gt;25000,"C",IF(F188&gt;1000,"B","A"))</f>
        <v>B</v>
      </c>
      <c r="I188" s="48" t="str">
        <f>VLOOKUP(H188,$L$2:$M$4,2,FALSE)</f>
        <v>The Commissioner &amp; Chief Constable are satisfied the spend represents VFM in accordance with the requirements of Category B</v>
      </c>
      <c r="L188" s="41"/>
      <c r="M188" s="41"/>
    </row>
    <row r="189" spans="1:13" s="42" customFormat="1" x14ac:dyDescent="0.2">
      <c r="A189" s="56" t="s">
        <v>8</v>
      </c>
      <c r="B189" s="55" t="s">
        <v>9</v>
      </c>
      <c r="C189" s="81" t="s">
        <v>706</v>
      </c>
      <c r="D189" s="53">
        <v>7179023</v>
      </c>
      <c r="E189" s="52">
        <v>45603</v>
      </c>
      <c r="F189" s="80">
        <v>2840.62</v>
      </c>
      <c r="G189" s="79" t="s">
        <v>574</v>
      </c>
      <c r="H189" s="49" t="str">
        <f>IF(F189&gt;25000,"C",IF(F189&gt;1000,"B","A"))</f>
        <v>B</v>
      </c>
      <c r="I189" s="48" t="str">
        <f>VLOOKUP(H189,$L$2:$M$4,2,FALSE)</f>
        <v>The Commissioner &amp; Chief Constable are satisfied the spend represents VFM in accordance with the requirements of Category B</v>
      </c>
      <c r="L189" s="41"/>
      <c r="M189" s="41"/>
    </row>
    <row r="190" spans="1:13" s="42" customFormat="1" x14ac:dyDescent="0.2">
      <c r="A190" s="56" t="s">
        <v>8</v>
      </c>
      <c r="B190" s="55" t="s">
        <v>9</v>
      </c>
      <c r="C190" s="81" t="s">
        <v>128</v>
      </c>
      <c r="D190" s="53">
        <v>7179070</v>
      </c>
      <c r="E190" s="52">
        <v>45611</v>
      </c>
      <c r="F190" s="80">
        <v>2835</v>
      </c>
      <c r="G190" s="79" t="s">
        <v>131</v>
      </c>
      <c r="H190" s="49" t="str">
        <f>IF(F190&gt;25000,"C",IF(F190&gt;1000,"B","A"))</f>
        <v>B</v>
      </c>
      <c r="I190" s="48" t="str">
        <f>VLOOKUP(H190,$L$2:$M$4,2,FALSE)</f>
        <v>The Commissioner &amp; Chief Constable are satisfied the spend represents VFM in accordance with the requirements of Category B</v>
      </c>
      <c r="L190" s="41"/>
      <c r="M190" s="41"/>
    </row>
    <row r="191" spans="1:13" s="42" customFormat="1" x14ac:dyDescent="0.2">
      <c r="A191" s="56" t="s">
        <v>8</v>
      </c>
      <c r="B191" s="55" t="s">
        <v>9</v>
      </c>
      <c r="C191" s="81" t="s">
        <v>128</v>
      </c>
      <c r="D191" s="53">
        <v>7179161</v>
      </c>
      <c r="E191" s="52">
        <v>45607</v>
      </c>
      <c r="F191" s="80">
        <v>2835</v>
      </c>
      <c r="G191" s="79" t="s">
        <v>131</v>
      </c>
      <c r="H191" s="49" t="str">
        <f>IF(F191&gt;25000,"C",IF(F191&gt;1000,"B","A"))</f>
        <v>B</v>
      </c>
      <c r="I191" s="48" t="str">
        <f>VLOOKUP(H191,$L$2:$M$4,2,FALSE)</f>
        <v>The Commissioner &amp; Chief Constable are satisfied the spend represents VFM in accordance with the requirements of Category B</v>
      </c>
      <c r="L191" s="41"/>
      <c r="M191" s="41"/>
    </row>
    <row r="192" spans="1:13" s="42" customFormat="1" x14ac:dyDescent="0.2">
      <c r="A192" s="56" t="s">
        <v>8</v>
      </c>
      <c r="B192" s="55" t="s">
        <v>9</v>
      </c>
      <c r="C192" s="81" t="s">
        <v>142</v>
      </c>
      <c r="D192" s="53">
        <v>7178589</v>
      </c>
      <c r="E192" s="52">
        <v>45602</v>
      </c>
      <c r="F192" s="80">
        <v>2802.8</v>
      </c>
      <c r="G192" s="79" t="s">
        <v>143</v>
      </c>
      <c r="H192" s="49" t="str">
        <f>IF(F192&gt;25000,"C",IF(F192&gt;1000,"B","A"))</f>
        <v>B</v>
      </c>
      <c r="I192" s="48" t="str">
        <f>VLOOKUP(H192,$L$2:$M$4,2,FALSE)</f>
        <v>The Commissioner &amp; Chief Constable are satisfied the spend represents VFM in accordance with the requirements of Category B</v>
      </c>
      <c r="L192" s="41"/>
      <c r="M192" s="41"/>
    </row>
    <row r="193" spans="1:13" s="42" customFormat="1" x14ac:dyDescent="0.2">
      <c r="A193" s="56" t="s">
        <v>8</v>
      </c>
      <c r="B193" s="55" t="s">
        <v>9</v>
      </c>
      <c r="C193" s="81" t="s">
        <v>70</v>
      </c>
      <c r="D193" s="53">
        <v>7177910</v>
      </c>
      <c r="E193" s="52">
        <v>45603</v>
      </c>
      <c r="F193" s="80">
        <v>2740</v>
      </c>
      <c r="G193" s="79" t="s">
        <v>106</v>
      </c>
      <c r="H193" s="49" t="str">
        <f>IF(F193&gt;25000,"C",IF(F193&gt;1000,"B","A"))</f>
        <v>B</v>
      </c>
      <c r="I193" s="48" t="str">
        <f>VLOOKUP(H193,$L$2:$M$4,2,FALSE)</f>
        <v>The Commissioner &amp; Chief Constable are satisfied the spend represents VFM in accordance with the requirements of Category B</v>
      </c>
      <c r="L193" s="41"/>
      <c r="M193" s="41"/>
    </row>
    <row r="194" spans="1:13" s="42" customFormat="1" x14ac:dyDescent="0.2">
      <c r="A194" s="56" t="s">
        <v>8</v>
      </c>
      <c r="B194" s="55" t="s">
        <v>9</v>
      </c>
      <c r="C194" s="81" t="s">
        <v>90</v>
      </c>
      <c r="D194" s="53">
        <v>7179068</v>
      </c>
      <c r="E194" s="52">
        <v>45615</v>
      </c>
      <c r="F194" s="80">
        <v>2696.6</v>
      </c>
      <c r="G194" s="79" t="s">
        <v>91</v>
      </c>
      <c r="H194" s="49" t="str">
        <f>IF(F194&gt;25000,"C",IF(F194&gt;1000,"B","A"))</f>
        <v>B</v>
      </c>
      <c r="I194" s="48" t="str">
        <f>VLOOKUP(H194,$L$2:$M$4,2,FALSE)</f>
        <v>The Commissioner &amp; Chief Constable are satisfied the spend represents VFM in accordance with the requirements of Category B</v>
      </c>
      <c r="L194" s="41"/>
      <c r="M194" s="41"/>
    </row>
    <row r="195" spans="1:13" s="42" customFormat="1" x14ac:dyDescent="0.2">
      <c r="A195" s="56" t="s">
        <v>8</v>
      </c>
      <c r="B195" s="55" t="s">
        <v>9</v>
      </c>
      <c r="C195" s="81" t="s">
        <v>458</v>
      </c>
      <c r="D195" s="53">
        <v>7179702</v>
      </c>
      <c r="E195" s="52">
        <v>45622</v>
      </c>
      <c r="F195" s="80">
        <v>2694</v>
      </c>
      <c r="G195" s="79" t="s">
        <v>75</v>
      </c>
      <c r="H195" s="49" t="str">
        <f>IF(F195&gt;25000,"C",IF(F195&gt;1000,"B","A"))</f>
        <v>B</v>
      </c>
      <c r="I195" s="48" t="str">
        <f>VLOOKUP(H195,$L$2:$M$4,2,FALSE)</f>
        <v>The Commissioner &amp; Chief Constable are satisfied the spend represents VFM in accordance with the requirements of Category B</v>
      </c>
      <c r="L195" s="41"/>
      <c r="M195" s="41"/>
    </row>
    <row r="196" spans="1:13" s="42" customFormat="1" x14ac:dyDescent="0.2">
      <c r="A196" s="56" t="s">
        <v>8</v>
      </c>
      <c r="B196" s="55" t="s">
        <v>9</v>
      </c>
      <c r="C196" s="81" t="s">
        <v>861</v>
      </c>
      <c r="D196" s="53">
        <v>7179471</v>
      </c>
      <c r="E196" s="52">
        <v>45614</v>
      </c>
      <c r="F196" s="80">
        <v>2684.3</v>
      </c>
      <c r="G196" s="79" t="s">
        <v>58</v>
      </c>
      <c r="H196" s="49" t="str">
        <f>IF(F196&gt;25000,"C",IF(F196&gt;1000,"B","A"))</f>
        <v>B</v>
      </c>
      <c r="I196" s="48" t="str">
        <f>VLOOKUP(H196,$L$2:$M$4,2,FALSE)</f>
        <v>The Commissioner &amp; Chief Constable are satisfied the spend represents VFM in accordance with the requirements of Category B</v>
      </c>
      <c r="L196" s="41"/>
      <c r="M196" s="41"/>
    </row>
    <row r="197" spans="1:13" s="42" customFormat="1" x14ac:dyDescent="0.2">
      <c r="A197" s="56" t="s">
        <v>8</v>
      </c>
      <c r="B197" s="55" t="s">
        <v>9</v>
      </c>
      <c r="C197" s="81" t="s">
        <v>90</v>
      </c>
      <c r="D197" s="53">
        <v>7179013</v>
      </c>
      <c r="E197" s="52">
        <v>45602</v>
      </c>
      <c r="F197" s="80">
        <v>2658.78</v>
      </c>
      <c r="G197" s="79" t="s">
        <v>91</v>
      </c>
      <c r="H197" s="49" t="str">
        <f>IF(F197&gt;25000,"C",IF(F197&gt;1000,"B","A"))</f>
        <v>B</v>
      </c>
      <c r="I197" s="48" t="str">
        <f>VLOOKUP(H197,$L$2:$M$4,2,FALSE)</f>
        <v>The Commissioner &amp; Chief Constable are satisfied the spend represents VFM in accordance with the requirements of Category B</v>
      </c>
      <c r="L197" s="41"/>
      <c r="M197" s="41"/>
    </row>
    <row r="198" spans="1:13" s="42" customFormat="1" x14ac:dyDescent="0.2">
      <c r="A198" s="56" t="s">
        <v>8</v>
      </c>
      <c r="B198" s="55" t="s">
        <v>9</v>
      </c>
      <c r="C198" s="81" t="s">
        <v>968</v>
      </c>
      <c r="D198" s="53">
        <v>7178840</v>
      </c>
      <c r="E198" s="52">
        <v>45597</v>
      </c>
      <c r="F198" s="80">
        <v>2628</v>
      </c>
      <c r="G198" s="79" t="s">
        <v>155</v>
      </c>
      <c r="H198" s="49" t="str">
        <f>IF(F198&gt;25000,"C",IF(F198&gt;1000,"B","A"))</f>
        <v>B</v>
      </c>
      <c r="I198" s="48" t="str">
        <f>VLOOKUP(H198,$L$2:$M$4,2,FALSE)</f>
        <v>The Commissioner &amp; Chief Constable are satisfied the spend represents VFM in accordance with the requirements of Category B</v>
      </c>
      <c r="L198" s="41"/>
      <c r="M198" s="41"/>
    </row>
    <row r="199" spans="1:13" s="42" customFormat="1" x14ac:dyDescent="0.2">
      <c r="A199" s="56" t="s">
        <v>8</v>
      </c>
      <c r="B199" s="55" t="s">
        <v>9</v>
      </c>
      <c r="C199" s="81" t="s">
        <v>252</v>
      </c>
      <c r="D199" s="53">
        <v>7178752</v>
      </c>
      <c r="E199" s="52">
        <v>45623</v>
      </c>
      <c r="F199" s="83">
        <v>2562</v>
      </c>
      <c r="G199" s="79" t="s">
        <v>158</v>
      </c>
      <c r="H199" s="49" t="str">
        <f>IF(F199&gt;25000,"C",IF(F199&gt;1000,"B","A"))</f>
        <v>B</v>
      </c>
      <c r="I199" s="48" t="str">
        <f>VLOOKUP(H199,$L$2:$M$4,2,FALSE)</f>
        <v>The Commissioner &amp; Chief Constable are satisfied the spend represents VFM in accordance with the requirements of Category B</v>
      </c>
      <c r="L199" s="41"/>
      <c r="M199" s="41"/>
    </row>
    <row r="200" spans="1:13" s="42" customFormat="1" x14ac:dyDescent="0.2">
      <c r="A200" s="56" t="s">
        <v>8</v>
      </c>
      <c r="B200" s="55" t="s">
        <v>9</v>
      </c>
      <c r="C200" s="81" t="s">
        <v>103</v>
      </c>
      <c r="D200" s="53">
        <v>7179624</v>
      </c>
      <c r="E200" s="52">
        <v>45622</v>
      </c>
      <c r="F200" s="80">
        <v>2550</v>
      </c>
      <c r="G200" s="79" t="s">
        <v>164</v>
      </c>
      <c r="H200" s="49" t="str">
        <f>IF(F200&gt;25000,"C",IF(F200&gt;1000,"B","A"))</f>
        <v>B</v>
      </c>
      <c r="I200" s="48" t="str">
        <f>VLOOKUP(H200,$L$2:$M$4,2,FALSE)</f>
        <v>The Commissioner &amp; Chief Constable are satisfied the spend represents VFM in accordance with the requirements of Category B</v>
      </c>
      <c r="L200" s="41"/>
      <c r="M200" s="41"/>
    </row>
    <row r="201" spans="1:13" s="42" customFormat="1" x14ac:dyDescent="0.2">
      <c r="A201" s="56" t="s">
        <v>8</v>
      </c>
      <c r="B201" s="55" t="s">
        <v>9</v>
      </c>
      <c r="C201" s="81" t="s">
        <v>85</v>
      </c>
      <c r="D201" s="53">
        <v>7179032</v>
      </c>
      <c r="E201" s="52">
        <v>45608</v>
      </c>
      <c r="F201" s="80">
        <v>2542.39</v>
      </c>
      <c r="G201" s="79" t="s">
        <v>27</v>
      </c>
      <c r="H201" s="49" t="str">
        <f>IF(F201&gt;25000,"C",IF(F201&gt;1000,"B","A"))</f>
        <v>B</v>
      </c>
      <c r="I201" s="48" t="str">
        <f>VLOOKUP(H201,$L$2:$M$4,2,FALSE)</f>
        <v>The Commissioner &amp; Chief Constable are satisfied the spend represents VFM in accordance with the requirements of Category B</v>
      </c>
      <c r="L201" s="41"/>
      <c r="M201" s="41"/>
    </row>
    <row r="202" spans="1:13" s="42" customFormat="1" x14ac:dyDescent="0.2">
      <c r="A202" s="56" t="s">
        <v>8</v>
      </c>
      <c r="B202" s="55" t="s">
        <v>9</v>
      </c>
      <c r="C202" s="81" t="s">
        <v>967</v>
      </c>
      <c r="D202" s="53">
        <v>7179673</v>
      </c>
      <c r="E202" s="52">
        <v>45625</v>
      </c>
      <c r="F202" s="80">
        <v>2500</v>
      </c>
      <c r="G202" s="79" t="s">
        <v>686</v>
      </c>
      <c r="H202" s="49" t="str">
        <f>IF(F202&gt;25000,"C",IF(F202&gt;1000,"B","A"))</f>
        <v>B</v>
      </c>
      <c r="I202" s="48" t="str">
        <f>VLOOKUP(H202,$L$2:$M$4,2,FALSE)</f>
        <v>The Commissioner &amp; Chief Constable are satisfied the spend represents VFM in accordance with the requirements of Category B</v>
      </c>
      <c r="L202" s="41"/>
      <c r="M202" s="41"/>
    </row>
    <row r="203" spans="1:13" s="42" customFormat="1" x14ac:dyDescent="0.2">
      <c r="A203" s="56" t="s">
        <v>8</v>
      </c>
      <c r="B203" s="55" t="s">
        <v>9</v>
      </c>
      <c r="C203" s="81" t="s">
        <v>966</v>
      </c>
      <c r="D203" s="53">
        <v>7179075</v>
      </c>
      <c r="E203" s="52">
        <v>45608</v>
      </c>
      <c r="F203" s="80">
        <v>2500</v>
      </c>
      <c r="G203" s="79" t="s">
        <v>22</v>
      </c>
      <c r="H203" s="49" t="str">
        <f>IF(F203&gt;25000,"C",IF(F203&gt;1000,"B","A"))</f>
        <v>B</v>
      </c>
      <c r="I203" s="48" t="str">
        <f>VLOOKUP(H203,$L$2:$M$4,2,FALSE)</f>
        <v>The Commissioner &amp; Chief Constable are satisfied the spend represents VFM in accordance with the requirements of Category B</v>
      </c>
      <c r="L203" s="41"/>
      <c r="M203" s="41"/>
    </row>
    <row r="204" spans="1:13" s="42" customFormat="1" x14ac:dyDescent="0.2">
      <c r="A204" s="56" t="s">
        <v>8</v>
      </c>
      <c r="B204" s="55" t="s">
        <v>9</v>
      </c>
      <c r="C204" s="81" t="s">
        <v>572</v>
      </c>
      <c r="D204" s="53">
        <v>7179131</v>
      </c>
      <c r="E204" s="52">
        <v>45611</v>
      </c>
      <c r="F204" s="80">
        <v>2500</v>
      </c>
      <c r="G204" s="79" t="s">
        <v>22</v>
      </c>
      <c r="H204" s="49" t="str">
        <f>IF(F204&gt;25000,"C",IF(F204&gt;1000,"B","A"))</f>
        <v>B</v>
      </c>
      <c r="I204" s="48" t="str">
        <f>VLOOKUP(H204,$L$2:$M$4,2,FALSE)</f>
        <v>The Commissioner &amp; Chief Constable are satisfied the spend represents VFM in accordance with the requirements of Category B</v>
      </c>
      <c r="L204" s="41"/>
      <c r="M204" s="41"/>
    </row>
    <row r="205" spans="1:13" s="42" customFormat="1" x14ac:dyDescent="0.2">
      <c r="A205" s="56" t="s">
        <v>8</v>
      </c>
      <c r="B205" s="55" t="s">
        <v>9</v>
      </c>
      <c r="C205" s="81" t="s">
        <v>468</v>
      </c>
      <c r="D205" s="53">
        <v>7179279</v>
      </c>
      <c r="E205" s="52">
        <v>45610</v>
      </c>
      <c r="F205" s="80">
        <v>2499</v>
      </c>
      <c r="G205" s="79" t="s">
        <v>27</v>
      </c>
      <c r="H205" s="49" t="str">
        <f>IF(F205&gt;25000,"C",IF(F205&gt;1000,"B","A"))</f>
        <v>B</v>
      </c>
      <c r="I205" s="48" t="str">
        <f>VLOOKUP(H205,$L$2:$M$4,2,FALSE)</f>
        <v>The Commissioner &amp; Chief Constable are satisfied the spend represents VFM in accordance with the requirements of Category B</v>
      </c>
      <c r="L205" s="41"/>
      <c r="M205" s="41"/>
    </row>
    <row r="206" spans="1:13" s="42" customFormat="1" x14ac:dyDescent="0.2">
      <c r="A206" s="56" t="s">
        <v>8</v>
      </c>
      <c r="B206" s="55" t="s">
        <v>9</v>
      </c>
      <c r="C206" s="81" t="s">
        <v>90</v>
      </c>
      <c r="D206" s="53">
        <v>7179382</v>
      </c>
      <c r="E206" s="52">
        <v>45611</v>
      </c>
      <c r="F206" s="80">
        <v>2494.1</v>
      </c>
      <c r="G206" s="79" t="s">
        <v>164</v>
      </c>
      <c r="H206" s="49" t="str">
        <f>IF(F206&gt;25000,"C",IF(F206&gt;1000,"B","A"))</f>
        <v>B</v>
      </c>
      <c r="I206" s="48" t="str">
        <f>VLOOKUP(H206,$L$2:$M$4,2,FALSE)</f>
        <v>The Commissioner &amp; Chief Constable are satisfied the spend represents VFM in accordance with the requirements of Category B</v>
      </c>
      <c r="L206" s="41"/>
      <c r="M206" s="41"/>
    </row>
    <row r="207" spans="1:13" s="42" customFormat="1" x14ac:dyDescent="0.2">
      <c r="A207" s="56" t="s">
        <v>8</v>
      </c>
      <c r="B207" s="55" t="s">
        <v>9</v>
      </c>
      <c r="C207" s="81" t="s">
        <v>208</v>
      </c>
      <c r="D207" s="53">
        <v>7179180</v>
      </c>
      <c r="E207" s="52">
        <v>45608</v>
      </c>
      <c r="F207" s="80">
        <v>2472.94</v>
      </c>
      <c r="G207" s="79" t="s">
        <v>209</v>
      </c>
      <c r="H207" s="49" t="str">
        <f>IF(F207&gt;25000,"C",IF(F207&gt;1000,"B","A"))</f>
        <v>B</v>
      </c>
      <c r="I207" s="48" t="str">
        <f>VLOOKUP(H207,$L$2:$M$4,2,FALSE)</f>
        <v>The Commissioner &amp; Chief Constable are satisfied the spend represents VFM in accordance with the requirements of Category B</v>
      </c>
      <c r="L207" s="41"/>
      <c r="M207" s="41"/>
    </row>
    <row r="208" spans="1:13" s="42" customFormat="1" x14ac:dyDescent="0.2">
      <c r="A208" s="56" t="s">
        <v>8</v>
      </c>
      <c r="B208" s="55" t="s">
        <v>9</v>
      </c>
      <c r="C208" s="81" t="s">
        <v>262</v>
      </c>
      <c r="D208" s="53">
        <v>7177658</v>
      </c>
      <c r="E208" s="52">
        <v>45602</v>
      </c>
      <c r="F208" s="80">
        <v>2462.5</v>
      </c>
      <c r="G208" s="79" t="s">
        <v>263</v>
      </c>
      <c r="H208" s="49" t="str">
        <f>IF(F208&gt;25000,"C",IF(F208&gt;1000,"B","A"))</f>
        <v>B</v>
      </c>
      <c r="I208" s="48" t="str">
        <f>VLOOKUP(H208,$L$2:$M$4,2,FALSE)</f>
        <v>The Commissioner &amp; Chief Constable are satisfied the spend represents VFM in accordance with the requirements of Category B</v>
      </c>
      <c r="L208" s="41"/>
      <c r="M208" s="41"/>
    </row>
    <row r="209" spans="1:13" s="42" customFormat="1" x14ac:dyDescent="0.2">
      <c r="A209" s="56" t="s">
        <v>8</v>
      </c>
      <c r="B209" s="55" t="s">
        <v>9</v>
      </c>
      <c r="C209" s="81" t="s">
        <v>130</v>
      </c>
      <c r="D209" s="53">
        <v>7178805</v>
      </c>
      <c r="E209" s="52">
        <v>45618</v>
      </c>
      <c r="F209" s="80">
        <v>2400</v>
      </c>
      <c r="G209" s="79" t="s">
        <v>38</v>
      </c>
      <c r="H209" s="49" t="str">
        <f>IF(F209&gt;25000,"C",IF(F209&gt;1000,"B","A"))</f>
        <v>B</v>
      </c>
      <c r="I209" s="48" t="str">
        <f>VLOOKUP(H209,$L$2:$M$4,2,FALSE)</f>
        <v>The Commissioner &amp; Chief Constable are satisfied the spend represents VFM in accordance with the requirements of Category B</v>
      </c>
      <c r="L209" s="41"/>
      <c r="M209" s="41"/>
    </row>
    <row r="210" spans="1:13" s="42" customFormat="1" x14ac:dyDescent="0.2">
      <c r="A210" s="56" t="s">
        <v>8</v>
      </c>
      <c r="B210" s="55" t="s">
        <v>9</v>
      </c>
      <c r="C210" s="81" t="s">
        <v>90</v>
      </c>
      <c r="D210" s="53">
        <v>7179012</v>
      </c>
      <c r="E210" s="52">
        <v>45602</v>
      </c>
      <c r="F210" s="80">
        <v>2399.15</v>
      </c>
      <c r="G210" s="79" t="s">
        <v>91</v>
      </c>
      <c r="H210" s="49" t="str">
        <f>IF(F210&gt;25000,"C",IF(F210&gt;1000,"B","A"))</f>
        <v>B</v>
      </c>
      <c r="I210" s="48" t="str">
        <f>VLOOKUP(H210,$L$2:$M$4,2,FALSE)</f>
        <v>The Commissioner &amp; Chief Constable are satisfied the spend represents VFM in accordance with the requirements of Category B</v>
      </c>
      <c r="L210" s="41"/>
      <c r="M210" s="41"/>
    </row>
    <row r="211" spans="1:13" s="42" customFormat="1" x14ac:dyDescent="0.2">
      <c r="A211" s="56" t="s">
        <v>8</v>
      </c>
      <c r="B211" s="55" t="s">
        <v>9</v>
      </c>
      <c r="C211" s="81" t="s">
        <v>277</v>
      </c>
      <c r="D211" s="53">
        <v>7179191</v>
      </c>
      <c r="E211" s="52">
        <v>45616</v>
      </c>
      <c r="F211" s="80">
        <v>2304</v>
      </c>
      <c r="G211" s="79" t="s">
        <v>278</v>
      </c>
      <c r="H211" s="49" t="str">
        <f>IF(F211&gt;25000,"C",IF(F211&gt;1000,"B","A"))</f>
        <v>B</v>
      </c>
      <c r="I211" s="48" t="str">
        <f>VLOOKUP(H211,$L$2:$M$4,2,FALSE)</f>
        <v>The Commissioner &amp; Chief Constable are satisfied the spend represents VFM in accordance with the requirements of Category B</v>
      </c>
      <c r="L211" s="41"/>
      <c r="M211" s="41"/>
    </row>
    <row r="212" spans="1:13" s="42" customFormat="1" x14ac:dyDescent="0.2">
      <c r="A212" s="56" t="s">
        <v>8</v>
      </c>
      <c r="B212" s="55" t="s">
        <v>9</v>
      </c>
      <c r="C212" s="81" t="s">
        <v>181</v>
      </c>
      <c r="D212" s="53">
        <v>7178435</v>
      </c>
      <c r="E212" s="52">
        <v>45602</v>
      </c>
      <c r="F212" s="80">
        <v>2278</v>
      </c>
      <c r="G212" s="79" t="s">
        <v>106</v>
      </c>
      <c r="H212" s="49" t="str">
        <f>IF(F212&gt;25000,"C",IF(F212&gt;1000,"B","A"))</f>
        <v>B</v>
      </c>
      <c r="I212" s="48" t="str">
        <f>VLOOKUP(H212,$L$2:$M$4,2,FALSE)</f>
        <v>The Commissioner &amp; Chief Constable are satisfied the spend represents VFM in accordance with the requirements of Category B</v>
      </c>
      <c r="L212" s="41"/>
      <c r="M212" s="41"/>
    </row>
    <row r="213" spans="1:13" s="42" customFormat="1" x14ac:dyDescent="0.2">
      <c r="A213" s="56" t="s">
        <v>8</v>
      </c>
      <c r="B213" s="55" t="s">
        <v>9</v>
      </c>
      <c r="C213" s="82" t="s">
        <v>181</v>
      </c>
      <c r="D213" s="53">
        <v>7178434</v>
      </c>
      <c r="E213" s="52">
        <v>45602</v>
      </c>
      <c r="F213" s="80">
        <v>2278</v>
      </c>
      <c r="G213" s="79" t="s">
        <v>106</v>
      </c>
      <c r="H213" s="49" t="str">
        <f>IF(F213&gt;25000,"C",IF(F213&gt;1000,"B","A"))</f>
        <v>B</v>
      </c>
      <c r="I213" s="48" t="str">
        <f>VLOOKUP(H213,$L$2:$M$4,2,FALSE)</f>
        <v>The Commissioner &amp; Chief Constable are satisfied the spend represents VFM in accordance with the requirements of Category B</v>
      </c>
      <c r="L213" s="41"/>
      <c r="M213" s="41"/>
    </row>
    <row r="214" spans="1:13" s="42" customFormat="1" x14ac:dyDescent="0.2">
      <c r="A214" s="56" t="s">
        <v>8</v>
      </c>
      <c r="B214" s="55" t="s">
        <v>9</v>
      </c>
      <c r="C214" s="81" t="s">
        <v>181</v>
      </c>
      <c r="D214" s="53">
        <v>7178606</v>
      </c>
      <c r="E214" s="52">
        <v>45602</v>
      </c>
      <c r="F214" s="80">
        <v>2263.7399999999998</v>
      </c>
      <c r="G214" s="79" t="s">
        <v>106</v>
      </c>
      <c r="H214" s="49" t="str">
        <f>IF(F214&gt;25000,"C",IF(F214&gt;1000,"B","A"))</f>
        <v>B</v>
      </c>
      <c r="I214" s="48" t="str">
        <f>VLOOKUP(H214,$L$2:$M$4,2,FALSE)</f>
        <v>The Commissioner &amp; Chief Constable are satisfied the spend represents VFM in accordance with the requirements of Category B</v>
      </c>
      <c r="L214" s="41"/>
      <c r="M214" s="41"/>
    </row>
    <row r="215" spans="1:13" s="42" customFormat="1" x14ac:dyDescent="0.2">
      <c r="A215" s="56" t="s">
        <v>8</v>
      </c>
      <c r="B215" s="55" t="s">
        <v>9</v>
      </c>
      <c r="C215" s="81" t="s">
        <v>962</v>
      </c>
      <c r="D215" s="53">
        <v>7179296</v>
      </c>
      <c r="E215" s="52">
        <v>45609</v>
      </c>
      <c r="F215" s="80">
        <v>2250</v>
      </c>
      <c r="G215" s="79" t="s">
        <v>38</v>
      </c>
      <c r="H215" s="49" t="str">
        <f>IF(F215&gt;25000,"C",IF(F215&gt;1000,"B","A"))</f>
        <v>B</v>
      </c>
      <c r="I215" s="48" t="str">
        <f>VLOOKUP(H215,$L$2:$M$4,2,FALSE)</f>
        <v>The Commissioner &amp; Chief Constable are satisfied the spend represents VFM in accordance with the requirements of Category B</v>
      </c>
      <c r="L215" s="41"/>
      <c r="M215" s="41"/>
    </row>
    <row r="216" spans="1:13" s="42" customFormat="1" x14ac:dyDescent="0.2">
      <c r="A216" s="56" t="s">
        <v>8</v>
      </c>
      <c r="B216" s="55" t="s">
        <v>9</v>
      </c>
      <c r="C216" s="81" t="s">
        <v>256</v>
      </c>
      <c r="D216" s="53">
        <v>7178921</v>
      </c>
      <c r="E216" s="52">
        <v>45602</v>
      </c>
      <c r="F216" s="80">
        <v>2231.7399999999998</v>
      </c>
      <c r="G216" s="79" t="s">
        <v>131</v>
      </c>
      <c r="H216" s="49" t="str">
        <f>IF(F216&gt;25000,"C",IF(F216&gt;1000,"B","A"))</f>
        <v>B</v>
      </c>
      <c r="I216" s="48" t="str">
        <f>VLOOKUP(H216,$L$2:$M$4,2,FALSE)</f>
        <v>The Commissioner &amp; Chief Constable are satisfied the spend represents VFM in accordance with the requirements of Category B</v>
      </c>
      <c r="L216" s="41"/>
      <c r="M216" s="41"/>
    </row>
    <row r="217" spans="1:13" s="42" customFormat="1" x14ac:dyDescent="0.2">
      <c r="A217" s="56" t="s">
        <v>8</v>
      </c>
      <c r="B217" s="55" t="s">
        <v>9</v>
      </c>
      <c r="C217" s="81" t="s">
        <v>90</v>
      </c>
      <c r="D217" s="53">
        <v>7179011</v>
      </c>
      <c r="E217" s="52">
        <v>45602</v>
      </c>
      <c r="F217" s="80">
        <v>2180.3000000000002</v>
      </c>
      <c r="G217" s="79" t="s">
        <v>91</v>
      </c>
      <c r="H217" s="49" t="str">
        <f>IF(F217&gt;25000,"C",IF(F217&gt;1000,"B","A"))</f>
        <v>B</v>
      </c>
      <c r="I217" s="48" t="str">
        <f>VLOOKUP(H217,$L$2:$M$4,2,FALSE)</f>
        <v>The Commissioner &amp; Chief Constable are satisfied the spend represents VFM in accordance with the requirements of Category B</v>
      </c>
      <c r="L217" s="41"/>
      <c r="M217" s="41"/>
    </row>
    <row r="218" spans="1:13" s="42" customFormat="1" x14ac:dyDescent="0.2">
      <c r="A218" s="56" t="s">
        <v>8</v>
      </c>
      <c r="B218" s="55" t="s">
        <v>9</v>
      </c>
      <c r="C218" s="81" t="s">
        <v>750</v>
      </c>
      <c r="D218" s="53">
        <v>7178910</v>
      </c>
      <c r="E218" s="52">
        <v>45607</v>
      </c>
      <c r="F218" s="80">
        <v>2138.34</v>
      </c>
      <c r="G218" s="79" t="s">
        <v>53</v>
      </c>
      <c r="H218" s="49" t="str">
        <f>IF(F218&gt;25000,"C",IF(F218&gt;1000,"B","A"))</f>
        <v>B</v>
      </c>
      <c r="I218" s="48" t="str">
        <f>VLOOKUP(H218,$L$2:$M$4,2,FALSE)</f>
        <v>The Commissioner &amp; Chief Constable are satisfied the spend represents VFM in accordance with the requirements of Category B</v>
      </c>
      <c r="L218" s="41"/>
      <c r="M218" s="41"/>
    </row>
    <row r="219" spans="1:13" s="42" customFormat="1" x14ac:dyDescent="0.2">
      <c r="A219" s="56" t="s">
        <v>8</v>
      </c>
      <c r="B219" s="55" t="s">
        <v>9</v>
      </c>
      <c r="C219" s="81" t="s">
        <v>238</v>
      </c>
      <c r="D219" s="53">
        <v>7179346</v>
      </c>
      <c r="E219" s="52">
        <v>45618</v>
      </c>
      <c r="F219" s="80">
        <v>2137.27</v>
      </c>
      <c r="G219" s="79" t="s">
        <v>106</v>
      </c>
      <c r="H219" s="49" t="str">
        <f>IF(F219&gt;25000,"C",IF(F219&gt;1000,"B","A"))</f>
        <v>B</v>
      </c>
      <c r="I219" s="48" t="str">
        <f>VLOOKUP(H219,$L$2:$M$4,2,FALSE)</f>
        <v>The Commissioner &amp; Chief Constable are satisfied the spend represents VFM in accordance with the requirements of Category B</v>
      </c>
      <c r="L219" s="41"/>
      <c r="M219" s="41"/>
    </row>
    <row r="220" spans="1:13" s="42" customFormat="1" x14ac:dyDescent="0.2">
      <c r="A220" s="56" t="s">
        <v>8</v>
      </c>
      <c r="B220" s="55" t="s">
        <v>9</v>
      </c>
      <c r="C220" s="81" t="s">
        <v>385</v>
      </c>
      <c r="D220" s="53">
        <v>7179653</v>
      </c>
      <c r="E220" s="52">
        <v>45618</v>
      </c>
      <c r="F220" s="80">
        <v>2126.5300000000002</v>
      </c>
      <c r="G220" s="79" t="s">
        <v>112</v>
      </c>
      <c r="H220" s="49" t="str">
        <f>IF(F220&gt;25000,"C",IF(F220&gt;1000,"B","A"))</f>
        <v>B</v>
      </c>
      <c r="I220" s="48" t="str">
        <f>VLOOKUP(H220,$L$2:$M$4,2,FALSE)</f>
        <v>The Commissioner &amp; Chief Constable are satisfied the spend represents VFM in accordance with the requirements of Category B</v>
      </c>
      <c r="L220" s="41"/>
      <c r="M220" s="41"/>
    </row>
    <row r="221" spans="1:13" s="42" customFormat="1" x14ac:dyDescent="0.2">
      <c r="A221" s="56" t="s">
        <v>8</v>
      </c>
      <c r="B221" s="55" t="s">
        <v>9</v>
      </c>
      <c r="C221" s="81" t="s">
        <v>385</v>
      </c>
      <c r="D221" s="53">
        <v>7179255</v>
      </c>
      <c r="E221" s="52">
        <v>45618</v>
      </c>
      <c r="F221" s="80">
        <v>2126.1799999999998</v>
      </c>
      <c r="G221" s="79" t="s">
        <v>112</v>
      </c>
      <c r="H221" s="49" t="str">
        <f>IF(F221&gt;25000,"C",IF(F221&gt;1000,"B","A"))</f>
        <v>B</v>
      </c>
      <c r="I221" s="48" t="str">
        <f>VLOOKUP(H221,$L$2:$M$4,2,FALSE)</f>
        <v>The Commissioner &amp; Chief Constable are satisfied the spend represents VFM in accordance with the requirements of Category B</v>
      </c>
      <c r="L221" s="41"/>
      <c r="M221" s="41"/>
    </row>
    <row r="222" spans="1:13" s="42" customFormat="1" x14ac:dyDescent="0.2">
      <c r="A222" s="56" t="s">
        <v>8</v>
      </c>
      <c r="B222" s="55" t="s">
        <v>9</v>
      </c>
      <c r="C222" s="81" t="s">
        <v>965</v>
      </c>
      <c r="D222" s="53">
        <v>7176426</v>
      </c>
      <c r="E222" s="52">
        <v>45597</v>
      </c>
      <c r="F222" s="80">
        <v>2102.73</v>
      </c>
      <c r="G222" s="79" t="s">
        <v>102</v>
      </c>
      <c r="H222" s="49" t="str">
        <f>IF(F222&gt;25000,"C",IF(F222&gt;1000,"B","A"))</f>
        <v>B</v>
      </c>
      <c r="I222" s="48" t="str">
        <f>VLOOKUP(H222,$L$2:$M$4,2,FALSE)</f>
        <v>The Commissioner &amp; Chief Constable are satisfied the spend represents VFM in accordance with the requirements of Category B</v>
      </c>
      <c r="L222" s="41"/>
      <c r="M222" s="41"/>
    </row>
    <row r="223" spans="1:13" s="42" customFormat="1" x14ac:dyDescent="0.2">
      <c r="A223" s="56" t="s">
        <v>8</v>
      </c>
      <c r="B223" s="55" t="s">
        <v>9</v>
      </c>
      <c r="C223" s="81" t="s">
        <v>215</v>
      </c>
      <c r="D223" s="53">
        <v>7178745</v>
      </c>
      <c r="E223" s="52">
        <v>45603</v>
      </c>
      <c r="F223" s="80">
        <v>2095.8000000000002</v>
      </c>
      <c r="G223" s="79" t="s">
        <v>37</v>
      </c>
      <c r="H223" s="49" t="str">
        <f>IF(F223&gt;25000,"C",IF(F223&gt;1000,"B","A"))</f>
        <v>B</v>
      </c>
      <c r="I223" s="48" t="str">
        <f>VLOOKUP(H223,$L$2:$M$4,2,FALSE)</f>
        <v>The Commissioner &amp; Chief Constable are satisfied the spend represents VFM in accordance with the requirements of Category B</v>
      </c>
      <c r="L223" s="41"/>
      <c r="M223" s="41"/>
    </row>
    <row r="224" spans="1:13" s="42" customFormat="1" x14ac:dyDescent="0.2">
      <c r="A224" s="56" t="s">
        <v>8</v>
      </c>
      <c r="B224" s="55" t="s">
        <v>9</v>
      </c>
      <c r="C224" s="81" t="s">
        <v>77</v>
      </c>
      <c r="D224" s="53">
        <v>7179503</v>
      </c>
      <c r="E224" s="52">
        <v>45615</v>
      </c>
      <c r="F224" s="80">
        <v>2075</v>
      </c>
      <c r="G224" s="79" t="s">
        <v>106</v>
      </c>
      <c r="H224" s="49" t="str">
        <f>IF(F224&gt;25000,"C",IF(F224&gt;1000,"B","A"))</f>
        <v>B</v>
      </c>
      <c r="I224" s="48" t="str">
        <f>VLOOKUP(H224,$L$2:$M$4,2,FALSE)</f>
        <v>The Commissioner &amp; Chief Constable are satisfied the spend represents VFM in accordance with the requirements of Category B</v>
      </c>
      <c r="L224" s="41"/>
      <c r="M224" s="41"/>
    </row>
    <row r="225" spans="1:13" s="42" customFormat="1" x14ac:dyDescent="0.2">
      <c r="A225" s="56" t="s">
        <v>8</v>
      </c>
      <c r="B225" s="55" t="s">
        <v>9</v>
      </c>
      <c r="C225" s="81" t="s">
        <v>276</v>
      </c>
      <c r="D225" s="53">
        <v>7179114</v>
      </c>
      <c r="E225" s="52">
        <v>45617</v>
      </c>
      <c r="F225" s="80">
        <v>2073.25</v>
      </c>
      <c r="G225" s="79" t="s">
        <v>40</v>
      </c>
      <c r="H225" s="49" t="str">
        <f>IF(F225&gt;25000,"C",IF(F225&gt;1000,"B","A"))</f>
        <v>B</v>
      </c>
      <c r="I225" s="48" t="str">
        <f>VLOOKUP(H225,$L$2:$M$4,2,FALSE)</f>
        <v>The Commissioner &amp; Chief Constable are satisfied the spend represents VFM in accordance with the requirements of Category B</v>
      </c>
      <c r="L225" s="41"/>
      <c r="M225" s="41"/>
    </row>
    <row r="226" spans="1:13" s="42" customFormat="1" x14ac:dyDescent="0.2">
      <c r="A226" s="56" t="s">
        <v>8</v>
      </c>
      <c r="B226" s="55" t="s">
        <v>9</v>
      </c>
      <c r="C226" s="81" t="s">
        <v>748</v>
      </c>
      <c r="D226" s="53">
        <v>7179363</v>
      </c>
      <c r="E226" s="52">
        <v>45614</v>
      </c>
      <c r="F226" s="80">
        <v>2070.85</v>
      </c>
      <c r="G226" s="79" t="s">
        <v>94</v>
      </c>
      <c r="H226" s="49" t="str">
        <f>IF(F226&gt;25000,"C",IF(F226&gt;1000,"B","A"))</f>
        <v>B</v>
      </c>
      <c r="I226" s="48" t="str">
        <f>VLOOKUP(H226,$L$2:$M$4,2,FALSE)</f>
        <v>The Commissioner &amp; Chief Constable are satisfied the spend represents VFM in accordance with the requirements of Category B</v>
      </c>
      <c r="L226" s="41"/>
      <c r="M226" s="41"/>
    </row>
    <row r="227" spans="1:13" s="42" customFormat="1" x14ac:dyDescent="0.2">
      <c r="A227" s="56" t="s">
        <v>8</v>
      </c>
      <c r="B227" s="55" t="s">
        <v>9</v>
      </c>
      <c r="C227" s="81" t="s">
        <v>964</v>
      </c>
      <c r="D227" s="53">
        <v>7178402</v>
      </c>
      <c r="E227" s="52">
        <v>45617</v>
      </c>
      <c r="F227" s="80">
        <v>2064.1999999999998</v>
      </c>
      <c r="G227" s="79" t="s">
        <v>182</v>
      </c>
      <c r="H227" s="49" t="str">
        <f>IF(F227&gt;25000,"C",IF(F227&gt;1000,"B","A"))</f>
        <v>B</v>
      </c>
      <c r="I227" s="48" t="str">
        <f>VLOOKUP(H227,$L$2:$M$4,2,FALSE)</f>
        <v>The Commissioner &amp; Chief Constable are satisfied the spend represents VFM in accordance with the requirements of Category B</v>
      </c>
      <c r="L227" s="41"/>
      <c r="M227" s="41"/>
    </row>
    <row r="228" spans="1:13" s="42" customFormat="1" x14ac:dyDescent="0.2">
      <c r="A228" s="56" t="s">
        <v>8</v>
      </c>
      <c r="B228" s="55" t="s">
        <v>9</v>
      </c>
      <c r="C228" s="81" t="s">
        <v>260</v>
      </c>
      <c r="D228" s="53">
        <v>7178997</v>
      </c>
      <c r="E228" s="52">
        <v>45602</v>
      </c>
      <c r="F228" s="80">
        <v>2005.36</v>
      </c>
      <c r="G228" s="79" t="s">
        <v>261</v>
      </c>
      <c r="H228" s="49" t="str">
        <f>IF(F228&gt;25000,"C",IF(F228&gt;1000,"B","A"))</f>
        <v>B</v>
      </c>
      <c r="I228" s="48" t="str">
        <f>VLOOKUP(H228,$L$2:$M$4,2,FALSE)</f>
        <v>The Commissioner &amp; Chief Constable are satisfied the spend represents VFM in accordance with the requirements of Category B</v>
      </c>
      <c r="L228" s="41"/>
      <c r="M228" s="41"/>
    </row>
    <row r="229" spans="1:13" s="42" customFormat="1" x14ac:dyDescent="0.2">
      <c r="A229" s="56" t="s">
        <v>8</v>
      </c>
      <c r="B229" s="55" t="s">
        <v>9</v>
      </c>
      <c r="C229" s="81" t="s">
        <v>565</v>
      </c>
      <c r="D229" s="53">
        <v>7179613</v>
      </c>
      <c r="E229" s="52">
        <v>45617</v>
      </c>
      <c r="F229" s="80">
        <v>2000</v>
      </c>
      <c r="G229" s="79" t="s">
        <v>22</v>
      </c>
      <c r="H229" s="49" t="str">
        <f>IF(F229&gt;25000,"C",IF(F229&gt;1000,"B","A"))</f>
        <v>B</v>
      </c>
      <c r="I229" s="48" t="str">
        <f>VLOOKUP(H229,$L$2:$M$4,2,FALSE)</f>
        <v>The Commissioner &amp; Chief Constable are satisfied the spend represents VFM in accordance with the requirements of Category B</v>
      </c>
      <c r="L229" s="41"/>
      <c r="M229" s="41"/>
    </row>
    <row r="230" spans="1:13" s="42" customFormat="1" x14ac:dyDescent="0.2">
      <c r="A230" s="56" t="s">
        <v>8</v>
      </c>
      <c r="B230" s="55" t="s">
        <v>9</v>
      </c>
      <c r="C230" s="81" t="s">
        <v>215</v>
      </c>
      <c r="D230" s="53">
        <v>7178744</v>
      </c>
      <c r="E230" s="52">
        <v>45603</v>
      </c>
      <c r="F230" s="80">
        <v>1998.45</v>
      </c>
      <c r="G230" s="84" t="s">
        <v>37</v>
      </c>
      <c r="H230" s="49" t="str">
        <f>IF(F230&gt;25000,"C",IF(F230&gt;1000,"B","A"))</f>
        <v>B</v>
      </c>
      <c r="I230" s="48" t="str">
        <f>VLOOKUP(H230,$L$2:$M$4,2,FALSE)</f>
        <v>The Commissioner &amp; Chief Constable are satisfied the spend represents VFM in accordance with the requirements of Category B</v>
      </c>
      <c r="L230" s="41"/>
      <c r="M230" s="41"/>
    </row>
    <row r="231" spans="1:13" s="42" customFormat="1" x14ac:dyDescent="0.2">
      <c r="A231" s="56" t="s">
        <v>8</v>
      </c>
      <c r="B231" s="55" t="s">
        <v>9</v>
      </c>
      <c r="C231" s="81" t="s">
        <v>235</v>
      </c>
      <c r="D231" s="53">
        <v>7179309</v>
      </c>
      <c r="E231" s="52">
        <v>45609</v>
      </c>
      <c r="F231" s="80">
        <v>1997</v>
      </c>
      <c r="G231" s="79" t="s">
        <v>39</v>
      </c>
      <c r="H231" s="49" t="str">
        <f>IF(F231&gt;25000,"C",IF(F231&gt;1000,"B","A"))</f>
        <v>B</v>
      </c>
      <c r="I231" s="48" t="str">
        <f>VLOOKUP(H231,$L$2:$M$4,2,FALSE)</f>
        <v>The Commissioner &amp; Chief Constable are satisfied the spend represents VFM in accordance with the requirements of Category B</v>
      </c>
      <c r="L231" s="41"/>
      <c r="M231" s="41"/>
    </row>
    <row r="232" spans="1:13" s="42" customFormat="1" x14ac:dyDescent="0.2">
      <c r="A232" s="56" t="s">
        <v>8</v>
      </c>
      <c r="B232" s="55" t="s">
        <v>9</v>
      </c>
      <c r="C232" s="81" t="s">
        <v>882</v>
      </c>
      <c r="D232" s="53">
        <v>7179160</v>
      </c>
      <c r="E232" s="52">
        <v>45623</v>
      </c>
      <c r="F232" s="83">
        <v>1980</v>
      </c>
      <c r="G232" s="79" t="s">
        <v>106</v>
      </c>
      <c r="H232" s="49" t="str">
        <f>IF(F232&gt;25000,"C",IF(F232&gt;1000,"B","A"))</f>
        <v>B</v>
      </c>
      <c r="I232" s="48" t="str">
        <f>VLOOKUP(H232,$L$2:$M$4,2,FALSE)</f>
        <v>The Commissioner &amp; Chief Constable are satisfied the spend represents VFM in accordance with the requirements of Category B</v>
      </c>
      <c r="L232" s="41"/>
      <c r="M232" s="41"/>
    </row>
    <row r="233" spans="1:13" s="42" customFormat="1" x14ac:dyDescent="0.2">
      <c r="A233" s="56" t="s">
        <v>8</v>
      </c>
      <c r="B233" s="55" t="s">
        <v>9</v>
      </c>
      <c r="C233" s="81" t="s">
        <v>536</v>
      </c>
      <c r="D233" s="53">
        <v>7179690</v>
      </c>
      <c r="E233" s="52">
        <v>45623</v>
      </c>
      <c r="F233" s="80">
        <v>1954.41</v>
      </c>
      <c r="G233" s="79" t="s">
        <v>80</v>
      </c>
      <c r="H233" s="49" t="str">
        <f>IF(F233&gt;25000,"C",IF(F233&gt;1000,"B","A"))</f>
        <v>B</v>
      </c>
      <c r="I233" s="48" t="str">
        <f>VLOOKUP(H233,$L$2:$M$4,2,FALSE)</f>
        <v>The Commissioner &amp; Chief Constable are satisfied the spend represents VFM in accordance with the requirements of Category B</v>
      </c>
      <c r="L233" s="41"/>
      <c r="M233" s="41"/>
    </row>
    <row r="234" spans="1:13" s="42" customFormat="1" x14ac:dyDescent="0.2">
      <c r="A234" s="56" t="s">
        <v>8</v>
      </c>
      <c r="B234" s="55" t="s">
        <v>9</v>
      </c>
      <c r="C234" s="81" t="s">
        <v>74</v>
      </c>
      <c r="D234" s="53">
        <v>7179501</v>
      </c>
      <c r="E234" s="52">
        <v>45615</v>
      </c>
      <c r="F234" s="80">
        <v>1938.78</v>
      </c>
      <c r="G234" s="79" t="s">
        <v>22</v>
      </c>
      <c r="H234" s="49" t="str">
        <f>IF(F234&gt;25000,"C",IF(F234&gt;1000,"B","A"))</f>
        <v>B</v>
      </c>
      <c r="I234" s="48" t="str">
        <f>VLOOKUP(H234,$L$2:$M$4,2,FALSE)</f>
        <v>The Commissioner &amp; Chief Constable are satisfied the spend represents VFM in accordance with the requirements of Category B</v>
      </c>
      <c r="L234" s="41"/>
      <c r="M234" s="41"/>
    </row>
    <row r="235" spans="1:13" s="42" customFormat="1" x14ac:dyDescent="0.2">
      <c r="A235" s="56" t="s">
        <v>8</v>
      </c>
      <c r="B235" s="55" t="s">
        <v>9</v>
      </c>
      <c r="C235" s="81" t="s">
        <v>107</v>
      </c>
      <c r="D235" s="53">
        <v>7179059</v>
      </c>
      <c r="E235" s="52">
        <v>45603</v>
      </c>
      <c r="F235" s="80">
        <v>1911.5</v>
      </c>
      <c r="G235" s="79" t="s">
        <v>108</v>
      </c>
      <c r="H235" s="49" t="str">
        <f>IF(F235&gt;25000,"C",IF(F235&gt;1000,"B","A"))</f>
        <v>B</v>
      </c>
      <c r="I235" s="48" t="str">
        <f>VLOOKUP(H235,$L$2:$M$4,2,FALSE)</f>
        <v>The Commissioner &amp; Chief Constable are satisfied the spend represents VFM in accordance with the requirements of Category B</v>
      </c>
      <c r="L235" s="41"/>
      <c r="M235" s="41"/>
    </row>
    <row r="236" spans="1:13" s="42" customFormat="1" x14ac:dyDescent="0.2">
      <c r="A236" s="56" t="s">
        <v>8</v>
      </c>
      <c r="B236" s="55" t="s">
        <v>9</v>
      </c>
      <c r="C236" s="81" t="s">
        <v>236</v>
      </c>
      <c r="D236" s="53">
        <v>7179500</v>
      </c>
      <c r="E236" s="52">
        <v>45614</v>
      </c>
      <c r="F236" s="80">
        <v>1850</v>
      </c>
      <c r="G236" s="79" t="s">
        <v>34</v>
      </c>
      <c r="H236" s="49" t="str">
        <f>IF(F236&gt;25000,"C",IF(F236&gt;1000,"B","A"))</f>
        <v>B</v>
      </c>
      <c r="I236" s="48" t="str">
        <f>VLOOKUP(H236,$L$2:$M$4,2,FALSE)</f>
        <v>The Commissioner &amp; Chief Constable are satisfied the spend represents VFM in accordance with the requirements of Category B</v>
      </c>
      <c r="L236" s="41"/>
      <c r="M236" s="41"/>
    </row>
    <row r="237" spans="1:13" s="42" customFormat="1" x14ac:dyDescent="0.2">
      <c r="A237" s="56" t="s">
        <v>8</v>
      </c>
      <c r="B237" s="55" t="s">
        <v>9</v>
      </c>
      <c r="C237" s="81" t="s">
        <v>260</v>
      </c>
      <c r="D237" s="53">
        <v>7178851</v>
      </c>
      <c r="E237" s="52">
        <v>45601</v>
      </c>
      <c r="F237" s="80">
        <v>1820.3700000000001</v>
      </c>
      <c r="G237" s="79" t="s">
        <v>261</v>
      </c>
      <c r="H237" s="49" t="str">
        <f>IF(F237&gt;25000,"C",IF(F237&gt;1000,"B","A"))</f>
        <v>B</v>
      </c>
      <c r="I237" s="48" t="str">
        <f>VLOOKUP(H237,$L$2:$M$4,2,FALSE)</f>
        <v>The Commissioner &amp; Chief Constable are satisfied the spend represents VFM in accordance with the requirements of Category B</v>
      </c>
      <c r="L237" s="41"/>
      <c r="M237" s="41"/>
    </row>
    <row r="238" spans="1:13" s="42" customFormat="1" x14ac:dyDescent="0.2">
      <c r="A238" s="56" t="s">
        <v>8</v>
      </c>
      <c r="B238" s="55" t="s">
        <v>9</v>
      </c>
      <c r="C238" s="81" t="s">
        <v>149</v>
      </c>
      <c r="D238" s="53">
        <v>7179069</v>
      </c>
      <c r="E238" s="52">
        <v>45607</v>
      </c>
      <c r="F238" s="80">
        <v>1808.37</v>
      </c>
      <c r="G238" s="79" t="s">
        <v>138</v>
      </c>
      <c r="H238" s="49" t="str">
        <f>IF(F238&gt;25000,"C",IF(F238&gt;1000,"B","A"))</f>
        <v>B</v>
      </c>
      <c r="I238" s="48" t="str">
        <f>VLOOKUP(H238,$L$2:$M$4,2,FALSE)</f>
        <v>The Commissioner &amp; Chief Constable are satisfied the spend represents VFM in accordance with the requirements of Category B</v>
      </c>
      <c r="L238" s="41"/>
      <c r="M238" s="41"/>
    </row>
    <row r="239" spans="1:13" s="42" customFormat="1" x14ac:dyDescent="0.2">
      <c r="A239" s="56" t="s">
        <v>8</v>
      </c>
      <c r="B239" s="55" t="s">
        <v>9</v>
      </c>
      <c r="C239" s="81" t="s">
        <v>963</v>
      </c>
      <c r="D239" s="53">
        <v>7179724</v>
      </c>
      <c r="E239" s="52">
        <v>45624</v>
      </c>
      <c r="F239" s="80">
        <v>1800</v>
      </c>
      <c r="G239" s="79" t="s">
        <v>123</v>
      </c>
      <c r="H239" s="49" t="str">
        <f>IF(F239&gt;25000,"C",IF(F239&gt;1000,"B","A"))</f>
        <v>B</v>
      </c>
      <c r="I239" s="48" t="str">
        <f>VLOOKUP(H239,$L$2:$M$4,2,FALSE)</f>
        <v>The Commissioner &amp; Chief Constable are satisfied the spend represents VFM in accordance with the requirements of Category B</v>
      </c>
      <c r="L239" s="41"/>
      <c r="M239" s="41"/>
    </row>
    <row r="240" spans="1:13" s="42" customFormat="1" x14ac:dyDescent="0.2">
      <c r="A240" s="56" t="s">
        <v>8</v>
      </c>
      <c r="B240" s="55" t="s">
        <v>9</v>
      </c>
      <c r="C240" s="81" t="s">
        <v>894</v>
      </c>
      <c r="D240" s="53">
        <v>7179218</v>
      </c>
      <c r="E240" s="52">
        <v>45607</v>
      </c>
      <c r="F240" s="80">
        <v>1797</v>
      </c>
      <c r="G240" s="79" t="s">
        <v>94</v>
      </c>
      <c r="H240" s="49" t="str">
        <f>IF(F240&gt;25000,"C",IF(F240&gt;1000,"B","A"))</f>
        <v>B</v>
      </c>
      <c r="I240" s="48" t="str">
        <f>VLOOKUP(H240,$L$2:$M$4,2,FALSE)</f>
        <v>The Commissioner &amp; Chief Constable are satisfied the spend represents VFM in accordance with the requirements of Category B</v>
      </c>
      <c r="L240" s="41"/>
      <c r="M240" s="41"/>
    </row>
    <row r="241" spans="1:13" s="42" customFormat="1" x14ac:dyDescent="0.2">
      <c r="A241" s="56" t="s">
        <v>8</v>
      </c>
      <c r="B241" s="55" t="s">
        <v>9</v>
      </c>
      <c r="C241" s="81" t="s">
        <v>153</v>
      </c>
      <c r="D241" s="53">
        <v>7179024</v>
      </c>
      <c r="E241" s="52">
        <v>45602</v>
      </c>
      <c r="F241" s="80">
        <v>1754.24</v>
      </c>
      <c r="G241" s="79" t="s">
        <v>39</v>
      </c>
      <c r="H241" s="49" t="str">
        <f>IF(F241&gt;25000,"C",IF(F241&gt;1000,"B","A"))</f>
        <v>B</v>
      </c>
      <c r="I241" s="48" t="str">
        <f>VLOOKUP(H241,$L$2:$M$4,2,FALSE)</f>
        <v>The Commissioner &amp; Chief Constable are satisfied the spend represents VFM in accordance with the requirements of Category B</v>
      </c>
      <c r="L241" s="41"/>
      <c r="M241" s="41"/>
    </row>
    <row r="242" spans="1:13" s="42" customFormat="1" x14ac:dyDescent="0.2">
      <c r="A242" s="56" t="s">
        <v>8</v>
      </c>
      <c r="B242" s="55" t="s">
        <v>9</v>
      </c>
      <c r="C242" s="81" t="s">
        <v>675</v>
      </c>
      <c r="D242" s="53">
        <v>7179098</v>
      </c>
      <c r="E242" s="52">
        <v>45607</v>
      </c>
      <c r="F242" s="80">
        <v>1745.62</v>
      </c>
      <c r="G242" s="79" t="s">
        <v>94</v>
      </c>
      <c r="H242" s="49" t="str">
        <f>IF(F242&gt;25000,"C",IF(F242&gt;1000,"B","A"))</f>
        <v>B</v>
      </c>
      <c r="I242" s="48" t="str">
        <f>VLOOKUP(H242,$L$2:$M$4,2,FALSE)</f>
        <v>The Commissioner &amp; Chief Constable are satisfied the spend represents VFM in accordance with the requirements of Category B</v>
      </c>
      <c r="L242" s="41"/>
      <c r="M242" s="41"/>
    </row>
    <row r="243" spans="1:13" s="42" customFormat="1" x14ac:dyDescent="0.2">
      <c r="A243" s="56" t="s">
        <v>8</v>
      </c>
      <c r="B243" s="55" t="s">
        <v>9</v>
      </c>
      <c r="C243" s="81" t="s">
        <v>181</v>
      </c>
      <c r="D243" s="53">
        <v>7179226</v>
      </c>
      <c r="E243" s="52">
        <v>45608</v>
      </c>
      <c r="F243" s="80">
        <v>1717.5</v>
      </c>
      <c r="G243" s="79" t="s">
        <v>106</v>
      </c>
      <c r="H243" s="49" t="str">
        <f>IF(F243&gt;25000,"C",IF(F243&gt;1000,"B","A"))</f>
        <v>B</v>
      </c>
      <c r="I243" s="48" t="str">
        <f>VLOOKUP(H243,$L$2:$M$4,2,FALSE)</f>
        <v>The Commissioner &amp; Chief Constable are satisfied the spend represents VFM in accordance with the requirements of Category B</v>
      </c>
      <c r="L243" s="41"/>
      <c r="M243" s="41"/>
    </row>
    <row r="244" spans="1:13" s="42" customFormat="1" x14ac:dyDescent="0.2">
      <c r="A244" s="56" t="s">
        <v>8</v>
      </c>
      <c r="B244" s="55" t="s">
        <v>9</v>
      </c>
      <c r="C244" s="81" t="s">
        <v>537</v>
      </c>
      <c r="D244" s="53">
        <v>7179631</v>
      </c>
      <c r="E244" s="52">
        <v>45622</v>
      </c>
      <c r="F244" s="80">
        <v>1717</v>
      </c>
      <c r="G244" s="79" t="s">
        <v>131</v>
      </c>
      <c r="H244" s="49" t="str">
        <f>IF(F244&gt;25000,"C",IF(F244&gt;1000,"B","A"))</f>
        <v>B</v>
      </c>
      <c r="I244" s="48" t="str">
        <f>VLOOKUP(H244,$L$2:$M$4,2,FALSE)</f>
        <v>The Commissioner &amp; Chief Constable are satisfied the spend represents VFM in accordance with the requirements of Category B</v>
      </c>
      <c r="L244" s="41"/>
      <c r="M244" s="41"/>
    </row>
    <row r="245" spans="1:13" s="42" customFormat="1" x14ac:dyDescent="0.2">
      <c r="A245" s="56" t="s">
        <v>8</v>
      </c>
      <c r="B245" s="55" t="s">
        <v>9</v>
      </c>
      <c r="C245" s="81" t="s">
        <v>256</v>
      </c>
      <c r="D245" s="53">
        <v>7179199</v>
      </c>
      <c r="E245" s="52">
        <v>45608</v>
      </c>
      <c r="F245" s="80">
        <v>1704.25</v>
      </c>
      <c r="G245" s="84" t="s">
        <v>22</v>
      </c>
      <c r="H245" s="49" t="str">
        <f>IF(F245&gt;25000,"C",IF(F245&gt;1000,"B","A"))</f>
        <v>B</v>
      </c>
      <c r="I245" s="48" t="str">
        <f>VLOOKUP(H245,$L$2:$M$4,2,FALSE)</f>
        <v>The Commissioner &amp; Chief Constable are satisfied the spend represents VFM in accordance with the requirements of Category B</v>
      </c>
      <c r="L245" s="41"/>
      <c r="M245" s="41"/>
    </row>
    <row r="246" spans="1:13" s="42" customFormat="1" x14ac:dyDescent="0.2">
      <c r="A246" s="56" t="s">
        <v>8</v>
      </c>
      <c r="B246" s="55" t="s">
        <v>9</v>
      </c>
      <c r="C246" s="81" t="s">
        <v>199</v>
      </c>
      <c r="D246" s="53">
        <v>7178592</v>
      </c>
      <c r="E246" s="52">
        <v>45601</v>
      </c>
      <c r="F246" s="80">
        <v>1702</v>
      </c>
      <c r="G246" s="79" t="s">
        <v>148</v>
      </c>
      <c r="H246" s="49" t="str">
        <f>IF(F246&gt;25000,"C",IF(F246&gt;1000,"B","A"))</f>
        <v>B</v>
      </c>
      <c r="I246" s="48" t="str">
        <f>VLOOKUP(H246,$L$2:$M$4,2,FALSE)</f>
        <v>The Commissioner &amp; Chief Constable are satisfied the spend represents VFM in accordance with the requirements of Category B</v>
      </c>
      <c r="L246" s="41"/>
      <c r="M246" s="41"/>
    </row>
    <row r="247" spans="1:13" s="42" customFormat="1" x14ac:dyDescent="0.2">
      <c r="A247" s="56" t="s">
        <v>8</v>
      </c>
      <c r="B247" s="55" t="s">
        <v>9</v>
      </c>
      <c r="C247" s="81" t="s">
        <v>135</v>
      </c>
      <c r="D247" s="53">
        <v>7179362</v>
      </c>
      <c r="E247" s="52">
        <v>45617</v>
      </c>
      <c r="F247" s="80">
        <v>1689.06</v>
      </c>
      <c r="G247" s="79" t="s">
        <v>40</v>
      </c>
      <c r="H247" s="49" t="str">
        <f>IF(F247&gt;25000,"C",IF(F247&gt;1000,"B","A"))</f>
        <v>B</v>
      </c>
      <c r="I247" s="48" t="str">
        <f>VLOOKUP(H247,$L$2:$M$4,2,FALSE)</f>
        <v>The Commissioner &amp; Chief Constable are satisfied the spend represents VFM in accordance with the requirements of Category B</v>
      </c>
      <c r="L247" s="41"/>
      <c r="M247" s="41"/>
    </row>
    <row r="248" spans="1:13" s="42" customFormat="1" x14ac:dyDescent="0.2">
      <c r="A248" s="56" t="s">
        <v>8</v>
      </c>
      <c r="B248" s="55" t="s">
        <v>9</v>
      </c>
      <c r="C248" s="81" t="s">
        <v>262</v>
      </c>
      <c r="D248" s="53">
        <v>7178892</v>
      </c>
      <c r="E248" s="52">
        <v>45602</v>
      </c>
      <c r="F248" s="80">
        <v>1647.5</v>
      </c>
      <c r="G248" s="79" t="s">
        <v>263</v>
      </c>
      <c r="H248" s="49" t="str">
        <f>IF(F248&gt;25000,"C",IF(F248&gt;1000,"B","A"))</f>
        <v>B</v>
      </c>
      <c r="I248" s="48" t="str">
        <f>VLOOKUP(H248,$L$2:$M$4,2,FALSE)</f>
        <v>The Commissioner &amp; Chief Constable are satisfied the spend represents VFM in accordance with the requirements of Category B</v>
      </c>
      <c r="L248" s="41"/>
      <c r="M248" s="41"/>
    </row>
    <row r="249" spans="1:13" s="42" customFormat="1" x14ac:dyDescent="0.2">
      <c r="A249" s="56" t="s">
        <v>8</v>
      </c>
      <c r="B249" s="55" t="s">
        <v>9</v>
      </c>
      <c r="C249" s="81" t="s">
        <v>871</v>
      </c>
      <c r="D249" s="53">
        <v>3068834</v>
      </c>
      <c r="E249" s="52">
        <v>45611</v>
      </c>
      <c r="F249" s="80">
        <v>1644</v>
      </c>
      <c r="G249" s="79" t="s">
        <v>45</v>
      </c>
      <c r="H249" s="49" t="str">
        <f>IF(F249&gt;25000,"C",IF(F249&gt;1000,"B","A"))</f>
        <v>B</v>
      </c>
      <c r="I249" s="48" t="str">
        <f>VLOOKUP(H249,$L$2:$M$4,2,FALSE)</f>
        <v>The Commissioner &amp; Chief Constable are satisfied the spend represents VFM in accordance with the requirements of Category B</v>
      </c>
      <c r="L249" s="41"/>
      <c r="M249" s="41"/>
    </row>
    <row r="250" spans="1:13" s="42" customFormat="1" x14ac:dyDescent="0.2">
      <c r="A250" s="56" t="s">
        <v>8</v>
      </c>
      <c r="B250" s="55" t="s">
        <v>9</v>
      </c>
      <c r="C250" s="81" t="s">
        <v>418</v>
      </c>
      <c r="D250" s="53">
        <v>7178918</v>
      </c>
      <c r="E250" s="52">
        <v>45617</v>
      </c>
      <c r="F250" s="80">
        <v>1629</v>
      </c>
      <c r="G250" s="79" t="s">
        <v>155</v>
      </c>
      <c r="H250" s="49" t="str">
        <f>IF(F250&gt;25000,"C",IF(F250&gt;1000,"B","A"))</f>
        <v>B</v>
      </c>
      <c r="I250" s="48" t="str">
        <f>VLOOKUP(H250,$L$2:$M$4,2,FALSE)</f>
        <v>The Commissioner &amp; Chief Constable are satisfied the spend represents VFM in accordance with the requirements of Category B</v>
      </c>
      <c r="L250" s="41"/>
      <c r="M250" s="41"/>
    </row>
    <row r="251" spans="1:13" s="42" customFormat="1" x14ac:dyDescent="0.2">
      <c r="A251" s="56" t="s">
        <v>8</v>
      </c>
      <c r="B251" s="55" t="s">
        <v>9</v>
      </c>
      <c r="C251" s="81" t="s">
        <v>294</v>
      </c>
      <c r="D251" s="53">
        <v>7178920</v>
      </c>
      <c r="E251" s="52">
        <v>45600</v>
      </c>
      <c r="F251" s="80">
        <v>1618.8</v>
      </c>
      <c r="G251" s="79" t="s">
        <v>131</v>
      </c>
      <c r="H251" s="49" t="str">
        <f>IF(F251&gt;25000,"C",IF(F251&gt;1000,"B","A"))</f>
        <v>B</v>
      </c>
      <c r="I251" s="48" t="str">
        <f>VLOOKUP(H251,$L$2:$M$4,2,FALSE)</f>
        <v>The Commissioner &amp; Chief Constable are satisfied the spend represents VFM in accordance with the requirements of Category B</v>
      </c>
      <c r="L251" s="41"/>
      <c r="M251" s="41"/>
    </row>
    <row r="252" spans="1:13" s="42" customFormat="1" x14ac:dyDescent="0.2">
      <c r="A252" s="56" t="s">
        <v>8</v>
      </c>
      <c r="B252" s="55" t="s">
        <v>9</v>
      </c>
      <c r="C252" s="81" t="s">
        <v>812</v>
      </c>
      <c r="D252" s="53">
        <v>7179712</v>
      </c>
      <c r="E252" s="52">
        <v>45621</v>
      </c>
      <c r="F252" s="80">
        <v>1610.95</v>
      </c>
      <c r="G252" s="79" t="s">
        <v>22</v>
      </c>
      <c r="H252" s="49" t="str">
        <f>IF(F252&gt;25000,"C",IF(F252&gt;1000,"B","A"))</f>
        <v>B</v>
      </c>
      <c r="I252" s="48" t="str">
        <f>VLOOKUP(H252,$L$2:$M$4,2,FALSE)</f>
        <v>The Commissioner &amp; Chief Constable are satisfied the spend represents VFM in accordance with the requirements of Category B</v>
      </c>
      <c r="L252" s="41"/>
      <c r="M252" s="41"/>
    </row>
    <row r="253" spans="1:13" s="42" customFormat="1" x14ac:dyDescent="0.2">
      <c r="A253" s="56" t="s">
        <v>8</v>
      </c>
      <c r="B253" s="55" t="s">
        <v>9</v>
      </c>
      <c r="C253" s="81" t="s">
        <v>219</v>
      </c>
      <c r="D253" s="53">
        <v>7178716</v>
      </c>
      <c r="E253" s="52">
        <v>45614</v>
      </c>
      <c r="F253" s="80">
        <v>1590.15</v>
      </c>
      <c r="G253" s="79" t="s">
        <v>220</v>
      </c>
      <c r="H253" s="49" t="str">
        <f>IF(F253&gt;25000,"C",IF(F253&gt;1000,"B","A"))</f>
        <v>B</v>
      </c>
      <c r="I253" s="48" t="str">
        <f>VLOOKUP(H253,$L$2:$M$4,2,FALSE)</f>
        <v>The Commissioner &amp; Chief Constable are satisfied the spend represents VFM in accordance with the requirements of Category B</v>
      </c>
      <c r="L253" s="41"/>
      <c r="M253" s="41"/>
    </row>
    <row r="254" spans="1:13" s="42" customFormat="1" x14ac:dyDescent="0.2">
      <c r="A254" s="56" t="s">
        <v>8</v>
      </c>
      <c r="B254" s="55" t="s">
        <v>9</v>
      </c>
      <c r="C254" s="81" t="s">
        <v>181</v>
      </c>
      <c r="D254" s="53">
        <v>7179829</v>
      </c>
      <c r="E254" s="52">
        <v>45624</v>
      </c>
      <c r="F254" s="80">
        <v>1578.6</v>
      </c>
      <c r="G254" s="79" t="s">
        <v>106</v>
      </c>
      <c r="H254" s="49" t="str">
        <f>IF(F254&gt;25000,"C",IF(F254&gt;1000,"B","A"))</f>
        <v>B</v>
      </c>
      <c r="I254" s="48" t="str">
        <f>VLOOKUP(H254,$L$2:$M$4,2,FALSE)</f>
        <v>The Commissioner &amp; Chief Constable are satisfied the spend represents VFM in accordance with the requirements of Category B</v>
      </c>
      <c r="L254" s="41"/>
      <c r="M254" s="41"/>
    </row>
    <row r="255" spans="1:13" s="42" customFormat="1" x14ac:dyDescent="0.2">
      <c r="A255" s="56" t="s">
        <v>8</v>
      </c>
      <c r="B255" s="55" t="s">
        <v>9</v>
      </c>
      <c r="C255" s="81" t="s">
        <v>342</v>
      </c>
      <c r="D255" s="53">
        <v>7179390</v>
      </c>
      <c r="E255" s="52">
        <v>45611</v>
      </c>
      <c r="F255" s="80">
        <v>1577</v>
      </c>
      <c r="G255" s="79" t="s">
        <v>38</v>
      </c>
      <c r="H255" s="49" t="str">
        <f>IF(F255&gt;25000,"C",IF(F255&gt;1000,"B","A"))</f>
        <v>B</v>
      </c>
      <c r="I255" s="48" t="str">
        <f>VLOOKUP(H255,$L$2:$M$4,2,FALSE)</f>
        <v>The Commissioner &amp; Chief Constable are satisfied the spend represents VFM in accordance with the requirements of Category B</v>
      </c>
      <c r="L255" s="41"/>
      <c r="M255" s="41"/>
    </row>
    <row r="256" spans="1:13" s="42" customFormat="1" x14ac:dyDescent="0.2">
      <c r="A256" s="56" t="s">
        <v>8</v>
      </c>
      <c r="B256" s="55" t="s">
        <v>9</v>
      </c>
      <c r="C256" s="81" t="s">
        <v>181</v>
      </c>
      <c r="D256" s="53">
        <v>7177786</v>
      </c>
      <c r="E256" s="52">
        <v>45621</v>
      </c>
      <c r="F256" s="80">
        <v>1549.5</v>
      </c>
      <c r="G256" s="79" t="s">
        <v>106</v>
      </c>
      <c r="H256" s="49" t="str">
        <f>IF(F256&gt;25000,"C",IF(F256&gt;1000,"B","A"))</f>
        <v>B</v>
      </c>
      <c r="I256" s="48" t="str">
        <f>VLOOKUP(H256,$L$2:$M$4,2,FALSE)</f>
        <v>The Commissioner &amp; Chief Constable are satisfied the spend represents VFM in accordance with the requirements of Category B</v>
      </c>
      <c r="L256" s="41"/>
      <c r="M256" s="41"/>
    </row>
    <row r="257" spans="1:13" s="42" customFormat="1" x14ac:dyDescent="0.2">
      <c r="A257" s="56" t="s">
        <v>8</v>
      </c>
      <c r="B257" s="55" t="s">
        <v>9</v>
      </c>
      <c r="C257" s="81" t="s">
        <v>162</v>
      </c>
      <c r="D257" s="53">
        <v>7179058</v>
      </c>
      <c r="E257" s="52">
        <v>45607</v>
      </c>
      <c r="F257" s="80">
        <v>1540</v>
      </c>
      <c r="G257" s="79" t="s">
        <v>39</v>
      </c>
      <c r="H257" s="49" t="str">
        <f>IF(F257&gt;25000,"C",IF(F257&gt;1000,"B","A"))</f>
        <v>B</v>
      </c>
      <c r="I257" s="48" t="str">
        <f>VLOOKUP(H257,$L$2:$M$4,2,FALSE)</f>
        <v>The Commissioner &amp; Chief Constable are satisfied the spend represents VFM in accordance with the requirements of Category B</v>
      </c>
      <c r="L257" s="41"/>
      <c r="M257" s="41"/>
    </row>
    <row r="258" spans="1:13" s="42" customFormat="1" x14ac:dyDescent="0.2">
      <c r="A258" s="56" t="s">
        <v>8</v>
      </c>
      <c r="B258" s="55" t="s">
        <v>9</v>
      </c>
      <c r="C258" s="81" t="s">
        <v>240</v>
      </c>
      <c r="D258" s="53">
        <v>7179820</v>
      </c>
      <c r="E258" s="52">
        <v>45624</v>
      </c>
      <c r="F258" s="80">
        <v>1514.14</v>
      </c>
      <c r="G258" s="79" t="s">
        <v>241</v>
      </c>
      <c r="H258" s="49" t="str">
        <f>IF(F258&gt;25000,"C",IF(F258&gt;1000,"B","A"))</f>
        <v>B</v>
      </c>
      <c r="I258" s="48" t="str">
        <f>VLOOKUP(H258,$L$2:$M$4,2,FALSE)</f>
        <v>The Commissioner &amp; Chief Constable are satisfied the spend represents VFM in accordance with the requirements of Category B</v>
      </c>
      <c r="L258" s="41"/>
      <c r="M258" s="41"/>
    </row>
    <row r="259" spans="1:13" s="42" customFormat="1" x14ac:dyDescent="0.2">
      <c r="A259" s="56" t="s">
        <v>8</v>
      </c>
      <c r="B259" s="55" t="s">
        <v>9</v>
      </c>
      <c r="C259" s="81" t="s">
        <v>107</v>
      </c>
      <c r="D259" s="53">
        <v>7179074</v>
      </c>
      <c r="E259" s="52">
        <v>45604</v>
      </c>
      <c r="F259" s="80">
        <v>1501.5</v>
      </c>
      <c r="G259" s="79" t="s">
        <v>108</v>
      </c>
      <c r="H259" s="49" t="str">
        <f>IF(F259&gt;25000,"C",IF(F259&gt;1000,"B","A"))</f>
        <v>B</v>
      </c>
      <c r="I259" s="48" t="str">
        <f>VLOOKUP(H259,$L$2:$M$4,2,FALSE)</f>
        <v>The Commissioner &amp; Chief Constable are satisfied the spend represents VFM in accordance with the requirements of Category B</v>
      </c>
      <c r="L259" s="41"/>
      <c r="M259" s="41"/>
    </row>
    <row r="260" spans="1:13" s="42" customFormat="1" x14ac:dyDescent="0.2">
      <c r="A260" s="56" t="s">
        <v>8</v>
      </c>
      <c r="B260" s="55" t="s">
        <v>9</v>
      </c>
      <c r="C260" s="81" t="s">
        <v>962</v>
      </c>
      <c r="D260" s="53">
        <v>7179297</v>
      </c>
      <c r="E260" s="52">
        <v>45609</v>
      </c>
      <c r="F260" s="80">
        <v>1500</v>
      </c>
      <c r="G260" s="79" t="s">
        <v>38</v>
      </c>
      <c r="H260" s="49" t="str">
        <f>IF(F260&gt;25000,"C",IF(F260&gt;1000,"B","A"))</f>
        <v>B</v>
      </c>
      <c r="I260" s="48" t="str">
        <f>VLOOKUP(H260,$L$2:$M$4,2,FALSE)</f>
        <v>The Commissioner &amp; Chief Constable are satisfied the spend represents VFM in accordance with the requirements of Category B</v>
      </c>
      <c r="L260" s="41"/>
      <c r="M260" s="41"/>
    </row>
    <row r="261" spans="1:13" s="42" customFormat="1" x14ac:dyDescent="0.2">
      <c r="A261" s="56" t="s">
        <v>8</v>
      </c>
      <c r="B261" s="55" t="s">
        <v>9</v>
      </c>
      <c r="C261" s="81" t="s">
        <v>242</v>
      </c>
      <c r="D261" s="53">
        <v>7178001</v>
      </c>
      <c r="E261" s="52">
        <v>45603</v>
      </c>
      <c r="F261" s="80">
        <v>1485.68</v>
      </c>
      <c r="G261" s="79" t="s">
        <v>94</v>
      </c>
      <c r="H261" s="49" t="str">
        <f>IF(F261&gt;25000,"C",IF(F261&gt;1000,"B","A"))</f>
        <v>B</v>
      </c>
      <c r="I261" s="48" t="str">
        <f>VLOOKUP(H261,$L$2:$M$4,2,FALSE)</f>
        <v>The Commissioner &amp; Chief Constable are satisfied the spend represents VFM in accordance with the requirements of Category B</v>
      </c>
      <c r="L261" s="41"/>
      <c r="M261" s="41"/>
    </row>
    <row r="262" spans="1:13" s="42" customFormat="1" x14ac:dyDescent="0.2">
      <c r="A262" s="56" t="s">
        <v>8</v>
      </c>
      <c r="B262" s="55" t="s">
        <v>9</v>
      </c>
      <c r="C262" s="81" t="s">
        <v>526</v>
      </c>
      <c r="D262" s="53">
        <v>7179257</v>
      </c>
      <c r="E262" s="52">
        <v>45617</v>
      </c>
      <c r="F262" s="83">
        <v>1485</v>
      </c>
      <c r="G262" s="79" t="s">
        <v>151</v>
      </c>
      <c r="H262" s="49" t="str">
        <f>IF(F262&gt;25000,"C",IF(F262&gt;1000,"B","A"))</f>
        <v>B</v>
      </c>
      <c r="I262" s="48" t="str">
        <f>VLOOKUP(H262,$L$2:$M$4,2,FALSE)</f>
        <v>The Commissioner &amp; Chief Constable are satisfied the spend represents VFM in accordance with the requirements of Category B</v>
      </c>
      <c r="L262" s="41"/>
      <c r="M262" s="41"/>
    </row>
    <row r="263" spans="1:13" s="42" customFormat="1" x14ac:dyDescent="0.2">
      <c r="A263" s="56" t="s">
        <v>8</v>
      </c>
      <c r="B263" s="55" t="s">
        <v>9</v>
      </c>
      <c r="C263" s="81" t="s">
        <v>173</v>
      </c>
      <c r="D263" s="53">
        <v>7179520</v>
      </c>
      <c r="E263" s="52">
        <v>45625</v>
      </c>
      <c r="F263" s="80">
        <v>1467</v>
      </c>
      <c r="G263" s="79" t="s">
        <v>80</v>
      </c>
      <c r="H263" s="49" t="str">
        <f>IF(F263&gt;25000,"C",IF(F263&gt;1000,"B","A"))</f>
        <v>B</v>
      </c>
      <c r="I263" s="48" t="str">
        <f>VLOOKUP(H263,$L$2:$M$4,2,FALSE)</f>
        <v>The Commissioner &amp; Chief Constable are satisfied the spend represents VFM in accordance with the requirements of Category B</v>
      </c>
      <c r="L263" s="41"/>
      <c r="M263" s="41"/>
    </row>
    <row r="264" spans="1:13" s="42" customFormat="1" x14ac:dyDescent="0.2">
      <c r="A264" s="56" t="s">
        <v>8</v>
      </c>
      <c r="B264" s="55" t="s">
        <v>9</v>
      </c>
      <c r="C264" s="81" t="s">
        <v>412</v>
      </c>
      <c r="D264" s="53">
        <v>7179035</v>
      </c>
      <c r="E264" s="52">
        <v>45608</v>
      </c>
      <c r="F264" s="80">
        <v>1463.06</v>
      </c>
      <c r="G264" s="79" t="s">
        <v>388</v>
      </c>
      <c r="H264" s="49" t="str">
        <f>IF(F264&gt;25000,"C",IF(F264&gt;1000,"B","A"))</f>
        <v>B</v>
      </c>
      <c r="I264" s="48" t="str">
        <f>VLOOKUP(H264,$L$2:$M$4,2,FALSE)</f>
        <v>The Commissioner &amp; Chief Constable are satisfied the spend represents VFM in accordance with the requirements of Category B</v>
      </c>
      <c r="L264" s="41"/>
      <c r="M264" s="41"/>
    </row>
    <row r="265" spans="1:13" x14ac:dyDescent="0.2">
      <c r="A265" s="56" t="s">
        <v>8</v>
      </c>
      <c r="B265" s="55" t="s">
        <v>9</v>
      </c>
      <c r="C265" s="81" t="s">
        <v>419</v>
      </c>
      <c r="D265" s="53">
        <v>7179590</v>
      </c>
      <c r="E265" s="52">
        <v>45617</v>
      </c>
      <c r="F265" s="80">
        <v>1402.5</v>
      </c>
      <c r="G265" s="79" t="s">
        <v>22</v>
      </c>
      <c r="H265" s="49" t="str">
        <f>IF(F265&gt;25000,"C",IF(F265&gt;1000,"B","A"))</f>
        <v>B</v>
      </c>
      <c r="I265" s="48" t="str">
        <f>VLOOKUP(H265,$L$2:$M$4,2,FALSE)</f>
        <v>The Commissioner &amp; Chief Constable are satisfied the spend represents VFM in accordance with the requirements of Category B</v>
      </c>
    </row>
    <row r="266" spans="1:13" x14ac:dyDescent="0.2">
      <c r="A266" s="56" t="s">
        <v>8</v>
      </c>
      <c r="B266" s="55" t="s">
        <v>9</v>
      </c>
      <c r="C266" s="81" t="s">
        <v>961</v>
      </c>
      <c r="D266" s="53">
        <v>7179444</v>
      </c>
      <c r="E266" s="52">
        <v>45616</v>
      </c>
      <c r="F266" s="80">
        <v>1400</v>
      </c>
      <c r="G266" s="79" t="s">
        <v>390</v>
      </c>
      <c r="H266" s="49" t="str">
        <f>IF(F266&gt;25000,"C",IF(F266&gt;1000,"B","A"))</f>
        <v>B</v>
      </c>
      <c r="I266" s="48" t="str">
        <f>VLOOKUP(H266,$L$2:$M$4,2,FALSE)</f>
        <v>The Commissioner &amp; Chief Constable are satisfied the spend represents VFM in accordance with the requirements of Category B</v>
      </c>
    </row>
    <row r="267" spans="1:13" x14ac:dyDescent="0.2">
      <c r="A267" s="56" t="s">
        <v>8</v>
      </c>
      <c r="B267" s="55" t="s">
        <v>9</v>
      </c>
      <c r="C267" s="81" t="s">
        <v>181</v>
      </c>
      <c r="D267" s="53">
        <v>7179406</v>
      </c>
      <c r="E267" s="52">
        <v>45622</v>
      </c>
      <c r="F267" s="80">
        <v>1388.5</v>
      </c>
      <c r="G267" s="79" t="s">
        <v>106</v>
      </c>
      <c r="H267" s="49" t="str">
        <f>IF(F267&gt;25000,"C",IF(F267&gt;1000,"B","A"))</f>
        <v>B</v>
      </c>
      <c r="I267" s="48" t="str">
        <f>VLOOKUP(H267,$L$2:$M$4,2,FALSE)</f>
        <v>The Commissioner &amp; Chief Constable are satisfied the spend represents VFM in accordance with the requirements of Category B</v>
      </c>
    </row>
    <row r="268" spans="1:13" x14ac:dyDescent="0.2">
      <c r="A268" s="56" t="s">
        <v>8</v>
      </c>
      <c r="B268" s="55" t="s">
        <v>9</v>
      </c>
      <c r="C268" s="81" t="s">
        <v>181</v>
      </c>
      <c r="D268" s="53">
        <v>7178937</v>
      </c>
      <c r="E268" s="52">
        <v>45611</v>
      </c>
      <c r="F268" s="80">
        <v>1380.5</v>
      </c>
      <c r="G268" s="79" t="s">
        <v>106</v>
      </c>
      <c r="H268" s="49" t="str">
        <f>IF(F268&gt;25000,"C",IF(F268&gt;1000,"B","A"))</f>
        <v>B</v>
      </c>
      <c r="I268" s="48" t="str">
        <f>VLOOKUP(H268,$L$2:$M$4,2,FALSE)</f>
        <v>The Commissioner &amp; Chief Constable are satisfied the spend represents VFM in accordance with the requirements of Category B</v>
      </c>
    </row>
    <row r="269" spans="1:13" x14ac:dyDescent="0.2">
      <c r="A269" s="56" t="s">
        <v>8</v>
      </c>
      <c r="B269" s="55" t="s">
        <v>9</v>
      </c>
      <c r="C269" s="81" t="s">
        <v>256</v>
      </c>
      <c r="D269" s="53">
        <v>7179465</v>
      </c>
      <c r="E269" s="52">
        <v>45614</v>
      </c>
      <c r="F269" s="80">
        <v>1379.92</v>
      </c>
      <c r="G269" s="79" t="s">
        <v>131</v>
      </c>
      <c r="H269" s="49" t="str">
        <f>IF(F269&gt;25000,"C",IF(F269&gt;1000,"B","A"))</f>
        <v>B</v>
      </c>
      <c r="I269" s="48" t="str">
        <f>VLOOKUP(H269,$L$2:$M$4,2,FALSE)</f>
        <v>The Commissioner &amp; Chief Constable are satisfied the spend represents VFM in accordance with the requirements of Category B</v>
      </c>
    </row>
    <row r="270" spans="1:13" x14ac:dyDescent="0.2">
      <c r="A270" s="56" t="s">
        <v>8</v>
      </c>
      <c r="B270" s="55" t="s">
        <v>9</v>
      </c>
      <c r="C270" s="81" t="s">
        <v>555</v>
      </c>
      <c r="D270" s="53">
        <v>7178891</v>
      </c>
      <c r="E270" s="52">
        <v>45600</v>
      </c>
      <c r="F270" s="80">
        <v>1370</v>
      </c>
      <c r="G270" s="79" t="s">
        <v>131</v>
      </c>
      <c r="H270" s="49" t="str">
        <f>IF(F270&gt;25000,"C",IF(F270&gt;1000,"B","A"))</f>
        <v>B</v>
      </c>
      <c r="I270" s="48" t="str">
        <f>VLOOKUP(H270,$L$2:$M$4,2,FALSE)</f>
        <v>The Commissioner &amp; Chief Constable are satisfied the spend represents VFM in accordance with the requirements of Category B</v>
      </c>
    </row>
    <row r="271" spans="1:13" x14ac:dyDescent="0.2">
      <c r="A271" s="56" t="s">
        <v>8</v>
      </c>
      <c r="B271" s="55" t="s">
        <v>9</v>
      </c>
      <c r="C271" s="81" t="s">
        <v>260</v>
      </c>
      <c r="D271" s="53">
        <v>7179181</v>
      </c>
      <c r="E271" s="52">
        <v>45607</v>
      </c>
      <c r="F271" s="80">
        <v>1360.8899999999999</v>
      </c>
      <c r="G271" s="79" t="s">
        <v>261</v>
      </c>
      <c r="H271" s="49" t="str">
        <f>IF(F271&gt;25000,"C",IF(F271&gt;1000,"B","A"))</f>
        <v>B</v>
      </c>
      <c r="I271" s="48" t="str">
        <f>VLOOKUP(H271,$L$2:$M$4,2,FALSE)</f>
        <v>The Commissioner &amp; Chief Constable are satisfied the spend represents VFM in accordance with the requirements of Category B</v>
      </c>
    </row>
    <row r="272" spans="1:13" x14ac:dyDescent="0.2">
      <c r="A272" s="56" t="s">
        <v>8</v>
      </c>
      <c r="B272" s="55" t="s">
        <v>9</v>
      </c>
      <c r="C272" s="81" t="s">
        <v>960</v>
      </c>
      <c r="D272" s="53">
        <v>7179143</v>
      </c>
      <c r="E272" s="52">
        <v>45616</v>
      </c>
      <c r="F272" s="80">
        <v>1360</v>
      </c>
      <c r="G272" s="79" t="s">
        <v>106</v>
      </c>
      <c r="H272" s="49" t="str">
        <f>IF(F272&gt;25000,"C",IF(F272&gt;1000,"B","A"))</f>
        <v>B</v>
      </c>
      <c r="I272" s="48" t="str">
        <f>VLOOKUP(H272,$L$2:$M$4,2,FALSE)</f>
        <v>The Commissioner &amp; Chief Constable are satisfied the spend represents VFM in accordance with the requirements of Category B</v>
      </c>
    </row>
    <row r="273" spans="1:9" x14ac:dyDescent="0.2">
      <c r="A273" s="56" t="s">
        <v>8</v>
      </c>
      <c r="B273" s="55" t="s">
        <v>9</v>
      </c>
      <c r="C273" s="81" t="s">
        <v>124</v>
      </c>
      <c r="D273" s="53">
        <v>7178049</v>
      </c>
      <c r="E273" s="52">
        <v>45618</v>
      </c>
      <c r="F273" s="80">
        <v>1357.22</v>
      </c>
      <c r="G273" s="79" t="s">
        <v>376</v>
      </c>
      <c r="H273" s="49" t="str">
        <f>IF(F273&gt;25000,"C",IF(F273&gt;1000,"B","A"))</f>
        <v>B</v>
      </c>
      <c r="I273" s="48" t="str">
        <f>VLOOKUP(H273,$L$2:$M$4,2,FALSE)</f>
        <v>The Commissioner &amp; Chief Constable are satisfied the spend represents VFM in accordance with the requirements of Category B</v>
      </c>
    </row>
    <row r="274" spans="1:9" x14ac:dyDescent="0.2">
      <c r="A274" s="56" t="s">
        <v>8</v>
      </c>
      <c r="B274" s="55" t="s">
        <v>9</v>
      </c>
      <c r="C274" s="81" t="s">
        <v>202</v>
      </c>
      <c r="D274" s="53">
        <v>7178945</v>
      </c>
      <c r="E274" s="52">
        <v>45601</v>
      </c>
      <c r="F274" s="80">
        <v>1320</v>
      </c>
      <c r="G274" s="79" t="s">
        <v>203</v>
      </c>
      <c r="H274" s="49" t="str">
        <f>IF(F274&gt;25000,"C",IF(F274&gt;1000,"B","A"))</f>
        <v>B</v>
      </c>
      <c r="I274" s="48" t="str">
        <f>VLOOKUP(H274,$L$2:$M$4,2,FALSE)</f>
        <v>The Commissioner &amp; Chief Constable are satisfied the spend represents VFM in accordance with the requirements of Category B</v>
      </c>
    </row>
    <row r="275" spans="1:9" x14ac:dyDescent="0.2">
      <c r="A275" s="56" t="s">
        <v>8</v>
      </c>
      <c r="B275" s="55" t="s">
        <v>9</v>
      </c>
      <c r="C275" s="81" t="s">
        <v>103</v>
      </c>
      <c r="D275" s="53">
        <v>7179528</v>
      </c>
      <c r="E275" s="52">
        <v>45616</v>
      </c>
      <c r="F275" s="80">
        <v>1320</v>
      </c>
      <c r="G275" s="79" t="s">
        <v>91</v>
      </c>
      <c r="H275" s="49" t="str">
        <f>IF(F275&gt;25000,"C",IF(F275&gt;1000,"B","A"))</f>
        <v>B</v>
      </c>
      <c r="I275" s="48" t="str">
        <f>VLOOKUP(H275,$L$2:$M$4,2,FALSE)</f>
        <v>The Commissioner &amp; Chief Constable are satisfied the spend represents VFM in accordance with the requirements of Category B</v>
      </c>
    </row>
    <row r="276" spans="1:9" x14ac:dyDescent="0.2">
      <c r="A276" s="56" t="s">
        <v>8</v>
      </c>
      <c r="B276" s="55" t="s">
        <v>9</v>
      </c>
      <c r="C276" s="81" t="s">
        <v>149</v>
      </c>
      <c r="D276" s="53">
        <v>7178764</v>
      </c>
      <c r="E276" s="52">
        <v>45607</v>
      </c>
      <c r="F276" s="80">
        <v>1312.7</v>
      </c>
      <c r="G276" s="79" t="s">
        <v>138</v>
      </c>
      <c r="H276" s="49" t="str">
        <f>IF(F276&gt;25000,"C",IF(F276&gt;1000,"B","A"))</f>
        <v>B</v>
      </c>
      <c r="I276" s="48" t="str">
        <f>VLOOKUP(H276,$L$2:$M$4,2,FALSE)</f>
        <v>The Commissioner &amp; Chief Constable are satisfied the spend represents VFM in accordance with the requirements of Category B</v>
      </c>
    </row>
    <row r="277" spans="1:9" x14ac:dyDescent="0.2">
      <c r="A277" s="56" t="s">
        <v>8</v>
      </c>
      <c r="B277" s="55" t="s">
        <v>9</v>
      </c>
      <c r="C277" s="81" t="s">
        <v>304</v>
      </c>
      <c r="D277" s="53">
        <v>7179595</v>
      </c>
      <c r="E277" s="52">
        <v>45625</v>
      </c>
      <c r="F277" s="80">
        <v>1266</v>
      </c>
      <c r="G277" s="79" t="s">
        <v>155</v>
      </c>
      <c r="H277" s="49" t="str">
        <f>IF(F277&gt;25000,"C",IF(F277&gt;1000,"B","A"))</f>
        <v>B</v>
      </c>
      <c r="I277" s="48" t="str">
        <f>VLOOKUP(H277,$L$2:$M$4,2,FALSE)</f>
        <v>The Commissioner &amp; Chief Constable are satisfied the spend represents VFM in accordance with the requirements of Category B</v>
      </c>
    </row>
    <row r="278" spans="1:9" x14ac:dyDescent="0.2">
      <c r="A278" s="56" t="s">
        <v>8</v>
      </c>
      <c r="B278" s="55" t="s">
        <v>9</v>
      </c>
      <c r="C278" s="81" t="s">
        <v>369</v>
      </c>
      <c r="D278" s="53">
        <v>7179347</v>
      </c>
      <c r="E278" s="52">
        <v>45615</v>
      </c>
      <c r="F278" s="80">
        <v>1250</v>
      </c>
      <c r="G278" s="79" t="s">
        <v>39</v>
      </c>
      <c r="H278" s="49" t="str">
        <f>IF(F278&gt;25000,"C",IF(F278&gt;1000,"B","A"))</f>
        <v>B</v>
      </c>
      <c r="I278" s="48" t="str">
        <f>VLOOKUP(H278,$L$2:$M$4,2,FALSE)</f>
        <v>The Commissioner &amp; Chief Constable are satisfied the spend represents VFM in accordance with the requirements of Category B</v>
      </c>
    </row>
    <row r="279" spans="1:9" x14ac:dyDescent="0.2">
      <c r="A279" s="56" t="s">
        <v>8</v>
      </c>
      <c r="B279" s="55" t="s">
        <v>9</v>
      </c>
      <c r="C279" s="81" t="s">
        <v>959</v>
      </c>
      <c r="D279" s="53">
        <v>7178887</v>
      </c>
      <c r="E279" s="52">
        <v>45597</v>
      </c>
      <c r="F279" s="80">
        <v>1250</v>
      </c>
      <c r="G279" s="79" t="s">
        <v>106</v>
      </c>
      <c r="H279" s="49" t="str">
        <f>IF(F279&gt;25000,"C",IF(F279&gt;1000,"B","A"))</f>
        <v>B</v>
      </c>
      <c r="I279" s="48" t="str">
        <f>VLOOKUP(H279,$L$2:$M$4,2,FALSE)</f>
        <v>The Commissioner &amp; Chief Constable are satisfied the spend represents VFM in accordance with the requirements of Category B</v>
      </c>
    </row>
    <row r="280" spans="1:9" x14ac:dyDescent="0.2">
      <c r="A280" s="56" t="s">
        <v>8</v>
      </c>
      <c r="B280" s="55" t="s">
        <v>9</v>
      </c>
      <c r="C280" s="81" t="s">
        <v>124</v>
      </c>
      <c r="D280" s="53">
        <v>7179414</v>
      </c>
      <c r="E280" s="52">
        <v>45617</v>
      </c>
      <c r="F280" s="80">
        <v>1244.82</v>
      </c>
      <c r="G280" s="79" t="s">
        <v>91</v>
      </c>
      <c r="H280" s="49" t="str">
        <f>IF(F280&gt;25000,"C",IF(F280&gt;1000,"B","A"))</f>
        <v>B</v>
      </c>
      <c r="I280" s="48" t="str">
        <f>VLOOKUP(H280,$L$2:$M$4,2,FALSE)</f>
        <v>The Commissioner &amp; Chief Constable are satisfied the spend represents VFM in accordance with the requirements of Category B</v>
      </c>
    </row>
    <row r="281" spans="1:9" x14ac:dyDescent="0.2">
      <c r="A281" s="56" t="s">
        <v>8</v>
      </c>
      <c r="B281" s="55" t="s">
        <v>9</v>
      </c>
      <c r="C281" s="81" t="s">
        <v>74</v>
      </c>
      <c r="D281" s="53">
        <v>7178860</v>
      </c>
      <c r="E281" s="52">
        <v>45601</v>
      </c>
      <c r="F281" s="80">
        <v>1212.0899999999999</v>
      </c>
      <c r="G281" s="79" t="s">
        <v>75</v>
      </c>
      <c r="H281" s="49" t="str">
        <f>IF(F281&gt;25000,"C",IF(F281&gt;1000,"B","A"))</f>
        <v>B</v>
      </c>
      <c r="I281" s="48" t="str">
        <f>VLOOKUP(H281,$L$2:$M$4,2,FALSE)</f>
        <v>The Commissioner &amp; Chief Constable are satisfied the spend represents VFM in accordance with the requirements of Category B</v>
      </c>
    </row>
    <row r="282" spans="1:9" x14ac:dyDescent="0.2">
      <c r="A282" s="56" t="s">
        <v>8</v>
      </c>
      <c r="B282" s="55" t="s">
        <v>9</v>
      </c>
      <c r="C282" s="81" t="s">
        <v>958</v>
      </c>
      <c r="D282" s="53">
        <v>7178042</v>
      </c>
      <c r="E282" s="52">
        <v>45602</v>
      </c>
      <c r="F282" s="80">
        <v>1200</v>
      </c>
      <c r="G282" s="79" t="s">
        <v>131</v>
      </c>
      <c r="H282" s="49" t="str">
        <f>IF(F282&gt;25000,"C",IF(F282&gt;1000,"B","A"))</f>
        <v>B</v>
      </c>
      <c r="I282" s="48" t="str">
        <f>VLOOKUP(H282,$L$2:$M$4,2,FALSE)</f>
        <v>The Commissioner &amp; Chief Constable are satisfied the spend represents VFM in accordance with the requirements of Category B</v>
      </c>
    </row>
    <row r="283" spans="1:9" x14ac:dyDescent="0.2">
      <c r="A283" s="56" t="s">
        <v>8</v>
      </c>
      <c r="B283" s="55" t="s">
        <v>9</v>
      </c>
      <c r="C283" s="81" t="s">
        <v>957</v>
      </c>
      <c r="D283" s="53">
        <v>7179232</v>
      </c>
      <c r="E283" s="52">
        <v>45621</v>
      </c>
      <c r="F283" s="80">
        <v>1200</v>
      </c>
      <c r="G283" s="79" t="s">
        <v>382</v>
      </c>
      <c r="H283" s="49" t="str">
        <f>IF(F283&gt;25000,"C",IF(F283&gt;1000,"B","A"))</f>
        <v>B</v>
      </c>
      <c r="I283" s="48" t="str">
        <f>VLOOKUP(H283,$L$2:$M$4,2,FALSE)</f>
        <v>The Commissioner &amp; Chief Constable are satisfied the spend represents VFM in accordance with the requirements of Category B</v>
      </c>
    </row>
    <row r="284" spans="1:9" x14ac:dyDescent="0.2">
      <c r="A284" s="56" t="s">
        <v>8</v>
      </c>
      <c r="B284" s="55" t="s">
        <v>9</v>
      </c>
      <c r="C284" s="81" t="s">
        <v>128</v>
      </c>
      <c r="D284" s="53">
        <v>7178884</v>
      </c>
      <c r="E284" s="52">
        <v>45602</v>
      </c>
      <c r="F284" s="80">
        <v>1186.5</v>
      </c>
      <c r="G284" s="79" t="s">
        <v>129</v>
      </c>
      <c r="H284" s="49" t="str">
        <f>IF(F284&gt;25000,"C",IF(F284&gt;1000,"B","A"))</f>
        <v>B</v>
      </c>
      <c r="I284" s="48" t="str">
        <f>VLOOKUP(H284,$L$2:$M$4,2,FALSE)</f>
        <v>The Commissioner &amp; Chief Constable are satisfied the spend represents VFM in accordance with the requirements of Category B</v>
      </c>
    </row>
    <row r="285" spans="1:9" x14ac:dyDescent="0.2">
      <c r="A285" s="56" t="s">
        <v>8</v>
      </c>
      <c r="B285" s="55" t="s">
        <v>9</v>
      </c>
      <c r="C285" s="81" t="s">
        <v>812</v>
      </c>
      <c r="D285" s="53">
        <v>7178561</v>
      </c>
      <c r="E285" s="52">
        <v>45602</v>
      </c>
      <c r="F285" s="80">
        <v>1176.18</v>
      </c>
      <c r="G285" s="79" t="s">
        <v>22</v>
      </c>
      <c r="H285" s="49" t="str">
        <f>IF(F285&gt;25000,"C",IF(F285&gt;1000,"B","A"))</f>
        <v>B</v>
      </c>
      <c r="I285" s="48" t="str">
        <f>VLOOKUP(H285,$L$2:$M$4,2,FALSE)</f>
        <v>The Commissioner &amp; Chief Constable are satisfied the spend represents VFM in accordance with the requirements of Category B</v>
      </c>
    </row>
    <row r="286" spans="1:9" x14ac:dyDescent="0.2">
      <c r="A286" s="56" t="s">
        <v>8</v>
      </c>
      <c r="B286" s="55" t="s">
        <v>9</v>
      </c>
      <c r="C286" s="81" t="s">
        <v>334</v>
      </c>
      <c r="D286" s="53">
        <v>7178952</v>
      </c>
      <c r="E286" s="52">
        <v>45601</v>
      </c>
      <c r="F286" s="80">
        <v>1161.6400000000001</v>
      </c>
      <c r="G286" s="79" t="s">
        <v>39</v>
      </c>
      <c r="H286" s="49" t="str">
        <f>IF(F286&gt;25000,"C",IF(F286&gt;1000,"B","A"))</f>
        <v>B</v>
      </c>
      <c r="I286" s="48" t="str">
        <f>VLOOKUP(H286,$L$2:$M$4,2,FALSE)</f>
        <v>The Commissioner &amp; Chief Constable are satisfied the spend represents VFM in accordance with the requirements of Category B</v>
      </c>
    </row>
    <row r="287" spans="1:9" x14ac:dyDescent="0.2">
      <c r="A287" s="56" t="s">
        <v>8</v>
      </c>
      <c r="B287" s="55" t="s">
        <v>9</v>
      </c>
      <c r="C287" s="81" t="s">
        <v>334</v>
      </c>
      <c r="D287" s="53">
        <v>7178953</v>
      </c>
      <c r="E287" s="52">
        <v>45601</v>
      </c>
      <c r="F287" s="80">
        <v>1161.6400000000001</v>
      </c>
      <c r="G287" s="79" t="s">
        <v>39</v>
      </c>
      <c r="H287" s="49" t="str">
        <f>IF(F287&gt;25000,"C",IF(F287&gt;1000,"B","A"))</f>
        <v>B</v>
      </c>
      <c r="I287" s="48" t="str">
        <f>VLOOKUP(H287,$L$2:$M$4,2,FALSE)</f>
        <v>The Commissioner &amp; Chief Constable are satisfied the spend represents VFM in accordance with the requirements of Category B</v>
      </c>
    </row>
    <row r="288" spans="1:9" x14ac:dyDescent="0.2">
      <c r="A288" s="56" t="s">
        <v>8</v>
      </c>
      <c r="B288" s="55" t="s">
        <v>9</v>
      </c>
      <c r="C288" s="81" t="s">
        <v>281</v>
      </c>
      <c r="D288" s="53">
        <v>7179072</v>
      </c>
      <c r="E288" s="52">
        <v>45608</v>
      </c>
      <c r="F288" s="80">
        <v>1131.06</v>
      </c>
      <c r="G288" s="79" t="s">
        <v>209</v>
      </c>
      <c r="H288" s="49" t="str">
        <f>IF(F288&gt;25000,"C",IF(F288&gt;1000,"B","A"))</f>
        <v>B</v>
      </c>
      <c r="I288" s="48" t="str">
        <f>VLOOKUP(H288,$L$2:$M$4,2,FALSE)</f>
        <v>The Commissioner &amp; Chief Constable are satisfied the spend represents VFM in accordance with the requirements of Category B</v>
      </c>
    </row>
    <row r="289" spans="1:9" x14ac:dyDescent="0.2">
      <c r="A289" s="56" t="s">
        <v>8</v>
      </c>
      <c r="B289" s="55" t="s">
        <v>9</v>
      </c>
      <c r="C289" s="81" t="s">
        <v>419</v>
      </c>
      <c r="D289" s="53">
        <v>7178901</v>
      </c>
      <c r="E289" s="52">
        <v>45607</v>
      </c>
      <c r="F289" s="80">
        <v>1122</v>
      </c>
      <c r="G289" s="79" t="s">
        <v>22</v>
      </c>
      <c r="H289" s="49" t="str">
        <f>IF(F289&gt;25000,"C",IF(F289&gt;1000,"B","A"))</f>
        <v>B</v>
      </c>
      <c r="I289" s="48" t="str">
        <f>VLOOKUP(H289,$L$2:$M$4,2,FALSE)</f>
        <v>The Commissioner &amp; Chief Constable are satisfied the spend represents VFM in accordance with the requirements of Category B</v>
      </c>
    </row>
    <row r="290" spans="1:9" x14ac:dyDescent="0.2">
      <c r="A290" s="56" t="s">
        <v>8</v>
      </c>
      <c r="B290" s="55" t="s">
        <v>9</v>
      </c>
      <c r="C290" s="81" t="s">
        <v>482</v>
      </c>
      <c r="D290" s="53">
        <v>7179571</v>
      </c>
      <c r="E290" s="52">
        <v>45623</v>
      </c>
      <c r="F290" s="80">
        <v>1114.1500000000001</v>
      </c>
      <c r="G290" s="79" t="s">
        <v>106</v>
      </c>
      <c r="H290" s="49" t="str">
        <f>IF(F290&gt;25000,"C",IF(F290&gt;1000,"B","A"))</f>
        <v>B</v>
      </c>
      <c r="I290" s="48" t="str">
        <f>VLOOKUP(H290,$L$2:$M$4,2,FALSE)</f>
        <v>The Commissioner &amp; Chief Constable are satisfied the spend represents VFM in accordance with the requirements of Category B</v>
      </c>
    </row>
    <row r="291" spans="1:9" x14ac:dyDescent="0.2">
      <c r="A291" s="56" t="s">
        <v>8</v>
      </c>
      <c r="B291" s="55" t="s">
        <v>9</v>
      </c>
      <c r="C291" s="81" t="s">
        <v>385</v>
      </c>
      <c r="D291" s="53">
        <v>7179294</v>
      </c>
      <c r="E291" s="52">
        <v>45618</v>
      </c>
      <c r="F291" s="80">
        <v>1109.2</v>
      </c>
      <c r="G291" s="79" t="s">
        <v>91</v>
      </c>
      <c r="H291" s="49" t="str">
        <f>IF(F291&gt;25000,"C",IF(F291&gt;1000,"B","A"))</f>
        <v>B</v>
      </c>
      <c r="I291" s="48" t="str">
        <f>VLOOKUP(H291,$L$2:$M$4,2,FALSE)</f>
        <v>The Commissioner &amp; Chief Constable are satisfied the spend represents VFM in accordance with the requirements of Category B</v>
      </c>
    </row>
    <row r="292" spans="1:9" x14ac:dyDescent="0.2">
      <c r="A292" s="56" t="s">
        <v>8</v>
      </c>
      <c r="B292" s="55" t="s">
        <v>9</v>
      </c>
      <c r="C292" s="81" t="s">
        <v>187</v>
      </c>
      <c r="D292" s="53">
        <v>7179022</v>
      </c>
      <c r="E292" s="52">
        <v>45604</v>
      </c>
      <c r="F292" s="80">
        <v>1087.79</v>
      </c>
      <c r="G292" s="79" t="s">
        <v>188</v>
      </c>
      <c r="H292" s="49" t="str">
        <f>IF(F292&gt;25000,"C",IF(F292&gt;1000,"B","A"))</f>
        <v>B</v>
      </c>
      <c r="I292" s="48" t="str">
        <f>VLOOKUP(H292,$L$2:$M$4,2,FALSE)</f>
        <v>The Commissioner &amp; Chief Constable are satisfied the spend represents VFM in accordance with the requirements of Category B</v>
      </c>
    </row>
    <row r="293" spans="1:9" x14ac:dyDescent="0.2">
      <c r="A293" s="56" t="s">
        <v>8</v>
      </c>
      <c r="B293" s="55" t="s">
        <v>9</v>
      </c>
      <c r="C293" s="81" t="s">
        <v>743</v>
      </c>
      <c r="D293" s="53">
        <v>7178984</v>
      </c>
      <c r="E293" s="52">
        <v>45602</v>
      </c>
      <c r="F293" s="80">
        <v>1085</v>
      </c>
      <c r="G293" s="79" t="s">
        <v>66</v>
      </c>
      <c r="H293" s="49" t="str">
        <f>IF(F293&gt;25000,"C",IF(F293&gt;1000,"B","A"))</f>
        <v>B</v>
      </c>
      <c r="I293" s="48" t="str">
        <f>VLOOKUP(H293,$L$2:$M$4,2,FALSE)</f>
        <v>The Commissioner &amp; Chief Constable are satisfied the spend represents VFM in accordance with the requirements of Category B</v>
      </c>
    </row>
    <row r="294" spans="1:9" x14ac:dyDescent="0.2">
      <c r="A294" s="56" t="s">
        <v>8</v>
      </c>
      <c r="B294" s="55" t="s">
        <v>9</v>
      </c>
      <c r="C294" s="81" t="s">
        <v>294</v>
      </c>
      <c r="D294" s="53">
        <v>7179302</v>
      </c>
      <c r="E294" s="52">
        <v>45611</v>
      </c>
      <c r="F294" s="80">
        <v>1079.2</v>
      </c>
      <c r="G294" s="79" t="s">
        <v>203</v>
      </c>
      <c r="H294" s="49" t="str">
        <f>IF(F294&gt;25000,"C",IF(F294&gt;1000,"B","A"))</f>
        <v>B</v>
      </c>
      <c r="I294" s="48" t="str">
        <f>VLOOKUP(H294,$L$2:$M$4,2,FALSE)</f>
        <v>The Commissioner &amp; Chief Constable are satisfied the spend represents VFM in accordance with the requirements of Category B</v>
      </c>
    </row>
    <row r="295" spans="1:9" x14ac:dyDescent="0.2">
      <c r="A295" s="56" t="s">
        <v>8</v>
      </c>
      <c r="B295" s="55" t="s">
        <v>9</v>
      </c>
      <c r="C295" s="81" t="s">
        <v>386</v>
      </c>
      <c r="D295" s="53">
        <v>7179153</v>
      </c>
      <c r="E295" s="52">
        <v>45604</v>
      </c>
      <c r="F295" s="80">
        <v>1050</v>
      </c>
      <c r="G295" s="79" t="s">
        <v>106</v>
      </c>
      <c r="H295" s="49" t="str">
        <f>IF(F295&gt;25000,"C",IF(F295&gt;1000,"B","A"))</f>
        <v>B</v>
      </c>
      <c r="I295" s="48" t="str">
        <f>VLOOKUP(H295,$L$2:$M$4,2,FALSE)</f>
        <v>The Commissioner &amp; Chief Constable are satisfied the spend represents VFM in accordance with the requirements of Category B</v>
      </c>
    </row>
    <row r="296" spans="1:9" x14ac:dyDescent="0.2">
      <c r="A296" s="56" t="s">
        <v>8</v>
      </c>
      <c r="B296" s="55" t="s">
        <v>9</v>
      </c>
      <c r="C296" s="81" t="s">
        <v>302</v>
      </c>
      <c r="D296" s="53">
        <v>7179157</v>
      </c>
      <c r="E296" s="52">
        <v>45608</v>
      </c>
      <c r="F296" s="80">
        <v>1049.17</v>
      </c>
      <c r="G296" s="79" t="s">
        <v>131</v>
      </c>
      <c r="H296" s="49" t="str">
        <f>IF(F296&gt;25000,"C",IF(F296&gt;1000,"B","A"))</f>
        <v>B</v>
      </c>
      <c r="I296" s="48" t="str">
        <f>VLOOKUP(H296,$L$2:$M$4,2,FALSE)</f>
        <v>The Commissioner &amp; Chief Constable are satisfied the spend represents VFM in accordance with the requirements of Category B</v>
      </c>
    </row>
    <row r="297" spans="1:9" x14ac:dyDescent="0.2">
      <c r="A297" s="56" t="s">
        <v>8</v>
      </c>
      <c r="B297" s="55" t="s">
        <v>9</v>
      </c>
      <c r="C297" s="81" t="s">
        <v>181</v>
      </c>
      <c r="D297" s="53">
        <v>7179222</v>
      </c>
      <c r="E297" s="52">
        <v>45608</v>
      </c>
      <c r="F297" s="80">
        <v>1030.5</v>
      </c>
      <c r="G297" s="79" t="s">
        <v>106</v>
      </c>
      <c r="H297" s="49" t="str">
        <f>IF(F297&gt;25000,"C",IF(F297&gt;1000,"B","A"))</f>
        <v>B</v>
      </c>
      <c r="I297" s="48" t="str">
        <f>VLOOKUP(H297,$L$2:$M$4,2,FALSE)</f>
        <v>The Commissioner &amp; Chief Constable are satisfied the spend represents VFM in accordance with the requirements of Category B</v>
      </c>
    </row>
    <row r="298" spans="1:9" x14ac:dyDescent="0.2">
      <c r="A298" s="56" t="s">
        <v>8</v>
      </c>
      <c r="B298" s="55" t="s">
        <v>9</v>
      </c>
      <c r="C298" s="81" t="s">
        <v>163</v>
      </c>
      <c r="D298" s="53">
        <v>7178959</v>
      </c>
      <c r="E298" s="52">
        <v>45600</v>
      </c>
      <c r="F298" s="80">
        <v>92</v>
      </c>
      <c r="G298" s="79" t="s">
        <v>45</v>
      </c>
      <c r="H298" s="49" t="str">
        <f>IF(F298&gt;25000,"C",IF(F298&gt;1000,"B","A"))</f>
        <v>A</v>
      </c>
      <c r="I298" s="48" t="str">
        <f>VLOOKUP(H298,$L$2:$M$4,2,FALSE)</f>
        <v>The Commissioner &amp; Chief Constable are satisfied the spend represents VFM in accordance with the requirements of Category A</v>
      </c>
    </row>
    <row r="299" spans="1:9" x14ac:dyDescent="0.2">
      <c r="A299" s="56" t="s">
        <v>8</v>
      </c>
      <c r="B299" s="55" t="s">
        <v>9</v>
      </c>
      <c r="C299" s="82" t="s">
        <v>163</v>
      </c>
      <c r="D299" s="53">
        <v>7178959</v>
      </c>
      <c r="E299" s="52">
        <v>45600</v>
      </c>
      <c r="F299" s="80">
        <v>803.5</v>
      </c>
      <c r="G299" s="79" t="s">
        <v>81</v>
      </c>
      <c r="H299" s="49" t="str">
        <f>IF(F299&gt;25000,"C",IF(F299&gt;1000,"B","A"))</f>
        <v>A</v>
      </c>
      <c r="I299" s="48" t="str">
        <f>VLOOKUP(H299,$L$2:$M$4,2,FALSE)</f>
        <v>The Commissioner &amp; Chief Constable are satisfied the spend represents VFM in accordance with the requirements of Category A</v>
      </c>
    </row>
    <row r="300" spans="1:9" x14ac:dyDescent="0.2">
      <c r="A300" s="56" t="s">
        <v>8</v>
      </c>
      <c r="B300" s="55" t="s">
        <v>9</v>
      </c>
      <c r="C300" s="81" t="s">
        <v>163</v>
      </c>
      <c r="D300" s="53">
        <v>7178959</v>
      </c>
      <c r="E300" s="52">
        <v>45600</v>
      </c>
      <c r="F300" s="83">
        <v>130</v>
      </c>
      <c r="G300" s="79" t="s">
        <v>82</v>
      </c>
      <c r="H300" s="49" t="str">
        <f>IF(F300&gt;25000,"C",IF(F300&gt;1000,"B","A"))</f>
        <v>A</v>
      </c>
      <c r="I300" s="48" t="str">
        <f>VLOOKUP(H300,$L$2:$M$4,2,FALSE)</f>
        <v>The Commissioner &amp; Chief Constable are satisfied the spend represents VFM in accordance with the requirements of Category A</v>
      </c>
    </row>
    <row r="301" spans="1:9" x14ac:dyDescent="0.2">
      <c r="A301" s="56" t="s">
        <v>8</v>
      </c>
      <c r="B301" s="55" t="s">
        <v>9</v>
      </c>
      <c r="C301" s="81" t="s">
        <v>655</v>
      </c>
      <c r="D301" s="53">
        <v>7178909</v>
      </c>
      <c r="E301" s="52">
        <v>45597</v>
      </c>
      <c r="F301" s="80">
        <v>1000</v>
      </c>
      <c r="G301" s="79" t="s">
        <v>38</v>
      </c>
      <c r="H301" s="49" t="str">
        <f>IF(F301&gt;25000,"C",IF(F301&gt;1000,"B","A"))</f>
        <v>A</v>
      </c>
      <c r="I301" s="48" t="str">
        <f>VLOOKUP(H301,$L$2:$M$4,2,FALSE)</f>
        <v>The Commissioner &amp; Chief Constable are satisfied the spend represents VFM in accordance with the requirements of Category A</v>
      </c>
    </row>
    <row r="302" spans="1:9" x14ac:dyDescent="0.2">
      <c r="A302" s="56" t="s">
        <v>8</v>
      </c>
      <c r="B302" s="55" t="s">
        <v>9</v>
      </c>
      <c r="C302" s="81" t="s">
        <v>916</v>
      </c>
      <c r="D302" s="53">
        <v>7179242</v>
      </c>
      <c r="E302" s="52">
        <v>45608</v>
      </c>
      <c r="F302" s="80">
        <v>1000</v>
      </c>
      <c r="G302" s="79" t="s">
        <v>106</v>
      </c>
      <c r="H302" s="49" t="str">
        <f>IF(F302&gt;25000,"C",IF(F302&gt;1000,"B","A"))</f>
        <v>A</v>
      </c>
      <c r="I302" s="48" t="str">
        <f>VLOOKUP(H302,$L$2:$M$4,2,FALSE)</f>
        <v>The Commissioner &amp; Chief Constable are satisfied the spend represents VFM in accordance with the requirements of Category A</v>
      </c>
    </row>
    <row r="303" spans="1:9" x14ac:dyDescent="0.2">
      <c r="A303" s="56" t="s">
        <v>8</v>
      </c>
      <c r="B303" s="55" t="s">
        <v>9</v>
      </c>
      <c r="C303" s="81" t="s">
        <v>658</v>
      </c>
      <c r="D303" s="53">
        <v>7179777</v>
      </c>
      <c r="E303" s="52">
        <v>45623</v>
      </c>
      <c r="F303" s="80">
        <v>997</v>
      </c>
      <c r="G303" s="79" t="s">
        <v>131</v>
      </c>
      <c r="H303" s="49" t="str">
        <f>IF(F303&gt;25000,"C",IF(F303&gt;1000,"B","A"))</f>
        <v>A</v>
      </c>
      <c r="I303" s="48" t="str">
        <f>VLOOKUP(H303,$L$2:$M$4,2,FALSE)</f>
        <v>The Commissioner &amp; Chief Constable are satisfied the spend represents VFM in accordance with the requirements of Category A</v>
      </c>
    </row>
    <row r="304" spans="1:9" x14ac:dyDescent="0.2">
      <c r="A304" s="56" t="s">
        <v>8</v>
      </c>
      <c r="B304" s="55" t="s">
        <v>9</v>
      </c>
      <c r="C304" s="81" t="s">
        <v>366</v>
      </c>
      <c r="D304" s="53">
        <v>7178582</v>
      </c>
      <c r="E304" s="52">
        <v>45617</v>
      </c>
      <c r="F304" s="80">
        <v>991.6</v>
      </c>
      <c r="G304" s="79" t="s">
        <v>155</v>
      </c>
      <c r="H304" s="49" t="str">
        <f>IF(F304&gt;25000,"C",IF(F304&gt;1000,"B","A"))</f>
        <v>A</v>
      </c>
      <c r="I304" s="48" t="str">
        <f>VLOOKUP(H304,$L$2:$M$4,2,FALSE)</f>
        <v>The Commissioner &amp; Chief Constable are satisfied the spend represents VFM in accordance with the requirements of Category A</v>
      </c>
    </row>
    <row r="305" spans="1:9" x14ac:dyDescent="0.2">
      <c r="A305" s="56" t="s">
        <v>8</v>
      </c>
      <c r="B305" s="55" t="s">
        <v>9</v>
      </c>
      <c r="C305" s="81" t="s">
        <v>882</v>
      </c>
      <c r="D305" s="53">
        <v>7179619</v>
      </c>
      <c r="E305" s="52">
        <v>45617</v>
      </c>
      <c r="F305" s="80">
        <v>990</v>
      </c>
      <c r="G305" s="79" t="s">
        <v>106</v>
      </c>
      <c r="H305" s="49" t="str">
        <f>IF(F305&gt;25000,"C",IF(F305&gt;1000,"B","A"))</f>
        <v>A</v>
      </c>
      <c r="I305" s="48" t="str">
        <f>VLOOKUP(H305,$L$2:$M$4,2,FALSE)</f>
        <v>The Commissioner &amp; Chief Constable are satisfied the spend represents VFM in accordance with the requirements of Category A</v>
      </c>
    </row>
    <row r="306" spans="1:9" x14ac:dyDescent="0.2">
      <c r="A306" s="56" t="s">
        <v>8</v>
      </c>
      <c r="B306" s="55" t="s">
        <v>9</v>
      </c>
      <c r="C306" s="81" t="s">
        <v>342</v>
      </c>
      <c r="D306" s="53">
        <v>7179389</v>
      </c>
      <c r="E306" s="52">
        <v>45611</v>
      </c>
      <c r="F306" s="80">
        <v>980</v>
      </c>
      <c r="G306" s="79" t="s">
        <v>38</v>
      </c>
      <c r="H306" s="49" t="str">
        <f>IF(F306&gt;25000,"C",IF(F306&gt;1000,"B","A"))</f>
        <v>A</v>
      </c>
      <c r="I306" s="48" t="str">
        <f>VLOOKUP(H306,$L$2:$M$4,2,FALSE)</f>
        <v>The Commissioner &amp; Chief Constable are satisfied the spend represents VFM in accordance with the requirements of Category A</v>
      </c>
    </row>
    <row r="307" spans="1:9" x14ac:dyDescent="0.2">
      <c r="A307" s="56" t="s">
        <v>8</v>
      </c>
      <c r="B307" s="55" t="s">
        <v>9</v>
      </c>
      <c r="C307" s="81" t="s">
        <v>266</v>
      </c>
      <c r="D307" s="53">
        <v>7179336</v>
      </c>
      <c r="E307" s="52">
        <v>45610</v>
      </c>
      <c r="F307" s="80">
        <v>977.1</v>
      </c>
      <c r="G307" s="79" t="s">
        <v>209</v>
      </c>
      <c r="H307" s="49" t="str">
        <f>IF(F307&gt;25000,"C",IF(F307&gt;1000,"B","A"))</f>
        <v>A</v>
      </c>
      <c r="I307" s="48" t="str">
        <f>VLOOKUP(H307,$L$2:$M$4,2,FALSE)</f>
        <v>The Commissioner &amp; Chief Constable are satisfied the spend represents VFM in accordance with the requirements of Category A</v>
      </c>
    </row>
    <row r="308" spans="1:9" x14ac:dyDescent="0.2">
      <c r="A308" s="56" t="s">
        <v>8</v>
      </c>
      <c r="B308" s="55" t="s">
        <v>9</v>
      </c>
      <c r="C308" s="81" t="s">
        <v>370</v>
      </c>
      <c r="D308" s="53">
        <v>7179398</v>
      </c>
      <c r="E308" s="52">
        <v>45611</v>
      </c>
      <c r="F308" s="80">
        <v>969</v>
      </c>
      <c r="G308" s="79" t="s">
        <v>151</v>
      </c>
      <c r="H308" s="49" t="str">
        <f>IF(F308&gt;25000,"C",IF(F308&gt;1000,"B","A"))</f>
        <v>A</v>
      </c>
      <c r="I308" s="48" t="str">
        <f>VLOOKUP(H308,$L$2:$M$4,2,FALSE)</f>
        <v>The Commissioner &amp; Chief Constable are satisfied the spend represents VFM in accordance with the requirements of Category A</v>
      </c>
    </row>
    <row r="309" spans="1:9" x14ac:dyDescent="0.2">
      <c r="A309" s="56" t="s">
        <v>8</v>
      </c>
      <c r="B309" s="55" t="s">
        <v>9</v>
      </c>
      <c r="C309" s="81" t="s">
        <v>260</v>
      </c>
      <c r="D309" s="53">
        <v>7179557</v>
      </c>
      <c r="E309" s="52">
        <v>45616</v>
      </c>
      <c r="F309" s="80">
        <v>966.53000000000009</v>
      </c>
      <c r="G309" s="79" t="s">
        <v>261</v>
      </c>
      <c r="H309" s="49" t="str">
        <f>IF(F309&gt;25000,"C",IF(F309&gt;1000,"B","A"))</f>
        <v>A</v>
      </c>
      <c r="I309" s="48" t="str">
        <f>VLOOKUP(H309,$L$2:$M$4,2,FALSE)</f>
        <v>The Commissioner &amp; Chief Constable are satisfied the spend represents VFM in accordance with the requirements of Category A</v>
      </c>
    </row>
    <row r="310" spans="1:9" x14ac:dyDescent="0.2">
      <c r="A310" s="56" t="s">
        <v>8</v>
      </c>
      <c r="B310" s="55" t="s">
        <v>9</v>
      </c>
      <c r="C310" s="81" t="s">
        <v>90</v>
      </c>
      <c r="D310" s="53">
        <v>7179728</v>
      </c>
      <c r="E310" s="52">
        <v>45622</v>
      </c>
      <c r="F310" s="80">
        <v>962.46</v>
      </c>
      <c r="G310" s="79" t="s">
        <v>91</v>
      </c>
      <c r="H310" s="49" t="str">
        <f>IF(F310&gt;25000,"C",IF(F310&gt;1000,"B","A"))</f>
        <v>A</v>
      </c>
      <c r="I310" s="48" t="str">
        <f>VLOOKUP(H310,$L$2:$M$4,2,FALSE)</f>
        <v>The Commissioner &amp; Chief Constable are satisfied the spend represents VFM in accordance with the requirements of Category A</v>
      </c>
    </row>
    <row r="311" spans="1:9" x14ac:dyDescent="0.2">
      <c r="A311" s="56" t="s">
        <v>8</v>
      </c>
      <c r="B311" s="55" t="s">
        <v>9</v>
      </c>
      <c r="C311" s="81" t="s">
        <v>346</v>
      </c>
      <c r="D311" s="53">
        <v>7179416</v>
      </c>
      <c r="E311" s="52">
        <v>45611</v>
      </c>
      <c r="F311" s="80">
        <v>962</v>
      </c>
      <c r="G311" s="79" t="s">
        <v>131</v>
      </c>
      <c r="H311" s="49" t="str">
        <f>IF(F311&gt;25000,"C",IF(F311&gt;1000,"B","A"))</f>
        <v>A</v>
      </c>
      <c r="I311" s="48" t="str">
        <f>VLOOKUP(H311,$L$2:$M$4,2,FALSE)</f>
        <v>The Commissioner &amp; Chief Constable are satisfied the spend represents VFM in accordance with the requirements of Category A</v>
      </c>
    </row>
    <row r="312" spans="1:9" x14ac:dyDescent="0.2">
      <c r="A312" s="56" t="s">
        <v>8</v>
      </c>
      <c r="B312" s="55" t="s">
        <v>9</v>
      </c>
      <c r="C312" s="81" t="s">
        <v>149</v>
      </c>
      <c r="D312" s="53">
        <v>7179380</v>
      </c>
      <c r="E312" s="52">
        <v>45617</v>
      </c>
      <c r="F312" s="80">
        <v>943.77</v>
      </c>
      <c r="G312" s="79" t="s">
        <v>138</v>
      </c>
      <c r="H312" s="49" t="str">
        <f>IF(F312&gt;25000,"C",IF(F312&gt;1000,"B","A"))</f>
        <v>A</v>
      </c>
      <c r="I312" s="48" t="str">
        <f>VLOOKUP(H312,$L$2:$M$4,2,FALSE)</f>
        <v>The Commissioner &amp; Chief Constable are satisfied the spend represents VFM in accordance with the requirements of Category A</v>
      </c>
    </row>
    <row r="313" spans="1:9" x14ac:dyDescent="0.2">
      <c r="A313" s="56" t="s">
        <v>8</v>
      </c>
      <c r="B313" s="55" t="s">
        <v>9</v>
      </c>
      <c r="C313" s="81" t="s">
        <v>750</v>
      </c>
      <c r="D313" s="53">
        <v>7179699</v>
      </c>
      <c r="E313" s="52">
        <v>45621</v>
      </c>
      <c r="F313" s="80">
        <v>936.25</v>
      </c>
      <c r="G313" s="79" t="s">
        <v>390</v>
      </c>
      <c r="H313" s="49" t="str">
        <f>IF(F313&gt;25000,"C",IF(F313&gt;1000,"B","A"))</f>
        <v>A</v>
      </c>
      <c r="I313" s="48" t="str">
        <f>VLOOKUP(H313,$L$2:$M$4,2,FALSE)</f>
        <v>The Commissioner &amp; Chief Constable are satisfied the spend represents VFM in accordance with the requirements of Category A</v>
      </c>
    </row>
    <row r="314" spans="1:9" x14ac:dyDescent="0.2">
      <c r="A314" s="56" t="s">
        <v>8</v>
      </c>
      <c r="B314" s="55" t="s">
        <v>9</v>
      </c>
      <c r="C314" s="81" t="s">
        <v>822</v>
      </c>
      <c r="D314" s="53">
        <v>7179499</v>
      </c>
      <c r="E314" s="52">
        <v>45614</v>
      </c>
      <c r="F314" s="80">
        <v>920</v>
      </c>
      <c r="G314" s="79" t="s">
        <v>91</v>
      </c>
      <c r="H314" s="49" t="str">
        <f>IF(F314&gt;25000,"C",IF(F314&gt;1000,"B","A"))</f>
        <v>A</v>
      </c>
      <c r="I314" s="48" t="str">
        <f>VLOOKUP(H314,$L$2:$M$4,2,FALSE)</f>
        <v>The Commissioner &amp; Chief Constable are satisfied the spend represents VFM in accordance with the requirements of Category A</v>
      </c>
    </row>
    <row r="315" spans="1:9" x14ac:dyDescent="0.2">
      <c r="A315" s="56" t="s">
        <v>8</v>
      </c>
      <c r="B315" s="55" t="s">
        <v>9</v>
      </c>
      <c r="C315" s="81" t="s">
        <v>378</v>
      </c>
      <c r="D315" s="53">
        <v>7179723</v>
      </c>
      <c r="E315" s="52">
        <v>45623</v>
      </c>
      <c r="F315" s="80">
        <v>917</v>
      </c>
      <c r="G315" s="79" t="s">
        <v>686</v>
      </c>
      <c r="H315" s="49" t="str">
        <f>IF(F315&gt;25000,"C",IF(F315&gt;1000,"B","A"))</f>
        <v>A</v>
      </c>
      <c r="I315" s="48" t="str">
        <f>VLOOKUP(H315,$L$2:$M$4,2,FALSE)</f>
        <v>The Commissioner &amp; Chief Constable are satisfied the spend represents VFM in accordance with the requirements of Category A</v>
      </c>
    </row>
    <row r="316" spans="1:9" x14ac:dyDescent="0.2">
      <c r="A316" s="56" t="s">
        <v>8</v>
      </c>
      <c r="B316" s="55" t="s">
        <v>9</v>
      </c>
      <c r="C316" s="81" t="s">
        <v>334</v>
      </c>
      <c r="D316" s="53">
        <v>7178950</v>
      </c>
      <c r="E316" s="52">
        <v>45600</v>
      </c>
      <c r="F316" s="80">
        <v>914.94</v>
      </c>
      <c r="G316" s="79" t="s">
        <v>39</v>
      </c>
      <c r="H316" s="49" t="str">
        <f>IF(F316&gt;25000,"C",IF(F316&gt;1000,"B","A"))</f>
        <v>A</v>
      </c>
      <c r="I316" s="48" t="str">
        <f>VLOOKUP(H316,$L$2:$M$4,2,FALSE)</f>
        <v>The Commissioner &amp; Chief Constable are satisfied the spend represents VFM in accordance with the requirements of Category A</v>
      </c>
    </row>
    <row r="317" spans="1:9" x14ac:dyDescent="0.2">
      <c r="A317" s="56" t="s">
        <v>8</v>
      </c>
      <c r="B317" s="55" t="s">
        <v>9</v>
      </c>
      <c r="C317" s="81" t="s">
        <v>956</v>
      </c>
      <c r="D317" s="53">
        <v>3068812</v>
      </c>
      <c r="E317" s="52">
        <v>45608</v>
      </c>
      <c r="F317" s="80">
        <v>914</v>
      </c>
      <c r="G317" s="79" t="s">
        <v>45</v>
      </c>
      <c r="H317" s="49" t="str">
        <f>IF(F317&gt;25000,"C",IF(F317&gt;1000,"B","A"))</f>
        <v>A</v>
      </c>
      <c r="I317" s="48" t="str">
        <f>VLOOKUP(H317,$L$2:$M$4,2,FALSE)</f>
        <v>The Commissioner &amp; Chief Constable are satisfied the spend represents VFM in accordance with the requirements of Category A</v>
      </c>
    </row>
    <row r="318" spans="1:9" x14ac:dyDescent="0.2">
      <c r="A318" s="56" t="s">
        <v>8</v>
      </c>
      <c r="B318" s="55" t="s">
        <v>9</v>
      </c>
      <c r="C318" s="81" t="s">
        <v>871</v>
      </c>
      <c r="D318" s="53">
        <v>3068855</v>
      </c>
      <c r="E318" s="52">
        <v>45618</v>
      </c>
      <c r="F318" s="80">
        <v>914</v>
      </c>
      <c r="G318" s="79" t="s">
        <v>45</v>
      </c>
      <c r="H318" s="49" t="str">
        <f>IF(F318&gt;25000,"C",IF(F318&gt;1000,"B","A"))</f>
        <v>A</v>
      </c>
      <c r="I318" s="48" t="str">
        <f>VLOOKUP(H318,$L$2:$M$4,2,FALSE)</f>
        <v>The Commissioner &amp; Chief Constable are satisfied the spend represents VFM in accordance with the requirements of Category A</v>
      </c>
    </row>
    <row r="319" spans="1:9" x14ac:dyDescent="0.2">
      <c r="A319" s="56" t="s">
        <v>8</v>
      </c>
      <c r="B319" s="55" t="s">
        <v>9</v>
      </c>
      <c r="C319" s="81" t="s">
        <v>955</v>
      </c>
      <c r="D319" s="53">
        <v>7179015</v>
      </c>
      <c r="E319" s="52">
        <v>45602</v>
      </c>
      <c r="F319" s="80">
        <v>910</v>
      </c>
      <c r="G319" s="79" t="s">
        <v>330</v>
      </c>
      <c r="H319" s="49" t="str">
        <f>IF(F319&gt;25000,"C",IF(F319&gt;1000,"B","A"))</f>
        <v>A</v>
      </c>
      <c r="I319" s="48" t="str">
        <f>VLOOKUP(H319,$L$2:$M$4,2,FALSE)</f>
        <v>The Commissioner &amp; Chief Constable are satisfied the spend represents VFM in accordance with the requirements of Category A</v>
      </c>
    </row>
    <row r="320" spans="1:9" x14ac:dyDescent="0.2">
      <c r="A320" s="56" t="s">
        <v>8</v>
      </c>
      <c r="B320" s="55" t="s">
        <v>9</v>
      </c>
      <c r="C320" s="81" t="s">
        <v>234</v>
      </c>
      <c r="D320" s="53">
        <v>7179562</v>
      </c>
      <c r="E320" s="52">
        <v>45617</v>
      </c>
      <c r="F320" s="80">
        <v>903.64</v>
      </c>
      <c r="G320" s="79" t="s">
        <v>42</v>
      </c>
      <c r="H320" s="49" t="str">
        <f>IF(F320&gt;25000,"C",IF(F320&gt;1000,"B","A"))</f>
        <v>A</v>
      </c>
      <c r="I320" s="48" t="str">
        <f>VLOOKUP(H320,$L$2:$M$4,2,FALSE)</f>
        <v>The Commissioner &amp; Chief Constable are satisfied the spend represents VFM in accordance with the requirements of Category A</v>
      </c>
    </row>
    <row r="321" spans="1:13" x14ac:dyDescent="0.2">
      <c r="A321" s="56" t="s">
        <v>8</v>
      </c>
      <c r="B321" s="55" t="s">
        <v>9</v>
      </c>
      <c r="C321" s="81" t="s">
        <v>954</v>
      </c>
      <c r="D321" s="53">
        <v>7178527</v>
      </c>
      <c r="E321" s="52">
        <v>45599</v>
      </c>
      <c r="F321" s="80">
        <v>900</v>
      </c>
      <c r="G321" s="79" t="s">
        <v>22</v>
      </c>
      <c r="H321" s="49" t="str">
        <f>IF(F321&gt;25000,"C",IF(F321&gt;1000,"B","A"))</f>
        <v>A</v>
      </c>
      <c r="I321" s="48" t="str">
        <f>VLOOKUP(H321,$L$2:$M$4,2,FALSE)</f>
        <v>The Commissioner &amp; Chief Constable are satisfied the spend represents VFM in accordance with the requirements of Category A</v>
      </c>
    </row>
    <row r="322" spans="1:13" x14ac:dyDescent="0.2">
      <c r="A322" s="56" t="s">
        <v>8</v>
      </c>
      <c r="B322" s="55" t="s">
        <v>9</v>
      </c>
      <c r="C322" s="81" t="s">
        <v>68</v>
      </c>
      <c r="D322" s="53">
        <v>7179637</v>
      </c>
      <c r="E322" s="52">
        <v>45618</v>
      </c>
      <c r="F322" s="80">
        <v>895</v>
      </c>
      <c r="G322" s="79" t="s">
        <v>43</v>
      </c>
      <c r="H322" s="49" t="str">
        <f>IF(F322&gt;25000,"C",IF(F322&gt;1000,"B","A"))</f>
        <v>A</v>
      </c>
      <c r="I322" s="48" t="str">
        <f>VLOOKUP(H322,$L$2:$M$4,2,FALSE)</f>
        <v>The Commissioner &amp; Chief Constable are satisfied the spend represents VFM in accordance with the requirements of Category A</v>
      </c>
    </row>
    <row r="323" spans="1:13" x14ac:dyDescent="0.2">
      <c r="A323" s="56" t="s">
        <v>8</v>
      </c>
      <c r="B323" s="55" t="s">
        <v>9</v>
      </c>
      <c r="C323" s="81" t="s">
        <v>172</v>
      </c>
      <c r="D323" s="53">
        <v>7179097</v>
      </c>
      <c r="E323" s="52">
        <v>45603</v>
      </c>
      <c r="F323" s="80">
        <v>894</v>
      </c>
      <c r="G323" s="79" t="s">
        <v>112</v>
      </c>
      <c r="H323" s="49" t="str">
        <f>IF(F323&gt;25000,"C",IF(F323&gt;1000,"B","A"))</f>
        <v>A</v>
      </c>
      <c r="I323" s="48" t="str">
        <f>VLOOKUP(H323,$L$2:$M$4,2,FALSE)</f>
        <v>The Commissioner &amp; Chief Constable are satisfied the spend represents VFM in accordance with the requirements of Category A</v>
      </c>
    </row>
    <row r="324" spans="1:13" x14ac:dyDescent="0.2">
      <c r="A324" s="56" t="s">
        <v>8</v>
      </c>
      <c r="B324" s="55" t="s">
        <v>9</v>
      </c>
      <c r="C324" s="81" t="s">
        <v>202</v>
      </c>
      <c r="D324" s="53">
        <v>7179356</v>
      </c>
      <c r="E324" s="52">
        <v>45611</v>
      </c>
      <c r="F324" s="80">
        <v>892.5</v>
      </c>
      <c r="G324" s="79" t="s">
        <v>203</v>
      </c>
      <c r="H324" s="49" t="str">
        <f>IF(F324&gt;25000,"C",IF(F324&gt;1000,"B","A"))</f>
        <v>A</v>
      </c>
      <c r="I324" s="48" t="str">
        <f>VLOOKUP(H324,$L$2:$M$4,2,FALSE)</f>
        <v>The Commissioner &amp; Chief Constable are satisfied the spend represents VFM in accordance with the requirements of Category A</v>
      </c>
    </row>
    <row r="325" spans="1:13" x14ac:dyDescent="0.2">
      <c r="A325" s="56" t="s">
        <v>8</v>
      </c>
      <c r="B325" s="55" t="s">
        <v>9</v>
      </c>
      <c r="C325" s="81" t="s">
        <v>256</v>
      </c>
      <c r="D325" s="53">
        <v>7179486</v>
      </c>
      <c r="E325" s="52">
        <v>45614</v>
      </c>
      <c r="F325" s="80">
        <v>892.24</v>
      </c>
      <c r="G325" s="79" t="s">
        <v>155</v>
      </c>
      <c r="H325" s="49" t="str">
        <f>IF(F325&gt;25000,"C",IF(F325&gt;1000,"B","A"))</f>
        <v>A</v>
      </c>
      <c r="I325" s="48" t="str">
        <f>VLOOKUP(H325,$L$2:$M$4,2,FALSE)</f>
        <v>The Commissioner &amp; Chief Constable are satisfied the spend represents VFM in accordance with the requirements of Category A</v>
      </c>
    </row>
    <row r="326" spans="1:13" x14ac:dyDescent="0.2">
      <c r="A326" s="56" t="s">
        <v>8</v>
      </c>
      <c r="B326" s="55" t="s">
        <v>9</v>
      </c>
      <c r="C326" s="81" t="s">
        <v>375</v>
      </c>
      <c r="D326" s="53">
        <v>7178971</v>
      </c>
      <c r="E326" s="52">
        <v>45601</v>
      </c>
      <c r="F326" s="80">
        <v>886</v>
      </c>
      <c r="G326" s="79" t="s">
        <v>131</v>
      </c>
      <c r="H326" s="49" t="str">
        <f>IF(F326&gt;25000,"C",IF(F326&gt;1000,"B","A"))</f>
        <v>A</v>
      </c>
      <c r="I326" s="48" t="str">
        <f>VLOOKUP(H326,$L$2:$M$4,2,FALSE)</f>
        <v>The Commissioner &amp; Chief Constable are satisfied the spend represents VFM in accordance with the requirements of Category A</v>
      </c>
    </row>
    <row r="327" spans="1:13" x14ac:dyDescent="0.2">
      <c r="A327" s="56" t="s">
        <v>8</v>
      </c>
      <c r="B327" s="55" t="s">
        <v>9</v>
      </c>
      <c r="C327" s="81" t="s">
        <v>953</v>
      </c>
      <c r="D327" s="53">
        <v>7179053</v>
      </c>
      <c r="E327" s="52">
        <v>45617</v>
      </c>
      <c r="F327" s="80">
        <v>885.85</v>
      </c>
      <c r="G327" s="79" t="s">
        <v>155</v>
      </c>
      <c r="H327" s="49" t="str">
        <f>IF(F327&gt;25000,"C",IF(F327&gt;1000,"B","A"))</f>
        <v>A</v>
      </c>
      <c r="I327" s="48" t="str">
        <f>VLOOKUP(H327,$L$2:$M$4,2,FALSE)</f>
        <v>The Commissioner &amp; Chief Constable are satisfied the spend represents VFM in accordance with the requirements of Category A</v>
      </c>
    </row>
    <row r="328" spans="1:13" x14ac:dyDescent="0.2">
      <c r="A328" s="56" t="s">
        <v>8</v>
      </c>
      <c r="B328" s="55" t="s">
        <v>9</v>
      </c>
      <c r="C328" s="81" t="s">
        <v>236</v>
      </c>
      <c r="D328" s="53">
        <v>7178708</v>
      </c>
      <c r="E328" s="52">
        <v>45617</v>
      </c>
      <c r="F328" s="80">
        <v>885</v>
      </c>
      <c r="G328" s="79" t="s">
        <v>237</v>
      </c>
      <c r="H328" s="49" t="str">
        <f>IF(F328&gt;25000,"C",IF(F328&gt;1000,"B","A"))</f>
        <v>A</v>
      </c>
      <c r="I328" s="48" t="str">
        <f>VLOOKUP(H328,$L$2:$M$4,2,FALSE)</f>
        <v>The Commissioner &amp; Chief Constable are satisfied the spend represents VFM in accordance with the requirements of Category A</v>
      </c>
    </row>
    <row r="329" spans="1:13" x14ac:dyDescent="0.2">
      <c r="A329" s="56" t="s">
        <v>8</v>
      </c>
      <c r="B329" s="55" t="s">
        <v>9</v>
      </c>
      <c r="C329" s="81" t="s">
        <v>332</v>
      </c>
      <c r="D329" s="53">
        <v>7179821</v>
      </c>
      <c r="E329" s="52">
        <v>45623</v>
      </c>
      <c r="F329" s="80">
        <v>860</v>
      </c>
      <c r="G329" s="79" t="s">
        <v>106</v>
      </c>
      <c r="H329" s="49" t="str">
        <f>IF(F329&gt;25000,"C",IF(F329&gt;1000,"B","A"))</f>
        <v>A</v>
      </c>
      <c r="I329" s="48" t="str">
        <f>VLOOKUP(H329,$L$2:$M$4,2,FALSE)</f>
        <v>The Commissioner &amp; Chief Constable are satisfied the spend represents VFM in accordance with the requirements of Category A</v>
      </c>
    </row>
    <row r="330" spans="1:13" x14ac:dyDescent="0.2">
      <c r="A330" s="56" t="s">
        <v>8</v>
      </c>
      <c r="B330" s="55" t="s">
        <v>9</v>
      </c>
      <c r="C330" s="81" t="s">
        <v>149</v>
      </c>
      <c r="D330" s="53">
        <v>7179534</v>
      </c>
      <c r="E330" s="52">
        <v>45617</v>
      </c>
      <c r="F330" s="80">
        <v>857.01</v>
      </c>
      <c r="G330" s="79" t="s">
        <v>138</v>
      </c>
      <c r="H330" s="49" t="str">
        <f>IF(F330&gt;25000,"C",IF(F330&gt;1000,"B","A"))</f>
        <v>A</v>
      </c>
      <c r="I330" s="48" t="str">
        <f>VLOOKUP(H330,$L$2:$M$4,2,FALSE)</f>
        <v>The Commissioner &amp; Chief Constable are satisfied the spend represents VFM in accordance with the requirements of Category A</v>
      </c>
    </row>
    <row r="331" spans="1:13" x14ac:dyDescent="0.2">
      <c r="A331" s="56" t="s">
        <v>8</v>
      </c>
      <c r="B331" s="55" t="s">
        <v>9</v>
      </c>
      <c r="C331" s="81" t="s">
        <v>353</v>
      </c>
      <c r="D331" s="53">
        <v>7178156</v>
      </c>
      <c r="E331" s="52">
        <v>45621</v>
      </c>
      <c r="F331" s="80">
        <v>850</v>
      </c>
      <c r="G331" s="79" t="s">
        <v>106</v>
      </c>
      <c r="H331" s="49" t="str">
        <f>IF(F331&gt;25000,"C",IF(F331&gt;1000,"B","A"))</f>
        <v>A</v>
      </c>
      <c r="I331" s="48" t="str">
        <f>VLOOKUP(H331,$L$2:$M$4,2,FALSE)</f>
        <v>The Commissioner &amp; Chief Constable are satisfied the spend represents VFM in accordance with the requirements of Category A</v>
      </c>
    </row>
    <row r="332" spans="1:13" x14ac:dyDescent="0.2">
      <c r="A332" s="56" t="s">
        <v>8</v>
      </c>
      <c r="B332" s="55" t="s">
        <v>9</v>
      </c>
      <c r="C332" s="81" t="s">
        <v>419</v>
      </c>
      <c r="D332" s="53">
        <v>7178900</v>
      </c>
      <c r="E332" s="52">
        <v>45607</v>
      </c>
      <c r="F332" s="80">
        <v>841.5</v>
      </c>
      <c r="G332" s="79" t="s">
        <v>22</v>
      </c>
      <c r="H332" s="49" t="str">
        <f>IF(F332&gt;25000,"C",IF(F332&gt;1000,"B","A"))</f>
        <v>A</v>
      </c>
      <c r="I332" s="48" t="str">
        <f>VLOOKUP(H332,$L$2:$M$4,2,FALSE)</f>
        <v>The Commissioner &amp; Chief Constable are satisfied the spend represents VFM in accordance with the requirements of Category A</v>
      </c>
    </row>
    <row r="333" spans="1:13" x14ac:dyDescent="0.2">
      <c r="A333" s="56" t="s">
        <v>8</v>
      </c>
      <c r="B333" s="55" t="s">
        <v>9</v>
      </c>
      <c r="C333" s="81" t="s">
        <v>153</v>
      </c>
      <c r="D333" s="53">
        <v>7179527</v>
      </c>
      <c r="E333" s="52">
        <v>45616</v>
      </c>
      <c r="F333" s="80">
        <v>839.78</v>
      </c>
      <c r="G333" s="79" t="s">
        <v>39</v>
      </c>
      <c r="H333" s="49" t="str">
        <f>IF(F333&gt;25000,"C",IF(F333&gt;1000,"B","A"))</f>
        <v>A</v>
      </c>
      <c r="I333" s="48" t="str">
        <f>VLOOKUP(H333,$L$2:$M$4,2,FALSE)</f>
        <v>The Commissioner &amp; Chief Constable are satisfied the spend represents VFM in accordance with the requirements of Category A</v>
      </c>
    </row>
    <row r="334" spans="1:13" x14ac:dyDescent="0.2">
      <c r="A334" s="56" t="s">
        <v>8</v>
      </c>
      <c r="B334" s="55" t="s">
        <v>9</v>
      </c>
      <c r="C334" s="81" t="s">
        <v>316</v>
      </c>
      <c r="D334" s="53">
        <v>7178895</v>
      </c>
      <c r="E334" s="52">
        <v>45603</v>
      </c>
      <c r="F334" s="80">
        <v>837</v>
      </c>
      <c r="G334" s="79" t="s">
        <v>241</v>
      </c>
      <c r="H334" s="49" t="str">
        <f>IF(F334&gt;25000,"C",IF(F334&gt;1000,"B","A"))</f>
        <v>A</v>
      </c>
      <c r="I334" s="48" t="str">
        <f>VLOOKUP(H334,$L$2:$M$4,2,FALSE)</f>
        <v>The Commissioner &amp; Chief Constable are satisfied the spend represents VFM in accordance with the requirements of Category A</v>
      </c>
    </row>
    <row r="335" spans="1:13" x14ac:dyDescent="0.2">
      <c r="A335" s="56" t="s">
        <v>8</v>
      </c>
      <c r="B335" s="55" t="s">
        <v>9</v>
      </c>
      <c r="C335" s="81" t="s">
        <v>213</v>
      </c>
      <c r="D335" s="53">
        <v>7179576</v>
      </c>
      <c r="E335" s="52">
        <v>45616</v>
      </c>
      <c r="F335" s="80">
        <v>835</v>
      </c>
      <c r="G335" s="79" t="s">
        <v>131</v>
      </c>
      <c r="H335" s="49" t="str">
        <f>IF(F335&gt;25000,"C",IF(F335&gt;1000,"B","A"))</f>
        <v>A</v>
      </c>
      <c r="I335" s="48" t="str">
        <f>VLOOKUP(H335,$L$2:$M$4,2,FALSE)</f>
        <v>The Commissioner &amp; Chief Constable are satisfied the spend represents VFM in accordance with the requirements of Category A</v>
      </c>
    </row>
    <row r="336" spans="1:13" s="42" customFormat="1" x14ac:dyDescent="0.2">
      <c r="A336" s="56" t="s">
        <v>8</v>
      </c>
      <c r="B336" s="55" t="s">
        <v>9</v>
      </c>
      <c r="C336" s="81" t="s">
        <v>304</v>
      </c>
      <c r="D336" s="53">
        <v>7178646</v>
      </c>
      <c r="E336" s="52">
        <v>45607</v>
      </c>
      <c r="F336" s="80">
        <v>834.5</v>
      </c>
      <c r="G336" s="79" t="s">
        <v>155</v>
      </c>
      <c r="H336" s="49" t="str">
        <f>IF(F336&gt;25000,"C",IF(F336&gt;1000,"B","A"))</f>
        <v>A</v>
      </c>
      <c r="I336" s="48" t="str">
        <f>VLOOKUP(H336,$L$2:$M$4,2,FALSE)</f>
        <v>The Commissioner &amp; Chief Constable are satisfied the spend represents VFM in accordance with the requirements of Category A</v>
      </c>
      <c r="L336" s="41"/>
      <c r="M336" s="41"/>
    </row>
    <row r="337" spans="1:13" s="42" customFormat="1" x14ac:dyDescent="0.2">
      <c r="A337" s="56" t="s">
        <v>8</v>
      </c>
      <c r="B337" s="55" t="s">
        <v>9</v>
      </c>
      <c r="C337" s="81" t="s">
        <v>99</v>
      </c>
      <c r="D337" s="53">
        <v>7178906</v>
      </c>
      <c r="E337" s="52">
        <v>45622</v>
      </c>
      <c r="F337" s="80">
        <v>833.18</v>
      </c>
      <c r="G337" s="79" t="s">
        <v>94</v>
      </c>
      <c r="H337" s="49" t="str">
        <f>IF(F337&gt;25000,"C",IF(F337&gt;1000,"B","A"))</f>
        <v>A</v>
      </c>
      <c r="I337" s="48" t="str">
        <f>VLOOKUP(H337,$L$2:$M$4,2,FALSE)</f>
        <v>The Commissioner &amp; Chief Constable are satisfied the spend represents VFM in accordance with the requirements of Category A</v>
      </c>
      <c r="L337" s="41"/>
      <c r="M337" s="41"/>
    </row>
    <row r="338" spans="1:13" s="42" customFormat="1" x14ac:dyDescent="0.2">
      <c r="A338" s="56" t="s">
        <v>8</v>
      </c>
      <c r="B338" s="55" t="s">
        <v>9</v>
      </c>
      <c r="C338" s="81" t="s">
        <v>423</v>
      </c>
      <c r="D338" s="53">
        <v>7179082</v>
      </c>
      <c r="E338" s="52">
        <v>45603</v>
      </c>
      <c r="F338" s="80">
        <v>832.3</v>
      </c>
      <c r="G338" s="79" t="s">
        <v>390</v>
      </c>
      <c r="H338" s="49" t="str">
        <f>IF(F338&gt;25000,"C",IF(F338&gt;1000,"B","A"))</f>
        <v>A</v>
      </c>
      <c r="I338" s="48" t="str">
        <f>VLOOKUP(H338,$L$2:$M$4,2,FALSE)</f>
        <v>The Commissioner &amp; Chief Constable are satisfied the spend represents VFM in accordance with the requirements of Category A</v>
      </c>
      <c r="L338" s="41"/>
      <c r="M338" s="41"/>
    </row>
    <row r="339" spans="1:13" s="42" customFormat="1" x14ac:dyDescent="0.2">
      <c r="A339" s="56" t="s">
        <v>8</v>
      </c>
      <c r="B339" s="55" t="s">
        <v>9</v>
      </c>
      <c r="C339" s="81" t="s">
        <v>516</v>
      </c>
      <c r="D339" s="53">
        <v>7179085</v>
      </c>
      <c r="E339" s="52">
        <v>45603</v>
      </c>
      <c r="F339" s="80">
        <v>827.35</v>
      </c>
      <c r="G339" s="79" t="s">
        <v>155</v>
      </c>
      <c r="H339" s="49" t="str">
        <f>IF(F339&gt;25000,"C",IF(F339&gt;1000,"B","A"))</f>
        <v>A</v>
      </c>
      <c r="I339" s="48" t="str">
        <f>VLOOKUP(H339,$L$2:$M$4,2,FALSE)</f>
        <v>The Commissioner &amp; Chief Constable are satisfied the spend represents VFM in accordance with the requirements of Category A</v>
      </c>
      <c r="L339" s="41"/>
      <c r="M339" s="41"/>
    </row>
    <row r="340" spans="1:13" s="42" customFormat="1" x14ac:dyDescent="0.2">
      <c r="A340" s="56" t="s">
        <v>8</v>
      </c>
      <c r="B340" s="55" t="s">
        <v>9</v>
      </c>
      <c r="C340" s="81" t="s">
        <v>411</v>
      </c>
      <c r="D340" s="53">
        <v>7179298</v>
      </c>
      <c r="E340" s="52">
        <v>45609</v>
      </c>
      <c r="F340" s="80">
        <v>825.75</v>
      </c>
      <c r="G340" s="79" t="s">
        <v>156</v>
      </c>
      <c r="H340" s="49" t="str">
        <f>IF(F340&gt;25000,"C",IF(F340&gt;1000,"B","A"))</f>
        <v>A</v>
      </c>
      <c r="I340" s="48" t="str">
        <f>VLOOKUP(H340,$L$2:$M$4,2,FALSE)</f>
        <v>The Commissioner &amp; Chief Constable are satisfied the spend represents VFM in accordance with the requirements of Category A</v>
      </c>
      <c r="L340" s="41"/>
      <c r="M340" s="41"/>
    </row>
    <row r="341" spans="1:13" s="42" customFormat="1" x14ac:dyDescent="0.2">
      <c r="A341" s="56" t="s">
        <v>8</v>
      </c>
      <c r="B341" s="55" t="s">
        <v>9</v>
      </c>
      <c r="C341" s="81" t="s">
        <v>334</v>
      </c>
      <c r="D341" s="53">
        <v>7178956</v>
      </c>
      <c r="E341" s="52">
        <v>45600</v>
      </c>
      <c r="F341" s="80">
        <v>810</v>
      </c>
      <c r="G341" s="79" t="s">
        <v>39</v>
      </c>
      <c r="H341" s="49" t="str">
        <f>IF(F341&gt;25000,"C",IF(F341&gt;1000,"B","A"))</f>
        <v>A</v>
      </c>
      <c r="I341" s="48" t="str">
        <f>VLOOKUP(H341,$L$2:$M$4,2,FALSE)</f>
        <v>The Commissioner &amp; Chief Constable are satisfied the spend represents VFM in accordance with the requirements of Category A</v>
      </c>
      <c r="L341" s="41"/>
      <c r="M341" s="41"/>
    </row>
    <row r="342" spans="1:13" s="42" customFormat="1" x14ac:dyDescent="0.2">
      <c r="A342" s="56" t="s">
        <v>8</v>
      </c>
      <c r="B342" s="55" t="s">
        <v>9</v>
      </c>
      <c r="C342" s="81" t="s">
        <v>294</v>
      </c>
      <c r="D342" s="53">
        <v>7179698</v>
      </c>
      <c r="E342" s="52">
        <v>45621</v>
      </c>
      <c r="F342" s="80">
        <v>809.4</v>
      </c>
      <c r="G342" s="79" t="s">
        <v>203</v>
      </c>
      <c r="H342" s="49" t="str">
        <f>IF(F342&gt;25000,"C",IF(F342&gt;1000,"B","A"))</f>
        <v>A</v>
      </c>
      <c r="I342" s="48" t="str">
        <f>VLOOKUP(H342,$L$2:$M$4,2,FALSE)</f>
        <v>The Commissioner &amp; Chief Constable are satisfied the spend represents VFM in accordance with the requirements of Category A</v>
      </c>
      <c r="L342" s="41"/>
      <c r="M342" s="41"/>
    </row>
    <row r="343" spans="1:13" s="42" customFormat="1" x14ac:dyDescent="0.2">
      <c r="A343" s="56" t="s">
        <v>8</v>
      </c>
      <c r="B343" s="55" t="s">
        <v>9</v>
      </c>
      <c r="C343" s="81" t="s">
        <v>312</v>
      </c>
      <c r="D343" s="53">
        <v>7179753</v>
      </c>
      <c r="E343" s="52">
        <v>45624</v>
      </c>
      <c r="F343" s="80">
        <v>809</v>
      </c>
      <c r="G343" s="79" t="s">
        <v>151</v>
      </c>
      <c r="H343" s="49" t="str">
        <f>IF(F343&gt;25000,"C",IF(F343&gt;1000,"B","A"))</f>
        <v>A</v>
      </c>
      <c r="I343" s="48" t="str">
        <f>VLOOKUP(H343,$L$2:$M$4,2,FALSE)</f>
        <v>The Commissioner &amp; Chief Constable are satisfied the spend represents VFM in accordance with the requirements of Category A</v>
      </c>
      <c r="L343" s="41"/>
      <c r="M343" s="41"/>
    </row>
    <row r="344" spans="1:13" s="42" customFormat="1" x14ac:dyDescent="0.2">
      <c r="A344" s="56" t="s">
        <v>8</v>
      </c>
      <c r="B344" s="55" t="s">
        <v>9</v>
      </c>
      <c r="C344" s="81" t="s">
        <v>312</v>
      </c>
      <c r="D344" s="53">
        <v>7179478</v>
      </c>
      <c r="E344" s="52">
        <v>45614</v>
      </c>
      <c r="F344" s="80">
        <v>809</v>
      </c>
      <c r="G344" s="79" t="s">
        <v>151</v>
      </c>
      <c r="H344" s="49" t="str">
        <f>IF(F344&gt;25000,"C",IF(F344&gt;1000,"B","A"))</f>
        <v>A</v>
      </c>
      <c r="I344" s="48" t="str">
        <f>VLOOKUP(H344,$L$2:$M$4,2,FALSE)</f>
        <v>The Commissioner &amp; Chief Constable are satisfied the spend represents VFM in accordance with the requirements of Category A</v>
      </c>
      <c r="L344" s="41"/>
      <c r="M344" s="41"/>
    </row>
    <row r="345" spans="1:13" s="42" customFormat="1" x14ac:dyDescent="0.2">
      <c r="A345" s="56" t="s">
        <v>8</v>
      </c>
      <c r="B345" s="55" t="s">
        <v>9</v>
      </c>
      <c r="C345" s="81" t="s">
        <v>172</v>
      </c>
      <c r="D345" s="53">
        <v>7179760</v>
      </c>
      <c r="E345" s="52">
        <v>45623</v>
      </c>
      <c r="F345" s="80">
        <v>808</v>
      </c>
      <c r="G345" s="79" t="s">
        <v>39</v>
      </c>
      <c r="H345" s="49" t="str">
        <f>IF(F345&gt;25000,"C",IF(F345&gt;1000,"B","A"))</f>
        <v>A</v>
      </c>
      <c r="I345" s="48" t="str">
        <f>VLOOKUP(H345,$L$2:$M$4,2,FALSE)</f>
        <v>The Commissioner &amp; Chief Constable are satisfied the spend represents VFM in accordance with the requirements of Category A</v>
      </c>
      <c r="L345" s="41"/>
      <c r="M345" s="41"/>
    </row>
    <row r="346" spans="1:13" s="42" customFormat="1" x14ac:dyDescent="0.2">
      <c r="A346" s="56" t="s">
        <v>8</v>
      </c>
      <c r="B346" s="55" t="s">
        <v>9</v>
      </c>
      <c r="C346" s="81" t="s">
        <v>74</v>
      </c>
      <c r="D346" s="53">
        <v>7179806</v>
      </c>
      <c r="E346" s="52">
        <v>45623</v>
      </c>
      <c r="F346" s="80">
        <v>806.28</v>
      </c>
      <c r="G346" s="79" t="s">
        <v>75</v>
      </c>
      <c r="H346" s="49" t="str">
        <f>IF(F346&gt;25000,"C",IF(F346&gt;1000,"B","A"))</f>
        <v>A</v>
      </c>
      <c r="I346" s="48" t="str">
        <f>VLOOKUP(H346,$L$2:$M$4,2,FALSE)</f>
        <v>The Commissioner &amp; Chief Constable are satisfied the spend represents VFM in accordance with the requirements of Category A</v>
      </c>
      <c r="L346" s="41"/>
      <c r="M346" s="41"/>
    </row>
    <row r="347" spans="1:13" s="42" customFormat="1" x14ac:dyDescent="0.2">
      <c r="A347" s="56" t="s">
        <v>8</v>
      </c>
      <c r="B347" s="55" t="s">
        <v>9</v>
      </c>
      <c r="C347" s="81" t="s">
        <v>65</v>
      </c>
      <c r="D347" s="53">
        <v>7179607</v>
      </c>
      <c r="E347" s="52">
        <v>45617</v>
      </c>
      <c r="F347" s="80">
        <v>806.25</v>
      </c>
      <c r="G347" s="79" t="s">
        <v>131</v>
      </c>
      <c r="H347" s="49" t="str">
        <f>IF(F347&gt;25000,"C",IF(F347&gt;1000,"B","A"))</f>
        <v>A</v>
      </c>
      <c r="I347" s="48" t="str">
        <f>VLOOKUP(H347,$L$2:$M$4,2,FALSE)</f>
        <v>The Commissioner &amp; Chief Constable are satisfied the spend represents VFM in accordance with the requirements of Category A</v>
      </c>
      <c r="L347" s="41"/>
      <c r="M347" s="41"/>
    </row>
    <row r="348" spans="1:13" s="42" customFormat="1" x14ac:dyDescent="0.2">
      <c r="A348" s="56" t="s">
        <v>8</v>
      </c>
      <c r="B348" s="55" t="s">
        <v>9</v>
      </c>
      <c r="C348" s="81" t="s">
        <v>283</v>
      </c>
      <c r="D348" s="53">
        <v>7179611</v>
      </c>
      <c r="E348" s="52">
        <v>45617</v>
      </c>
      <c r="F348" s="80">
        <v>792</v>
      </c>
      <c r="G348" s="79" t="s">
        <v>42</v>
      </c>
      <c r="H348" s="49" t="str">
        <f>IF(F348&gt;25000,"C",IF(F348&gt;1000,"B","A"))</f>
        <v>A</v>
      </c>
      <c r="I348" s="48" t="str">
        <f>VLOOKUP(H348,$L$2:$M$4,2,FALSE)</f>
        <v>The Commissioner &amp; Chief Constable are satisfied the spend represents VFM in accordance with the requirements of Category A</v>
      </c>
      <c r="L348" s="41"/>
      <c r="M348" s="41"/>
    </row>
    <row r="349" spans="1:13" x14ac:dyDescent="0.2">
      <c r="A349" s="56" t="s">
        <v>8</v>
      </c>
      <c r="B349" s="55" t="s">
        <v>9</v>
      </c>
      <c r="C349" s="81" t="s">
        <v>195</v>
      </c>
      <c r="D349" s="53">
        <v>7179043</v>
      </c>
      <c r="E349" s="52">
        <v>45611</v>
      </c>
      <c r="F349" s="80">
        <v>790.83</v>
      </c>
      <c r="G349" s="79" t="s">
        <v>22</v>
      </c>
      <c r="H349" s="49" t="str">
        <f>IF(F349&gt;25000,"C",IF(F349&gt;1000,"B","A"))</f>
        <v>A</v>
      </c>
      <c r="I349" s="48" t="str">
        <f>VLOOKUP(H349,$L$2:$M$4,2,FALSE)</f>
        <v>The Commissioner &amp; Chief Constable are satisfied the spend represents VFM in accordance with the requirements of Category A</v>
      </c>
    </row>
    <row r="350" spans="1:13" x14ac:dyDescent="0.2">
      <c r="A350" s="56" t="s">
        <v>8</v>
      </c>
      <c r="B350" s="55" t="s">
        <v>9</v>
      </c>
      <c r="C350" s="81" t="s">
        <v>317</v>
      </c>
      <c r="D350" s="53">
        <v>7178763</v>
      </c>
      <c r="E350" s="52">
        <v>45602</v>
      </c>
      <c r="F350" s="80">
        <v>782.86</v>
      </c>
      <c r="G350" s="79" t="s">
        <v>102</v>
      </c>
      <c r="H350" s="49" t="str">
        <f>IF(F350&gt;25000,"C",IF(F350&gt;1000,"B","A"))</f>
        <v>A</v>
      </c>
      <c r="I350" s="48" t="str">
        <f>VLOOKUP(H350,$L$2:$M$4,2,FALSE)</f>
        <v>The Commissioner &amp; Chief Constable are satisfied the spend represents VFM in accordance with the requirements of Category A</v>
      </c>
    </row>
    <row r="351" spans="1:13" x14ac:dyDescent="0.2">
      <c r="A351" s="56" t="s">
        <v>8</v>
      </c>
      <c r="B351" s="55" t="s">
        <v>9</v>
      </c>
      <c r="C351" s="81" t="s">
        <v>68</v>
      </c>
      <c r="D351" s="53">
        <v>7178898</v>
      </c>
      <c r="E351" s="52">
        <v>45597</v>
      </c>
      <c r="F351" s="80">
        <v>775</v>
      </c>
      <c r="G351" s="79" t="s">
        <v>43</v>
      </c>
      <c r="H351" s="49" t="str">
        <f>IF(F351&gt;25000,"C",IF(F351&gt;1000,"B","A"))</f>
        <v>A</v>
      </c>
      <c r="I351" s="48" t="str">
        <f>VLOOKUP(H351,$L$2:$M$4,2,FALSE)</f>
        <v>The Commissioner &amp; Chief Constable are satisfied the spend represents VFM in accordance with the requirements of Category A</v>
      </c>
    </row>
    <row r="352" spans="1:13" x14ac:dyDescent="0.2">
      <c r="A352" s="56" t="s">
        <v>8</v>
      </c>
      <c r="B352" s="55" t="s">
        <v>9</v>
      </c>
      <c r="C352" s="81" t="s">
        <v>200</v>
      </c>
      <c r="D352" s="53">
        <v>7179839</v>
      </c>
      <c r="E352" s="52">
        <v>45625</v>
      </c>
      <c r="F352" s="80">
        <v>772</v>
      </c>
      <c r="G352" s="79" t="s">
        <v>38</v>
      </c>
      <c r="H352" s="49" t="str">
        <f>IF(F352&gt;25000,"C",IF(F352&gt;1000,"B","A"))</f>
        <v>A</v>
      </c>
      <c r="I352" s="48" t="str">
        <f>VLOOKUP(H352,$L$2:$M$4,2,FALSE)</f>
        <v>The Commissioner &amp; Chief Constable are satisfied the spend represents VFM in accordance with the requirements of Category A</v>
      </c>
    </row>
    <row r="353" spans="1:13" x14ac:dyDescent="0.2">
      <c r="A353" s="56" t="s">
        <v>8</v>
      </c>
      <c r="B353" s="55" t="s">
        <v>9</v>
      </c>
      <c r="C353" s="81" t="s">
        <v>68</v>
      </c>
      <c r="D353" s="53">
        <v>7178899</v>
      </c>
      <c r="E353" s="52">
        <v>45597</v>
      </c>
      <c r="F353" s="80">
        <v>770</v>
      </c>
      <c r="G353" s="79" t="s">
        <v>43</v>
      </c>
      <c r="H353" s="49" t="str">
        <f>IF(F353&gt;25000,"C",IF(F353&gt;1000,"B","A"))</f>
        <v>A</v>
      </c>
      <c r="I353" s="48" t="str">
        <f>VLOOKUP(H353,$L$2:$M$4,2,FALSE)</f>
        <v>The Commissioner &amp; Chief Constable are satisfied the spend represents VFM in accordance with the requirements of Category A</v>
      </c>
    </row>
    <row r="354" spans="1:13" x14ac:dyDescent="0.2">
      <c r="A354" s="56" t="s">
        <v>8</v>
      </c>
      <c r="B354" s="55" t="s">
        <v>9</v>
      </c>
      <c r="C354" s="81" t="s">
        <v>334</v>
      </c>
      <c r="D354" s="53">
        <v>7178958</v>
      </c>
      <c r="E354" s="52">
        <v>45600</v>
      </c>
      <c r="F354" s="80">
        <v>765</v>
      </c>
      <c r="G354" s="79" t="s">
        <v>91</v>
      </c>
      <c r="H354" s="49" t="str">
        <f>IF(F354&gt;25000,"C",IF(F354&gt;1000,"B","A"))</f>
        <v>A</v>
      </c>
      <c r="I354" s="48" t="str">
        <f>VLOOKUP(H354,$L$2:$M$4,2,FALSE)</f>
        <v>The Commissioner &amp; Chief Constable are satisfied the spend represents VFM in accordance with the requirements of Category A</v>
      </c>
    </row>
    <row r="355" spans="1:13" x14ac:dyDescent="0.2">
      <c r="A355" s="56" t="s">
        <v>8</v>
      </c>
      <c r="B355" s="55" t="s">
        <v>9</v>
      </c>
      <c r="C355" s="81" t="s">
        <v>952</v>
      </c>
      <c r="D355" s="53">
        <v>7178758</v>
      </c>
      <c r="E355" s="52">
        <v>45617</v>
      </c>
      <c r="F355" s="80">
        <v>761.84</v>
      </c>
      <c r="G355" s="79" t="s">
        <v>42</v>
      </c>
      <c r="H355" s="49" t="str">
        <f>IF(F355&gt;25000,"C",IF(F355&gt;1000,"B","A"))</f>
        <v>A</v>
      </c>
      <c r="I355" s="48" t="str">
        <f>VLOOKUP(H355,$L$2:$M$4,2,FALSE)</f>
        <v>The Commissioner &amp; Chief Constable are satisfied the spend represents VFM in accordance with the requirements of Category A</v>
      </c>
    </row>
    <row r="356" spans="1:13" x14ac:dyDescent="0.2">
      <c r="A356" s="56" t="s">
        <v>8</v>
      </c>
      <c r="B356" s="55" t="s">
        <v>9</v>
      </c>
      <c r="C356" s="81" t="s">
        <v>272</v>
      </c>
      <c r="D356" s="53">
        <v>7179774</v>
      </c>
      <c r="E356" s="52">
        <v>45623</v>
      </c>
      <c r="F356" s="80">
        <v>760</v>
      </c>
      <c r="G356" s="79" t="s">
        <v>22</v>
      </c>
      <c r="H356" s="49" t="str">
        <f>IF(F356&gt;25000,"C",IF(F356&gt;1000,"B","A"))</f>
        <v>A</v>
      </c>
      <c r="I356" s="48" t="str">
        <f>VLOOKUP(H356,$L$2:$M$4,2,FALSE)</f>
        <v>The Commissioner &amp; Chief Constable are satisfied the spend represents VFM in accordance with the requirements of Category A</v>
      </c>
    </row>
    <row r="357" spans="1:13" x14ac:dyDescent="0.2">
      <c r="A357" s="56" t="s">
        <v>8</v>
      </c>
      <c r="B357" s="55" t="s">
        <v>9</v>
      </c>
      <c r="C357" s="81" t="s">
        <v>181</v>
      </c>
      <c r="D357" s="53">
        <v>7179734</v>
      </c>
      <c r="E357" s="52">
        <v>45622</v>
      </c>
      <c r="F357" s="80">
        <v>759.25</v>
      </c>
      <c r="G357" s="79" t="s">
        <v>729</v>
      </c>
      <c r="H357" s="49" t="str">
        <f>IF(F357&gt;25000,"C",IF(F357&gt;1000,"B","A"))</f>
        <v>A</v>
      </c>
      <c r="I357" s="48" t="str">
        <f>VLOOKUP(H357,$L$2:$M$4,2,FALSE)</f>
        <v>The Commissioner &amp; Chief Constable are satisfied the spend represents VFM in accordance with the requirements of Category A</v>
      </c>
    </row>
    <row r="358" spans="1:13" x14ac:dyDescent="0.2">
      <c r="A358" s="56" t="s">
        <v>8</v>
      </c>
      <c r="B358" s="55" t="s">
        <v>9</v>
      </c>
      <c r="C358" s="81" t="s">
        <v>196</v>
      </c>
      <c r="D358" s="53">
        <v>7179345</v>
      </c>
      <c r="E358" s="52">
        <v>45625</v>
      </c>
      <c r="F358" s="80">
        <v>757.27</v>
      </c>
      <c r="G358" s="79" t="s">
        <v>169</v>
      </c>
      <c r="H358" s="49" t="str">
        <f>IF(F358&gt;25000,"C",IF(F358&gt;1000,"B","A"))</f>
        <v>A</v>
      </c>
      <c r="I358" s="48" t="str">
        <f>VLOOKUP(H358,$L$2:$M$4,2,FALSE)</f>
        <v>The Commissioner &amp; Chief Constable are satisfied the spend represents VFM in accordance with the requirements of Category A</v>
      </c>
    </row>
    <row r="359" spans="1:13" x14ac:dyDescent="0.2">
      <c r="A359" s="56" t="s">
        <v>8</v>
      </c>
      <c r="B359" s="55" t="s">
        <v>9</v>
      </c>
      <c r="C359" s="81" t="s">
        <v>200</v>
      </c>
      <c r="D359" s="53">
        <v>3068817</v>
      </c>
      <c r="E359" s="52">
        <v>45610</v>
      </c>
      <c r="F359" s="80">
        <v>754</v>
      </c>
      <c r="G359" s="79" t="s">
        <v>38</v>
      </c>
      <c r="H359" s="49" t="str">
        <f>IF(F359&gt;25000,"C",IF(F359&gt;1000,"B","A"))</f>
        <v>A</v>
      </c>
      <c r="I359" s="48" t="str">
        <f>VLOOKUP(H359,$L$2:$M$4,2,FALSE)</f>
        <v>The Commissioner &amp; Chief Constable are satisfied the spend represents VFM in accordance with the requirements of Category A</v>
      </c>
    </row>
    <row r="360" spans="1:13" x14ac:dyDescent="0.2">
      <c r="A360" s="56" t="s">
        <v>8</v>
      </c>
      <c r="B360" s="55" t="s">
        <v>9</v>
      </c>
      <c r="C360" s="81" t="s">
        <v>514</v>
      </c>
      <c r="D360" s="53">
        <v>7179335</v>
      </c>
      <c r="E360" s="52">
        <v>45610</v>
      </c>
      <c r="F360" s="80">
        <v>752.7</v>
      </c>
      <c r="G360" s="79" t="s">
        <v>151</v>
      </c>
      <c r="H360" s="49" t="str">
        <f>IF(F360&gt;25000,"C",IF(F360&gt;1000,"B","A"))</f>
        <v>A</v>
      </c>
      <c r="I360" s="48" t="str">
        <f>VLOOKUP(H360,$L$2:$M$4,2,FALSE)</f>
        <v>The Commissioner &amp; Chief Constable are satisfied the spend represents VFM in accordance with the requirements of Category A</v>
      </c>
    </row>
    <row r="361" spans="1:13" s="42" customFormat="1" x14ac:dyDescent="0.2">
      <c r="A361" s="56" t="s">
        <v>8</v>
      </c>
      <c r="B361" s="55" t="s">
        <v>9</v>
      </c>
      <c r="C361" s="81" t="s">
        <v>916</v>
      </c>
      <c r="D361" s="53">
        <v>7179106</v>
      </c>
      <c r="E361" s="52">
        <v>45608</v>
      </c>
      <c r="F361" s="80">
        <v>730</v>
      </c>
      <c r="G361" s="79" t="s">
        <v>106</v>
      </c>
      <c r="H361" s="49" t="str">
        <f>IF(F361&gt;25000,"C",IF(F361&gt;1000,"B","A"))</f>
        <v>A</v>
      </c>
      <c r="I361" s="48" t="str">
        <f>VLOOKUP(H361,$L$2:$M$4,2,FALSE)</f>
        <v>The Commissioner &amp; Chief Constable are satisfied the spend represents VFM in accordance with the requirements of Category A</v>
      </c>
      <c r="L361" s="41"/>
      <c r="M361" s="41"/>
    </row>
    <row r="362" spans="1:13" s="42" customFormat="1" x14ac:dyDescent="0.2">
      <c r="A362" s="56" t="s">
        <v>8</v>
      </c>
      <c r="B362" s="55" t="s">
        <v>9</v>
      </c>
      <c r="C362" s="81" t="s">
        <v>370</v>
      </c>
      <c r="D362" s="53">
        <v>7179836</v>
      </c>
      <c r="E362" s="52">
        <v>45624</v>
      </c>
      <c r="F362" s="80">
        <v>725</v>
      </c>
      <c r="G362" s="79" t="s">
        <v>151</v>
      </c>
      <c r="H362" s="49" t="str">
        <f>IF(F362&gt;25000,"C",IF(F362&gt;1000,"B","A"))</f>
        <v>A</v>
      </c>
      <c r="I362" s="48" t="str">
        <f>VLOOKUP(H362,$L$2:$M$4,2,FALSE)</f>
        <v>The Commissioner &amp; Chief Constable are satisfied the spend represents VFM in accordance with the requirements of Category A</v>
      </c>
      <c r="L362" s="41"/>
      <c r="M362" s="41"/>
    </row>
    <row r="363" spans="1:13" s="42" customFormat="1" x14ac:dyDescent="0.2">
      <c r="A363" s="56" t="s">
        <v>8</v>
      </c>
      <c r="B363" s="55" t="s">
        <v>9</v>
      </c>
      <c r="C363" s="82" t="s">
        <v>269</v>
      </c>
      <c r="D363" s="53">
        <v>7178771</v>
      </c>
      <c r="E363" s="52">
        <v>45607</v>
      </c>
      <c r="F363" s="80">
        <v>718</v>
      </c>
      <c r="G363" s="79" t="s">
        <v>131</v>
      </c>
      <c r="H363" s="49" t="str">
        <f>IF(F363&gt;25000,"C",IF(F363&gt;1000,"B","A"))</f>
        <v>A</v>
      </c>
      <c r="I363" s="48" t="str">
        <f>VLOOKUP(H363,$L$2:$M$4,2,FALSE)</f>
        <v>The Commissioner &amp; Chief Constable are satisfied the spend represents VFM in accordance with the requirements of Category A</v>
      </c>
      <c r="L363" s="41"/>
      <c r="M363" s="41"/>
    </row>
    <row r="364" spans="1:13" s="42" customFormat="1" x14ac:dyDescent="0.2">
      <c r="A364" s="56" t="s">
        <v>8</v>
      </c>
      <c r="B364" s="55" t="s">
        <v>9</v>
      </c>
      <c r="C364" s="81" t="s">
        <v>389</v>
      </c>
      <c r="D364" s="53">
        <v>7179061</v>
      </c>
      <c r="E364" s="52">
        <v>45607</v>
      </c>
      <c r="F364" s="80">
        <v>714</v>
      </c>
      <c r="G364" s="79" t="s">
        <v>106</v>
      </c>
      <c r="H364" s="49" t="str">
        <f>IF(F364&gt;25000,"C",IF(F364&gt;1000,"B","A"))</f>
        <v>A</v>
      </c>
      <c r="I364" s="48" t="str">
        <f>VLOOKUP(H364,$L$2:$M$4,2,FALSE)</f>
        <v>The Commissioner &amp; Chief Constable are satisfied the spend represents VFM in accordance with the requirements of Category A</v>
      </c>
      <c r="L364" s="41"/>
      <c r="M364" s="41"/>
    </row>
    <row r="365" spans="1:13" s="42" customFormat="1" x14ac:dyDescent="0.2">
      <c r="A365" s="56" t="s">
        <v>8</v>
      </c>
      <c r="B365" s="55" t="s">
        <v>9</v>
      </c>
      <c r="C365" s="81" t="s">
        <v>256</v>
      </c>
      <c r="D365" s="53">
        <v>7179485</v>
      </c>
      <c r="E365" s="52">
        <v>45614</v>
      </c>
      <c r="F365" s="80">
        <v>710</v>
      </c>
      <c r="G365" s="79" t="s">
        <v>203</v>
      </c>
      <c r="H365" s="49" t="str">
        <f>IF(F365&gt;25000,"C",IF(F365&gt;1000,"B","A"))</f>
        <v>A</v>
      </c>
      <c r="I365" s="48" t="str">
        <f>VLOOKUP(H365,$L$2:$M$4,2,FALSE)</f>
        <v>The Commissioner &amp; Chief Constable are satisfied the spend represents VFM in accordance with the requirements of Category A</v>
      </c>
      <c r="L365" s="41"/>
      <c r="M365" s="41"/>
    </row>
    <row r="366" spans="1:13" s="42" customFormat="1" x14ac:dyDescent="0.2">
      <c r="A366" s="56" t="s">
        <v>8</v>
      </c>
      <c r="B366" s="55" t="s">
        <v>9</v>
      </c>
      <c r="C366" s="81" t="s">
        <v>256</v>
      </c>
      <c r="D366" s="53">
        <v>7179468</v>
      </c>
      <c r="E366" s="52">
        <v>45614</v>
      </c>
      <c r="F366" s="80">
        <v>710</v>
      </c>
      <c r="G366" s="79" t="s">
        <v>203</v>
      </c>
      <c r="H366" s="49" t="str">
        <f>IF(F366&gt;25000,"C",IF(F366&gt;1000,"B","A"))</f>
        <v>A</v>
      </c>
      <c r="I366" s="48" t="str">
        <f>VLOOKUP(H366,$L$2:$M$4,2,FALSE)</f>
        <v>The Commissioner &amp; Chief Constable are satisfied the spend represents VFM in accordance with the requirements of Category A</v>
      </c>
      <c r="L366" s="41"/>
      <c r="M366" s="41"/>
    </row>
    <row r="367" spans="1:13" s="42" customFormat="1" x14ac:dyDescent="0.2">
      <c r="A367" s="56" t="s">
        <v>8</v>
      </c>
      <c r="B367" s="55" t="s">
        <v>9</v>
      </c>
      <c r="C367" s="81" t="s">
        <v>342</v>
      </c>
      <c r="D367" s="53">
        <v>7178994</v>
      </c>
      <c r="E367" s="52">
        <v>45602</v>
      </c>
      <c r="F367" s="80">
        <v>680</v>
      </c>
      <c r="G367" s="79" t="s">
        <v>38</v>
      </c>
      <c r="H367" s="49" t="str">
        <f>IF(F367&gt;25000,"C",IF(F367&gt;1000,"B","A"))</f>
        <v>A</v>
      </c>
      <c r="I367" s="48" t="str">
        <f>VLOOKUP(H367,$L$2:$M$4,2,FALSE)</f>
        <v>The Commissioner &amp; Chief Constable are satisfied the spend represents VFM in accordance with the requirements of Category A</v>
      </c>
      <c r="L367" s="41"/>
      <c r="M367" s="41"/>
    </row>
    <row r="368" spans="1:13" s="42" customFormat="1" x14ac:dyDescent="0.2">
      <c r="A368" s="56" t="s">
        <v>8</v>
      </c>
      <c r="B368" s="55" t="s">
        <v>9</v>
      </c>
      <c r="C368" s="81" t="s">
        <v>603</v>
      </c>
      <c r="D368" s="53">
        <v>7178947</v>
      </c>
      <c r="E368" s="52">
        <v>45617</v>
      </c>
      <c r="F368" s="80">
        <v>678</v>
      </c>
      <c r="G368" s="79" t="s">
        <v>40</v>
      </c>
      <c r="H368" s="49" t="str">
        <f>IF(F368&gt;25000,"C",IF(F368&gt;1000,"B","A"))</f>
        <v>A</v>
      </c>
      <c r="I368" s="48" t="str">
        <f>VLOOKUP(H368,$L$2:$M$4,2,FALSE)</f>
        <v>The Commissioner &amp; Chief Constable are satisfied the spend represents VFM in accordance with the requirements of Category A</v>
      </c>
      <c r="L368" s="41"/>
      <c r="M368" s="41"/>
    </row>
    <row r="369" spans="1:13" s="42" customFormat="1" x14ac:dyDescent="0.2">
      <c r="A369" s="56" t="s">
        <v>8</v>
      </c>
      <c r="B369" s="55" t="s">
        <v>9</v>
      </c>
      <c r="C369" s="81" t="s">
        <v>411</v>
      </c>
      <c r="D369" s="53">
        <v>7179261</v>
      </c>
      <c r="E369" s="52">
        <v>45608</v>
      </c>
      <c r="F369" s="80">
        <v>677.39</v>
      </c>
      <c r="G369" s="79" t="s">
        <v>156</v>
      </c>
      <c r="H369" s="49" t="str">
        <f>IF(F369&gt;25000,"C",IF(F369&gt;1000,"B","A"))</f>
        <v>A</v>
      </c>
      <c r="I369" s="48" t="str">
        <f>VLOOKUP(H369,$L$2:$M$4,2,FALSE)</f>
        <v>The Commissioner &amp; Chief Constable are satisfied the spend represents VFM in accordance with the requirements of Category A</v>
      </c>
      <c r="L369" s="41"/>
      <c r="M369" s="41"/>
    </row>
    <row r="370" spans="1:13" s="42" customFormat="1" x14ac:dyDescent="0.2">
      <c r="A370" s="56" t="s">
        <v>8</v>
      </c>
      <c r="B370" s="55" t="s">
        <v>9</v>
      </c>
      <c r="C370" s="81" t="s">
        <v>328</v>
      </c>
      <c r="D370" s="53">
        <v>7179014</v>
      </c>
      <c r="E370" s="52">
        <v>45602</v>
      </c>
      <c r="F370" s="80">
        <v>675</v>
      </c>
      <c r="G370" s="79" t="s">
        <v>131</v>
      </c>
      <c r="H370" s="49" t="str">
        <f>IF(F370&gt;25000,"C",IF(F370&gt;1000,"B","A"))</f>
        <v>A</v>
      </c>
      <c r="I370" s="48" t="str">
        <f>VLOOKUP(H370,$L$2:$M$4,2,FALSE)</f>
        <v>The Commissioner &amp; Chief Constable are satisfied the spend represents VFM in accordance with the requirements of Category A</v>
      </c>
      <c r="L370" s="41"/>
      <c r="M370" s="41"/>
    </row>
    <row r="371" spans="1:13" s="42" customFormat="1" x14ac:dyDescent="0.2">
      <c r="A371" s="56" t="s">
        <v>8</v>
      </c>
      <c r="B371" s="55" t="s">
        <v>9</v>
      </c>
      <c r="C371" s="82" t="s">
        <v>294</v>
      </c>
      <c r="D371" s="53">
        <v>7179125</v>
      </c>
      <c r="E371" s="52">
        <v>45604</v>
      </c>
      <c r="F371" s="80">
        <v>675</v>
      </c>
      <c r="G371" s="79" t="s">
        <v>94</v>
      </c>
      <c r="H371" s="49" t="str">
        <f>IF(F371&gt;25000,"C",IF(F371&gt;1000,"B","A"))</f>
        <v>A</v>
      </c>
      <c r="I371" s="48" t="str">
        <f>VLOOKUP(H371,$L$2:$M$4,2,FALSE)</f>
        <v>The Commissioner &amp; Chief Constable are satisfied the spend represents VFM in accordance with the requirements of Category A</v>
      </c>
      <c r="L371" s="41"/>
      <c r="M371" s="41"/>
    </row>
    <row r="372" spans="1:13" s="42" customFormat="1" x14ac:dyDescent="0.2">
      <c r="A372" s="56" t="s">
        <v>8</v>
      </c>
      <c r="B372" s="55" t="s">
        <v>9</v>
      </c>
      <c r="C372" s="81" t="s">
        <v>181</v>
      </c>
      <c r="D372" s="53">
        <v>7179697</v>
      </c>
      <c r="E372" s="52">
        <v>45622</v>
      </c>
      <c r="F372" s="80">
        <v>662</v>
      </c>
      <c r="G372" s="79" t="s">
        <v>106</v>
      </c>
      <c r="H372" s="49" t="str">
        <f>IF(F372&gt;25000,"C",IF(F372&gt;1000,"B","A"))</f>
        <v>A</v>
      </c>
      <c r="I372" s="48" t="str">
        <f>VLOOKUP(H372,$L$2:$M$4,2,FALSE)</f>
        <v>The Commissioner &amp; Chief Constable are satisfied the spend represents VFM in accordance with the requirements of Category A</v>
      </c>
      <c r="L372" s="41"/>
      <c r="M372" s="41"/>
    </row>
    <row r="373" spans="1:13" s="42" customFormat="1" x14ac:dyDescent="0.2">
      <c r="A373" s="56" t="s">
        <v>8</v>
      </c>
      <c r="B373" s="55" t="s">
        <v>9</v>
      </c>
      <c r="C373" s="81" t="s">
        <v>951</v>
      </c>
      <c r="D373" s="53">
        <v>7179577</v>
      </c>
      <c r="E373" s="52">
        <v>45625</v>
      </c>
      <c r="F373" s="80">
        <v>657.11</v>
      </c>
      <c r="G373" s="79" t="s">
        <v>686</v>
      </c>
      <c r="H373" s="49" t="str">
        <f>IF(F373&gt;25000,"C",IF(F373&gt;1000,"B","A"))</f>
        <v>A</v>
      </c>
      <c r="I373" s="48" t="str">
        <f>VLOOKUP(H373,$L$2:$M$4,2,FALSE)</f>
        <v>The Commissioner &amp; Chief Constable are satisfied the spend represents VFM in accordance with the requirements of Category A</v>
      </c>
      <c r="L373" s="41"/>
      <c r="M373" s="41"/>
    </row>
    <row r="374" spans="1:13" s="42" customFormat="1" x14ac:dyDescent="0.2">
      <c r="A374" s="56" t="s">
        <v>8</v>
      </c>
      <c r="B374" s="55" t="s">
        <v>9</v>
      </c>
      <c r="C374" s="81" t="s">
        <v>219</v>
      </c>
      <c r="D374" s="53">
        <v>7178714</v>
      </c>
      <c r="E374" s="52">
        <v>45614</v>
      </c>
      <c r="F374" s="80">
        <v>655.1</v>
      </c>
      <c r="G374" s="79" t="s">
        <v>220</v>
      </c>
      <c r="H374" s="49" t="str">
        <f>IF(F374&gt;25000,"C",IF(F374&gt;1000,"B","A"))</f>
        <v>A</v>
      </c>
      <c r="I374" s="48" t="str">
        <f>VLOOKUP(H374,$L$2:$M$4,2,FALSE)</f>
        <v>The Commissioner &amp; Chief Constable are satisfied the spend represents VFM in accordance with the requirements of Category A</v>
      </c>
      <c r="L374" s="41"/>
      <c r="M374" s="41"/>
    </row>
    <row r="375" spans="1:13" s="42" customFormat="1" x14ac:dyDescent="0.2">
      <c r="A375" s="56" t="s">
        <v>8</v>
      </c>
      <c r="B375" s="55" t="s">
        <v>9</v>
      </c>
      <c r="C375" s="81" t="s">
        <v>950</v>
      </c>
      <c r="D375" s="53">
        <v>7179574</v>
      </c>
      <c r="E375" s="52">
        <v>45617</v>
      </c>
      <c r="F375" s="80">
        <v>650</v>
      </c>
      <c r="G375" s="79" t="s">
        <v>102</v>
      </c>
      <c r="H375" s="49" t="str">
        <f>IF(F375&gt;25000,"C",IF(F375&gt;1000,"B","A"))</f>
        <v>A</v>
      </c>
      <c r="I375" s="48" t="str">
        <f>VLOOKUP(H375,$L$2:$M$4,2,FALSE)</f>
        <v>The Commissioner &amp; Chief Constable are satisfied the spend represents VFM in accordance with the requirements of Category A</v>
      </c>
      <c r="L375" s="41"/>
      <c r="M375" s="41"/>
    </row>
    <row r="376" spans="1:13" s="42" customFormat="1" x14ac:dyDescent="0.2">
      <c r="A376" s="56" t="s">
        <v>8</v>
      </c>
      <c r="B376" s="55" t="s">
        <v>9</v>
      </c>
      <c r="C376" s="81" t="s">
        <v>912</v>
      </c>
      <c r="D376" s="53">
        <v>7178972</v>
      </c>
      <c r="E376" s="52">
        <v>45601</v>
      </c>
      <c r="F376" s="80">
        <v>650</v>
      </c>
      <c r="G376" s="79" t="s">
        <v>382</v>
      </c>
      <c r="H376" s="49" t="str">
        <f>IF(F376&gt;25000,"C",IF(F376&gt;1000,"B","A"))</f>
        <v>A</v>
      </c>
      <c r="I376" s="48" t="str">
        <f>VLOOKUP(H376,$L$2:$M$4,2,FALSE)</f>
        <v>The Commissioner &amp; Chief Constable are satisfied the spend represents VFM in accordance with the requirements of Category A</v>
      </c>
      <c r="L376" s="41"/>
      <c r="M376" s="41"/>
    </row>
    <row r="377" spans="1:13" s="42" customFormat="1" x14ac:dyDescent="0.2">
      <c r="A377" s="56" t="s">
        <v>8</v>
      </c>
      <c r="B377" s="55" t="s">
        <v>9</v>
      </c>
      <c r="C377" s="81" t="s">
        <v>195</v>
      </c>
      <c r="D377" s="53">
        <v>7178912</v>
      </c>
      <c r="E377" s="52">
        <v>45601</v>
      </c>
      <c r="F377" s="80">
        <v>616</v>
      </c>
      <c r="G377" s="79" t="s">
        <v>22</v>
      </c>
      <c r="H377" s="49" t="str">
        <f>IF(F377&gt;25000,"C",IF(F377&gt;1000,"B","A"))</f>
        <v>A</v>
      </c>
      <c r="I377" s="48" t="str">
        <f>VLOOKUP(H377,$L$2:$M$4,2,FALSE)</f>
        <v>The Commissioner &amp; Chief Constable are satisfied the spend represents VFM in accordance with the requirements of Category A</v>
      </c>
      <c r="L377" s="41"/>
      <c r="M377" s="41"/>
    </row>
    <row r="378" spans="1:13" s="42" customFormat="1" x14ac:dyDescent="0.2">
      <c r="A378" s="56" t="s">
        <v>8</v>
      </c>
      <c r="B378" s="55" t="s">
        <v>9</v>
      </c>
      <c r="C378" s="81" t="s">
        <v>916</v>
      </c>
      <c r="D378" s="53">
        <v>7179240</v>
      </c>
      <c r="E378" s="52">
        <v>45608</v>
      </c>
      <c r="F378" s="80">
        <v>615</v>
      </c>
      <c r="G378" s="79" t="s">
        <v>106</v>
      </c>
      <c r="H378" s="49" t="str">
        <f>IF(F378&gt;25000,"C",IF(F378&gt;1000,"B","A"))</f>
        <v>A</v>
      </c>
      <c r="I378" s="48" t="str">
        <f>VLOOKUP(H378,$L$2:$M$4,2,FALSE)</f>
        <v>The Commissioner &amp; Chief Constable are satisfied the spend represents VFM in accordance with the requirements of Category A</v>
      </c>
      <c r="L378" s="41"/>
      <c r="M378" s="41"/>
    </row>
    <row r="379" spans="1:13" s="42" customFormat="1" x14ac:dyDescent="0.2">
      <c r="A379" s="56" t="s">
        <v>8</v>
      </c>
      <c r="B379" s="55" t="s">
        <v>9</v>
      </c>
      <c r="C379" s="81" t="s">
        <v>280</v>
      </c>
      <c r="D379" s="53">
        <v>7179426</v>
      </c>
      <c r="E379" s="52">
        <v>45611</v>
      </c>
      <c r="F379" s="80">
        <v>602.79999999999995</v>
      </c>
      <c r="G379" s="79" t="s">
        <v>94</v>
      </c>
      <c r="H379" s="49" t="str">
        <f>IF(F379&gt;25000,"C",IF(F379&gt;1000,"B","A"))</f>
        <v>A</v>
      </c>
      <c r="I379" s="48" t="str">
        <f>VLOOKUP(H379,$L$2:$M$4,2,FALSE)</f>
        <v>The Commissioner &amp; Chief Constable are satisfied the spend represents VFM in accordance with the requirements of Category A</v>
      </c>
      <c r="L379" s="41"/>
      <c r="M379" s="41"/>
    </row>
    <row r="380" spans="1:13" s="42" customFormat="1" x14ac:dyDescent="0.2">
      <c r="A380" s="56" t="s">
        <v>8</v>
      </c>
      <c r="B380" s="55" t="s">
        <v>9</v>
      </c>
      <c r="C380" s="81" t="s">
        <v>949</v>
      </c>
      <c r="D380" s="53">
        <v>7179230</v>
      </c>
      <c r="E380" s="52">
        <v>45607</v>
      </c>
      <c r="F380" s="80">
        <v>600</v>
      </c>
      <c r="G380" s="79" t="s">
        <v>27</v>
      </c>
      <c r="H380" s="49" t="str">
        <f>IF(F380&gt;25000,"C",IF(F380&gt;1000,"B","A"))</f>
        <v>A</v>
      </c>
      <c r="I380" s="48" t="str">
        <f>VLOOKUP(H380,$L$2:$M$4,2,FALSE)</f>
        <v>The Commissioner &amp; Chief Constable are satisfied the spend represents VFM in accordance with the requirements of Category A</v>
      </c>
      <c r="L380" s="41"/>
      <c r="M380" s="41"/>
    </row>
    <row r="381" spans="1:13" s="42" customFormat="1" x14ac:dyDescent="0.2">
      <c r="A381" s="56" t="s">
        <v>8</v>
      </c>
      <c r="B381" s="55" t="s">
        <v>9</v>
      </c>
      <c r="C381" s="81" t="s">
        <v>540</v>
      </c>
      <c r="D381" s="53">
        <v>7179473</v>
      </c>
      <c r="E381" s="52">
        <v>45614</v>
      </c>
      <c r="F381" s="80">
        <v>599</v>
      </c>
      <c r="G381" s="79" t="s">
        <v>131</v>
      </c>
      <c r="H381" s="49" t="str">
        <f>IF(F381&gt;25000,"C",IF(F381&gt;1000,"B","A"))</f>
        <v>A</v>
      </c>
      <c r="I381" s="48" t="str">
        <f>VLOOKUP(H381,$L$2:$M$4,2,FALSE)</f>
        <v>The Commissioner &amp; Chief Constable are satisfied the spend represents VFM in accordance with the requirements of Category A</v>
      </c>
      <c r="L381" s="41"/>
      <c r="M381" s="41"/>
    </row>
    <row r="382" spans="1:13" s="42" customFormat="1" x14ac:dyDescent="0.2">
      <c r="A382" s="56" t="s">
        <v>8</v>
      </c>
      <c r="B382" s="55" t="s">
        <v>9</v>
      </c>
      <c r="C382" s="81" t="s">
        <v>113</v>
      </c>
      <c r="D382" s="53">
        <v>7179420</v>
      </c>
      <c r="E382" s="52">
        <v>45614</v>
      </c>
      <c r="F382" s="80">
        <v>588.23</v>
      </c>
      <c r="G382" s="79" t="s">
        <v>114</v>
      </c>
      <c r="H382" s="49" t="str">
        <f>IF(F382&gt;25000,"C",IF(F382&gt;1000,"B","A"))</f>
        <v>A</v>
      </c>
      <c r="I382" s="48" t="str">
        <f>VLOOKUP(H382,$L$2:$M$4,2,FALSE)</f>
        <v>The Commissioner &amp; Chief Constable are satisfied the spend represents VFM in accordance with the requirements of Category A</v>
      </c>
      <c r="L382" s="41"/>
      <c r="M382" s="41"/>
    </row>
    <row r="383" spans="1:13" s="42" customFormat="1" x14ac:dyDescent="0.2">
      <c r="A383" s="56" t="s">
        <v>8</v>
      </c>
      <c r="B383" s="55" t="s">
        <v>9</v>
      </c>
      <c r="C383" s="81" t="s">
        <v>90</v>
      </c>
      <c r="D383" s="53">
        <v>7179385</v>
      </c>
      <c r="E383" s="52">
        <v>45610</v>
      </c>
      <c r="F383" s="80">
        <v>587.95000000000005</v>
      </c>
      <c r="G383" s="79" t="s">
        <v>158</v>
      </c>
      <c r="H383" s="49" t="str">
        <f>IF(F383&gt;25000,"C",IF(F383&gt;1000,"B","A"))</f>
        <v>A</v>
      </c>
      <c r="I383" s="48" t="str">
        <f>VLOOKUP(H383,$L$2:$M$4,2,FALSE)</f>
        <v>The Commissioner &amp; Chief Constable are satisfied the spend represents VFM in accordance with the requirements of Category A</v>
      </c>
      <c r="L383" s="41"/>
      <c r="M383" s="41"/>
    </row>
    <row r="384" spans="1:13" s="42" customFormat="1" x14ac:dyDescent="0.2">
      <c r="A384" s="56" t="s">
        <v>8</v>
      </c>
      <c r="B384" s="55" t="s">
        <v>9</v>
      </c>
      <c r="C384" s="81" t="s">
        <v>181</v>
      </c>
      <c r="D384" s="53">
        <v>7179405</v>
      </c>
      <c r="E384" s="52">
        <v>45611</v>
      </c>
      <c r="F384" s="80">
        <v>556.5</v>
      </c>
      <c r="G384" s="79" t="s">
        <v>106</v>
      </c>
      <c r="H384" s="49" t="str">
        <f>IF(F384&gt;25000,"C",IF(F384&gt;1000,"B","A"))</f>
        <v>A</v>
      </c>
      <c r="I384" s="48" t="str">
        <f>VLOOKUP(H384,$L$2:$M$4,2,FALSE)</f>
        <v>The Commissioner &amp; Chief Constable are satisfied the spend represents VFM in accordance with the requirements of Category A</v>
      </c>
      <c r="L384" s="41"/>
      <c r="M384" s="41"/>
    </row>
    <row r="385" spans="1:13" s="42" customFormat="1" x14ac:dyDescent="0.2">
      <c r="A385" s="56" t="s">
        <v>8</v>
      </c>
      <c r="B385" s="55" t="s">
        <v>9</v>
      </c>
      <c r="C385" s="81" t="s">
        <v>260</v>
      </c>
      <c r="D385" s="53">
        <v>7179823</v>
      </c>
      <c r="E385" s="52">
        <v>45624</v>
      </c>
      <c r="F385" s="80">
        <v>553.6</v>
      </c>
      <c r="G385" s="79" t="s">
        <v>261</v>
      </c>
      <c r="H385" s="49" t="str">
        <f>IF(F385&gt;25000,"C",IF(F385&gt;1000,"B","A"))</f>
        <v>A</v>
      </c>
      <c r="I385" s="48" t="str">
        <f>VLOOKUP(H385,$L$2:$M$4,2,FALSE)</f>
        <v>The Commissioner &amp; Chief Constable are satisfied the spend represents VFM in accordance with the requirements of Category A</v>
      </c>
      <c r="L385" s="41"/>
      <c r="M385" s="41"/>
    </row>
    <row r="386" spans="1:13" s="42" customFormat="1" x14ac:dyDescent="0.2">
      <c r="A386" s="56" t="s">
        <v>8</v>
      </c>
      <c r="B386" s="55" t="s">
        <v>9</v>
      </c>
      <c r="C386" s="81" t="s">
        <v>172</v>
      </c>
      <c r="D386" s="53">
        <v>7179738</v>
      </c>
      <c r="E386" s="52">
        <v>45622</v>
      </c>
      <c r="F386" s="80">
        <v>547.5</v>
      </c>
      <c r="G386" s="79" t="s">
        <v>112</v>
      </c>
      <c r="H386" s="49" t="str">
        <f>IF(F386&gt;25000,"C",IF(F386&gt;1000,"B","A"))</f>
        <v>A</v>
      </c>
      <c r="I386" s="48" t="str">
        <f>VLOOKUP(H386,$L$2:$M$4,2,FALSE)</f>
        <v>The Commissioner &amp; Chief Constable are satisfied the spend represents VFM in accordance with the requirements of Category A</v>
      </c>
      <c r="L386" s="41"/>
      <c r="M386" s="41"/>
    </row>
    <row r="387" spans="1:13" s="42" customFormat="1" x14ac:dyDescent="0.2">
      <c r="A387" s="56" t="s">
        <v>8</v>
      </c>
      <c r="B387" s="55" t="s">
        <v>9</v>
      </c>
      <c r="C387" s="81" t="s">
        <v>525</v>
      </c>
      <c r="D387" s="53">
        <v>7179633</v>
      </c>
      <c r="E387" s="52">
        <v>45621</v>
      </c>
      <c r="F387" s="80">
        <v>545</v>
      </c>
      <c r="G387" s="79" t="s">
        <v>524</v>
      </c>
      <c r="H387" s="49" t="str">
        <f>IF(F387&gt;25000,"C",IF(F387&gt;1000,"B","A"))</f>
        <v>A</v>
      </c>
      <c r="I387" s="48" t="str">
        <f>VLOOKUP(H387,$L$2:$M$4,2,FALSE)</f>
        <v>The Commissioner &amp; Chief Constable are satisfied the spend represents VFM in accordance with the requirements of Category A</v>
      </c>
      <c r="L387" s="41"/>
      <c r="M387" s="41"/>
    </row>
    <row r="388" spans="1:13" s="42" customFormat="1" x14ac:dyDescent="0.2">
      <c r="A388" s="56" t="s">
        <v>8</v>
      </c>
      <c r="B388" s="55" t="s">
        <v>9</v>
      </c>
      <c r="C388" s="81" t="s">
        <v>329</v>
      </c>
      <c r="D388" s="53">
        <v>7178963</v>
      </c>
      <c r="E388" s="52">
        <v>45600</v>
      </c>
      <c r="F388" s="80">
        <v>542.70000000000005</v>
      </c>
      <c r="G388" s="79" t="s">
        <v>330</v>
      </c>
      <c r="H388" s="49" t="str">
        <f>IF(F388&gt;25000,"C",IF(F388&gt;1000,"B","A"))</f>
        <v>A</v>
      </c>
      <c r="I388" s="48" t="str">
        <f>VLOOKUP(H388,$L$2:$M$4,2,FALSE)</f>
        <v>The Commissioner &amp; Chief Constable are satisfied the spend represents VFM in accordance with the requirements of Category A</v>
      </c>
      <c r="L388" s="41"/>
      <c r="M388" s="41"/>
    </row>
    <row r="389" spans="1:13" s="42" customFormat="1" x14ac:dyDescent="0.2">
      <c r="A389" s="56" t="s">
        <v>8</v>
      </c>
      <c r="B389" s="55" t="s">
        <v>9</v>
      </c>
      <c r="C389" s="81" t="s">
        <v>292</v>
      </c>
      <c r="D389" s="53">
        <v>7179040</v>
      </c>
      <c r="E389" s="52">
        <v>45608</v>
      </c>
      <c r="F389" s="80">
        <v>541.66</v>
      </c>
      <c r="G389" s="79" t="s">
        <v>84</v>
      </c>
      <c r="H389" s="49" t="str">
        <f>IF(F389&gt;25000,"C",IF(F389&gt;1000,"B","A"))</f>
        <v>A</v>
      </c>
      <c r="I389" s="48" t="str">
        <f>VLOOKUP(H389,$L$2:$M$4,2,FALSE)</f>
        <v>The Commissioner &amp; Chief Constable are satisfied the spend represents VFM in accordance with the requirements of Category A</v>
      </c>
      <c r="L389" s="41"/>
      <c r="M389" s="41"/>
    </row>
    <row r="390" spans="1:13" s="42" customFormat="1" x14ac:dyDescent="0.2">
      <c r="A390" s="56" t="s">
        <v>8</v>
      </c>
      <c r="B390" s="55" t="s">
        <v>9</v>
      </c>
      <c r="C390" s="81" t="s">
        <v>393</v>
      </c>
      <c r="D390" s="53">
        <v>7179111</v>
      </c>
      <c r="E390" s="52">
        <v>45604</v>
      </c>
      <c r="F390" s="80">
        <v>538.30999999999995</v>
      </c>
      <c r="G390" s="79" t="s">
        <v>392</v>
      </c>
      <c r="H390" s="49" t="str">
        <f>IF(F390&gt;25000,"C",IF(F390&gt;1000,"B","A"))</f>
        <v>A</v>
      </c>
      <c r="I390" s="48" t="str">
        <f>VLOOKUP(H390,$L$2:$M$4,2,FALSE)</f>
        <v>The Commissioner &amp; Chief Constable are satisfied the spend represents VFM in accordance with the requirements of Category A</v>
      </c>
      <c r="L390" s="41"/>
      <c r="M390" s="41"/>
    </row>
    <row r="391" spans="1:13" s="42" customFormat="1" x14ac:dyDescent="0.2">
      <c r="A391" s="56" t="s">
        <v>8</v>
      </c>
      <c r="B391" s="55" t="s">
        <v>9</v>
      </c>
      <c r="C391" s="81" t="s">
        <v>948</v>
      </c>
      <c r="D391" s="53">
        <v>7179036</v>
      </c>
      <c r="E391" s="52">
        <v>45607</v>
      </c>
      <c r="F391" s="80">
        <v>533.17999999999995</v>
      </c>
      <c r="G391" s="79" t="s">
        <v>131</v>
      </c>
      <c r="H391" s="49" t="str">
        <f>IF(F391&gt;25000,"C",IF(F391&gt;1000,"B","A"))</f>
        <v>A</v>
      </c>
      <c r="I391" s="48" t="str">
        <f>VLOOKUP(H391,$L$2:$M$4,2,FALSE)</f>
        <v>The Commissioner &amp; Chief Constable are satisfied the spend represents VFM in accordance with the requirements of Category A</v>
      </c>
      <c r="L391" s="41"/>
      <c r="M391" s="41"/>
    </row>
    <row r="392" spans="1:13" s="42" customFormat="1" x14ac:dyDescent="0.2">
      <c r="A392" s="56" t="s">
        <v>8</v>
      </c>
      <c r="B392" s="55" t="s">
        <v>9</v>
      </c>
      <c r="C392" s="81" t="s">
        <v>256</v>
      </c>
      <c r="D392" s="53">
        <v>7179200</v>
      </c>
      <c r="E392" s="52">
        <v>45607</v>
      </c>
      <c r="F392" s="80">
        <v>529.79999999999995</v>
      </c>
      <c r="G392" s="79" t="s">
        <v>203</v>
      </c>
      <c r="H392" s="49" t="str">
        <f>IF(F392&gt;25000,"C",IF(F392&gt;1000,"B","A"))</f>
        <v>A</v>
      </c>
      <c r="I392" s="48" t="str">
        <f>VLOOKUP(H392,$L$2:$M$4,2,FALSE)</f>
        <v>The Commissioner &amp; Chief Constable are satisfied the spend represents VFM in accordance with the requirements of Category A</v>
      </c>
      <c r="L392" s="41"/>
      <c r="M392" s="41"/>
    </row>
    <row r="393" spans="1:13" s="42" customFormat="1" x14ac:dyDescent="0.2">
      <c r="A393" s="56" t="s">
        <v>8</v>
      </c>
      <c r="B393" s="55" t="s">
        <v>9</v>
      </c>
      <c r="C393" s="81" t="s">
        <v>252</v>
      </c>
      <c r="D393" s="53">
        <v>7179096</v>
      </c>
      <c r="E393" s="52">
        <v>45603</v>
      </c>
      <c r="F393" s="80">
        <v>520</v>
      </c>
      <c r="G393" s="79" t="s">
        <v>148</v>
      </c>
      <c r="H393" s="49" t="str">
        <f>IF(F393&gt;25000,"C",IF(F393&gt;1000,"B","A"))</f>
        <v>A</v>
      </c>
      <c r="I393" s="48" t="str">
        <f>VLOOKUP(H393,$L$2:$M$4,2,FALSE)</f>
        <v>The Commissioner &amp; Chief Constable are satisfied the spend represents VFM in accordance with the requirements of Category A</v>
      </c>
      <c r="L393" s="41"/>
      <c r="M393" s="41"/>
    </row>
    <row r="394" spans="1:13" s="42" customFormat="1" x14ac:dyDescent="0.2">
      <c r="A394" s="56" t="s">
        <v>8</v>
      </c>
      <c r="B394" s="55" t="s">
        <v>9</v>
      </c>
      <c r="C394" s="81" t="s">
        <v>269</v>
      </c>
      <c r="D394" s="53">
        <v>7179824</v>
      </c>
      <c r="E394" s="52">
        <v>45624</v>
      </c>
      <c r="F394" s="80">
        <v>517.5</v>
      </c>
      <c r="G394" s="79" t="s">
        <v>177</v>
      </c>
      <c r="H394" s="49" t="str">
        <f>IF(F394&gt;25000,"C",IF(F394&gt;1000,"B","A"))</f>
        <v>A</v>
      </c>
      <c r="I394" s="48" t="str">
        <f>VLOOKUP(H394,$L$2:$M$4,2,FALSE)</f>
        <v>The Commissioner &amp; Chief Constable are satisfied the spend represents VFM in accordance with the requirements of Category A</v>
      </c>
      <c r="L394" s="41"/>
      <c r="M394" s="41"/>
    </row>
    <row r="395" spans="1:13" s="42" customFormat="1" x14ac:dyDescent="0.2">
      <c r="A395" s="56" t="s">
        <v>8</v>
      </c>
      <c r="B395" s="55" t="s">
        <v>9</v>
      </c>
      <c r="C395" s="81" t="s">
        <v>334</v>
      </c>
      <c r="D395" s="53">
        <v>7178954</v>
      </c>
      <c r="E395" s="52">
        <v>45600</v>
      </c>
      <c r="F395" s="80">
        <v>513.94000000000005</v>
      </c>
      <c r="G395" s="79" t="s">
        <v>39</v>
      </c>
      <c r="H395" s="49" t="str">
        <f>IF(F395&gt;25000,"C",IF(F395&gt;1000,"B","A"))</f>
        <v>A</v>
      </c>
      <c r="I395" s="48" t="str">
        <f>VLOOKUP(H395,$L$2:$M$4,2,FALSE)</f>
        <v>The Commissioner &amp; Chief Constable are satisfied the spend represents VFM in accordance with the requirements of Category A</v>
      </c>
      <c r="L395" s="41"/>
      <c r="M395" s="41"/>
    </row>
    <row r="396" spans="1:13" s="42" customFormat="1" x14ac:dyDescent="0.2">
      <c r="A396" s="56" t="s">
        <v>8</v>
      </c>
      <c r="B396" s="55" t="s">
        <v>9</v>
      </c>
      <c r="C396" s="81" t="s">
        <v>10</v>
      </c>
      <c r="D396" s="53">
        <v>7179251</v>
      </c>
      <c r="E396" s="52">
        <v>45616</v>
      </c>
      <c r="F396" s="80">
        <v>506</v>
      </c>
      <c r="G396" s="79" t="s">
        <v>22</v>
      </c>
      <c r="H396" s="49" t="str">
        <f>IF(F396&gt;25000,"C",IF(F396&gt;1000,"B","A"))</f>
        <v>A</v>
      </c>
      <c r="I396" s="48" t="str">
        <f>VLOOKUP(H396,$L$2:$M$4,2,FALSE)</f>
        <v>The Commissioner &amp; Chief Constable are satisfied the spend represents VFM in accordance with the requirements of Category A</v>
      </c>
      <c r="L396" s="41"/>
      <c r="M396" s="41"/>
    </row>
    <row r="397" spans="1:13" s="42" customFormat="1" x14ac:dyDescent="0.2">
      <c r="A397" s="56" t="s">
        <v>8</v>
      </c>
      <c r="B397" s="55" t="s">
        <v>9</v>
      </c>
      <c r="C397" s="81" t="s">
        <v>130</v>
      </c>
      <c r="D397" s="53">
        <v>7178810</v>
      </c>
      <c r="E397" s="52">
        <v>45607</v>
      </c>
      <c r="F397" s="80">
        <v>500</v>
      </c>
      <c r="G397" s="79" t="s">
        <v>38</v>
      </c>
      <c r="H397" s="49" t="str">
        <f>IF(F397&gt;25000,"C",IF(F397&gt;1000,"B","A"))</f>
        <v>A</v>
      </c>
      <c r="I397" s="48" t="str">
        <f>VLOOKUP(H397,$L$2:$M$4,2,FALSE)</f>
        <v>The Commissioner &amp; Chief Constable are satisfied the spend represents VFM in accordance with the requirements of Category A</v>
      </c>
      <c r="L397" s="41"/>
      <c r="M397" s="41"/>
    </row>
    <row r="398" spans="1:13" s="42" customFormat="1" x14ac:dyDescent="0.2">
      <c r="A398" s="56" t="s">
        <v>8</v>
      </c>
      <c r="B398" s="55" t="s">
        <v>9</v>
      </c>
      <c r="C398" s="81" t="s">
        <v>200</v>
      </c>
      <c r="D398" s="53">
        <v>3068816</v>
      </c>
      <c r="E398" s="52">
        <v>45610</v>
      </c>
      <c r="F398" s="80">
        <v>-754</v>
      </c>
      <c r="G398" s="79" t="s">
        <v>38</v>
      </c>
      <c r="H398" s="49" t="str">
        <f>IF(F398&gt;25000,"C",IF(F398&gt;1000,"B","A"))</f>
        <v>A</v>
      </c>
      <c r="I398" s="48" t="str">
        <f>VLOOKUP(H398,$L$2:$M$4,2,FALSE)</f>
        <v>The Commissioner &amp; Chief Constable are satisfied the spend represents VFM in accordance with the requirements of Category A</v>
      </c>
      <c r="L398" s="41"/>
      <c r="M398" s="41"/>
    </row>
    <row r="399" spans="1:13" s="42" customFormat="1" x14ac:dyDescent="0.2">
      <c r="A399" s="56" t="s">
        <v>8</v>
      </c>
      <c r="B399" s="55" t="s">
        <v>9</v>
      </c>
      <c r="C399" s="81" t="s">
        <v>750</v>
      </c>
      <c r="D399" s="53">
        <v>7179091</v>
      </c>
      <c r="E399" s="52">
        <v>45607</v>
      </c>
      <c r="F399" s="80">
        <v>-1138.3399999999999</v>
      </c>
      <c r="G399" s="79" t="s">
        <v>53</v>
      </c>
      <c r="H399" s="49" t="str">
        <f>IF(F399&gt;25000,"C",IF(F399&gt;1000,"B","A"))</f>
        <v>A</v>
      </c>
      <c r="I399" s="48" t="str">
        <f>VLOOKUP(H399,$L$2:$M$4,2,FALSE)</f>
        <v>The Commissioner &amp; Chief Constable are satisfied the spend represents VFM in accordance with the requirements of Category A</v>
      </c>
      <c r="L399" s="41"/>
      <c r="M399" s="41"/>
    </row>
    <row r="400" spans="1:13" s="42" customFormat="1" x14ac:dyDescent="0.2">
      <c r="A400" s="56" t="s">
        <v>8</v>
      </c>
      <c r="B400" s="55" t="s">
        <v>9</v>
      </c>
      <c r="C400" s="81" t="s">
        <v>276</v>
      </c>
      <c r="D400" s="53">
        <v>7179334</v>
      </c>
      <c r="E400" s="52">
        <v>45617</v>
      </c>
      <c r="F400" s="80">
        <v>-1623.35</v>
      </c>
      <c r="G400" s="79" t="s">
        <v>40</v>
      </c>
      <c r="H400" s="49" t="str">
        <f>IF(F400&gt;25000,"C",IF(F400&gt;1000,"B","A"))</f>
        <v>A</v>
      </c>
      <c r="I400" s="48" t="str">
        <f>VLOOKUP(H400,$L$2:$M$4,2,FALSE)</f>
        <v>The Commissioner &amp; Chief Constable are satisfied the spend represents VFM in accordance with the requirements of Category A</v>
      </c>
      <c r="L400" s="41"/>
      <c r="M400" s="41"/>
    </row>
    <row r="401" spans="1:13" s="42" customFormat="1" x14ac:dyDescent="0.2">
      <c r="A401" s="56" t="s">
        <v>8</v>
      </c>
      <c r="B401" s="55" t="s">
        <v>9</v>
      </c>
      <c r="C401" s="81" t="s">
        <v>845</v>
      </c>
      <c r="D401" s="53">
        <v>3068864</v>
      </c>
      <c r="E401" s="52">
        <v>45621</v>
      </c>
      <c r="F401" s="80">
        <v>-8192.52</v>
      </c>
      <c r="G401" s="79" t="s">
        <v>98</v>
      </c>
      <c r="H401" s="49" t="str">
        <f>IF(F401&gt;25000,"C",IF(F401&gt;1000,"B","A"))</f>
        <v>A</v>
      </c>
      <c r="I401" s="48" t="str">
        <f>VLOOKUP(H401,$L$2:$M$4,2,FALSE)</f>
        <v>The Commissioner &amp; Chief Constable are satisfied the spend represents VFM in accordance with the requirements of Category A</v>
      </c>
      <c r="L401" s="41"/>
      <c r="M401" s="41"/>
    </row>
    <row r="402" spans="1:13" s="42" customFormat="1" x14ac:dyDescent="0.2">
      <c r="A402" s="56" t="s">
        <v>8</v>
      </c>
      <c r="B402" s="55" t="s">
        <v>9</v>
      </c>
      <c r="C402" s="81" t="s">
        <v>252</v>
      </c>
      <c r="D402" s="53">
        <v>7179554</v>
      </c>
      <c r="E402" s="52">
        <v>45616</v>
      </c>
      <c r="F402" s="80">
        <v>-10000</v>
      </c>
      <c r="G402" s="79" t="s">
        <v>75</v>
      </c>
      <c r="H402" s="49" t="str">
        <f>IF(F402&gt;25000,"C",IF(F402&gt;1000,"B","A"))</f>
        <v>A</v>
      </c>
      <c r="I402" s="48" t="str">
        <f>VLOOKUP(H402,$L$2:$M$4,2,FALSE)</f>
        <v>The Commissioner &amp; Chief Constable are satisfied the spend represents VFM in accordance with the requirements of Category A</v>
      </c>
      <c r="L402" s="41"/>
      <c r="M402" s="41"/>
    </row>
    <row r="403" spans="1:13" s="42" customFormat="1" x14ac:dyDescent="0.2">
      <c r="A403" s="56" t="s">
        <v>8</v>
      </c>
      <c r="B403" s="55" t="s">
        <v>9</v>
      </c>
      <c r="C403" s="81" t="s">
        <v>252</v>
      </c>
      <c r="D403" s="53">
        <v>7179555</v>
      </c>
      <c r="E403" s="52">
        <v>45616</v>
      </c>
      <c r="F403" s="80">
        <v>-12500</v>
      </c>
      <c r="G403" s="79" t="s">
        <v>75</v>
      </c>
      <c r="H403" s="49" t="str">
        <f>IF(F403&gt;25000,"C",IF(F403&gt;1000,"B","A"))</f>
        <v>A</v>
      </c>
      <c r="I403" s="48" t="str">
        <f>VLOOKUP(H403,$L$2:$M$4,2,FALSE)</f>
        <v>The Commissioner &amp; Chief Constable are satisfied the spend represents VFM in accordance with the requirements of Category A</v>
      </c>
      <c r="L403" s="41"/>
      <c r="M403" s="41"/>
    </row>
    <row r="404" spans="1:13" s="42" customFormat="1" x14ac:dyDescent="0.2">
      <c r="A404" s="56" t="s">
        <v>8</v>
      </c>
      <c r="B404" s="55" t="s">
        <v>9</v>
      </c>
      <c r="C404" s="81" t="s">
        <v>497</v>
      </c>
      <c r="D404" s="53">
        <v>7179287</v>
      </c>
      <c r="E404" s="52">
        <v>45614</v>
      </c>
      <c r="F404" s="80">
        <v>-34128.28</v>
      </c>
      <c r="G404" s="79" t="s">
        <v>89</v>
      </c>
      <c r="H404" s="49" t="str">
        <f>IF(F404&gt;25000,"C",IF(F404&gt;1000,"B","A"))</f>
        <v>A</v>
      </c>
      <c r="I404" s="48" t="str">
        <f>VLOOKUP(H404,$L$2:$M$4,2,FALSE)</f>
        <v>The Commissioner &amp; Chief Constable are satisfied the spend represents VFM in accordance with the requirements of Category A</v>
      </c>
      <c r="L404" s="41"/>
      <c r="M404" s="41"/>
    </row>
    <row r="405" spans="1:13" s="42" customFormat="1" x14ac:dyDescent="0.2">
      <c r="A405" s="56" t="s">
        <v>8</v>
      </c>
      <c r="B405" s="55" t="s">
        <v>9</v>
      </c>
      <c r="C405" s="81" t="s">
        <v>113</v>
      </c>
      <c r="D405" s="53">
        <v>7178176</v>
      </c>
      <c r="E405" s="52">
        <v>45597</v>
      </c>
      <c r="F405" s="80">
        <v>-41700</v>
      </c>
      <c r="G405" s="79" t="s">
        <v>75</v>
      </c>
      <c r="H405" s="49" t="str">
        <f>IF(F405&gt;25000,"C",IF(F405&gt;1000,"B","A"))</f>
        <v>A</v>
      </c>
      <c r="I405" s="48" t="str">
        <f>VLOOKUP(H405,$L$2:$M$4,2,FALSE)</f>
        <v>The Commissioner &amp; Chief Constable are satisfied the spend represents VFM in accordance with the requirements of Category A</v>
      </c>
      <c r="L405" s="41"/>
      <c r="M405" s="41"/>
    </row>
    <row r="406" spans="1:13" x14ac:dyDescent="0.2">
      <c r="A406" s="56" t="s">
        <v>8</v>
      </c>
      <c r="B406" s="55" t="s">
        <v>9</v>
      </c>
      <c r="C406" s="81"/>
      <c r="D406" s="53"/>
      <c r="E406" s="52"/>
      <c r="F406" s="80"/>
      <c r="G406" s="79"/>
      <c r="H406" s="49" t="str">
        <f>IF(F406&gt;25000,"C",IF(F406&gt;1000,"B","A"))</f>
        <v>A</v>
      </c>
      <c r="I406" s="48" t="str">
        <f>VLOOKUP(H406,$L$2:$M$4,2,FALSE)</f>
        <v>The Commissioner &amp; Chief Constable are satisfied the spend represents VFM in accordance with the requirements of Category A</v>
      </c>
    </row>
    <row r="407" spans="1:13" x14ac:dyDescent="0.2">
      <c r="A407" s="56" t="s">
        <v>8</v>
      </c>
      <c r="B407" s="55" t="s">
        <v>9</v>
      </c>
      <c r="C407" s="81"/>
      <c r="D407" s="53"/>
      <c r="E407" s="52"/>
      <c r="F407" s="80"/>
      <c r="G407" s="79"/>
      <c r="H407" s="49" t="str">
        <f>IF(F407&gt;25000,"C",IF(F407&gt;1000,"B","A"))</f>
        <v>A</v>
      </c>
      <c r="I407" s="48" t="str">
        <f>VLOOKUP(H407,$L$2:$M$4,2,FALSE)</f>
        <v>The Commissioner &amp; Chief Constable are satisfied the spend represents VFM in accordance with the requirements of Category A</v>
      </c>
    </row>
    <row r="408" spans="1:13" x14ac:dyDescent="0.2">
      <c r="A408" s="56" t="s">
        <v>8</v>
      </c>
      <c r="B408" s="55" t="s">
        <v>9</v>
      </c>
      <c r="C408" s="81"/>
      <c r="D408" s="53"/>
      <c r="E408" s="52"/>
      <c r="F408" s="80"/>
      <c r="G408" s="79"/>
      <c r="H408" s="49" t="str">
        <f>IF(F408&gt;25000,"C",IF(F408&gt;1000,"B","A"))</f>
        <v>A</v>
      </c>
      <c r="I408" s="48" t="str">
        <f>VLOOKUP(H408,$L$2:$M$4,2,FALSE)</f>
        <v>The Commissioner &amp; Chief Constable are satisfied the spend represents VFM in accordance with the requirements of Category A</v>
      </c>
    </row>
    <row r="409" spans="1:13" x14ac:dyDescent="0.2">
      <c r="A409" s="56" t="s">
        <v>8</v>
      </c>
      <c r="B409" s="55" t="s">
        <v>9</v>
      </c>
      <c r="C409" s="81"/>
      <c r="D409" s="53"/>
      <c r="E409" s="52"/>
      <c r="F409" s="80"/>
      <c r="G409" s="79"/>
      <c r="H409" s="49" t="str">
        <f>IF(F409&gt;25000,"C",IF(F409&gt;1000,"B","A"))</f>
        <v>A</v>
      </c>
      <c r="I409" s="48" t="str">
        <f>VLOOKUP(H409,$L$2:$M$4,2,FALSE)</f>
        <v>The Commissioner &amp; Chief Constable are satisfied the spend represents VFM in accordance with the requirements of Category A</v>
      </c>
    </row>
    <row r="410" spans="1:13" x14ac:dyDescent="0.2">
      <c r="A410" s="56" t="s">
        <v>8</v>
      </c>
      <c r="B410" s="55" t="s">
        <v>9</v>
      </c>
      <c r="C410" s="81"/>
      <c r="D410" s="53"/>
      <c r="E410" s="52"/>
      <c r="F410" s="80"/>
      <c r="G410" s="79"/>
      <c r="H410" s="49" t="str">
        <f>IF(F410&gt;25000,"C",IF(F410&gt;1000,"B","A"))</f>
        <v>A</v>
      </c>
      <c r="I410" s="48" t="str">
        <f>VLOOKUP(H410,$L$2:$M$4,2,FALSE)</f>
        <v>The Commissioner &amp; Chief Constable are satisfied the spend represents VFM in accordance with the requirements of Category A</v>
      </c>
    </row>
    <row r="411" spans="1:13" x14ac:dyDescent="0.2">
      <c r="A411" s="56" t="s">
        <v>8</v>
      </c>
      <c r="B411" s="55" t="s">
        <v>9</v>
      </c>
      <c r="C411" s="81"/>
      <c r="D411" s="53"/>
      <c r="E411" s="52"/>
      <c r="F411" s="80"/>
      <c r="G411" s="79"/>
      <c r="H411" s="49" t="str">
        <f>IF(F411&gt;25000,"C",IF(F411&gt;1000,"B","A"))</f>
        <v>A</v>
      </c>
      <c r="I411" s="48" t="str">
        <f>VLOOKUP(H411,$L$2:$M$4,2,FALSE)</f>
        <v>The Commissioner &amp; Chief Constable are satisfied the spend represents VFM in accordance with the requirements of Category A</v>
      </c>
    </row>
    <row r="412" spans="1:13" x14ac:dyDescent="0.2">
      <c r="A412" s="56" t="s">
        <v>8</v>
      </c>
      <c r="B412" s="55" t="s">
        <v>9</v>
      </c>
      <c r="C412" s="81"/>
      <c r="D412" s="53"/>
      <c r="E412" s="52"/>
      <c r="F412" s="80"/>
      <c r="G412" s="79"/>
      <c r="H412" s="49" t="str">
        <f>IF(F412&gt;25000,"C",IF(F412&gt;1000,"B","A"))</f>
        <v>A</v>
      </c>
      <c r="I412" s="48" t="str">
        <f>VLOOKUP(H412,$L$2:$M$4,2,FALSE)</f>
        <v>The Commissioner &amp; Chief Constable are satisfied the spend represents VFM in accordance with the requirements of Category A</v>
      </c>
    </row>
    <row r="413" spans="1:13" x14ac:dyDescent="0.2">
      <c r="A413" s="56" t="s">
        <v>8</v>
      </c>
      <c r="B413" s="55" t="s">
        <v>9</v>
      </c>
      <c r="C413" s="81"/>
      <c r="D413" s="53"/>
      <c r="E413" s="52"/>
      <c r="F413" s="80"/>
      <c r="G413" s="79"/>
      <c r="H413" s="49" t="str">
        <f>IF(F413&gt;25000,"C",IF(F413&gt;1000,"B","A"))</f>
        <v>A</v>
      </c>
      <c r="I413" s="48" t="str">
        <f>VLOOKUP(H413,$L$2:$M$4,2,FALSE)</f>
        <v>The Commissioner &amp; Chief Constable are satisfied the spend represents VFM in accordance with the requirements of Category A</v>
      </c>
    </row>
    <row r="414" spans="1:13" x14ac:dyDescent="0.2">
      <c r="A414" s="56" t="s">
        <v>8</v>
      </c>
      <c r="B414" s="55" t="s">
        <v>9</v>
      </c>
      <c r="C414" s="81"/>
      <c r="D414" s="53"/>
      <c r="E414" s="52"/>
      <c r="F414" s="80"/>
      <c r="G414" s="79"/>
      <c r="H414" s="49" t="str">
        <f>IF(F414&gt;25000,"C",IF(F414&gt;1000,"B","A"))</f>
        <v>A</v>
      </c>
      <c r="I414" s="48" t="str">
        <f>VLOOKUP(H414,$L$2:$M$4,2,FALSE)</f>
        <v>The Commissioner &amp; Chief Constable are satisfied the spend represents VFM in accordance with the requirements of Category A</v>
      </c>
    </row>
    <row r="415" spans="1:13" x14ac:dyDescent="0.2">
      <c r="A415" s="56" t="s">
        <v>8</v>
      </c>
      <c r="B415" s="55" t="s">
        <v>9</v>
      </c>
      <c r="C415" s="81"/>
      <c r="D415" s="53"/>
      <c r="E415" s="52"/>
      <c r="F415" s="80"/>
      <c r="G415" s="79"/>
      <c r="H415" s="49" t="str">
        <f>IF(F415&gt;25000,"C",IF(F415&gt;1000,"B","A"))</f>
        <v>A</v>
      </c>
      <c r="I415" s="48" t="str">
        <f>VLOOKUP(H415,$L$2:$M$4,2,FALSE)</f>
        <v>The Commissioner &amp; Chief Constable are satisfied the spend represents VFM in accordance with the requirements of Category A</v>
      </c>
    </row>
    <row r="416" spans="1:13" x14ac:dyDescent="0.2">
      <c r="A416" s="56" t="s">
        <v>8</v>
      </c>
      <c r="B416" s="55" t="s">
        <v>9</v>
      </c>
      <c r="C416" s="81"/>
      <c r="D416" s="53"/>
      <c r="E416" s="52"/>
      <c r="F416" s="80"/>
      <c r="G416" s="79"/>
      <c r="H416" s="49" t="str">
        <f>IF(F416&gt;25000,"C",IF(F416&gt;1000,"B","A"))</f>
        <v>A</v>
      </c>
      <c r="I416" s="48" t="str">
        <f>VLOOKUP(H416,$L$2:$M$4,2,FALSE)</f>
        <v>The Commissioner &amp; Chief Constable are satisfied the spend represents VFM in accordance with the requirements of Category A</v>
      </c>
    </row>
    <row r="417" spans="1:9" x14ac:dyDescent="0.2">
      <c r="A417" s="56" t="s">
        <v>8</v>
      </c>
      <c r="B417" s="55" t="s">
        <v>9</v>
      </c>
      <c r="C417" s="81"/>
      <c r="D417" s="53"/>
      <c r="E417" s="52"/>
      <c r="F417" s="80"/>
      <c r="G417" s="79"/>
      <c r="H417" s="49" t="str">
        <f>IF(F417&gt;25000,"C",IF(F417&gt;1000,"B","A"))</f>
        <v>A</v>
      </c>
      <c r="I417" s="48" t="str">
        <f>VLOOKUP(H417,$L$2:$M$4,2,FALSE)</f>
        <v>The Commissioner &amp; Chief Constable are satisfied the spend represents VFM in accordance with the requirements of Category A</v>
      </c>
    </row>
    <row r="418" spans="1:9" x14ac:dyDescent="0.2">
      <c r="A418" s="56" t="s">
        <v>8</v>
      </c>
      <c r="B418" s="55" t="s">
        <v>9</v>
      </c>
      <c r="C418" s="81"/>
      <c r="D418" s="53"/>
      <c r="E418" s="52"/>
      <c r="F418" s="80"/>
      <c r="G418" s="79"/>
      <c r="H418" s="49" t="str">
        <f>IF(F418&gt;25000,"C",IF(F418&gt;1000,"B","A"))</f>
        <v>A</v>
      </c>
      <c r="I418" s="48" t="str">
        <f>VLOOKUP(H418,$L$2:$M$4,2,FALSE)</f>
        <v>The Commissioner &amp; Chief Constable are satisfied the spend represents VFM in accordance with the requirements of Category A</v>
      </c>
    </row>
    <row r="419" spans="1:9" x14ac:dyDescent="0.2">
      <c r="A419" s="56" t="s">
        <v>8</v>
      </c>
      <c r="B419" s="55" t="s">
        <v>9</v>
      </c>
      <c r="C419" s="81"/>
      <c r="D419" s="53"/>
      <c r="E419" s="52"/>
      <c r="F419" s="80"/>
      <c r="G419" s="79"/>
      <c r="H419" s="49" t="str">
        <f>IF(F419&gt;25000,"C",IF(F419&gt;1000,"B","A"))</f>
        <v>A</v>
      </c>
      <c r="I419" s="48" t="str">
        <f>VLOOKUP(H419,$L$2:$M$4,2,FALSE)</f>
        <v>The Commissioner &amp; Chief Constable are satisfied the spend represents VFM in accordance with the requirements of Category A</v>
      </c>
    </row>
    <row r="420" spans="1:9" x14ac:dyDescent="0.2">
      <c r="A420" s="56" t="s">
        <v>8</v>
      </c>
      <c r="B420" s="55" t="s">
        <v>9</v>
      </c>
      <c r="C420" s="81"/>
      <c r="D420" s="53"/>
      <c r="E420" s="52"/>
      <c r="F420" s="80"/>
      <c r="G420" s="79"/>
      <c r="H420" s="49" t="str">
        <f>IF(F420&gt;25000,"C",IF(F420&gt;1000,"B","A"))</f>
        <v>A</v>
      </c>
      <c r="I420" s="48" t="str">
        <f>VLOOKUP(H420,$L$2:$M$4,2,FALSE)</f>
        <v>The Commissioner &amp; Chief Constable are satisfied the spend represents VFM in accordance with the requirements of Category A</v>
      </c>
    </row>
    <row r="421" spans="1:9" x14ac:dyDescent="0.2">
      <c r="A421" s="56" t="s">
        <v>8</v>
      </c>
      <c r="B421" s="55" t="s">
        <v>9</v>
      </c>
      <c r="C421" s="81"/>
      <c r="D421" s="53"/>
      <c r="E421" s="52"/>
      <c r="F421" s="80"/>
      <c r="G421" s="79"/>
      <c r="H421" s="49" t="str">
        <f>IF(F421&gt;25000,"C",IF(F421&gt;1000,"B","A"))</f>
        <v>A</v>
      </c>
      <c r="I421" s="48" t="str">
        <f>VLOOKUP(H421,$L$2:$M$4,2,FALSE)</f>
        <v>The Commissioner &amp; Chief Constable are satisfied the spend represents VFM in accordance with the requirements of Category A</v>
      </c>
    </row>
    <row r="422" spans="1:9" x14ac:dyDescent="0.2">
      <c r="A422" s="56" t="s">
        <v>8</v>
      </c>
      <c r="B422" s="55" t="s">
        <v>9</v>
      </c>
      <c r="C422" s="81"/>
      <c r="D422" s="53"/>
      <c r="E422" s="52"/>
      <c r="F422" s="80"/>
      <c r="G422" s="79"/>
      <c r="H422" s="49" t="str">
        <f>IF(F422&gt;25000,"C",IF(F422&gt;1000,"B","A"))</f>
        <v>A</v>
      </c>
      <c r="I422" s="48" t="str">
        <f>VLOOKUP(H422,$L$2:$M$4,2,FALSE)</f>
        <v>The Commissioner &amp; Chief Constable are satisfied the spend represents VFM in accordance with the requirements of Category A</v>
      </c>
    </row>
    <row r="423" spans="1:9" x14ac:dyDescent="0.2">
      <c r="A423" s="56" t="s">
        <v>8</v>
      </c>
      <c r="B423" s="55" t="s">
        <v>9</v>
      </c>
      <c r="C423" s="81"/>
      <c r="D423" s="53"/>
      <c r="E423" s="52"/>
      <c r="F423" s="80"/>
      <c r="G423" s="79"/>
      <c r="H423" s="49" t="str">
        <f>IF(F423&gt;25000,"C",IF(F423&gt;1000,"B","A"))</f>
        <v>A</v>
      </c>
      <c r="I423" s="48" t="str">
        <f>VLOOKUP(H423,$L$2:$M$4,2,FALSE)</f>
        <v>The Commissioner &amp; Chief Constable are satisfied the spend represents VFM in accordance with the requirements of Category A</v>
      </c>
    </row>
    <row r="424" spans="1:9" x14ac:dyDescent="0.2">
      <c r="A424" s="56" t="s">
        <v>8</v>
      </c>
      <c r="B424" s="55" t="s">
        <v>9</v>
      </c>
      <c r="C424" s="81"/>
      <c r="D424" s="53"/>
      <c r="E424" s="52"/>
      <c r="F424" s="80"/>
      <c r="H424" s="49" t="str">
        <f>IF(F424&gt;25000,"C",IF(F424&gt;1000,"B","A"))</f>
        <v>A</v>
      </c>
      <c r="I424" s="48" t="str">
        <f>VLOOKUP(H424,$L$2:$M$4,2,FALSE)</f>
        <v>The Commissioner &amp; Chief Constable are satisfied the spend represents VFM in accordance with the requirements of Category A</v>
      </c>
    </row>
    <row r="425" spans="1:9" x14ac:dyDescent="0.2">
      <c r="A425" s="56" t="s">
        <v>8</v>
      </c>
      <c r="B425" s="55" t="s">
        <v>9</v>
      </c>
      <c r="C425" s="81"/>
      <c r="D425" s="53"/>
      <c r="E425" s="52"/>
      <c r="F425" s="80"/>
      <c r="H425" s="49" t="str">
        <f>IF(F425&gt;25000,"C",IF(F425&gt;1000,"B","A"))</f>
        <v>A</v>
      </c>
      <c r="I425" s="48" t="str">
        <f>VLOOKUP(H425,$L$2:$M$4,2,FALSE)</f>
        <v>The Commissioner &amp; Chief Constable are satisfied the spend represents VFM in accordance with the requirements of Category A</v>
      </c>
    </row>
    <row r="426" spans="1:9" x14ac:dyDescent="0.2">
      <c r="A426" s="56" t="s">
        <v>8</v>
      </c>
      <c r="B426" s="55" t="s">
        <v>9</v>
      </c>
      <c r="C426" s="81"/>
      <c r="D426" s="53"/>
      <c r="E426" s="52"/>
      <c r="F426" s="80"/>
      <c r="H426" s="49" t="str">
        <f>IF(F426&gt;25000,"C",IF(F426&gt;1000,"B","A"))</f>
        <v>A</v>
      </c>
      <c r="I426" s="48" t="str">
        <f>VLOOKUP(H426,$L$2:$M$4,2,FALSE)</f>
        <v>The Commissioner &amp; Chief Constable are satisfied the spend represents VFM in accordance with the requirements of Category A</v>
      </c>
    </row>
    <row r="427" spans="1:9" x14ac:dyDescent="0.2">
      <c r="A427" s="56" t="s">
        <v>8</v>
      </c>
      <c r="B427" s="55" t="s">
        <v>9</v>
      </c>
      <c r="C427" s="81"/>
      <c r="D427" s="53"/>
      <c r="E427" s="52"/>
      <c r="F427" s="80"/>
      <c r="H427" s="49" t="str">
        <f>IF(F427&gt;25000,"C",IF(F427&gt;1000,"B","A"))</f>
        <v>A</v>
      </c>
      <c r="I427" s="48" t="str">
        <f>VLOOKUP(H427,$L$2:$M$4,2,FALSE)</f>
        <v>The Commissioner &amp; Chief Constable are satisfied the spend represents VFM in accordance with the requirements of Category A</v>
      </c>
    </row>
    <row r="428" spans="1:9" x14ac:dyDescent="0.2">
      <c r="A428" s="56" t="s">
        <v>8</v>
      </c>
      <c r="B428" s="55" t="s">
        <v>9</v>
      </c>
      <c r="C428" s="81"/>
      <c r="D428" s="53"/>
      <c r="E428" s="52"/>
      <c r="F428" s="80"/>
      <c r="G428" s="79"/>
      <c r="H428" s="49" t="str">
        <f>IF(F428&gt;25000,"C",IF(F428&gt;1000,"B","A"))</f>
        <v>A</v>
      </c>
      <c r="I428" s="48" t="str">
        <f>VLOOKUP(H428,$L$2:$M$4,2,FALSE)</f>
        <v>The Commissioner &amp; Chief Constable are satisfied the spend represents VFM in accordance with the requirements of Category A</v>
      </c>
    </row>
    <row r="429" spans="1:9" x14ac:dyDescent="0.2">
      <c r="A429" s="56" t="s">
        <v>8</v>
      </c>
      <c r="B429" s="55" t="s">
        <v>9</v>
      </c>
      <c r="C429" s="81"/>
      <c r="D429" s="53"/>
      <c r="E429" s="52"/>
      <c r="F429" s="80"/>
      <c r="G429" s="79"/>
      <c r="H429" s="49" t="str">
        <f>IF(F429&gt;25000,"C",IF(F429&gt;1000,"B","A"))</f>
        <v>A</v>
      </c>
      <c r="I429" s="48" t="str">
        <f>VLOOKUP(H429,$L$2:$M$4,2,FALSE)</f>
        <v>The Commissioner &amp; Chief Constable are satisfied the spend represents VFM in accordance with the requirements of Category A</v>
      </c>
    </row>
    <row r="430" spans="1:9" x14ac:dyDescent="0.2">
      <c r="A430" s="56" t="s">
        <v>8</v>
      </c>
      <c r="B430" s="55" t="s">
        <v>9</v>
      </c>
      <c r="C430" s="81"/>
      <c r="D430" s="53"/>
      <c r="E430" s="52"/>
      <c r="F430" s="80"/>
      <c r="G430" s="79"/>
      <c r="H430" s="49" t="str">
        <f>IF(F430&gt;25000,"C",IF(F430&gt;1000,"B","A"))</f>
        <v>A</v>
      </c>
      <c r="I430" s="48" t="str">
        <f>VLOOKUP(H430,$L$2:$M$4,2,FALSE)</f>
        <v>The Commissioner &amp; Chief Constable are satisfied the spend represents VFM in accordance with the requirements of Category A</v>
      </c>
    </row>
    <row r="431" spans="1:9" x14ac:dyDescent="0.2">
      <c r="A431" s="56" t="s">
        <v>8</v>
      </c>
      <c r="B431" s="55" t="s">
        <v>9</v>
      </c>
      <c r="C431" s="81"/>
      <c r="D431" s="53"/>
      <c r="E431" s="52"/>
      <c r="F431" s="80"/>
      <c r="G431" s="79"/>
      <c r="H431" s="49" t="str">
        <f>IF(F431&gt;25000,"C",IF(F431&gt;1000,"B","A"))</f>
        <v>A</v>
      </c>
      <c r="I431" s="48" t="str">
        <f>VLOOKUP(H431,$L$2:$M$4,2,FALSE)</f>
        <v>The Commissioner &amp; Chief Constable are satisfied the spend represents VFM in accordance with the requirements of Category A</v>
      </c>
    </row>
    <row r="432" spans="1:9" x14ac:dyDescent="0.2">
      <c r="A432" s="56" t="s">
        <v>8</v>
      </c>
      <c r="B432" s="55" t="s">
        <v>9</v>
      </c>
      <c r="C432" s="81"/>
      <c r="D432" s="53"/>
      <c r="E432" s="52"/>
      <c r="F432" s="80"/>
      <c r="G432" s="79"/>
      <c r="H432" s="49" t="str">
        <f>IF(F432&gt;25000,"C",IF(F432&gt;1000,"B","A"))</f>
        <v>A</v>
      </c>
      <c r="I432" s="48" t="str">
        <f>VLOOKUP(H432,$L$2:$M$4,2,FALSE)</f>
        <v>The Commissioner &amp; Chief Constable are satisfied the spend represents VFM in accordance with the requirements of Category A</v>
      </c>
    </row>
    <row r="433" spans="1:9" x14ac:dyDescent="0.2">
      <c r="A433" s="56" t="s">
        <v>8</v>
      </c>
      <c r="B433" s="55" t="s">
        <v>9</v>
      </c>
      <c r="C433" s="81"/>
      <c r="D433" s="53"/>
      <c r="E433" s="52"/>
      <c r="F433" s="80"/>
      <c r="G433" s="79"/>
      <c r="H433" s="49" t="str">
        <f>IF(F433&gt;25000,"C",IF(F433&gt;1000,"B","A"))</f>
        <v>A</v>
      </c>
      <c r="I433" s="48" t="str">
        <f>VLOOKUP(H433,$L$2:$M$4,2,FALSE)</f>
        <v>The Commissioner &amp; Chief Constable are satisfied the spend represents VFM in accordance with the requirements of Category A</v>
      </c>
    </row>
    <row r="434" spans="1:9" x14ac:dyDescent="0.2">
      <c r="A434" s="56" t="s">
        <v>8</v>
      </c>
      <c r="B434" s="55" t="s">
        <v>9</v>
      </c>
      <c r="C434" s="81"/>
      <c r="D434" s="53"/>
      <c r="E434" s="52"/>
      <c r="F434" s="80"/>
      <c r="G434" s="79"/>
      <c r="H434" s="49" t="str">
        <f>IF(F434&gt;25000,"C",IF(F434&gt;1000,"B","A"))</f>
        <v>A</v>
      </c>
      <c r="I434" s="48" t="str">
        <f>VLOOKUP(H434,$L$2:$M$4,2,FALSE)</f>
        <v>The Commissioner &amp; Chief Constable are satisfied the spend represents VFM in accordance with the requirements of Category A</v>
      </c>
    </row>
    <row r="435" spans="1:9" x14ac:dyDescent="0.2">
      <c r="A435" s="56" t="s">
        <v>8</v>
      </c>
      <c r="B435" s="55" t="s">
        <v>9</v>
      </c>
      <c r="C435" s="81"/>
      <c r="D435" s="53"/>
      <c r="E435" s="52"/>
      <c r="F435" s="80"/>
      <c r="G435" s="79"/>
      <c r="H435" s="49" t="str">
        <f>IF(F435&gt;25000,"C",IF(F435&gt;1000,"B","A"))</f>
        <v>A</v>
      </c>
      <c r="I435" s="48" t="str">
        <f>VLOOKUP(H435,$L$2:$M$4,2,FALSE)</f>
        <v>The Commissioner &amp; Chief Constable are satisfied the spend represents VFM in accordance with the requirements of Category A</v>
      </c>
    </row>
    <row r="436" spans="1:9" x14ac:dyDescent="0.2">
      <c r="A436" s="56" t="s">
        <v>8</v>
      </c>
      <c r="B436" s="55" t="s">
        <v>9</v>
      </c>
      <c r="C436" s="81"/>
      <c r="D436" s="53"/>
      <c r="E436" s="52"/>
      <c r="F436" s="80"/>
      <c r="G436" s="79"/>
      <c r="H436" s="49" t="str">
        <f>IF(F436&gt;25000,"C",IF(F436&gt;1000,"B","A"))</f>
        <v>A</v>
      </c>
      <c r="I436" s="48" t="str">
        <f>VLOOKUP(H436,$L$2:$M$4,2,FALSE)</f>
        <v>The Commissioner &amp; Chief Constable are satisfied the spend represents VFM in accordance with the requirements of Category A</v>
      </c>
    </row>
    <row r="437" spans="1:9" x14ac:dyDescent="0.2">
      <c r="A437" s="56" t="s">
        <v>8</v>
      </c>
      <c r="B437" s="55" t="s">
        <v>9</v>
      </c>
      <c r="C437" s="81"/>
      <c r="D437" s="53"/>
      <c r="E437" s="52"/>
      <c r="F437" s="80"/>
      <c r="G437" s="79"/>
      <c r="H437" s="49" t="str">
        <f>IF(F437&gt;25000,"C",IF(F437&gt;1000,"B","A"))</f>
        <v>A</v>
      </c>
      <c r="I437" s="48" t="str">
        <f>VLOOKUP(H437,$L$2:$M$4,2,FALSE)</f>
        <v>The Commissioner &amp; Chief Constable are satisfied the spend represents VFM in accordance with the requirements of Category A</v>
      </c>
    </row>
    <row r="438" spans="1:9" x14ac:dyDescent="0.2">
      <c r="A438" s="56" t="s">
        <v>8</v>
      </c>
      <c r="B438" s="55" t="s">
        <v>9</v>
      </c>
      <c r="C438" s="81"/>
      <c r="D438" s="53"/>
      <c r="E438" s="52"/>
      <c r="F438" s="80"/>
      <c r="G438" s="79"/>
      <c r="H438" s="49" t="str">
        <f>IF(F438&gt;25000,"C",IF(F438&gt;1000,"B","A"))</f>
        <v>A</v>
      </c>
      <c r="I438" s="48" t="str">
        <f>VLOOKUP(H438,$L$2:$M$4,2,FALSE)</f>
        <v>The Commissioner &amp; Chief Constable are satisfied the spend represents VFM in accordance with the requirements of Category A</v>
      </c>
    </row>
    <row r="439" spans="1:9" x14ac:dyDescent="0.2">
      <c r="A439" s="56" t="s">
        <v>8</v>
      </c>
      <c r="B439" s="55" t="s">
        <v>9</v>
      </c>
      <c r="C439" s="81"/>
      <c r="D439" s="53"/>
      <c r="E439" s="52"/>
      <c r="F439" s="80"/>
      <c r="G439" s="79"/>
      <c r="H439" s="49" t="str">
        <f>IF(F439&gt;25000,"C",IF(F439&gt;1000,"B","A"))</f>
        <v>A</v>
      </c>
      <c r="I439" s="48" t="str">
        <f>VLOOKUP(H439,$L$2:$M$4,2,FALSE)</f>
        <v>The Commissioner &amp; Chief Constable are satisfied the spend represents VFM in accordance with the requirements of Category A</v>
      </c>
    </row>
    <row r="440" spans="1:9" x14ac:dyDescent="0.2">
      <c r="A440" s="56" t="s">
        <v>8</v>
      </c>
      <c r="B440" s="55" t="s">
        <v>9</v>
      </c>
      <c r="C440" s="81"/>
      <c r="D440" s="53"/>
      <c r="E440" s="52"/>
      <c r="F440" s="80"/>
      <c r="G440" s="79"/>
      <c r="H440" s="49" t="str">
        <f>IF(F440&gt;25000,"C",IF(F440&gt;1000,"B","A"))</f>
        <v>A</v>
      </c>
      <c r="I440" s="48" t="str">
        <f>VLOOKUP(H440,$L$2:$M$4,2,FALSE)</f>
        <v>The Commissioner &amp; Chief Constable are satisfied the spend represents VFM in accordance with the requirements of Category A</v>
      </c>
    </row>
    <row r="441" spans="1:9" x14ac:dyDescent="0.2">
      <c r="A441" s="56" t="s">
        <v>8</v>
      </c>
      <c r="B441" s="55" t="s">
        <v>9</v>
      </c>
      <c r="C441" s="81"/>
      <c r="D441" s="53"/>
      <c r="E441" s="52"/>
      <c r="F441" s="80"/>
      <c r="G441" s="79"/>
      <c r="H441" s="49" t="str">
        <f>IF(F441&gt;25000,"C",IF(F441&gt;1000,"B","A"))</f>
        <v>A</v>
      </c>
      <c r="I441" s="48" t="str">
        <f>VLOOKUP(H441,$L$2:$M$4,2,FALSE)</f>
        <v>The Commissioner &amp; Chief Constable are satisfied the spend represents VFM in accordance with the requirements of Category A</v>
      </c>
    </row>
    <row r="442" spans="1:9" x14ac:dyDescent="0.2">
      <c r="A442" s="56" t="s">
        <v>8</v>
      </c>
      <c r="B442" s="55" t="s">
        <v>9</v>
      </c>
      <c r="C442" s="81"/>
      <c r="D442" s="53"/>
      <c r="E442" s="52"/>
      <c r="F442" s="80"/>
      <c r="G442" s="79"/>
      <c r="H442" s="49" t="str">
        <f>IF(F442&gt;25000,"C",IF(F442&gt;1000,"B","A"))</f>
        <v>A</v>
      </c>
      <c r="I442" s="48" t="str">
        <f>VLOOKUP(H442,$L$2:$M$4,2,FALSE)</f>
        <v>The Commissioner &amp; Chief Constable are satisfied the spend represents VFM in accordance with the requirements of Category A</v>
      </c>
    </row>
    <row r="443" spans="1:9" x14ac:dyDescent="0.2">
      <c r="A443" s="56" t="s">
        <v>8</v>
      </c>
      <c r="B443" s="55" t="s">
        <v>9</v>
      </c>
      <c r="C443" s="81"/>
      <c r="D443" s="53"/>
      <c r="E443" s="52"/>
      <c r="F443" s="80"/>
      <c r="G443" s="79"/>
      <c r="H443" s="49" t="str">
        <f>IF(F443&gt;25000,"C",IF(F443&gt;1000,"B","A"))</f>
        <v>A</v>
      </c>
      <c r="I443" s="48" t="str">
        <f>VLOOKUP(H443,$L$2:$M$4,2,FALSE)</f>
        <v>The Commissioner &amp; Chief Constable are satisfied the spend represents VFM in accordance with the requirements of Category A</v>
      </c>
    </row>
    <row r="444" spans="1:9" x14ac:dyDescent="0.2">
      <c r="A444" s="56" t="s">
        <v>8</v>
      </c>
      <c r="B444" s="55" t="s">
        <v>9</v>
      </c>
      <c r="C444" s="81"/>
      <c r="D444" s="53"/>
      <c r="E444" s="52"/>
      <c r="F444" s="80"/>
      <c r="G444" s="79"/>
      <c r="H444" s="49" t="str">
        <f>IF(F444&gt;25000,"C",IF(F444&gt;1000,"B","A"))</f>
        <v>A</v>
      </c>
      <c r="I444" s="48" t="str">
        <f>VLOOKUP(H444,$L$2:$M$4,2,FALSE)</f>
        <v>The Commissioner &amp; Chief Constable are satisfied the spend represents VFM in accordance with the requirements of Category A</v>
      </c>
    </row>
    <row r="445" spans="1:9" x14ac:dyDescent="0.2">
      <c r="A445" s="56" t="s">
        <v>8</v>
      </c>
      <c r="B445" s="55" t="s">
        <v>9</v>
      </c>
      <c r="C445" s="81"/>
      <c r="D445" s="53"/>
      <c r="E445" s="52"/>
      <c r="F445" s="80"/>
      <c r="G445" s="79"/>
      <c r="H445" s="49" t="str">
        <f>IF(F445&gt;25000,"C",IF(F445&gt;1000,"B","A"))</f>
        <v>A</v>
      </c>
      <c r="I445" s="48" t="str">
        <f>VLOOKUP(H445,$L$2:$M$4,2,FALSE)</f>
        <v>The Commissioner &amp; Chief Constable are satisfied the spend represents VFM in accordance with the requirements of Category A</v>
      </c>
    </row>
    <row r="446" spans="1:9" x14ac:dyDescent="0.2">
      <c r="A446" s="56" t="s">
        <v>8</v>
      </c>
      <c r="B446" s="55" t="s">
        <v>9</v>
      </c>
      <c r="C446" s="81"/>
      <c r="D446" s="53"/>
      <c r="E446" s="52"/>
      <c r="F446" s="80"/>
      <c r="G446" s="79"/>
      <c r="H446" s="49" t="str">
        <f>IF(F446&gt;25000,"C",IF(F446&gt;1000,"B","A"))</f>
        <v>A</v>
      </c>
      <c r="I446" s="48" t="str">
        <f>VLOOKUP(H446,$L$2:$M$4,2,FALSE)</f>
        <v>The Commissioner &amp; Chief Constable are satisfied the spend represents VFM in accordance with the requirements of Category A</v>
      </c>
    </row>
    <row r="447" spans="1:9" x14ac:dyDescent="0.2">
      <c r="A447" s="56" t="s">
        <v>8</v>
      </c>
      <c r="B447" s="55" t="s">
        <v>9</v>
      </c>
      <c r="C447" s="81"/>
      <c r="D447" s="53"/>
      <c r="E447" s="52"/>
      <c r="F447" s="80"/>
      <c r="G447" s="79"/>
      <c r="H447" s="49" t="str">
        <f>IF(F447&gt;25000,"C",IF(F447&gt;1000,"B","A"))</f>
        <v>A</v>
      </c>
      <c r="I447" s="48" t="str">
        <f>VLOOKUP(H447,$L$2:$M$4,2,FALSE)</f>
        <v>The Commissioner &amp; Chief Constable are satisfied the spend represents VFM in accordance with the requirements of Category A</v>
      </c>
    </row>
    <row r="448" spans="1:9" x14ac:dyDescent="0.2">
      <c r="A448" s="56" t="s">
        <v>8</v>
      </c>
      <c r="B448" s="55" t="s">
        <v>9</v>
      </c>
      <c r="C448" s="81"/>
      <c r="D448" s="53"/>
      <c r="E448" s="52"/>
      <c r="F448" s="80"/>
      <c r="G448" s="79"/>
      <c r="H448" s="49" t="str">
        <f>IF(F448&gt;25000,"C",IF(F448&gt;1000,"B","A"))</f>
        <v>A</v>
      </c>
      <c r="I448" s="48" t="str">
        <f>VLOOKUP(H448,$L$2:$M$4,2,FALSE)</f>
        <v>The Commissioner &amp; Chief Constable are satisfied the spend represents VFM in accordance with the requirements of Category A</v>
      </c>
    </row>
    <row r="449" spans="1:9" x14ac:dyDescent="0.2">
      <c r="A449" s="56" t="s">
        <v>8</v>
      </c>
      <c r="B449" s="55" t="s">
        <v>9</v>
      </c>
      <c r="C449" s="81"/>
      <c r="D449" s="53"/>
      <c r="E449" s="52"/>
      <c r="F449" s="80"/>
      <c r="G449" s="79"/>
      <c r="H449" s="49" t="str">
        <f>IF(F449&gt;25000,"C",IF(F449&gt;1000,"B","A"))</f>
        <v>A</v>
      </c>
      <c r="I449" s="48" t="str">
        <f>VLOOKUP(H449,$L$2:$M$4,2,FALSE)</f>
        <v>The Commissioner &amp; Chief Constable are satisfied the spend represents VFM in accordance with the requirements of Category A</v>
      </c>
    </row>
    <row r="450" spans="1:9" x14ac:dyDescent="0.2">
      <c r="A450" s="56" t="s">
        <v>8</v>
      </c>
      <c r="B450" s="55" t="s">
        <v>9</v>
      </c>
      <c r="C450" s="81"/>
      <c r="D450" s="53"/>
      <c r="E450" s="52"/>
      <c r="F450" s="80"/>
      <c r="G450" s="79"/>
      <c r="H450" s="49" t="str">
        <f>IF(F450&gt;25000,"C",IF(F450&gt;1000,"B","A"))</f>
        <v>A</v>
      </c>
      <c r="I450" s="48" t="str">
        <f>VLOOKUP(H450,$L$2:$M$4,2,FALSE)</f>
        <v>The Commissioner &amp; Chief Constable are satisfied the spend represents VFM in accordance with the requirements of Category A</v>
      </c>
    </row>
    <row r="451" spans="1:9" x14ac:dyDescent="0.2">
      <c r="A451" s="56" t="s">
        <v>8</v>
      </c>
      <c r="B451" s="55" t="s">
        <v>9</v>
      </c>
      <c r="C451" s="81"/>
      <c r="D451" s="53"/>
      <c r="E451" s="52"/>
      <c r="F451" s="80"/>
      <c r="G451" s="79"/>
      <c r="H451" s="49" t="str">
        <f>IF(F451&gt;25000,"C",IF(F451&gt;1000,"B","A"))</f>
        <v>A</v>
      </c>
      <c r="I451" s="48" t="str">
        <f>VLOOKUP(H451,$L$2:$M$4,2,FALSE)</f>
        <v>The Commissioner &amp; Chief Constable are satisfied the spend represents VFM in accordance with the requirements of Category A</v>
      </c>
    </row>
    <row r="452" spans="1:9" x14ac:dyDescent="0.2">
      <c r="A452" s="56" t="s">
        <v>8</v>
      </c>
      <c r="B452" s="55" t="s">
        <v>9</v>
      </c>
      <c r="C452" s="81"/>
      <c r="D452" s="53"/>
      <c r="E452" s="52"/>
      <c r="F452" s="80"/>
      <c r="G452" s="79"/>
      <c r="H452" s="49" t="str">
        <f>IF(F452&gt;25000,"C",IF(F452&gt;1000,"B","A"))</f>
        <v>A</v>
      </c>
      <c r="I452" s="48" t="str">
        <f>VLOOKUP(H452,$L$2:$M$4,2,FALSE)</f>
        <v>The Commissioner &amp; Chief Constable are satisfied the spend represents VFM in accordance with the requirements of Category A</v>
      </c>
    </row>
    <row r="453" spans="1:9" x14ac:dyDescent="0.2">
      <c r="A453" s="56" t="s">
        <v>8</v>
      </c>
      <c r="B453" s="55" t="s">
        <v>9</v>
      </c>
      <c r="C453" s="81"/>
      <c r="D453" s="53"/>
      <c r="E453" s="52"/>
      <c r="F453" s="80"/>
      <c r="G453" s="79"/>
      <c r="H453" s="49" t="str">
        <f>IF(F453&gt;25000,"C",IF(F453&gt;1000,"B","A"))</f>
        <v>A</v>
      </c>
      <c r="I453" s="48" t="str">
        <f>VLOOKUP(H453,$L$2:$M$4,2,FALSE)</f>
        <v>The Commissioner &amp; Chief Constable are satisfied the spend represents VFM in accordance with the requirements of Category A</v>
      </c>
    </row>
    <row r="454" spans="1:9" x14ac:dyDescent="0.2">
      <c r="A454" s="56" t="s">
        <v>8</v>
      </c>
      <c r="B454" s="55" t="s">
        <v>9</v>
      </c>
      <c r="C454" s="81"/>
      <c r="D454" s="53"/>
      <c r="E454" s="52"/>
      <c r="F454" s="80"/>
      <c r="G454" s="79"/>
      <c r="H454" s="49" t="str">
        <f>IF(F454&gt;25000,"C",IF(F454&gt;1000,"B","A"))</f>
        <v>A</v>
      </c>
      <c r="I454" s="48" t="str">
        <f>VLOOKUP(H454,$L$2:$M$4,2,FALSE)</f>
        <v>The Commissioner &amp; Chief Constable are satisfied the spend represents VFM in accordance with the requirements of Category A</v>
      </c>
    </row>
    <row r="455" spans="1:9" x14ac:dyDescent="0.2">
      <c r="A455" s="56" t="s">
        <v>8</v>
      </c>
      <c r="B455" s="55" t="s">
        <v>9</v>
      </c>
      <c r="C455" s="81"/>
      <c r="D455" s="53"/>
      <c r="E455" s="52"/>
      <c r="F455" s="80"/>
      <c r="G455" s="79"/>
      <c r="H455" s="49" t="str">
        <f>IF(F455&gt;25000,"C",IF(F455&gt;1000,"B","A"))</f>
        <v>A</v>
      </c>
      <c r="I455" s="48" t="str">
        <f>VLOOKUP(H455,$L$2:$M$4,2,FALSE)</f>
        <v>The Commissioner &amp; Chief Constable are satisfied the spend represents VFM in accordance with the requirements of Category A</v>
      </c>
    </row>
    <row r="456" spans="1:9" x14ac:dyDescent="0.2">
      <c r="A456" s="56" t="s">
        <v>8</v>
      </c>
      <c r="B456" s="55" t="s">
        <v>9</v>
      </c>
      <c r="C456" s="81"/>
      <c r="D456" s="53"/>
      <c r="E456" s="52"/>
      <c r="F456" s="80"/>
      <c r="G456" s="79"/>
      <c r="H456" s="49" t="str">
        <f>IF(F456&gt;25000,"C",IF(F456&gt;1000,"B","A"))</f>
        <v>A</v>
      </c>
      <c r="I456" s="48" t="str">
        <f>VLOOKUP(H456,$L$2:$M$4,2,FALSE)</f>
        <v>The Commissioner &amp; Chief Constable are satisfied the spend represents VFM in accordance with the requirements of Category A</v>
      </c>
    </row>
    <row r="457" spans="1:9" x14ac:dyDescent="0.2">
      <c r="A457" s="56" t="s">
        <v>8</v>
      </c>
      <c r="B457" s="55" t="s">
        <v>9</v>
      </c>
      <c r="C457" s="81"/>
      <c r="D457" s="53"/>
      <c r="E457" s="52"/>
      <c r="F457" s="80"/>
      <c r="G457" s="79"/>
      <c r="H457" s="49" t="str">
        <f>IF(F457&gt;25000,"C",IF(F457&gt;1000,"B","A"))</f>
        <v>A</v>
      </c>
      <c r="I457" s="48" t="str">
        <f>VLOOKUP(H457,$L$2:$M$4,2,FALSE)</f>
        <v>The Commissioner &amp; Chief Constable are satisfied the spend represents VFM in accordance with the requirements of Category A</v>
      </c>
    </row>
    <row r="458" spans="1:9" x14ac:dyDescent="0.2">
      <c r="A458" s="56" t="s">
        <v>8</v>
      </c>
      <c r="B458" s="55" t="s">
        <v>9</v>
      </c>
      <c r="C458" s="81"/>
      <c r="D458" s="53"/>
      <c r="E458" s="52"/>
      <c r="F458" s="80"/>
      <c r="G458" s="79"/>
      <c r="H458" s="49" t="str">
        <f>IF(F458&gt;25000,"C",IF(F458&gt;1000,"B","A"))</f>
        <v>A</v>
      </c>
      <c r="I458" s="48" t="str">
        <f>VLOOKUP(H458,$L$2:$M$4,2,FALSE)</f>
        <v>The Commissioner &amp; Chief Constable are satisfied the spend represents VFM in accordance with the requirements of Category A</v>
      </c>
    </row>
    <row r="459" spans="1:9" x14ac:dyDescent="0.2">
      <c r="A459" s="56" t="s">
        <v>8</v>
      </c>
      <c r="B459" s="55" t="s">
        <v>9</v>
      </c>
      <c r="C459" s="81"/>
      <c r="D459" s="53"/>
      <c r="E459" s="52"/>
      <c r="F459" s="80"/>
      <c r="G459" s="79"/>
      <c r="H459" s="49" t="str">
        <f>IF(F459&gt;25000,"C",IF(F459&gt;1000,"B","A"))</f>
        <v>A</v>
      </c>
      <c r="I459" s="48" t="str">
        <f>VLOOKUP(H459,$L$2:$M$4,2,FALSE)</f>
        <v>The Commissioner &amp; Chief Constable are satisfied the spend represents VFM in accordance with the requirements of Category A</v>
      </c>
    </row>
    <row r="460" spans="1:9" x14ac:dyDescent="0.2">
      <c r="A460" s="56" t="s">
        <v>8</v>
      </c>
      <c r="B460" s="55" t="s">
        <v>9</v>
      </c>
      <c r="C460" s="81"/>
      <c r="D460" s="53"/>
      <c r="E460" s="52"/>
      <c r="F460" s="80"/>
      <c r="G460" s="79"/>
      <c r="H460" s="49" t="str">
        <f>IF(F460&gt;25000,"C",IF(F460&gt;1000,"B","A"))</f>
        <v>A</v>
      </c>
      <c r="I460" s="48" t="str">
        <f>VLOOKUP(H460,$L$2:$M$4,2,FALSE)</f>
        <v>The Commissioner &amp; Chief Constable are satisfied the spend represents VFM in accordance with the requirements of Category A</v>
      </c>
    </row>
    <row r="461" spans="1:9" x14ac:dyDescent="0.2">
      <c r="A461" s="56" t="s">
        <v>8</v>
      </c>
      <c r="B461" s="55" t="s">
        <v>9</v>
      </c>
      <c r="C461" s="81"/>
      <c r="D461" s="53"/>
      <c r="E461" s="52"/>
      <c r="F461" s="80"/>
      <c r="G461" s="79"/>
      <c r="H461" s="49" t="str">
        <f>IF(F461&gt;25000,"C",IF(F461&gt;1000,"B","A"))</f>
        <v>A</v>
      </c>
      <c r="I461" s="48" t="str">
        <f>VLOOKUP(H461,$L$2:$M$4,2,FALSE)</f>
        <v>The Commissioner &amp; Chief Constable are satisfied the spend represents VFM in accordance with the requirements of Category A</v>
      </c>
    </row>
    <row r="462" spans="1:9" x14ac:dyDescent="0.2">
      <c r="A462" s="56" t="s">
        <v>8</v>
      </c>
      <c r="B462" s="55" t="s">
        <v>9</v>
      </c>
      <c r="C462" s="81"/>
      <c r="D462" s="53"/>
      <c r="E462" s="52"/>
      <c r="F462" s="80"/>
      <c r="G462" s="79"/>
      <c r="H462" s="49" t="str">
        <f>IF(F462&gt;25000,"C",IF(F462&gt;1000,"B","A"))</f>
        <v>A</v>
      </c>
      <c r="I462" s="48" t="str">
        <f>VLOOKUP(H462,$L$2:$M$4,2,FALSE)</f>
        <v>The Commissioner &amp; Chief Constable are satisfied the spend represents VFM in accordance with the requirements of Category A</v>
      </c>
    </row>
    <row r="463" spans="1:9" x14ac:dyDescent="0.2">
      <c r="A463" s="56" t="s">
        <v>8</v>
      </c>
      <c r="B463" s="55" t="s">
        <v>9</v>
      </c>
      <c r="C463" s="81"/>
      <c r="D463" s="53"/>
      <c r="E463" s="52"/>
      <c r="F463" s="80"/>
      <c r="G463" s="79"/>
      <c r="H463" s="49" t="str">
        <f>IF(F463&gt;25000,"C",IF(F463&gt;1000,"B","A"))</f>
        <v>A</v>
      </c>
      <c r="I463" s="48" t="str">
        <f>VLOOKUP(H463,$L$2:$M$4,2,FALSE)</f>
        <v>The Commissioner &amp; Chief Constable are satisfied the spend represents VFM in accordance with the requirements of Category A</v>
      </c>
    </row>
    <row r="464" spans="1:9" x14ac:dyDescent="0.2">
      <c r="A464" s="56" t="s">
        <v>8</v>
      </c>
      <c r="B464" s="55" t="s">
        <v>9</v>
      </c>
      <c r="C464" s="81"/>
      <c r="D464" s="53"/>
      <c r="E464" s="52"/>
      <c r="F464" s="80"/>
      <c r="G464" s="79"/>
      <c r="H464" s="49" t="str">
        <f>IF(F464&gt;25000,"C",IF(F464&gt;1000,"B","A"))</f>
        <v>A</v>
      </c>
      <c r="I464" s="48" t="str">
        <f>VLOOKUP(H464,$L$2:$M$4,2,FALSE)</f>
        <v>The Commissioner &amp; Chief Constable are satisfied the spend represents VFM in accordance with the requirements of Category A</v>
      </c>
    </row>
    <row r="465" spans="1:9" x14ac:dyDescent="0.2">
      <c r="A465" s="56" t="s">
        <v>8</v>
      </c>
      <c r="B465" s="55" t="s">
        <v>9</v>
      </c>
      <c r="C465" s="81"/>
      <c r="D465" s="53"/>
      <c r="E465" s="52"/>
      <c r="F465" s="80"/>
      <c r="G465" s="79"/>
      <c r="H465" s="49" t="str">
        <f>IF(F465&gt;25000,"C",IF(F465&gt;1000,"B","A"))</f>
        <v>A</v>
      </c>
      <c r="I465" s="48" t="str">
        <f>VLOOKUP(H465,$L$2:$M$4,2,FALSE)</f>
        <v>The Commissioner &amp; Chief Constable are satisfied the spend represents VFM in accordance with the requirements of Category A</v>
      </c>
    </row>
    <row r="466" spans="1:9" x14ac:dyDescent="0.2">
      <c r="A466" s="56" t="s">
        <v>8</v>
      </c>
      <c r="B466" s="55" t="s">
        <v>9</v>
      </c>
      <c r="C466" s="81"/>
      <c r="D466" s="53"/>
      <c r="E466" s="52"/>
      <c r="F466" s="80"/>
      <c r="G466" s="79"/>
      <c r="H466" s="49" t="str">
        <f>IF(F466&gt;25000,"C",IF(F466&gt;1000,"B","A"))</f>
        <v>A</v>
      </c>
      <c r="I466" s="48" t="str">
        <f>VLOOKUP(H466,$L$2:$M$4,2,FALSE)</f>
        <v>The Commissioner &amp; Chief Constable are satisfied the spend represents VFM in accordance with the requirements of Category A</v>
      </c>
    </row>
    <row r="467" spans="1:9" x14ac:dyDescent="0.2">
      <c r="A467" s="56" t="s">
        <v>8</v>
      </c>
      <c r="B467" s="55" t="s">
        <v>9</v>
      </c>
      <c r="C467" s="81"/>
      <c r="D467" s="53"/>
      <c r="E467" s="52"/>
      <c r="F467" s="80"/>
      <c r="G467" s="79"/>
      <c r="H467" s="49" t="str">
        <f>IF(F467&gt;25000,"C",IF(F467&gt;1000,"B","A"))</f>
        <v>A</v>
      </c>
      <c r="I467" s="48" t="str">
        <f>VLOOKUP(H467,$L$2:$M$4,2,FALSE)</f>
        <v>The Commissioner &amp; Chief Constable are satisfied the spend represents VFM in accordance with the requirements of Category A</v>
      </c>
    </row>
    <row r="468" spans="1:9" x14ac:dyDescent="0.2">
      <c r="A468" s="56" t="s">
        <v>8</v>
      </c>
      <c r="B468" s="55" t="s">
        <v>9</v>
      </c>
      <c r="C468" s="81"/>
      <c r="D468" s="53"/>
      <c r="E468" s="52"/>
      <c r="F468" s="80"/>
      <c r="G468" s="79"/>
      <c r="H468" s="49" t="str">
        <f>IF(F468&gt;25000,"C",IF(F468&gt;1000,"B","A"))</f>
        <v>A</v>
      </c>
      <c r="I468" s="48" t="str">
        <f>VLOOKUP(H468,$L$2:$M$4,2,FALSE)</f>
        <v>The Commissioner &amp; Chief Constable are satisfied the spend represents VFM in accordance with the requirements of Category A</v>
      </c>
    </row>
    <row r="469" spans="1:9" x14ac:dyDescent="0.2">
      <c r="A469" s="56" t="s">
        <v>8</v>
      </c>
      <c r="B469" s="55" t="s">
        <v>9</v>
      </c>
      <c r="C469" s="81"/>
      <c r="D469" s="53"/>
      <c r="E469" s="52"/>
      <c r="F469" s="80"/>
      <c r="G469" s="79"/>
      <c r="H469" s="49" t="str">
        <f>IF(F469&gt;25000,"C",IF(F469&gt;1000,"B","A"))</f>
        <v>A</v>
      </c>
      <c r="I469" s="48" t="str">
        <f>VLOOKUP(H469,$L$2:$M$4,2,FALSE)</f>
        <v>The Commissioner &amp; Chief Constable are satisfied the spend represents VFM in accordance with the requirements of Category A</v>
      </c>
    </row>
    <row r="470" spans="1:9" x14ac:dyDescent="0.2">
      <c r="A470" s="56" t="s">
        <v>8</v>
      </c>
      <c r="B470" s="55" t="s">
        <v>9</v>
      </c>
      <c r="C470" s="81"/>
      <c r="D470" s="53"/>
      <c r="E470" s="52"/>
      <c r="F470" s="80"/>
      <c r="G470" s="79"/>
      <c r="H470" s="49" t="str">
        <f>IF(F470&gt;25000,"C",IF(F470&gt;1000,"B","A"))</f>
        <v>A</v>
      </c>
      <c r="I470" s="48" t="str">
        <f>VLOOKUP(H470,$L$2:$M$4,2,FALSE)</f>
        <v>The Commissioner &amp; Chief Constable are satisfied the spend represents VFM in accordance with the requirements of Category A</v>
      </c>
    </row>
  </sheetData>
  <autoFilter ref="A1:M470" xr:uid="{BE9E9534-A0E5-4AD3-828F-595631460A30}"/>
  <pageMargins left="0.39370078740157483" right="0.39370078740157483" top="0.47244094488188981" bottom="0.39370078740157483" header="0.23622047244094491" footer="0.23622047244094491"/>
  <pageSetup paperSize="9" scale="75" fitToHeight="0" orientation="landscape" r:id="rId1"/>
  <headerFooter alignWithMargins="0">
    <oddHeader>&amp;C&amp;"Arial,Bold Italic"&amp;11&amp;U&amp;A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B6FE-E185-4791-A45E-61FB28B78B45}">
  <sheetPr>
    <pageSetUpPr fitToPage="1"/>
  </sheetPr>
  <dimension ref="A1:M47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"/>
  <cols>
    <col min="1" max="1" width="35.28515625" style="47" bestFit="1" customWidth="1"/>
    <col min="2" max="2" width="18.85546875" style="47" bestFit="1" customWidth="1"/>
    <col min="3" max="3" width="44.85546875" style="42" bestFit="1" customWidth="1"/>
    <col min="4" max="4" width="20" style="46" customWidth="1"/>
    <col min="5" max="5" width="10.28515625" style="45" customWidth="1"/>
    <col min="6" max="6" width="11.140625" style="44" bestFit="1" customWidth="1"/>
    <col min="7" max="7" width="38.85546875" style="42" bestFit="1" customWidth="1"/>
    <col min="8" max="8" width="11.7109375" style="43" bestFit="1" customWidth="1"/>
    <col min="9" max="9" width="93.42578125" style="42" bestFit="1" customWidth="1"/>
    <col min="10" max="10" width="1.7109375" style="42" customWidth="1"/>
    <col min="11" max="11" width="16.140625" style="42" bestFit="1" customWidth="1"/>
    <col min="12" max="13" width="5.7109375" style="41" hidden="1" customWidth="1"/>
    <col min="14" max="14" width="5.7109375" style="41" bestFit="1" customWidth="1"/>
    <col min="15" max="16384" width="9.140625" style="41"/>
  </cols>
  <sheetData>
    <row r="1" spans="1:13" s="61" customFormat="1" ht="32.25" thickBot="1" x14ac:dyDescent="0.3">
      <c r="A1" s="70" t="s">
        <v>0</v>
      </c>
      <c r="B1" s="69" t="s">
        <v>1</v>
      </c>
      <c r="C1" s="68"/>
      <c r="D1" s="67"/>
      <c r="E1" s="66"/>
      <c r="F1" s="65"/>
      <c r="G1" s="64"/>
      <c r="H1" s="64" t="s">
        <v>6</v>
      </c>
      <c r="I1" s="63" t="s">
        <v>7</v>
      </c>
      <c r="K1" s="62"/>
    </row>
    <row r="2" spans="1:13" x14ac:dyDescent="0.2">
      <c r="A2" s="56" t="s">
        <v>8</v>
      </c>
      <c r="B2" s="55" t="s">
        <v>9</v>
      </c>
      <c r="C2" s="81" t="s">
        <v>10</v>
      </c>
      <c r="D2" s="53">
        <v>7180589</v>
      </c>
      <c r="E2" s="52">
        <v>45656</v>
      </c>
      <c r="F2" s="80">
        <v>386471.24</v>
      </c>
      <c r="G2" s="79" t="s">
        <v>11</v>
      </c>
      <c r="H2" s="49" t="str">
        <f>IF(F2&gt;25000,"C",IF(F2&gt;1000,"B","A"))</f>
        <v>C</v>
      </c>
      <c r="I2" s="48" t="str">
        <f>VLOOKUP(H2,$L$2:$M$4,2,FALSE)</f>
        <v>The Commissioner &amp; Chief Constable are satisfied the spend represents VFM in accordance with the requirements of Category C</v>
      </c>
      <c r="J2" s="60"/>
      <c r="K2" s="60"/>
      <c r="L2" s="41" t="s">
        <v>12</v>
      </c>
      <c r="M2" s="48" t="s">
        <v>13</v>
      </c>
    </row>
    <row r="3" spans="1:13" x14ac:dyDescent="0.2">
      <c r="A3" s="56" t="s">
        <v>8</v>
      </c>
      <c r="B3" s="55" t="s">
        <v>9</v>
      </c>
      <c r="C3" s="81" t="s">
        <v>18</v>
      </c>
      <c r="D3" s="53">
        <v>9037081</v>
      </c>
      <c r="E3" s="52">
        <v>45649</v>
      </c>
      <c r="F3" s="80">
        <v>325665.08</v>
      </c>
      <c r="G3" s="79" t="s">
        <v>19</v>
      </c>
      <c r="H3" s="49" t="str">
        <f>IF(F3&gt;25000,"C",IF(F3&gt;1000,"B","A"))</f>
        <v>C</v>
      </c>
      <c r="I3" s="48" t="str">
        <f>VLOOKUP(H3,$L$2:$M$4,2,FALSE)</f>
        <v>The Commissioner &amp; Chief Constable are satisfied the spend represents VFM in accordance with the requirements of Category C</v>
      </c>
      <c r="J3" s="60"/>
      <c r="K3" s="60"/>
      <c r="L3" s="41" t="s">
        <v>16</v>
      </c>
      <c r="M3" s="48" t="s">
        <v>17</v>
      </c>
    </row>
    <row r="4" spans="1:13" x14ac:dyDescent="0.2">
      <c r="A4" s="56" t="s">
        <v>8</v>
      </c>
      <c r="B4" s="55" t="s">
        <v>9</v>
      </c>
      <c r="C4" s="81" t="s">
        <v>799</v>
      </c>
      <c r="D4" s="53">
        <v>7180227</v>
      </c>
      <c r="E4" s="52">
        <v>45635</v>
      </c>
      <c r="F4" s="80">
        <v>181456.41</v>
      </c>
      <c r="G4" s="79" t="s">
        <v>164</v>
      </c>
      <c r="H4" s="49" t="str">
        <f>IF(F4&gt;25000,"C",IF(F4&gt;1000,"B","A"))</f>
        <v>C</v>
      </c>
      <c r="I4" s="48" t="str">
        <f>VLOOKUP(H4,$L$2:$M$4,2,FALSE)</f>
        <v>The Commissioner &amp; Chief Constable are satisfied the spend represents VFM in accordance with the requirements of Category C</v>
      </c>
      <c r="J4" s="60"/>
      <c r="K4" s="60"/>
      <c r="L4" s="41" t="s">
        <v>20</v>
      </c>
      <c r="M4" s="48" t="s">
        <v>21</v>
      </c>
    </row>
    <row r="5" spans="1:13" x14ac:dyDescent="0.2">
      <c r="A5" s="56" t="s">
        <v>8</v>
      </c>
      <c r="B5" s="55" t="s">
        <v>9</v>
      </c>
      <c r="C5" s="81" t="s">
        <v>897</v>
      </c>
      <c r="D5" s="53">
        <v>7180033</v>
      </c>
      <c r="E5" s="52">
        <v>45630</v>
      </c>
      <c r="F5" s="80">
        <v>152085.29999999999</v>
      </c>
      <c r="G5" s="79" t="s">
        <v>22</v>
      </c>
      <c r="H5" s="49" t="str">
        <f>IF(F5&gt;25000,"C",IF(F5&gt;1000,"B","A"))</f>
        <v>C</v>
      </c>
      <c r="I5" s="48" t="str">
        <f>VLOOKUP(H5,$L$2:$M$4,2,FALSE)</f>
        <v>The Commissioner &amp; Chief Constable are satisfied the spend represents VFM in accordance with the requirements of Category C</v>
      </c>
      <c r="J5" s="60"/>
      <c r="K5" s="60"/>
    </row>
    <row r="6" spans="1:13" x14ac:dyDescent="0.2">
      <c r="A6" s="56" t="s">
        <v>8</v>
      </c>
      <c r="B6" s="55" t="s">
        <v>9</v>
      </c>
      <c r="C6" s="81" t="s">
        <v>23</v>
      </c>
      <c r="D6" s="53">
        <v>7180328</v>
      </c>
      <c r="E6" s="52">
        <v>45646</v>
      </c>
      <c r="F6" s="80">
        <v>127010.93999999999</v>
      </c>
      <c r="G6" s="79" t="s">
        <v>24</v>
      </c>
      <c r="H6" s="49" t="str">
        <f>IF(F6&gt;25000,"C",IF(F6&gt;1000,"B","A"))</f>
        <v>C</v>
      </c>
      <c r="I6" s="48" t="str">
        <f>VLOOKUP(H6,$L$2:$M$4,2,FALSE)</f>
        <v>The Commissioner &amp; Chief Constable are satisfied the spend represents VFM in accordance with the requirements of Category C</v>
      </c>
      <c r="J6" s="60"/>
      <c r="K6" s="60"/>
    </row>
    <row r="7" spans="1:13" x14ac:dyDescent="0.2">
      <c r="A7" s="56" t="s">
        <v>8</v>
      </c>
      <c r="B7" s="55" t="s">
        <v>9</v>
      </c>
      <c r="C7" s="82" t="s">
        <v>140</v>
      </c>
      <c r="D7" s="53">
        <v>7179451</v>
      </c>
      <c r="E7" s="52">
        <v>45628</v>
      </c>
      <c r="F7" s="80">
        <v>112427.85</v>
      </c>
      <c r="G7" s="79" t="s">
        <v>34</v>
      </c>
      <c r="H7" s="49" t="str">
        <f>IF(F7&gt;25000,"C",IF(F7&gt;1000,"B","A"))</f>
        <v>C</v>
      </c>
      <c r="I7" s="48" t="str">
        <f>VLOOKUP(H7,$L$2:$M$4,2,FALSE)</f>
        <v>The Commissioner &amp; Chief Constable are satisfied the spend represents VFM in accordance with the requirements of Category C</v>
      </c>
      <c r="J7" s="60"/>
      <c r="K7" s="60"/>
    </row>
    <row r="8" spans="1:13" x14ac:dyDescent="0.2">
      <c r="A8" s="56" t="s">
        <v>8</v>
      </c>
      <c r="B8" s="55" t="s">
        <v>9</v>
      </c>
      <c r="C8" s="81" t="s">
        <v>30</v>
      </c>
      <c r="D8" s="53">
        <v>7179989</v>
      </c>
      <c r="E8" s="52">
        <v>45630</v>
      </c>
      <c r="F8" s="80">
        <v>95646.22</v>
      </c>
      <c r="G8" s="79" t="s">
        <v>31</v>
      </c>
      <c r="H8" s="49" t="str">
        <f>IF(F8&gt;25000,"C",IF(F8&gt;1000,"B","A"))</f>
        <v>C</v>
      </c>
      <c r="I8" s="48" t="str">
        <f>VLOOKUP(H8,$L$2:$M$4,2,FALSE)</f>
        <v>The Commissioner &amp; Chief Constable are satisfied the spend represents VFM in accordance with the requirements of Category C</v>
      </c>
      <c r="J8" s="60"/>
      <c r="K8" s="60"/>
    </row>
    <row r="9" spans="1:13" x14ac:dyDescent="0.2">
      <c r="A9" s="56" t="s">
        <v>8</v>
      </c>
      <c r="B9" s="55" t="s">
        <v>9</v>
      </c>
      <c r="C9" s="82" t="s">
        <v>46</v>
      </c>
      <c r="D9" s="53">
        <v>7180066</v>
      </c>
      <c r="E9" s="52">
        <v>45636</v>
      </c>
      <c r="F9" s="80">
        <v>80949.009999999995</v>
      </c>
      <c r="G9" s="79" t="s">
        <v>47</v>
      </c>
      <c r="H9" s="49" t="str">
        <f>IF(F9&gt;25000,"C",IF(F9&gt;1000,"B","A"))</f>
        <v>C</v>
      </c>
      <c r="I9" s="48" t="str">
        <f>VLOOKUP(H9,$L$2:$M$4,2,FALSE)</f>
        <v>The Commissioner &amp; Chief Constable are satisfied the spend represents VFM in accordance with the requirements of Category C</v>
      </c>
      <c r="J9" s="60"/>
      <c r="K9" s="60"/>
    </row>
    <row r="10" spans="1:13" x14ac:dyDescent="0.2">
      <c r="A10" s="56" t="s">
        <v>8</v>
      </c>
      <c r="B10" s="55" t="s">
        <v>9</v>
      </c>
      <c r="C10" s="81" t="s">
        <v>74</v>
      </c>
      <c r="D10" s="53">
        <v>7180015</v>
      </c>
      <c r="E10" s="52">
        <v>45642</v>
      </c>
      <c r="F10" s="80">
        <v>65744.399999999994</v>
      </c>
      <c r="G10" s="79" t="s">
        <v>75</v>
      </c>
      <c r="H10" s="49" t="str">
        <f>IF(F10&gt;25000,"C",IF(F10&gt;1000,"B","A"))</f>
        <v>C</v>
      </c>
      <c r="I10" s="48" t="str">
        <f>VLOOKUP(H10,$L$2:$M$4,2,FALSE)</f>
        <v>The Commissioner &amp; Chief Constable are satisfied the spend represents VFM in accordance with the requirements of Category C</v>
      </c>
      <c r="J10" s="60"/>
      <c r="K10" s="60"/>
    </row>
    <row r="11" spans="1:13" x14ac:dyDescent="0.2">
      <c r="A11" s="56" t="s">
        <v>8</v>
      </c>
      <c r="B11" s="55" t="s">
        <v>9</v>
      </c>
      <c r="C11" s="81" t="s">
        <v>26</v>
      </c>
      <c r="D11" s="53">
        <v>7179876</v>
      </c>
      <c r="E11" s="52">
        <v>45628</v>
      </c>
      <c r="F11" s="80">
        <v>63803.519999999997</v>
      </c>
      <c r="G11" s="79" t="s">
        <v>53</v>
      </c>
      <c r="H11" s="49" t="str">
        <f>IF(F11&gt;25000,"C",IF(F11&gt;1000,"B","A"))</f>
        <v>C</v>
      </c>
      <c r="I11" s="48" t="str">
        <f>VLOOKUP(H11,$L$2:$M$4,2,FALSE)</f>
        <v>The Commissioner &amp; Chief Constable are satisfied the spend represents VFM in accordance with the requirements of Category C</v>
      </c>
      <c r="J11" s="60"/>
      <c r="K11" s="60"/>
    </row>
    <row r="12" spans="1:13" x14ac:dyDescent="0.2">
      <c r="A12" s="56" t="s">
        <v>8</v>
      </c>
      <c r="B12" s="55" t="s">
        <v>9</v>
      </c>
      <c r="C12" s="81" t="s">
        <v>74</v>
      </c>
      <c r="D12" s="53">
        <v>7180770</v>
      </c>
      <c r="E12" s="52">
        <v>45649</v>
      </c>
      <c r="F12" s="83">
        <v>60887.25</v>
      </c>
      <c r="G12" s="79" t="s">
        <v>15</v>
      </c>
      <c r="H12" s="49" t="str">
        <f>IF(F12&gt;25000,"C",IF(F12&gt;1000,"B","A"))</f>
        <v>C</v>
      </c>
      <c r="I12" s="48" t="str">
        <f>VLOOKUP(H12,$L$2:$M$4,2,FALSE)</f>
        <v>The Commissioner &amp; Chief Constable are satisfied the spend represents VFM in accordance with the requirements of Category C</v>
      </c>
      <c r="J12" s="60"/>
      <c r="K12" s="60"/>
    </row>
    <row r="13" spans="1:13" x14ac:dyDescent="0.2">
      <c r="A13" s="56" t="s">
        <v>8</v>
      </c>
      <c r="B13" s="55" t="s">
        <v>9</v>
      </c>
      <c r="C13" s="81" t="s">
        <v>170</v>
      </c>
      <c r="D13" s="53">
        <v>7178843</v>
      </c>
      <c r="E13" s="52">
        <v>45628</v>
      </c>
      <c r="F13" s="80">
        <v>59835.62</v>
      </c>
      <c r="G13" s="84" t="s">
        <v>37</v>
      </c>
      <c r="H13" s="49" t="str">
        <f>IF(F13&gt;25000,"C",IF(F13&gt;1000,"B","A"))</f>
        <v>C</v>
      </c>
      <c r="I13" s="48" t="str">
        <f>VLOOKUP(H13,$L$2:$M$4,2,FALSE)</f>
        <v>The Commissioner &amp; Chief Constable are satisfied the spend represents VFM in accordance with the requirements of Category C</v>
      </c>
      <c r="J13" s="60"/>
      <c r="K13" s="60"/>
    </row>
    <row r="14" spans="1:13" x14ac:dyDescent="0.2">
      <c r="A14" s="56" t="s">
        <v>8</v>
      </c>
      <c r="B14" s="55" t="s">
        <v>9</v>
      </c>
      <c r="C14" s="82" t="s">
        <v>44</v>
      </c>
      <c r="D14" s="53">
        <v>7180368</v>
      </c>
      <c r="E14" s="52">
        <v>45638</v>
      </c>
      <c r="F14" s="83">
        <v>58919</v>
      </c>
      <c r="G14" s="79" t="s">
        <v>45</v>
      </c>
      <c r="H14" s="49" t="str">
        <f>IF(F14&gt;25000,"C",IF(F14&gt;1000,"B","A"))</f>
        <v>C</v>
      </c>
      <c r="I14" s="48" t="str">
        <f>VLOOKUP(H14,$L$2:$M$4,2,FALSE)</f>
        <v>The Commissioner &amp; Chief Constable are satisfied the spend represents VFM in accordance with the requirements of Category C</v>
      </c>
      <c r="J14" s="60"/>
      <c r="K14" s="60"/>
    </row>
    <row r="15" spans="1:13" x14ac:dyDescent="0.2">
      <c r="A15" s="56" t="s">
        <v>8</v>
      </c>
      <c r="B15" s="55" t="s">
        <v>9</v>
      </c>
      <c r="C15" s="81" t="s">
        <v>448</v>
      </c>
      <c r="D15" s="53">
        <v>7180588</v>
      </c>
      <c r="E15" s="52">
        <v>45645</v>
      </c>
      <c r="F15" s="83">
        <v>58131</v>
      </c>
      <c r="G15" s="79" t="s">
        <v>27</v>
      </c>
      <c r="H15" s="49" t="str">
        <f>IF(F15&gt;25000,"C",IF(F15&gt;1000,"B","A"))</f>
        <v>C</v>
      </c>
      <c r="I15" s="48" t="str">
        <f>VLOOKUP(H15,$L$2:$M$4,2,FALSE)</f>
        <v>The Commissioner &amp; Chief Constable are satisfied the spend represents VFM in accordance with the requirements of Category C</v>
      </c>
      <c r="J15" s="60"/>
      <c r="K15" s="60"/>
    </row>
    <row r="16" spans="1:13" x14ac:dyDescent="0.2">
      <c r="A16" s="56" t="s">
        <v>8</v>
      </c>
      <c r="B16" s="55" t="s">
        <v>9</v>
      </c>
      <c r="C16" s="81" t="s">
        <v>55</v>
      </c>
      <c r="D16" s="53">
        <v>7180402</v>
      </c>
      <c r="E16" s="52">
        <v>45645</v>
      </c>
      <c r="F16" s="83">
        <v>55729.25</v>
      </c>
      <c r="G16" s="84" t="s">
        <v>27</v>
      </c>
      <c r="H16" s="49" t="str">
        <f>IF(F16&gt;25000,"C",IF(F16&gt;1000,"B","A"))</f>
        <v>C</v>
      </c>
      <c r="I16" s="48" t="str">
        <f>VLOOKUP(H16,$L$2:$M$4,2,FALSE)</f>
        <v>The Commissioner &amp; Chief Constable are satisfied the spend represents VFM in accordance with the requirements of Category C</v>
      </c>
      <c r="J16" s="60"/>
      <c r="K16" s="60"/>
    </row>
    <row r="17" spans="1:11" x14ac:dyDescent="0.2">
      <c r="A17" s="56" t="s">
        <v>8</v>
      </c>
      <c r="B17" s="55" t="s">
        <v>9</v>
      </c>
      <c r="C17" s="81" t="s">
        <v>183</v>
      </c>
      <c r="D17" s="53">
        <v>7180545</v>
      </c>
      <c r="E17" s="52">
        <v>45644</v>
      </c>
      <c r="F17" s="83">
        <v>55563.75</v>
      </c>
      <c r="G17" s="79" t="s">
        <v>177</v>
      </c>
      <c r="H17" s="49" t="str">
        <f>IF(F17&gt;25000,"C",IF(F17&gt;1000,"B","A"))</f>
        <v>C</v>
      </c>
      <c r="I17" s="48" t="str">
        <f>VLOOKUP(H17,$L$2:$M$4,2,FALSE)</f>
        <v>The Commissioner &amp; Chief Constable are satisfied the spend represents VFM in accordance with the requirements of Category C</v>
      </c>
      <c r="J17" s="60"/>
      <c r="K17" s="60"/>
    </row>
    <row r="18" spans="1:11" x14ac:dyDescent="0.2">
      <c r="A18" s="56" t="s">
        <v>8</v>
      </c>
      <c r="B18" s="55" t="s">
        <v>9</v>
      </c>
      <c r="C18" s="82" t="s">
        <v>153</v>
      </c>
      <c r="D18" s="53">
        <v>7180240</v>
      </c>
      <c r="E18" s="52">
        <v>45636</v>
      </c>
      <c r="F18" s="83">
        <v>52716.45</v>
      </c>
      <c r="G18" s="79" t="s">
        <v>39</v>
      </c>
      <c r="H18" s="49" t="str">
        <f>IF(F18&gt;25000,"C",IF(F18&gt;1000,"B","A"))</f>
        <v>C</v>
      </c>
      <c r="I18" s="48" t="str">
        <f>VLOOKUP(H18,$L$2:$M$4,2,FALSE)</f>
        <v>The Commissioner &amp; Chief Constable are satisfied the spend represents VFM in accordance with the requirements of Category C</v>
      </c>
      <c r="J18" s="60"/>
      <c r="K18" s="60"/>
    </row>
    <row r="19" spans="1:11" x14ac:dyDescent="0.2">
      <c r="A19" s="56" t="s">
        <v>8</v>
      </c>
      <c r="B19" s="55" t="s">
        <v>9</v>
      </c>
      <c r="C19" s="81" t="s">
        <v>350</v>
      </c>
      <c r="D19" s="53">
        <v>7179636</v>
      </c>
      <c r="E19" s="52">
        <v>45628</v>
      </c>
      <c r="F19" s="83">
        <v>52480.160000000003</v>
      </c>
      <c r="G19" s="79" t="s">
        <v>102</v>
      </c>
      <c r="H19" s="49" t="str">
        <f>IF(F19&gt;25000,"C",IF(F19&gt;1000,"B","A"))</f>
        <v>C</v>
      </c>
      <c r="I19" s="48" t="str">
        <f>VLOOKUP(H19,$L$2:$M$4,2,FALSE)</f>
        <v>The Commissioner &amp; Chief Constable are satisfied the spend represents VFM in accordance with the requirements of Category C</v>
      </c>
      <c r="J19" s="60"/>
      <c r="K19" s="60"/>
    </row>
    <row r="20" spans="1:11" x14ac:dyDescent="0.2">
      <c r="A20" s="56" t="s">
        <v>8</v>
      </c>
      <c r="B20" s="55" t="s">
        <v>9</v>
      </c>
      <c r="C20" s="82" t="s">
        <v>74</v>
      </c>
      <c r="D20" s="53">
        <v>7180549</v>
      </c>
      <c r="E20" s="52">
        <v>45643</v>
      </c>
      <c r="F20" s="83">
        <v>50191</v>
      </c>
      <c r="G20" s="79" t="s">
        <v>345</v>
      </c>
      <c r="H20" s="49" t="str">
        <f>IF(F20&gt;25000,"C",IF(F20&gt;1000,"B","A"))</f>
        <v>C</v>
      </c>
      <c r="I20" s="48" t="str">
        <f>VLOOKUP(H20,$L$2:$M$4,2,FALSE)</f>
        <v>The Commissioner &amp; Chief Constable are satisfied the spend represents VFM in accordance with the requirements of Category C</v>
      </c>
      <c r="J20" s="60"/>
      <c r="K20" s="60"/>
    </row>
    <row r="21" spans="1:11" x14ac:dyDescent="0.2">
      <c r="A21" s="56" t="s">
        <v>8</v>
      </c>
      <c r="B21" s="55" t="s">
        <v>9</v>
      </c>
      <c r="C21" s="81" t="s">
        <v>591</v>
      </c>
      <c r="D21" s="53">
        <v>7180640</v>
      </c>
      <c r="E21" s="52">
        <v>45645</v>
      </c>
      <c r="F21" s="83">
        <v>48625</v>
      </c>
      <c r="G21" s="79" t="s">
        <v>27</v>
      </c>
      <c r="H21" s="49" t="str">
        <f>IF(F21&gt;25000,"C",IF(F21&gt;1000,"B","A"))</f>
        <v>C</v>
      </c>
      <c r="I21" s="48" t="str">
        <f>VLOOKUP(H21,$L$2:$M$4,2,FALSE)</f>
        <v>The Commissioner &amp; Chief Constable are satisfied the spend represents VFM in accordance with the requirements of Category C</v>
      </c>
      <c r="J21" s="60"/>
      <c r="K21" s="60"/>
    </row>
    <row r="22" spans="1:11" x14ac:dyDescent="0.2">
      <c r="A22" s="56" t="s">
        <v>8</v>
      </c>
      <c r="B22" s="55" t="s">
        <v>9</v>
      </c>
      <c r="C22" s="82" t="s">
        <v>183</v>
      </c>
      <c r="D22" s="53">
        <v>7180556</v>
      </c>
      <c r="E22" s="52">
        <v>45644</v>
      </c>
      <c r="F22" s="83">
        <v>47334.5</v>
      </c>
      <c r="G22" s="79" t="s">
        <v>131</v>
      </c>
      <c r="H22" s="49" t="str">
        <f>IF(F22&gt;25000,"C",IF(F22&gt;1000,"B","A"))</f>
        <v>C</v>
      </c>
      <c r="I22" s="48" t="str">
        <f>VLOOKUP(H22,$L$2:$M$4,2,FALSE)</f>
        <v>The Commissioner &amp; Chief Constable are satisfied the spend represents VFM in accordance with the requirements of Category C</v>
      </c>
      <c r="J22" s="60"/>
      <c r="K22" s="60"/>
    </row>
    <row r="23" spans="1:11" x14ac:dyDescent="0.2">
      <c r="A23" s="56" t="s">
        <v>8</v>
      </c>
      <c r="B23" s="55" t="s">
        <v>9</v>
      </c>
      <c r="C23" s="81" t="s">
        <v>863</v>
      </c>
      <c r="D23" s="53">
        <v>7180184</v>
      </c>
      <c r="E23" s="52">
        <v>45644</v>
      </c>
      <c r="F23" s="80">
        <v>43750</v>
      </c>
      <c r="G23" s="79" t="s">
        <v>22</v>
      </c>
      <c r="H23" s="49" t="str">
        <f>IF(F23&gt;25000,"C",IF(F23&gt;1000,"B","A"))</f>
        <v>C</v>
      </c>
      <c r="I23" s="48" t="str">
        <f>VLOOKUP(H23,$L$2:$M$4,2,FALSE)</f>
        <v>The Commissioner &amp; Chief Constable are satisfied the spend represents VFM in accordance with the requirements of Category C</v>
      </c>
      <c r="J23" s="60"/>
      <c r="K23" s="60"/>
    </row>
    <row r="24" spans="1:11" x14ac:dyDescent="0.2">
      <c r="A24" s="56" t="s">
        <v>8</v>
      </c>
      <c r="B24" s="55" t="s">
        <v>9</v>
      </c>
      <c r="C24" s="81" t="s">
        <v>74</v>
      </c>
      <c r="D24" s="53">
        <v>7179947</v>
      </c>
      <c r="E24" s="52">
        <v>45638</v>
      </c>
      <c r="F24" s="80">
        <v>43545.72</v>
      </c>
      <c r="G24" s="79" t="s">
        <v>177</v>
      </c>
      <c r="H24" s="49" t="str">
        <f>IF(F24&gt;25000,"C",IF(F24&gt;1000,"B","A"))</f>
        <v>C</v>
      </c>
      <c r="I24" s="48" t="str">
        <f>VLOOKUP(H24,$L$2:$M$4,2,FALSE)</f>
        <v>The Commissioner &amp; Chief Constable are satisfied the spend represents VFM in accordance with the requirements of Category C</v>
      </c>
      <c r="J24" s="60"/>
      <c r="K24" s="60"/>
    </row>
    <row r="25" spans="1:11" x14ac:dyDescent="0.2">
      <c r="A25" s="56" t="s">
        <v>8</v>
      </c>
      <c r="B25" s="55" t="s">
        <v>9</v>
      </c>
      <c r="C25" s="82" t="s">
        <v>52</v>
      </c>
      <c r="D25" s="53">
        <v>7180268</v>
      </c>
      <c r="E25" s="52">
        <v>45645</v>
      </c>
      <c r="F25" s="80">
        <v>43362</v>
      </c>
      <c r="G25" s="79" t="s">
        <v>45</v>
      </c>
      <c r="H25" s="49" t="str">
        <f>IF(F25&gt;25000,"C",IF(F25&gt;1000,"B","A"))</f>
        <v>C</v>
      </c>
      <c r="I25" s="48" t="str">
        <f>VLOOKUP(H25,$L$2:$M$4,2,FALSE)</f>
        <v>The Commissioner &amp; Chief Constable are satisfied the spend represents VFM in accordance with the requirements of Category C</v>
      </c>
      <c r="J25" s="60"/>
      <c r="K25" s="60"/>
    </row>
    <row r="26" spans="1:11" x14ac:dyDescent="0.2">
      <c r="A26" s="56" t="s">
        <v>8</v>
      </c>
      <c r="B26" s="55" t="s">
        <v>9</v>
      </c>
      <c r="C26" s="81" t="s">
        <v>415</v>
      </c>
      <c r="D26" s="53">
        <v>7180445</v>
      </c>
      <c r="E26" s="52">
        <v>45644</v>
      </c>
      <c r="F26" s="80">
        <v>42137.31</v>
      </c>
      <c r="G26" s="79" t="s">
        <v>38</v>
      </c>
      <c r="H26" s="49" t="str">
        <f>IF(F26&gt;25000,"C",IF(F26&gt;1000,"B","A"))</f>
        <v>C</v>
      </c>
      <c r="I26" s="48" t="str">
        <f>VLOOKUP(H26,$L$2:$M$4,2,FALSE)</f>
        <v>The Commissioner &amp; Chief Constable are satisfied the spend represents VFM in accordance with the requirements of Category C</v>
      </c>
      <c r="J26" s="60"/>
      <c r="K26" s="60"/>
    </row>
    <row r="27" spans="1:11" x14ac:dyDescent="0.2">
      <c r="A27" s="56" t="s">
        <v>8</v>
      </c>
      <c r="B27" s="55" t="s">
        <v>9</v>
      </c>
      <c r="C27" s="81" t="s">
        <v>50</v>
      </c>
      <c r="D27" s="53">
        <v>7180603</v>
      </c>
      <c r="E27" s="52">
        <v>45650</v>
      </c>
      <c r="F27" s="80">
        <v>41732.44</v>
      </c>
      <c r="G27" s="79" t="s">
        <v>36</v>
      </c>
      <c r="H27" s="49" t="str">
        <f>IF(F27&gt;25000,"C",IF(F27&gt;1000,"B","A"))</f>
        <v>C</v>
      </c>
      <c r="I27" s="48" t="str">
        <f>VLOOKUP(H27,$L$2:$M$4,2,FALSE)</f>
        <v>The Commissioner &amp; Chief Constable are satisfied the spend represents VFM in accordance with the requirements of Category C</v>
      </c>
      <c r="J27" s="60"/>
      <c r="K27" s="60"/>
    </row>
    <row r="28" spans="1:11" x14ac:dyDescent="0.2">
      <c r="A28" s="56" t="s">
        <v>8</v>
      </c>
      <c r="B28" s="55" t="s">
        <v>9</v>
      </c>
      <c r="C28" s="81" t="s">
        <v>497</v>
      </c>
      <c r="D28" s="53">
        <v>7180079</v>
      </c>
      <c r="E28" s="52">
        <v>45632</v>
      </c>
      <c r="F28" s="80">
        <v>40000</v>
      </c>
      <c r="G28" s="79" t="s">
        <v>712</v>
      </c>
      <c r="H28" s="49" t="str">
        <f>IF(F28&gt;25000,"C",IF(F28&gt;1000,"B","A"))</f>
        <v>C</v>
      </c>
      <c r="I28" s="48" t="str">
        <f>VLOOKUP(H28,$L$2:$M$4,2,FALSE)</f>
        <v>The Commissioner &amp; Chief Constable are satisfied the spend represents VFM in accordance with the requirements of Category C</v>
      </c>
      <c r="J28" s="60"/>
      <c r="K28" s="60"/>
    </row>
    <row r="29" spans="1:11" x14ac:dyDescent="0.2">
      <c r="A29" s="56" t="s">
        <v>8</v>
      </c>
      <c r="B29" s="55" t="s">
        <v>9</v>
      </c>
      <c r="C29" s="81" t="s">
        <v>109</v>
      </c>
      <c r="D29" s="53">
        <v>7180444</v>
      </c>
      <c r="E29" s="52">
        <v>45645</v>
      </c>
      <c r="F29" s="80">
        <v>39000</v>
      </c>
      <c r="G29" s="84" t="s">
        <v>27</v>
      </c>
      <c r="H29" s="49" t="str">
        <f>IF(F29&gt;25000,"C",IF(F29&gt;1000,"B","A"))</f>
        <v>C</v>
      </c>
      <c r="I29" s="48" t="str">
        <f>VLOOKUP(H29,$L$2:$M$4,2,FALSE)</f>
        <v>The Commissioner &amp; Chief Constable are satisfied the spend represents VFM in accordance with the requirements of Category C</v>
      </c>
      <c r="J29" s="60"/>
      <c r="K29" s="60"/>
    </row>
    <row r="30" spans="1:11" x14ac:dyDescent="0.2">
      <c r="A30" s="56" t="s">
        <v>8</v>
      </c>
      <c r="B30" s="55" t="s">
        <v>9</v>
      </c>
      <c r="C30" s="81" t="s">
        <v>85</v>
      </c>
      <c r="D30" s="53">
        <v>7179413</v>
      </c>
      <c r="E30" s="52">
        <v>45645</v>
      </c>
      <c r="F30" s="80">
        <v>37023.94</v>
      </c>
      <c r="G30" s="84" t="s">
        <v>27</v>
      </c>
      <c r="H30" s="49" t="str">
        <f>IF(F30&gt;25000,"C",IF(F30&gt;1000,"B","A"))</f>
        <v>C</v>
      </c>
      <c r="I30" s="48" t="str">
        <f>VLOOKUP(H30,$L$2:$M$4,2,FALSE)</f>
        <v>The Commissioner &amp; Chief Constable are satisfied the spend represents VFM in accordance with the requirements of Category C</v>
      </c>
      <c r="J30" s="60"/>
      <c r="K30" s="60"/>
    </row>
    <row r="31" spans="1:11" x14ac:dyDescent="0.2">
      <c r="A31" s="56" t="s">
        <v>8</v>
      </c>
      <c r="B31" s="55" t="s">
        <v>9</v>
      </c>
      <c r="C31" s="81" t="s">
        <v>146</v>
      </c>
      <c r="D31" s="53">
        <v>7179684</v>
      </c>
      <c r="E31" s="52">
        <v>45628</v>
      </c>
      <c r="F31" s="80">
        <v>34250</v>
      </c>
      <c r="G31" s="84" t="s">
        <v>102</v>
      </c>
      <c r="H31" s="49" t="str">
        <f>IF(F31&gt;25000,"C",IF(F31&gt;1000,"B","A"))</f>
        <v>C</v>
      </c>
      <c r="I31" s="48" t="str">
        <f>VLOOKUP(H31,$L$2:$M$4,2,FALSE)</f>
        <v>The Commissioner &amp; Chief Constable are satisfied the spend represents VFM in accordance with the requirements of Category C</v>
      </c>
      <c r="J31" s="60"/>
      <c r="K31" s="60"/>
    </row>
    <row r="32" spans="1:11" x14ac:dyDescent="0.2">
      <c r="A32" s="56" t="s">
        <v>8</v>
      </c>
      <c r="B32" s="55" t="s">
        <v>9</v>
      </c>
      <c r="C32" s="81" t="s">
        <v>448</v>
      </c>
      <c r="D32" s="53">
        <v>7180571</v>
      </c>
      <c r="E32" s="52">
        <v>45643</v>
      </c>
      <c r="F32" s="80">
        <v>33733.75</v>
      </c>
      <c r="G32" s="84" t="s">
        <v>27</v>
      </c>
      <c r="H32" s="49" t="str">
        <f>IF(F32&gt;25000,"C",IF(F32&gt;1000,"B","A"))</f>
        <v>C</v>
      </c>
      <c r="I32" s="48" t="str">
        <f>VLOOKUP(H32,$L$2:$M$4,2,FALSE)</f>
        <v>The Commissioner &amp; Chief Constable are satisfied the spend represents VFM in accordance with the requirements of Category C</v>
      </c>
      <c r="J32" s="60"/>
      <c r="K32" s="60"/>
    </row>
    <row r="33" spans="1:11" x14ac:dyDescent="0.2">
      <c r="A33" s="56" t="s">
        <v>8</v>
      </c>
      <c r="B33" s="55" t="s">
        <v>9</v>
      </c>
      <c r="C33" s="82" t="s">
        <v>448</v>
      </c>
      <c r="D33" s="53">
        <v>7179620</v>
      </c>
      <c r="E33" s="52">
        <v>45628</v>
      </c>
      <c r="F33" s="80">
        <v>33733.75</v>
      </c>
      <c r="G33" s="84" t="s">
        <v>27</v>
      </c>
      <c r="H33" s="49" t="str">
        <f>IF(F33&gt;25000,"C",IF(F33&gt;1000,"B","A"))</f>
        <v>C</v>
      </c>
      <c r="I33" s="48" t="str">
        <f>VLOOKUP(H33,$L$2:$M$4,2,FALSE)</f>
        <v>The Commissioner &amp; Chief Constable are satisfied the spend represents VFM in accordance with the requirements of Category C</v>
      </c>
      <c r="J33" s="60"/>
      <c r="K33" s="60"/>
    </row>
    <row r="34" spans="1:11" x14ac:dyDescent="0.2">
      <c r="A34" s="56" t="s">
        <v>8</v>
      </c>
      <c r="B34" s="55" t="s">
        <v>9</v>
      </c>
      <c r="C34" s="81" t="s">
        <v>908</v>
      </c>
      <c r="D34" s="53">
        <v>7179870</v>
      </c>
      <c r="E34" s="52">
        <v>45629</v>
      </c>
      <c r="F34" s="80">
        <v>32236.54</v>
      </c>
      <c r="G34" s="84" t="s">
        <v>164</v>
      </c>
      <c r="H34" s="49" t="str">
        <f>IF(F34&gt;25000,"C",IF(F34&gt;1000,"B","A"))</f>
        <v>C</v>
      </c>
      <c r="I34" s="48" t="str">
        <f>VLOOKUP(H34,$L$2:$M$4,2,FALSE)</f>
        <v>The Commissioner &amp; Chief Constable are satisfied the spend represents VFM in accordance with the requirements of Category C</v>
      </c>
      <c r="J34" s="60"/>
      <c r="K34" s="60"/>
    </row>
    <row r="35" spans="1:11" x14ac:dyDescent="0.2">
      <c r="A35" s="56" t="s">
        <v>8</v>
      </c>
      <c r="B35" s="55" t="s">
        <v>9</v>
      </c>
      <c r="C35" s="81" t="s">
        <v>489</v>
      </c>
      <c r="D35" s="53">
        <v>7180311</v>
      </c>
      <c r="E35" s="52">
        <v>45638</v>
      </c>
      <c r="F35" s="80">
        <v>32132.36</v>
      </c>
      <c r="G35" s="84" t="s">
        <v>58</v>
      </c>
      <c r="H35" s="49" t="str">
        <f>IF(F35&gt;25000,"C",IF(F35&gt;1000,"B","A"))</f>
        <v>C</v>
      </c>
      <c r="I35" s="48" t="str">
        <f>VLOOKUP(H35,$L$2:$M$4,2,FALSE)</f>
        <v>The Commissioner &amp; Chief Constable are satisfied the spend represents VFM in accordance with the requirements of Category C</v>
      </c>
      <c r="J35" s="60"/>
      <c r="K35" s="60"/>
    </row>
    <row r="36" spans="1:11" x14ac:dyDescent="0.2">
      <c r="A36" s="56" t="s">
        <v>8</v>
      </c>
      <c r="B36" s="55" t="s">
        <v>9</v>
      </c>
      <c r="C36" s="81" t="s">
        <v>585</v>
      </c>
      <c r="D36" s="53">
        <v>7180618</v>
      </c>
      <c r="E36" s="52">
        <v>45644</v>
      </c>
      <c r="F36" s="80">
        <v>31766.42</v>
      </c>
      <c r="G36" s="84" t="s">
        <v>62</v>
      </c>
      <c r="H36" s="49" t="str">
        <f>IF(F36&gt;25000,"C",IF(F36&gt;1000,"B","A"))</f>
        <v>C</v>
      </c>
      <c r="I36" s="48" t="str">
        <f>VLOOKUP(H36,$L$2:$M$4,2,FALSE)</f>
        <v>The Commissioner &amp; Chief Constable are satisfied the spend represents VFM in accordance with the requirements of Category C</v>
      </c>
      <c r="J36" s="60"/>
      <c r="K36" s="60"/>
    </row>
    <row r="37" spans="1:11" x14ac:dyDescent="0.2">
      <c r="A37" s="56" t="s">
        <v>8</v>
      </c>
      <c r="B37" s="55" t="s">
        <v>9</v>
      </c>
      <c r="C37" s="81" t="s">
        <v>488</v>
      </c>
      <c r="D37" s="53">
        <v>3068926</v>
      </c>
      <c r="E37" s="52">
        <v>45632</v>
      </c>
      <c r="F37" s="83">
        <v>29552.98</v>
      </c>
      <c r="G37" s="79" t="s">
        <v>579</v>
      </c>
      <c r="H37" s="49" t="str">
        <f>IF(F37&gt;25000,"C",IF(F37&gt;1000,"B","A"))</f>
        <v>C</v>
      </c>
      <c r="I37" s="48" t="str">
        <f>VLOOKUP(H37,$L$2:$M$4,2,FALSE)</f>
        <v>The Commissioner &amp; Chief Constable are satisfied the spend represents VFM in accordance with the requirements of Category C</v>
      </c>
      <c r="J37" s="60"/>
      <c r="K37" s="60"/>
    </row>
    <row r="38" spans="1:11" x14ac:dyDescent="0.2">
      <c r="A38" s="56" t="s">
        <v>8</v>
      </c>
      <c r="B38" s="55" t="s">
        <v>9</v>
      </c>
      <c r="C38" s="81" t="s">
        <v>50</v>
      </c>
      <c r="D38" s="53">
        <v>7180602</v>
      </c>
      <c r="E38" s="52">
        <v>45650</v>
      </c>
      <c r="F38" s="80">
        <v>28534.240000000002</v>
      </c>
      <c r="G38" s="79" t="s">
        <v>36</v>
      </c>
      <c r="H38" s="49" t="str">
        <f>IF(F38&gt;25000,"C",IF(F38&gt;1000,"B","A"))</f>
        <v>C</v>
      </c>
      <c r="I38" s="48" t="str">
        <f>VLOOKUP(H38,$L$2:$M$4,2,FALSE)</f>
        <v>The Commissioner &amp; Chief Constable are satisfied the spend represents VFM in accordance with the requirements of Category C</v>
      </c>
      <c r="J38" s="60"/>
      <c r="K38" s="60"/>
    </row>
    <row r="39" spans="1:11" x14ac:dyDescent="0.2">
      <c r="A39" s="56" t="s">
        <v>8</v>
      </c>
      <c r="B39" s="55" t="s">
        <v>9</v>
      </c>
      <c r="C39" s="81" t="s">
        <v>415</v>
      </c>
      <c r="D39" s="53">
        <v>7179916</v>
      </c>
      <c r="E39" s="52">
        <v>45628</v>
      </c>
      <c r="F39" s="80">
        <v>28226.66</v>
      </c>
      <c r="G39" s="79" t="s">
        <v>164</v>
      </c>
      <c r="H39" s="49" t="str">
        <f>IF(F39&gt;25000,"C",IF(F39&gt;1000,"B","A"))</f>
        <v>C</v>
      </c>
      <c r="I39" s="48" t="str">
        <f>VLOOKUP(H39,$L$2:$M$4,2,FALSE)</f>
        <v>The Commissioner &amp; Chief Constable are satisfied the spend represents VFM in accordance with the requirements of Category C</v>
      </c>
      <c r="J39" s="60"/>
      <c r="K39" s="60"/>
    </row>
    <row r="40" spans="1:11" x14ac:dyDescent="0.2">
      <c r="A40" s="56" t="s">
        <v>8</v>
      </c>
      <c r="B40" s="55" t="s">
        <v>9</v>
      </c>
      <c r="C40" s="81" t="s">
        <v>74</v>
      </c>
      <c r="D40" s="53">
        <v>7178342</v>
      </c>
      <c r="E40" s="52">
        <v>45638</v>
      </c>
      <c r="F40" s="80">
        <v>27005</v>
      </c>
      <c r="G40" s="79" t="s">
        <v>218</v>
      </c>
      <c r="H40" s="49" t="str">
        <f>IF(F40&gt;25000,"C",IF(F40&gt;1000,"B","A"))</f>
        <v>C</v>
      </c>
      <c r="I40" s="48" t="str">
        <f>VLOOKUP(H40,$L$2:$M$4,2,FALSE)</f>
        <v>The Commissioner &amp; Chief Constable are satisfied the spend represents VFM in accordance with the requirements of Category C</v>
      </c>
      <c r="J40" s="60"/>
      <c r="K40" s="60"/>
    </row>
    <row r="41" spans="1:11" x14ac:dyDescent="0.2">
      <c r="A41" s="56" t="s">
        <v>8</v>
      </c>
      <c r="B41" s="55" t="s">
        <v>9</v>
      </c>
      <c r="C41" s="81" t="s">
        <v>72</v>
      </c>
      <c r="D41" s="53">
        <v>7180000</v>
      </c>
      <c r="E41" s="52">
        <v>45645</v>
      </c>
      <c r="F41" s="80">
        <v>26981.13</v>
      </c>
      <c r="G41" s="79" t="s">
        <v>27</v>
      </c>
      <c r="H41" s="49" t="str">
        <f>IF(F41&gt;25000,"C",IF(F41&gt;1000,"B","A"))</f>
        <v>C</v>
      </c>
      <c r="I41" s="48" t="str">
        <f>VLOOKUP(H41,$L$2:$M$4,2,FALSE)</f>
        <v>The Commissioner &amp; Chief Constable are satisfied the spend represents VFM in accordance with the requirements of Category C</v>
      </c>
      <c r="J41" s="60"/>
      <c r="K41" s="60"/>
    </row>
    <row r="42" spans="1:11" x14ac:dyDescent="0.2">
      <c r="A42" s="56" t="s">
        <v>8</v>
      </c>
      <c r="B42" s="55" t="s">
        <v>9</v>
      </c>
      <c r="C42" s="81" t="s">
        <v>109</v>
      </c>
      <c r="D42" s="53">
        <v>7180443</v>
      </c>
      <c r="E42" s="52">
        <v>45645</v>
      </c>
      <c r="F42" s="80">
        <v>25386.75</v>
      </c>
      <c r="G42" s="79" t="s">
        <v>27</v>
      </c>
      <c r="H42" s="49" t="str">
        <f>IF(F42&gt;25000,"C",IF(F42&gt;1000,"B","A"))</f>
        <v>C</v>
      </c>
      <c r="I42" s="48" t="str">
        <f>VLOOKUP(H42,$L$2:$M$4,2,FALSE)</f>
        <v>The Commissioner &amp; Chief Constable are satisfied the spend represents VFM in accordance with the requirements of Category C</v>
      </c>
      <c r="J42" s="60"/>
      <c r="K42" s="60"/>
    </row>
    <row r="43" spans="1:11" x14ac:dyDescent="0.2">
      <c r="A43" s="56" t="s">
        <v>8</v>
      </c>
      <c r="B43" s="55" t="s">
        <v>9</v>
      </c>
      <c r="C43" s="81" t="s">
        <v>1016</v>
      </c>
      <c r="D43" s="53">
        <v>7180362</v>
      </c>
      <c r="E43" s="52">
        <v>45645</v>
      </c>
      <c r="F43" s="80">
        <v>24960</v>
      </c>
      <c r="G43" s="79" t="s">
        <v>106</v>
      </c>
      <c r="H43" s="49" t="str">
        <f>IF(F43&gt;25000,"C",IF(F43&gt;1000,"B","A"))</f>
        <v>B</v>
      </c>
      <c r="I43" s="48" t="str">
        <f>VLOOKUP(H43,$L$2:$M$4,2,FALSE)</f>
        <v>The Commissioner &amp; Chief Constable are satisfied the spend represents VFM in accordance with the requirements of Category B</v>
      </c>
      <c r="J43" s="60"/>
      <c r="K43" s="60"/>
    </row>
    <row r="44" spans="1:11" x14ac:dyDescent="0.2">
      <c r="A44" s="56" t="s">
        <v>8</v>
      </c>
      <c r="B44" s="55" t="s">
        <v>9</v>
      </c>
      <c r="C44" s="81" t="s">
        <v>648</v>
      </c>
      <c r="D44" s="53">
        <v>7180276</v>
      </c>
      <c r="E44" s="52">
        <v>45646</v>
      </c>
      <c r="F44" s="80">
        <v>24556</v>
      </c>
      <c r="G44" s="79" t="s">
        <v>49</v>
      </c>
      <c r="H44" s="49" t="str">
        <f>IF(F44&gt;25000,"C",IF(F44&gt;1000,"B","A"))</f>
        <v>B</v>
      </c>
      <c r="I44" s="48" t="str">
        <f>VLOOKUP(H44,$L$2:$M$4,2,FALSE)</f>
        <v>The Commissioner &amp; Chief Constable are satisfied the spend represents VFM in accordance with the requirements of Category B</v>
      </c>
      <c r="J44" s="60"/>
      <c r="K44" s="60"/>
    </row>
    <row r="45" spans="1:11" x14ac:dyDescent="0.2">
      <c r="A45" s="56" t="s">
        <v>8</v>
      </c>
      <c r="B45" s="55" t="s">
        <v>9</v>
      </c>
      <c r="C45" s="81" t="s">
        <v>90</v>
      </c>
      <c r="D45" s="53">
        <v>7179863</v>
      </c>
      <c r="E45" s="52">
        <v>45638</v>
      </c>
      <c r="F45" s="80">
        <v>24125.360000000001</v>
      </c>
      <c r="G45" s="79" t="s">
        <v>164</v>
      </c>
      <c r="H45" s="49" t="str">
        <f>IF(F45&gt;25000,"C",IF(F45&gt;1000,"B","A"))</f>
        <v>B</v>
      </c>
      <c r="I45" s="48" t="str">
        <f>VLOOKUP(H45,$L$2:$M$4,2,FALSE)</f>
        <v>The Commissioner &amp; Chief Constable are satisfied the spend represents VFM in accordance with the requirements of Category B</v>
      </c>
      <c r="J45" s="60"/>
      <c r="K45" s="60"/>
    </row>
    <row r="46" spans="1:11" x14ac:dyDescent="0.2">
      <c r="A46" s="56" t="s">
        <v>8</v>
      </c>
      <c r="B46" s="55" t="s">
        <v>9</v>
      </c>
      <c r="C46" s="81" t="s">
        <v>897</v>
      </c>
      <c r="D46" s="53">
        <v>7180181</v>
      </c>
      <c r="E46" s="52">
        <v>45635</v>
      </c>
      <c r="F46" s="80">
        <v>23293.83</v>
      </c>
      <c r="G46" s="79" t="s">
        <v>22</v>
      </c>
      <c r="H46" s="49" t="str">
        <f>IF(F46&gt;25000,"C",IF(F46&gt;1000,"B","A"))</f>
        <v>B</v>
      </c>
      <c r="I46" s="48" t="str">
        <f>VLOOKUP(H46,$L$2:$M$4,2,FALSE)</f>
        <v>The Commissioner &amp; Chief Constable are satisfied the spend represents VFM in accordance with the requirements of Category B</v>
      </c>
      <c r="J46" s="60"/>
      <c r="K46" s="60"/>
    </row>
    <row r="47" spans="1:11" x14ac:dyDescent="0.2">
      <c r="A47" s="56" t="s">
        <v>8</v>
      </c>
      <c r="B47" s="55" t="s">
        <v>9</v>
      </c>
      <c r="C47" s="81" t="s">
        <v>1016</v>
      </c>
      <c r="D47" s="53">
        <v>7180361</v>
      </c>
      <c r="E47" s="52">
        <v>45645</v>
      </c>
      <c r="F47" s="83">
        <v>23040</v>
      </c>
      <c r="G47" s="79" t="s">
        <v>106</v>
      </c>
      <c r="H47" s="49" t="str">
        <f>IF(F47&gt;25000,"C",IF(F47&gt;1000,"B","A"))</f>
        <v>B</v>
      </c>
      <c r="I47" s="48" t="str">
        <f>VLOOKUP(H47,$L$2:$M$4,2,FALSE)</f>
        <v>The Commissioner &amp; Chief Constable are satisfied the spend represents VFM in accordance with the requirements of Category B</v>
      </c>
      <c r="J47" s="60"/>
      <c r="K47" s="60"/>
    </row>
    <row r="48" spans="1:11" x14ac:dyDescent="0.2">
      <c r="A48" s="56" t="s">
        <v>8</v>
      </c>
      <c r="B48" s="55" t="s">
        <v>9</v>
      </c>
      <c r="C48" s="81" t="s">
        <v>1016</v>
      </c>
      <c r="D48" s="53">
        <v>7180546</v>
      </c>
      <c r="E48" s="52">
        <v>45644</v>
      </c>
      <c r="F48" s="80">
        <v>23040</v>
      </c>
      <c r="G48" s="79" t="s">
        <v>106</v>
      </c>
      <c r="H48" s="49" t="str">
        <f>IF(F48&gt;25000,"C",IF(F48&gt;1000,"B","A"))</f>
        <v>B</v>
      </c>
      <c r="I48" s="48" t="str">
        <f>VLOOKUP(H48,$L$2:$M$4,2,FALSE)</f>
        <v>The Commissioner &amp; Chief Constable are satisfied the spend represents VFM in accordance with the requirements of Category B</v>
      </c>
      <c r="J48" s="60"/>
      <c r="K48" s="60"/>
    </row>
    <row r="49" spans="1:11" x14ac:dyDescent="0.2">
      <c r="A49" s="56" t="s">
        <v>8</v>
      </c>
      <c r="B49" s="55" t="s">
        <v>9</v>
      </c>
      <c r="C49" s="81" t="s">
        <v>85</v>
      </c>
      <c r="D49" s="53">
        <v>7180400</v>
      </c>
      <c r="E49" s="52">
        <v>45639</v>
      </c>
      <c r="F49" s="80">
        <v>21872.55</v>
      </c>
      <c r="G49" s="79" t="s">
        <v>27</v>
      </c>
      <c r="H49" s="49" t="str">
        <f>IF(F49&gt;25000,"C",IF(F49&gt;1000,"B","A"))</f>
        <v>B</v>
      </c>
      <c r="I49" s="48" t="str">
        <f>VLOOKUP(H49,$L$2:$M$4,2,FALSE)</f>
        <v>The Commissioner &amp; Chief Constable are satisfied the spend represents VFM in accordance with the requirements of Category B</v>
      </c>
      <c r="J49" s="60"/>
      <c r="K49" s="60"/>
    </row>
    <row r="50" spans="1:11" x14ac:dyDescent="0.2">
      <c r="A50" s="56" t="s">
        <v>8</v>
      </c>
      <c r="B50" s="55" t="s">
        <v>9</v>
      </c>
      <c r="C50" s="81" t="s">
        <v>501</v>
      </c>
      <c r="D50" s="53">
        <v>7180490</v>
      </c>
      <c r="E50" s="52">
        <v>45642</v>
      </c>
      <c r="F50" s="83">
        <v>21577.599999999999</v>
      </c>
      <c r="G50" s="84" t="s">
        <v>62</v>
      </c>
      <c r="H50" s="49" t="str">
        <f>IF(F50&gt;25000,"C",IF(F50&gt;1000,"B","A"))</f>
        <v>B</v>
      </c>
      <c r="I50" s="48" t="str">
        <f>VLOOKUP(H50,$L$2:$M$4,2,FALSE)</f>
        <v>The Commissioner &amp; Chief Constable are satisfied the spend represents VFM in accordance with the requirements of Category B</v>
      </c>
      <c r="J50" s="60"/>
      <c r="K50" s="60"/>
    </row>
    <row r="51" spans="1:11" x14ac:dyDescent="0.2">
      <c r="A51" s="56" t="s">
        <v>8</v>
      </c>
      <c r="B51" s="55" t="s">
        <v>9</v>
      </c>
      <c r="C51" s="81" t="s">
        <v>501</v>
      </c>
      <c r="D51" s="53">
        <v>7180490</v>
      </c>
      <c r="E51" s="52">
        <v>45642</v>
      </c>
      <c r="F51" s="80">
        <v>55</v>
      </c>
      <c r="G51" s="84" t="s">
        <v>63</v>
      </c>
      <c r="H51" s="49" t="str">
        <f>IF(F51&gt;25000,"C",IF(F51&gt;1000,"B","A"))</f>
        <v>A</v>
      </c>
      <c r="I51" s="48" t="str">
        <f>VLOOKUP(H51,$L$2:$M$4,2,FALSE)</f>
        <v>The Commissioner &amp; Chief Constable are satisfied the spend represents VFM in accordance with the requirements of Category A</v>
      </c>
      <c r="J51" s="60"/>
      <c r="K51" s="60"/>
    </row>
    <row r="52" spans="1:11" x14ac:dyDescent="0.2">
      <c r="A52" s="56" t="s">
        <v>8</v>
      </c>
      <c r="B52" s="55" t="s">
        <v>9</v>
      </c>
      <c r="C52" s="81" t="s">
        <v>1015</v>
      </c>
      <c r="D52" s="53">
        <v>7180813</v>
      </c>
      <c r="E52" s="52">
        <v>45656</v>
      </c>
      <c r="F52" s="80">
        <v>20674.29</v>
      </c>
      <c r="G52" s="84" t="s">
        <v>62</v>
      </c>
      <c r="H52" s="49" t="str">
        <f>IF(F52&gt;25000,"C",IF(F52&gt;1000,"B","A"))</f>
        <v>B</v>
      </c>
      <c r="I52" s="48" t="str">
        <f>VLOOKUP(H52,$L$2:$M$4,2,FALSE)</f>
        <v>The Commissioner &amp; Chief Constable are satisfied the spend represents VFM in accordance with the requirements of Category B</v>
      </c>
      <c r="J52" s="60"/>
      <c r="K52" s="60"/>
    </row>
    <row r="53" spans="1:11" x14ac:dyDescent="0.2">
      <c r="A53" s="56" t="s">
        <v>8</v>
      </c>
      <c r="B53" s="55" t="s">
        <v>9</v>
      </c>
      <c r="C53" s="82" t="s">
        <v>1015</v>
      </c>
      <c r="D53" s="53">
        <v>7180813</v>
      </c>
      <c r="E53" s="52">
        <v>45656</v>
      </c>
      <c r="F53" s="83">
        <v>55</v>
      </c>
      <c r="G53" s="79" t="s">
        <v>63</v>
      </c>
      <c r="H53" s="49" t="str">
        <f>IF(F53&gt;25000,"C",IF(F53&gt;1000,"B","A"))</f>
        <v>A</v>
      </c>
      <c r="I53" s="48" t="str">
        <f>VLOOKUP(H53,$L$2:$M$4,2,FALSE)</f>
        <v>The Commissioner &amp; Chief Constable are satisfied the spend represents VFM in accordance with the requirements of Category A</v>
      </c>
      <c r="J53" s="60"/>
      <c r="K53" s="60"/>
    </row>
    <row r="54" spans="1:11" x14ac:dyDescent="0.2">
      <c r="A54" s="56" t="s">
        <v>8</v>
      </c>
      <c r="B54" s="55" t="s">
        <v>9</v>
      </c>
      <c r="C54" s="81" t="s">
        <v>26</v>
      </c>
      <c r="D54" s="53">
        <v>7180119</v>
      </c>
      <c r="E54" s="52">
        <v>45631</v>
      </c>
      <c r="F54" s="80">
        <v>19970.73</v>
      </c>
      <c r="G54" s="84" t="s">
        <v>88</v>
      </c>
      <c r="H54" s="49" t="str">
        <f>IF(F54&gt;25000,"C",IF(F54&gt;1000,"B","A"))</f>
        <v>B</v>
      </c>
      <c r="I54" s="48" t="str">
        <f>VLOOKUP(H54,$L$2:$M$4,2,FALSE)</f>
        <v>The Commissioner &amp; Chief Constable are satisfied the spend represents VFM in accordance with the requirements of Category B</v>
      </c>
      <c r="J54" s="60"/>
      <c r="K54" s="60"/>
    </row>
    <row r="55" spans="1:11" x14ac:dyDescent="0.2">
      <c r="A55" s="56" t="s">
        <v>8</v>
      </c>
      <c r="B55" s="55" t="s">
        <v>9</v>
      </c>
      <c r="C55" s="81" t="s">
        <v>415</v>
      </c>
      <c r="D55" s="53">
        <v>7180409</v>
      </c>
      <c r="E55" s="52">
        <v>45642</v>
      </c>
      <c r="F55" s="83">
        <v>19785.05</v>
      </c>
      <c r="G55" s="79" t="s">
        <v>164</v>
      </c>
      <c r="H55" s="49" t="str">
        <f>IF(F55&gt;25000,"C",IF(F55&gt;1000,"B","A"))</f>
        <v>B</v>
      </c>
      <c r="I55" s="48" t="str">
        <f>VLOOKUP(H55,$L$2:$M$4,2,FALSE)</f>
        <v>The Commissioner &amp; Chief Constable are satisfied the spend represents VFM in accordance with the requirements of Category B</v>
      </c>
      <c r="J55" s="60"/>
      <c r="K55" s="60"/>
    </row>
    <row r="56" spans="1:11" x14ac:dyDescent="0.2">
      <c r="A56" s="56" t="s">
        <v>8</v>
      </c>
      <c r="B56" s="55" t="s">
        <v>9</v>
      </c>
      <c r="C56" s="81" t="s">
        <v>109</v>
      </c>
      <c r="D56" s="53">
        <v>7180441</v>
      </c>
      <c r="E56" s="52">
        <v>45639</v>
      </c>
      <c r="F56" s="80">
        <v>19552.5</v>
      </c>
      <c r="G56" s="79" t="s">
        <v>27</v>
      </c>
      <c r="H56" s="49" t="str">
        <f>IF(F56&gt;25000,"C",IF(F56&gt;1000,"B","A"))</f>
        <v>B</v>
      </c>
      <c r="I56" s="48" t="str">
        <f>VLOOKUP(H56,$L$2:$M$4,2,FALSE)</f>
        <v>The Commissioner &amp; Chief Constable are satisfied the spend represents VFM in accordance with the requirements of Category B</v>
      </c>
      <c r="J56" s="60"/>
      <c r="K56" s="60"/>
    </row>
    <row r="57" spans="1:11" x14ac:dyDescent="0.2">
      <c r="A57" s="56" t="s">
        <v>8</v>
      </c>
      <c r="B57" s="55" t="s">
        <v>9</v>
      </c>
      <c r="C57" s="81" t="s">
        <v>146</v>
      </c>
      <c r="D57" s="53">
        <v>7180069</v>
      </c>
      <c r="E57" s="52">
        <v>45636</v>
      </c>
      <c r="F57" s="80">
        <v>19349.830000000002</v>
      </c>
      <c r="G57" s="79" t="s">
        <v>24</v>
      </c>
      <c r="H57" s="49" t="str">
        <f>IF(F57&gt;25000,"C",IF(F57&gt;1000,"B","A"))</f>
        <v>B</v>
      </c>
      <c r="I57" s="48" t="str">
        <f>VLOOKUP(H57,$L$2:$M$4,2,FALSE)</f>
        <v>The Commissioner &amp; Chief Constable are satisfied the spend represents VFM in accordance with the requirements of Category B</v>
      </c>
      <c r="J57" s="60"/>
      <c r="K57" s="60"/>
    </row>
    <row r="58" spans="1:11" x14ac:dyDescent="0.2">
      <c r="A58" s="56" t="s">
        <v>8</v>
      </c>
      <c r="B58" s="55" t="s">
        <v>9</v>
      </c>
      <c r="C58" s="82" t="s">
        <v>1014</v>
      </c>
      <c r="D58" s="53">
        <v>7179891</v>
      </c>
      <c r="E58" s="52">
        <v>45644</v>
      </c>
      <c r="F58" s="83">
        <v>18623.77</v>
      </c>
      <c r="G58" s="79" t="s">
        <v>15</v>
      </c>
      <c r="H58" s="49" t="str">
        <f>IF(F58&gt;25000,"C",IF(F58&gt;1000,"B","A"))</f>
        <v>B</v>
      </c>
      <c r="I58" s="48" t="str">
        <f>VLOOKUP(H58,$L$2:$M$4,2,FALSE)</f>
        <v>The Commissioner &amp; Chief Constable are satisfied the spend represents VFM in accordance with the requirements of Category B</v>
      </c>
      <c r="J58" s="60"/>
      <c r="K58" s="60"/>
    </row>
    <row r="59" spans="1:11" x14ac:dyDescent="0.2">
      <c r="A59" s="56" t="s">
        <v>8</v>
      </c>
      <c r="B59" s="55" t="s">
        <v>9</v>
      </c>
      <c r="C59" s="82" t="s">
        <v>1013</v>
      </c>
      <c r="D59" s="53">
        <v>7180261</v>
      </c>
      <c r="E59" s="52">
        <v>45636</v>
      </c>
      <c r="F59" s="83">
        <v>18000</v>
      </c>
      <c r="G59" s="79" t="s">
        <v>15</v>
      </c>
      <c r="H59" s="49" t="str">
        <f>IF(F59&gt;25000,"C",IF(F59&gt;1000,"B","A"))</f>
        <v>B</v>
      </c>
      <c r="I59" s="48" t="str">
        <f>VLOOKUP(H59,$L$2:$M$4,2,FALSE)</f>
        <v>The Commissioner &amp; Chief Constable are satisfied the spend represents VFM in accordance with the requirements of Category B</v>
      </c>
      <c r="J59" s="60"/>
      <c r="K59" s="60"/>
    </row>
    <row r="60" spans="1:11" x14ac:dyDescent="0.2">
      <c r="A60" s="56" t="s">
        <v>8</v>
      </c>
      <c r="B60" s="55" t="s">
        <v>9</v>
      </c>
      <c r="C60" s="81" t="s">
        <v>1013</v>
      </c>
      <c r="D60" s="53">
        <v>7180371</v>
      </c>
      <c r="E60" s="52">
        <v>45637</v>
      </c>
      <c r="F60" s="80">
        <v>18000</v>
      </c>
      <c r="G60" s="79" t="s">
        <v>15</v>
      </c>
      <c r="H60" s="49" t="str">
        <f>IF(F60&gt;25000,"C",IF(F60&gt;1000,"B","A"))</f>
        <v>B</v>
      </c>
      <c r="I60" s="48" t="str">
        <f>VLOOKUP(H60,$L$2:$M$4,2,FALSE)</f>
        <v>The Commissioner &amp; Chief Constable are satisfied the spend represents VFM in accordance with the requirements of Category B</v>
      </c>
      <c r="J60" s="60"/>
      <c r="K60" s="60"/>
    </row>
    <row r="61" spans="1:11" x14ac:dyDescent="0.2">
      <c r="A61" s="56" t="s">
        <v>8</v>
      </c>
      <c r="B61" s="55" t="s">
        <v>9</v>
      </c>
      <c r="C61" s="82" t="s">
        <v>109</v>
      </c>
      <c r="D61" s="53">
        <v>7180442</v>
      </c>
      <c r="E61" s="52">
        <v>45639</v>
      </c>
      <c r="F61" s="80">
        <v>17877</v>
      </c>
      <c r="G61" s="79" t="s">
        <v>27</v>
      </c>
      <c r="H61" s="49" t="str">
        <f>IF(F61&gt;25000,"C",IF(F61&gt;1000,"B","A"))</f>
        <v>B</v>
      </c>
      <c r="I61" s="48" t="str">
        <f>VLOOKUP(H61,$L$2:$M$4,2,FALSE)</f>
        <v>The Commissioner &amp; Chief Constable are satisfied the spend represents VFM in accordance with the requirements of Category B</v>
      </c>
      <c r="J61" s="60"/>
      <c r="K61" s="60"/>
    </row>
    <row r="62" spans="1:11" x14ac:dyDescent="0.2">
      <c r="A62" s="56" t="s">
        <v>8</v>
      </c>
      <c r="B62" s="55" t="s">
        <v>9</v>
      </c>
      <c r="C62" s="82" t="s">
        <v>706</v>
      </c>
      <c r="D62" s="53">
        <v>7180698</v>
      </c>
      <c r="E62" s="52">
        <v>45645</v>
      </c>
      <c r="F62" s="83">
        <v>17483.77</v>
      </c>
      <c r="G62" s="79" t="s">
        <v>574</v>
      </c>
      <c r="H62" s="49" t="str">
        <f>IF(F62&gt;25000,"C",IF(F62&gt;1000,"B","A"))</f>
        <v>B</v>
      </c>
      <c r="I62" s="48" t="str">
        <f>VLOOKUP(H62,$L$2:$M$4,2,FALSE)</f>
        <v>The Commissioner &amp; Chief Constable are satisfied the spend represents VFM in accordance with the requirements of Category B</v>
      </c>
      <c r="J62" s="60"/>
      <c r="K62" s="60"/>
    </row>
    <row r="63" spans="1:11" x14ac:dyDescent="0.2">
      <c r="A63" s="56" t="s">
        <v>8</v>
      </c>
      <c r="B63" s="55" t="s">
        <v>9</v>
      </c>
      <c r="C63" s="82" t="s">
        <v>706</v>
      </c>
      <c r="D63" s="53">
        <v>7180713</v>
      </c>
      <c r="E63" s="52">
        <v>45649</v>
      </c>
      <c r="F63" s="80">
        <v>17483.77</v>
      </c>
      <c r="G63" s="79" t="s">
        <v>574</v>
      </c>
      <c r="H63" s="49" t="str">
        <f>IF(F63&gt;25000,"C",IF(F63&gt;1000,"B","A"))</f>
        <v>B</v>
      </c>
      <c r="I63" s="48" t="str">
        <f>VLOOKUP(H63,$L$2:$M$4,2,FALSE)</f>
        <v>The Commissioner &amp; Chief Constable are satisfied the spend represents VFM in accordance with the requirements of Category B</v>
      </c>
      <c r="J63" s="60"/>
      <c r="K63" s="60"/>
    </row>
    <row r="64" spans="1:11" x14ac:dyDescent="0.2">
      <c r="A64" s="56" t="s">
        <v>8</v>
      </c>
      <c r="B64" s="55" t="s">
        <v>9</v>
      </c>
      <c r="C64" s="81" t="s">
        <v>706</v>
      </c>
      <c r="D64" s="53">
        <v>7180722</v>
      </c>
      <c r="E64" s="52">
        <v>45649</v>
      </c>
      <c r="F64" s="80">
        <v>17483.77</v>
      </c>
      <c r="G64" s="79" t="s">
        <v>574</v>
      </c>
      <c r="H64" s="49" t="str">
        <f>IF(F64&gt;25000,"C",IF(F64&gt;1000,"B","A"))</f>
        <v>B</v>
      </c>
      <c r="I64" s="48" t="str">
        <f>VLOOKUP(H64,$L$2:$M$4,2,FALSE)</f>
        <v>The Commissioner &amp; Chief Constable are satisfied the spend represents VFM in accordance with the requirements of Category B</v>
      </c>
      <c r="J64" s="60"/>
      <c r="K64" s="60"/>
    </row>
    <row r="65" spans="1:11" x14ac:dyDescent="0.2">
      <c r="A65" s="56" t="s">
        <v>8</v>
      </c>
      <c r="B65" s="55" t="s">
        <v>9</v>
      </c>
      <c r="C65" s="82" t="s">
        <v>706</v>
      </c>
      <c r="D65" s="53">
        <v>7180688</v>
      </c>
      <c r="E65" s="52">
        <v>45645</v>
      </c>
      <c r="F65" s="80">
        <v>17483.77</v>
      </c>
      <c r="G65" s="84" t="s">
        <v>574</v>
      </c>
      <c r="H65" s="49" t="str">
        <f>IF(F65&gt;25000,"C",IF(F65&gt;1000,"B","A"))</f>
        <v>B</v>
      </c>
      <c r="I65" s="48" t="str">
        <f>VLOOKUP(H65,$L$2:$M$4,2,FALSE)</f>
        <v>The Commissioner &amp; Chief Constable are satisfied the spend represents VFM in accordance with the requirements of Category B</v>
      </c>
      <c r="J65" s="60"/>
      <c r="K65" s="60"/>
    </row>
    <row r="66" spans="1:11" x14ac:dyDescent="0.2">
      <c r="A66" s="56" t="s">
        <v>8</v>
      </c>
      <c r="B66" s="55" t="s">
        <v>9</v>
      </c>
      <c r="C66" s="82" t="s">
        <v>163</v>
      </c>
      <c r="D66" s="53">
        <v>7180052</v>
      </c>
      <c r="E66" s="52">
        <v>45630</v>
      </c>
      <c r="F66" s="80">
        <v>17483</v>
      </c>
      <c r="G66" s="84" t="s">
        <v>45</v>
      </c>
      <c r="H66" s="49" t="str">
        <f>IF(F66&gt;25000,"C",IF(F66&gt;1000,"B","A"))</f>
        <v>B</v>
      </c>
      <c r="I66" s="48" t="str">
        <f>VLOOKUP(H66,$L$2:$M$4,2,FALSE)</f>
        <v>The Commissioner &amp; Chief Constable are satisfied the spend represents VFM in accordance with the requirements of Category B</v>
      </c>
      <c r="J66" s="60"/>
      <c r="K66" s="60"/>
    </row>
    <row r="67" spans="1:11" x14ac:dyDescent="0.2">
      <c r="A67" s="56" t="s">
        <v>8</v>
      </c>
      <c r="B67" s="55" t="s">
        <v>9</v>
      </c>
      <c r="C67" s="81" t="s">
        <v>791</v>
      </c>
      <c r="D67" s="53">
        <v>7180401</v>
      </c>
      <c r="E67" s="52">
        <v>45639</v>
      </c>
      <c r="F67" s="80">
        <v>16675</v>
      </c>
      <c r="G67" s="79" t="s">
        <v>27</v>
      </c>
      <c r="H67" s="49" t="str">
        <f>IF(F67&gt;25000,"C",IF(F67&gt;1000,"B","A"))</f>
        <v>B</v>
      </c>
      <c r="I67" s="48" t="str">
        <f>VLOOKUP(H67,$L$2:$M$4,2,FALSE)</f>
        <v>The Commissioner &amp; Chief Constable are satisfied the spend represents VFM in accordance with the requirements of Category B</v>
      </c>
      <c r="J67" s="60"/>
      <c r="K67" s="60"/>
    </row>
    <row r="68" spans="1:11" x14ac:dyDescent="0.2">
      <c r="A68" s="56" t="s">
        <v>8</v>
      </c>
      <c r="B68" s="55" t="s">
        <v>9</v>
      </c>
      <c r="C68" s="82" t="s">
        <v>79</v>
      </c>
      <c r="D68" s="53">
        <v>9036928</v>
      </c>
      <c r="E68" s="52">
        <v>45635</v>
      </c>
      <c r="F68" s="80">
        <v>15855.27</v>
      </c>
      <c r="G68" s="79" t="s">
        <v>80</v>
      </c>
      <c r="H68" s="49" t="str">
        <f>IF(F68&gt;25000,"C",IF(F68&gt;1000,"B","A"))</f>
        <v>B</v>
      </c>
      <c r="I68" s="48" t="str">
        <f>VLOOKUP(H68,$L$2:$M$4,2,FALSE)</f>
        <v>The Commissioner &amp; Chief Constable are satisfied the spend represents VFM in accordance with the requirements of Category B</v>
      </c>
      <c r="J68" s="60"/>
      <c r="K68" s="60"/>
    </row>
    <row r="69" spans="1:11" x14ac:dyDescent="0.2">
      <c r="A69" s="56" t="s">
        <v>8</v>
      </c>
      <c r="B69" s="55" t="s">
        <v>9</v>
      </c>
      <c r="C69" s="82" t="s">
        <v>44</v>
      </c>
      <c r="D69" s="53">
        <v>7180018</v>
      </c>
      <c r="E69" s="52">
        <v>45631</v>
      </c>
      <c r="F69" s="80">
        <v>1258</v>
      </c>
      <c r="G69" s="84" t="s">
        <v>45</v>
      </c>
      <c r="H69" s="49" t="str">
        <f>IF(F69&gt;25000,"C",IF(F69&gt;1000,"B","A"))</f>
        <v>B</v>
      </c>
      <c r="I69" s="48" t="str">
        <f>VLOOKUP(H69,$L$2:$M$4,2,FALSE)</f>
        <v>The Commissioner &amp; Chief Constable are satisfied the spend represents VFM in accordance with the requirements of Category B</v>
      </c>
      <c r="J69" s="60"/>
      <c r="K69" s="60"/>
    </row>
    <row r="70" spans="1:11" x14ac:dyDescent="0.2">
      <c r="A70" s="56" t="s">
        <v>8</v>
      </c>
      <c r="B70" s="55" t="s">
        <v>9</v>
      </c>
      <c r="C70" s="81" t="s">
        <v>44</v>
      </c>
      <c r="D70" s="53">
        <v>7180018</v>
      </c>
      <c r="E70" s="52">
        <v>45631</v>
      </c>
      <c r="F70" s="80">
        <v>6630.5</v>
      </c>
      <c r="G70" s="79" t="s">
        <v>81</v>
      </c>
      <c r="H70" s="49" t="str">
        <f>IF(F70&gt;25000,"C",IF(F70&gt;1000,"B","A"))</f>
        <v>B</v>
      </c>
      <c r="I70" s="48" t="str">
        <f>VLOOKUP(H70,$L$2:$M$4,2,FALSE)</f>
        <v>The Commissioner &amp; Chief Constable are satisfied the spend represents VFM in accordance with the requirements of Category B</v>
      </c>
      <c r="J70" s="60"/>
      <c r="K70" s="60"/>
    </row>
    <row r="71" spans="1:11" x14ac:dyDescent="0.2">
      <c r="A71" s="56" t="s">
        <v>8</v>
      </c>
      <c r="B71" s="55" t="s">
        <v>9</v>
      </c>
      <c r="C71" s="82" t="s">
        <v>44</v>
      </c>
      <c r="D71" s="53">
        <v>7180018</v>
      </c>
      <c r="E71" s="52">
        <v>45631</v>
      </c>
      <c r="F71" s="80">
        <v>7907</v>
      </c>
      <c r="G71" s="79" t="s">
        <v>82</v>
      </c>
      <c r="H71" s="49" t="str">
        <f>IF(F71&gt;25000,"C",IF(F71&gt;1000,"B","A"))</f>
        <v>B</v>
      </c>
      <c r="I71" s="48" t="str">
        <f>VLOOKUP(H71,$L$2:$M$4,2,FALSE)</f>
        <v>The Commissioner &amp; Chief Constable are satisfied the spend represents VFM in accordance with the requirements of Category B</v>
      </c>
      <c r="J71" s="60"/>
      <c r="K71" s="60"/>
    </row>
    <row r="72" spans="1:11" x14ac:dyDescent="0.2">
      <c r="A72" s="56" t="s">
        <v>8</v>
      </c>
      <c r="B72" s="55" t="s">
        <v>9</v>
      </c>
      <c r="C72" s="81" t="s">
        <v>146</v>
      </c>
      <c r="D72" s="53">
        <v>7179682</v>
      </c>
      <c r="E72" s="52">
        <v>45630</v>
      </c>
      <c r="F72" s="80">
        <v>15767.99</v>
      </c>
      <c r="G72" s="84" t="s">
        <v>24</v>
      </c>
      <c r="H72" s="49" t="str">
        <f>IF(F72&gt;25000,"C",IF(F72&gt;1000,"B","A"))</f>
        <v>B</v>
      </c>
      <c r="I72" s="48" t="str">
        <f>VLOOKUP(H72,$L$2:$M$4,2,FALSE)</f>
        <v>The Commissioner &amp; Chief Constable are satisfied the spend represents VFM in accordance with the requirements of Category B</v>
      </c>
      <c r="J72" s="60"/>
      <c r="K72" s="60"/>
    </row>
    <row r="73" spans="1:11" x14ac:dyDescent="0.2">
      <c r="A73" s="56" t="s">
        <v>8</v>
      </c>
      <c r="B73" s="55" t="s">
        <v>9</v>
      </c>
      <c r="C73" s="82" t="s">
        <v>448</v>
      </c>
      <c r="D73" s="53">
        <v>7180587</v>
      </c>
      <c r="E73" s="52">
        <v>45645</v>
      </c>
      <c r="F73" s="80">
        <v>15211</v>
      </c>
      <c r="G73" s="79" t="s">
        <v>27</v>
      </c>
      <c r="H73" s="49" t="str">
        <f>IF(F73&gt;25000,"C",IF(F73&gt;1000,"B","A"))</f>
        <v>B</v>
      </c>
      <c r="I73" s="48" t="str">
        <f>VLOOKUP(H73,$L$2:$M$4,2,FALSE)</f>
        <v>The Commissioner &amp; Chief Constable are satisfied the spend represents VFM in accordance with the requirements of Category B</v>
      </c>
      <c r="J73" s="60"/>
      <c r="K73" s="60"/>
    </row>
    <row r="74" spans="1:11" x14ac:dyDescent="0.2">
      <c r="A74" s="56" t="s">
        <v>8</v>
      </c>
      <c r="B74" s="55" t="s">
        <v>9</v>
      </c>
      <c r="C74" s="82" t="s">
        <v>26</v>
      </c>
      <c r="D74" s="53">
        <v>7180790</v>
      </c>
      <c r="E74" s="52">
        <v>45649</v>
      </c>
      <c r="F74" s="80">
        <v>14932.439999999999</v>
      </c>
      <c r="G74" s="79" t="s">
        <v>76</v>
      </c>
      <c r="H74" s="49" t="str">
        <f>IF(F74&gt;25000,"C",IF(F74&gt;1000,"B","A"))</f>
        <v>B</v>
      </c>
      <c r="I74" s="48" t="str">
        <f>VLOOKUP(H74,$L$2:$M$4,2,FALSE)</f>
        <v>The Commissioner &amp; Chief Constable are satisfied the spend represents VFM in accordance with the requirements of Category B</v>
      </c>
      <c r="J74" s="60"/>
      <c r="K74" s="60"/>
    </row>
    <row r="75" spans="1:11" x14ac:dyDescent="0.2">
      <c r="A75" s="56" t="s">
        <v>8</v>
      </c>
      <c r="B75" s="55" t="s">
        <v>9</v>
      </c>
      <c r="C75" s="81" t="s">
        <v>95</v>
      </c>
      <c r="D75" s="53">
        <v>7180755</v>
      </c>
      <c r="E75" s="52">
        <v>45650</v>
      </c>
      <c r="F75" s="80">
        <v>14205.5</v>
      </c>
      <c r="G75" s="84" t="s">
        <v>131</v>
      </c>
      <c r="H75" s="49" t="str">
        <f>IF(F75&gt;25000,"C",IF(F75&gt;1000,"B","A"))</f>
        <v>B</v>
      </c>
      <c r="I75" s="48" t="str">
        <f>VLOOKUP(H75,$L$2:$M$4,2,FALSE)</f>
        <v>The Commissioner &amp; Chief Constable are satisfied the spend represents VFM in accordance with the requirements of Category B</v>
      </c>
      <c r="J75" s="60"/>
      <c r="K75" s="60"/>
    </row>
    <row r="76" spans="1:11" x14ac:dyDescent="0.2">
      <c r="A76" s="56" t="s">
        <v>8</v>
      </c>
      <c r="B76" s="55" t="s">
        <v>9</v>
      </c>
      <c r="C76" s="82" t="s">
        <v>631</v>
      </c>
      <c r="D76" s="53">
        <v>7179977</v>
      </c>
      <c r="E76" s="52">
        <v>45638</v>
      </c>
      <c r="F76" s="80">
        <v>14205.5</v>
      </c>
      <c r="G76" s="79" t="s">
        <v>131</v>
      </c>
      <c r="H76" s="49" t="str">
        <f>IF(F76&gt;25000,"C",IF(F76&gt;1000,"B","A"))</f>
        <v>B</v>
      </c>
      <c r="I76" s="48" t="str">
        <f>VLOOKUP(H76,$L$2:$M$4,2,FALSE)</f>
        <v>The Commissioner &amp; Chief Constable are satisfied the spend represents VFM in accordance with the requirements of Category B</v>
      </c>
      <c r="J76" s="60"/>
      <c r="K76" s="60"/>
    </row>
    <row r="77" spans="1:11" x14ac:dyDescent="0.2">
      <c r="A77" s="56" t="s">
        <v>8</v>
      </c>
      <c r="B77" s="55" t="s">
        <v>9</v>
      </c>
      <c r="C77" s="82" t="s">
        <v>127</v>
      </c>
      <c r="D77" s="53">
        <v>7179931</v>
      </c>
      <c r="E77" s="52">
        <v>45630</v>
      </c>
      <c r="F77" s="80">
        <v>14089.95</v>
      </c>
      <c r="G77" s="84" t="s">
        <v>49</v>
      </c>
      <c r="H77" s="49" t="str">
        <f>IF(F77&gt;25000,"C",IF(F77&gt;1000,"B","A"))</f>
        <v>B</v>
      </c>
      <c r="I77" s="48" t="str">
        <f>VLOOKUP(H77,$L$2:$M$4,2,FALSE)</f>
        <v>The Commissioner &amp; Chief Constable are satisfied the spend represents VFM in accordance with the requirements of Category B</v>
      </c>
      <c r="J77" s="60"/>
      <c r="K77" s="60"/>
    </row>
    <row r="78" spans="1:11" x14ac:dyDescent="0.2">
      <c r="A78" s="56" t="s">
        <v>8</v>
      </c>
      <c r="B78" s="55" t="s">
        <v>9</v>
      </c>
      <c r="C78" s="81" t="s">
        <v>26</v>
      </c>
      <c r="D78" s="53">
        <v>7180778</v>
      </c>
      <c r="E78" s="52">
        <v>45649</v>
      </c>
      <c r="F78" s="80">
        <v>13972.09</v>
      </c>
      <c r="G78" s="79" t="s">
        <v>76</v>
      </c>
      <c r="H78" s="49" t="str">
        <f>IF(F78&gt;25000,"C",IF(F78&gt;1000,"B","A"))</f>
        <v>B</v>
      </c>
      <c r="I78" s="48" t="str">
        <f>VLOOKUP(H78,$L$2:$M$4,2,FALSE)</f>
        <v>The Commissioner &amp; Chief Constable are satisfied the spend represents VFM in accordance with the requirements of Category B</v>
      </c>
      <c r="J78" s="60"/>
      <c r="K78" s="60"/>
    </row>
    <row r="79" spans="1:11" x14ac:dyDescent="0.2">
      <c r="A79" s="56" t="s">
        <v>8</v>
      </c>
      <c r="B79" s="55" t="s">
        <v>9</v>
      </c>
      <c r="C79" s="82" t="s">
        <v>52</v>
      </c>
      <c r="D79" s="53">
        <v>7180273</v>
      </c>
      <c r="E79" s="52">
        <v>45638</v>
      </c>
      <c r="F79" s="80">
        <v>1625</v>
      </c>
      <c r="G79" s="84" t="s">
        <v>45</v>
      </c>
      <c r="H79" s="49" t="str">
        <f>IF(F79&gt;25000,"C",IF(F79&gt;1000,"B","A"))</f>
        <v>B</v>
      </c>
      <c r="I79" s="48" t="str">
        <f>VLOOKUP(H79,$L$2:$M$4,2,FALSE)</f>
        <v>The Commissioner &amp; Chief Constable are satisfied the spend represents VFM in accordance with the requirements of Category B</v>
      </c>
      <c r="J79" s="60"/>
      <c r="K79" s="60"/>
    </row>
    <row r="80" spans="1:11" x14ac:dyDescent="0.2">
      <c r="A80" s="56" t="s">
        <v>8</v>
      </c>
      <c r="B80" s="55" t="s">
        <v>9</v>
      </c>
      <c r="C80" s="82" t="s">
        <v>52</v>
      </c>
      <c r="D80" s="53">
        <v>7180273</v>
      </c>
      <c r="E80" s="52">
        <v>45638</v>
      </c>
      <c r="F80" s="80">
        <v>7996.5</v>
      </c>
      <c r="G80" s="79" t="s">
        <v>81</v>
      </c>
      <c r="H80" s="49" t="str">
        <f>IF(F80&gt;25000,"C",IF(F80&gt;1000,"B","A"))</f>
        <v>B</v>
      </c>
      <c r="I80" s="48" t="str">
        <f>VLOOKUP(H80,$L$2:$M$4,2,FALSE)</f>
        <v>The Commissioner &amp; Chief Constable are satisfied the spend represents VFM in accordance with the requirements of Category B</v>
      </c>
      <c r="J80" s="60"/>
      <c r="K80" s="60"/>
    </row>
    <row r="81" spans="1:11" x14ac:dyDescent="0.2">
      <c r="A81" s="56" t="s">
        <v>8</v>
      </c>
      <c r="B81" s="55" t="s">
        <v>9</v>
      </c>
      <c r="C81" s="81" t="s">
        <v>52</v>
      </c>
      <c r="D81" s="53">
        <v>7180273</v>
      </c>
      <c r="E81" s="52">
        <v>45638</v>
      </c>
      <c r="F81" s="80">
        <v>3917</v>
      </c>
      <c r="G81" s="79" t="s">
        <v>82</v>
      </c>
      <c r="H81" s="49" t="str">
        <f>IF(F81&gt;25000,"C",IF(F81&gt;1000,"B","A"))</f>
        <v>B</v>
      </c>
      <c r="I81" s="48" t="str">
        <f>VLOOKUP(H81,$L$2:$M$4,2,FALSE)</f>
        <v>The Commissioner &amp; Chief Constable are satisfied the spend represents VFM in accordance with the requirements of Category B</v>
      </c>
      <c r="J81" s="60"/>
      <c r="K81" s="60"/>
    </row>
    <row r="82" spans="1:11" x14ac:dyDescent="0.2">
      <c r="A82" s="56" t="s">
        <v>8</v>
      </c>
      <c r="B82" s="55" t="s">
        <v>9</v>
      </c>
      <c r="C82" s="82" t="s">
        <v>742</v>
      </c>
      <c r="D82" s="53">
        <v>7178005</v>
      </c>
      <c r="E82" s="52">
        <v>45649</v>
      </c>
      <c r="F82" s="80">
        <v>13390</v>
      </c>
      <c r="G82" s="79" t="s">
        <v>106</v>
      </c>
      <c r="H82" s="49" t="str">
        <f>IF(F82&gt;25000,"C",IF(F82&gt;1000,"B","A"))</f>
        <v>B</v>
      </c>
      <c r="I82" s="48" t="str">
        <f>VLOOKUP(H82,$L$2:$M$4,2,FALSE)</f>
        <v>The Commissioner &amp; Chief Constable are satisfied the spend represents VFM in accordance with the requirements of Category B</v>
      </c>
      <c r="J82" s="60"/>
      <c r="K82" s="60"/>
    </row>
    <row r="83" spans="1:11" x14ac:dyDescent="0.2">
      <c r="A83" s="56" t="s">
        <v>8</v>
      </c>
      <c r="B83" s="55" t="s">
        <v>9</v>
      </c>
      <c r="C83" s="82" t="s">
        <v>86</v>
      </c>
      <c r="D83" s="53">
        <v>7179942</v>
      </c>
      <c r="E83" s="52">
        <v>45629</v>
      </c>
      <c r="F83" s="80">
        <v>13328.54</v>
      </c>
      <c r="G83" s="79" t="s">
        <v>87</v>
      </c>
      <c r="H83" s="49" t="str">
        <f>IF(F83&gt;25000,"C",IF(F83&gt;1000,"B","A"))</f>
        <v>B</v>
      </c>
      <c r="I83" s="48" t="str">
        <f>VLOOKUP(H83,$L$2:$M$4,2,FALSE)</f>
        <v>The Commissioner &amp; Chief Constable are satisfied the spend represents VFM in accordance with the requirements of Category B</v>
      </c>
      <c r="J83" s="60"/>
      <c r="K83" s="60"/>
    </row>
    <row r="84" spans="1:11" x14ac:dyDescent="0.2">
      <c r="A84" s="56" t="s">
        <v>8</v>
      </c>
      <c r="B84" s="55" t="s">
        <v>9</v>
      </c>
      <c r="C84" s="81" t="s">
        <v>110</v>
      </c>
      <c r="D84" s="53">
        <v>7180375</v>
      </c>
      <c r="E84" s="52">
        <v>45646</v>
      </c>
      <c r="F84" s="80">
        <v>12922.83</v>
      </c>
      <c r="G84" s="79" t="s">
        <v>49</v>
      </c>
      <c r="H84" s="49" t="str">
        <f>IF(F84&gt;25000,"C",IF(F84&gt;1000,"B","A"))</f>
        <v>B</v>
      </c>
      <c r="I84" s="48" t="str">
        <f>VLOOKUP(H84,$L$2:$M$4,2,FALSE)</f>
        <v>The Commissioner &amp; Chief Constable are satisfied the spend represents VFM in accordance with the requirements of Category B</v>
      </c>
      <c r="J84" s="60"/>
      <c r="K84" s="60"/>
    </row>
    <row r="85" spans="1:11" x14ac:dyDescent="0.2">
      <c r="A85" s="56" t="s">
        <v>8</v>
      </c>
      <c r="B85" s="55" t="s">
        <v>9</v>
      </c>
      <c r="C85" s="82" t="s">
        <v>432</v>
      </c>
      <c r="D85" s="53">
        <v>7180359</v>
      </c>
      <c r="E85" s="52">
        <v>45642</v>
      </c>
      <c r="F85" s="80">
        <v>12760</v>
      </c>
      <c r="G85" s="79" t="s">
        <v>22</v>
      </c>
      <c r="H85" s="49" t="str">
        <f>IF(F85&gt;25000,"C",IF(F85&gt;1000,"B","A"))</f>
        <v>B</v>
      </c>
      <c r="I85" s="48" t="str">
        <f>VLOOKUP(H85,$L$2:$M$4,2,FALSE)</f>
        <v>The Commissioner &amp; Chief Constable are satisfied the spend represents VFM in accordance with the requirements of Category B</v>
      </c>
      <c r="J85" s="60"/>
      <c r="K85" s="60"/>
    </row>
    <row r="86" spans="1:11" x14ac:dyDescent="0.2">
      <c r="A86" s="56" t="s">
        <v>8</v>
      </c>
      <c r="B86" s="55" t="s">
        <v>9</v>
      </c>
      <c r="C86" s="82" t="s">
        <v>50</v>
      </c>
      <c r="D86" s="53">
        <v>7178346</v>
      </c>
      <c r="E86" s="52">
        <v>45632</v>
      </c>
      <c r="F86" s="80">
        <v>12556.68</v>
      </c>
      <c r="G86" s="79" t="s">
        <v>36</v>
      </c>
      <c r="H86" s="49" t="str">
        <f>IF(F86&gt;25000,"C",IF(F86&gt;1000,"B","A"))</f>
        <v>B</v>
      </c>
      <c r="I86" s="48" t="str">
        <f>VLOOKUP(H86,$L$2:$M$4,2,FALSE)</f>
        <v>The Commissioner &amp; Chief Constable are satisfied the spend represents VFM in accordance with the requirements of Category B</v>
      </c>
      <c r="J86" s="60"/>
      <c r="K86" s="60"/>
    </row>
    <row r="87" spans="1:11" x14ac:dyDescent="0.2">
      <c r="A87" s="56" t="s">
        <v>8</v>
      </c>
      <c r="B87" s="55" t="s">
        <v>9</v>
      </c>
      <c r="C87" s="81" t="s">
        <v>109</v>
      </c>
      <c r="D87" s="53">
        <v>7180151</v>
      </c>
      <c r="E87" s="52">
        <v>45638</v>
      </c>
      <c r="F87" s="80">
        <v>12500</v>
      </c>
      <c r="G87" s="79" t="s">
        <v>27</v>
      </c>
      <c r="H87" s="49" t="str">
        <f>IF(F87&gt;25000,"C",IF(F87&gt;1000,"B","A"))</f>
        <v>B</v>
      </c>
      <c r="I87" s="48" t="str">
        <f>VLOOKUP(H87,$L$2:$M$4,2,FALSE)</f>
        <v>The Commissioner &amp; Chief Constable are satisfied the spend represents VFM in accordance with the requirements of Category B</v>
      </c>
      <c r="J87" s="60"/>
      <c r="K87" s="60"/>
    </row>
    <row r="88" spans="1:11" x14ac:dyDescent="0.2">
      <c r="A88" s="56" t="s">
        <v>8</v>
      </c>
      <c r="B88" s="55" t="s">
        <v>9</v>
      </c>
      <c r="C88" s="82" t="s">
        <v>117</v>
      </c>
      <c r="D88" s="53">
        <v>7180370</v>
      </c>
      <c r="E88" s="52">
        <v>45638</v>
      </c>
      <c r="F88" s="80">
        <v>12411.26</v>
      </c>
      <c r="G88" s="79" t="s">
        <v>118</v>
      </c>
      <c r="H88" s="49" t="str">
        <f>IF(F88&gt;25000,"C",IF(F88&gt;1000,"B","A"))</f>
        <v>B</v>
      </c>
      <c r="I88" s="48" t="str">
        <f>VLOOKUP(H88,$L$2:$M$4,2,FALSE)</f>
        <v>The Commissioner &amp; Chief Constable are satisfied the spend represents VFM in accordance with the requirements of Category B</v>
      </c>
      <c r="J88" s="60"/>
      <c r="K88" s="60"/>
    </row>
    <row r="89" spans="1:11" x14ac:dyDescent="0.2">
      <c r="A89" s="56" t="s">
        <v>8</v>
      </c>
      <c r="B89" s="55" t="s">
        <v>9</v>
      </c>
      <c r="C89" s="82" t="s">
        <v>266</v>
      </c>
      <c r="D89" s="53">
        <v>7180356</v>
      </c>
      <c r="E89" s="52">
        <v>45643</v>
      </c>
      <c r="F89" s="80">
        <v>12271.06</v>
      </c>
      <c r="G89" s="79" t="s">
        <v>84</v>
      </c>
      <c r="H89" s="49" t="str">
        <f>IF(F89&gt;25000,"C",IF(F89&gt;1000,"B","A"))</f>
        <v>B</v>
      </c>
      <c r="I89" s="48" t="str">
        <f>VLOOKUP(H89,$L$2:$M$4,2,FALSE)</f>
        <v>The Commissioner &amp; Chief Constable are satisfied the spend represents VFM in accordance with the requirements of Category B</v>
      </c>
      <c r="J89" s="60"/>
      <c r="K89" s="60"/>
    </row>
    <row r="90" spans="1:11" x14ac:dyDescent="0.2">
      <c r="A90" s="56" t="s">
        <v>8</v>
      </c>
      <c r="B90" s="55" t="s">
        <v>9</v>
      </c>
      <c r="C90" s="81" t="s">
        <v>956</v>
      </c>
      <c r="D90" s="53">
        <v>3068963</v>
      </c>
      <c r="E90" s="52">
        <v>45643</v>
      </c>
      <c r="F90" s="80">
        <v>11914</v>
      </c>
      <c r="G90" s="79" t="s">
        <v>45</v>
      </c>
      <c r="H90" s="49" t="str">
        <f>IF(F90&gt;25000,"C",IF(F90&gt;1000,"B","A"))</f>
        <v>B</v>
      </c>
      <c r="I90" s="48" t="str">
        <f>VLOOKUP(H90,$L$2:$M$4,2,FALSE)</f>
        <v>The Commissioner &amp; Chief Constable are satisfied the spend represents VFM in accordance with the requirements of Category B</v>
      </c>
      <c r="J90" s="60"/>
      <c r="K90" s="60"/>
    </row>
    <row r="91" spans="1:11" x14ac:dyDescent="0.2">
      <c r="A91" s="56" t="s">
        <v>8</v>
      </c>
      <c r="B91" s="55" t="s">
        <v>9</v>
      </c>
      <c r="C91" s="82" t="s">
        <v>334</v>
      </c>
      <c r="D91" s="53">
        <v>7180154</v>
      </c>
      <c r="E91" s="52">
        <v>45636</v>
      </c>
      <c r="F91" s="80">
        <v>11779.18</v>
      </c>
      <c r="G91" s="79" t="s">
        <v>91</v>
      </c>
      <c r="H91" s="49" t="str">
        <f>IF(F91&gt;25000,"C",IF(F91&gt;1000,"B","A"))</f>
        <v>B</v>
      </c>
      <c r="I91" s="48" t="str">
        <f>VLOOKUP(H91,$L$2:$M$4,2,FALSE)</f>
        <v>The Commissioner &amp; Chief Constable are satisfied the spend represents VFM in accordance with the requirements of Category B</v>
      </c>
      <c r="J91" s="60"/>
      <c r="K91" s="60"/>
    </row>
    <row r="92" spans="1:11" x14ac:dyDescent="0.2">
      <c r="A92" s="56" t="s">
        <v>8</v>
      </c>
      <c r="B92" s="55" t="s">
        <v>9</v>
      </c>
      <c r="C92" s="81" t="s">
        <v>1012</v>
      </c>
      <c r="D92" s="53">
        <v>7180644</v>
      </c>
      <c r="E92" s="52">
        <v>45645</v>
      </c>
      <c r="F92" s="80">
        <v>11750</v>
      </c>
      <c r="G92" s="79" t="s">
        <v>229</v>
      </c>
      <c r="H92" s="49" t="str">
        <f>IF(F92&gt;25000,"C",IF(F92&gt;1000,"B","A"))</f>
        <v>B</v>
      </c>
      <c r="I92" s="48" t="str">
        <f>VLOOKUP(H92,$L$2:$M$4,2,FALSE)</f>
        <v>The Commissioner &amp; Chief Constable are satisfied the spend represents VFM in accordance with the requirements of Category B</v>
      </c>
      <c r="J92" s="60"/>
      <c r="K92" s="60"/>
    </row>
    <row r="93" spans="1:11" x14ac:dyDescent="0.2">
      <c r="A93" s="56" t="s">
        <v>8</v>
      </c>
      <c r="B93" s="55" t="s">
        <v>9</v>
      </c>
      <c r="C93" s="81" t="s">
        <v>448</v>
      </c>
      <c r="D93" s="53">
        <v>7179621</v>
      </c>
      <c r="E93" s="52">
        <v>45628</v>
      </c>
      <c r="F93" s="80">
        <v>11662.58</v>
      </c>
      <c r="G93" s="79" t="s">
        <v>27</v>
      </c>
      <c r="H93" s="49" t="str">
        <f>IF(F93&gt;25000,"C",IF(F93&gt;1000,"B","A"))</f>
        <v>B</v>
      </c>
      <c r="I93" s="48" t="str">
        <f>VLOOKUP(H93,$L$2:$M$4,2,FALSE)</f>
        <v>The Commissioner &amp; Chief Constable are satisfied the spend represents VFM in accordance with the requirements of Category B</v>
      </c>
      <c r="J93" s="60"/>
      <c r="K93" s="60"/>
    </row>
    <row r="94" spans="1:11" x14ac:dyDescent="0.2">
      <c r="A94" s="56" t="s">
        <v>8</v>
      </c>
      <c r="B94" s="55" t="s">
        <v>9</v>
      </c>
      <c r="C94" s="81" t="s">
        <v>448</v>
      </c>
      <c r="D94" s="53">
        <v>7180572</v>
      </c>
      <c r="E94" s="52">
        <v>45643</v>
      </c>
      <c r="F94" s="80">
        <v>11662.58</v>
      </c>
      <c r="G94" s="79" t="s">
        <v>27</v>
      </c>
      <c r="H94" s="49" t="str">
        <f>IF(F94&gt;25000,"C",IF(F94&gt;1000,"B","A"))</f>
        <v>B</v>
      </c>
      <c r="I94" s="48" t="str">
        <f>VLOOKUP(H94,$L$2:$M$4,2,FALSE)</f>
        <v>The Commissioner &amp; Chief Constable are satisfied the spend represents VFM in accordance with the requirements of Category B</v>
      </c>
      <c r="J94" s="60"/>
      <c r="K94" s="60"/>
    </row>
    <row r="95" spans="1:11" x14ac:dyDescent="0.2">
      <c r="A95" s="56" t="s">
        <v>8</v>
      </c>
      <c r="B95" s="55" t="s">
        <v>9</v>
      </c>
      <c r="C95" s="81" t="s">
        <v>127</v>
      </c>
      <c r="D95" s="53">
        <v>7180544</v>
      </c>
      <c r="E95" s="52">
        <v>45645</v>
      </c>
      <c r="F95" s="80">
        <v>11613.490000000002</v>
      </c>
      <c r="G95" s="79" t="s">
        <v>49</v>
      </c>
      <c r="H95" s="49" t="str">
        <f>IF(F95&gt;25000,"C",IF(F95&gt;1000,"B","A"))</f>
        <v>B</v>
      </c>
      <c r="I95" s="48" t="str">
        <f>VLOOKUP(H95,$L$2:$M$4,2,FALSE)</f>
        <v>The Commissioner &amp; Chief Constable are satisfied the spend represents VFM in accordance with the requirements of Category B</v>
      </c>
      <c r="J95" s="60"/>
      <c r="K95" s="60"/>
    </row>
    <row r="96" spans="1:11" x14ac:dyDescent="0.2">
      <c r="A96" s="56" t="s">
        <v>8</v>
      </c>
      <c r="B96" s="55" t="s">
        <v>9</v>
      </c>
      <c r="C96" s="81" t="s">
        <v>48</v>
      </c>
      <c r="D96" s="53">
        <v>7178761</v>
      </c>
      <c r="E96" s="52">
        <v>45643</v>
      </c>
      <c r="F96" s="80">
        <v>10900</v>
      </c>
      <c r="G96" s="79" t="s">
        <v>58</v>
      </c>
      <c r="H96" s="49" t="str">
        <f>IF(F96&gt;25000,"C",IF(F96&gt;1000,"B","A"))</f>
        <v>B</v>
      </c>
      <c r="I96" s="48" t="str">
        <f>VLOOKUP(H96,$L$2:$M$4,2,FALSE)</f>
        <v>The Commissioner &amp; Chief Constable are satisfied the spend represents VFM in accordance with the requirements of Category B</v>
      </c>
      <c r="J96" s="60"/>
      <c r="K96" s="60"/>
    </row>
    <row r="97" spans="1:11" x14ac:dyDescent="0.2">
      <c r="A97" s="56" t="s">
        <v>8</v>
      </c>
      <c r="B97" s="55" t="s">
        <v>9</v>
      </c>
      <c r="C97" s="82" t="s">
        <v>920</v>
      </c>
      <c r="D97" s="53">
        <v>7180671</v>
      </c>
      <c r="E97" s="52">
        <v>45653</v>
      </c>
      <c r="F97" s="80">
        <v>10776</v>
      </c>
      <c r="G97" s="79" t="s">
        <v>15</v>
      </c>
      <c r="H97" s="49" t="str">
        <f>IF(F97&gt;25000,"C",IF(F97&gt;1000,"B","A"))</f>
        <v>B</v>
      </c>
      <c r="I97" s="48" t="str">
        <f>VLOOKUP(H97,$L$2:$M$4,2,FALSE)</f>
        <v>The Commissioner &amp; Chief Constable are satisfied the spend represents VFM in accordance with the requirements of Category B</v>
      </c>
      <c r="J97" s="60"/>
      <c r="K97" s="60"/>
    </row>
    <row r="98" spans="1:11" x14ac:dyDescent="0.2">
      <c r="A98" s="56" t="s">
        <v>8</v>
      </c>
      <c r="B98" s="55" t="s">
        <v>9</v>
      </c>
      <c r="C98" s="81" t="s">
        <v>107</v>
      </c>
      <c r="D98" s="53">
        <v>7180111</v>
      </c>
      <c r="E98" s="52">
        <v>45631</v>
      </c>
      <c r="F98" s="80">
        <v>10261.98</v>
      </c>
      <c r="G98" s="79" t="s">
        <v>108</v>
      </c>
      <c r="H98" s="49" t="str">
        <f>IF(F98&gt;25000,"C",IF(F98&gt;1000,"B","A"))</f>
        <v>B</v>
      </c>
      <c r="I98" s="48" t="str">
        <f>VLOOKUP(H98,$L$2:$M$4,2,FALSE)</f>
        <v>The Commissioner &amp; Chief Constable are satisfied the spend represents VFM in accordance with the requirements of Category B</v>
      </c>
      <c r="J98" s="60"/>
      <c r="K98" s="60"/>
    </row>
    <row r="99" spans="1:11" x14ac:dyDescent="0.2">
      <c r="A99" s="56" t="s">
        <v>8</v>
      </c>
      <c r="B99" s="55" t="s">
        <v>9</v>
      </c>
      <c r="C99" s="81" t="s">
        <v>74</v>
      </c>
      <c r="D99" s="53">
        <v>7180203</v>
      </c>
      <c r="E99" s="52">
        <v>45638</v>
      </c>
      <c r="F99" s="80">
        <v>10193.68</v>
      </c>
      <c r="G99" s="79" t="s">
        <v>15</v>
      </c>
      <c r="H99" s="49" t="str">
        <f>IF(F99&gt;25000,"C",IF(F99&gt;1000,"B","A"))</f>
        <v>B</v>
      </c>
      <c r="I99" s="48" t="str">
        <f>VLOOKUP(H99,$L$2:$M$4,2,FALSE)</f>
        <v>The Commissioner &amp; Chief Constable are satisfied the spend represents VFM in accordance with the requirements of Category B</v>
      </c>
      <c r="J99" s="60"/>
      <c r="K99" s="60"/>
    </row>
    <row r="100" spans="1:11" x14ac:dyDescent="0.2">
      <c r="A100" s="56" t="s">
        <v>8</v>
      </c>
      <c r="B100" s="55" t="s">
        <v>9</v>
      </c>
      <c r="C100" s="81" t="s">
        <v>74</v>
      </c>
      <c r="D100" s="53">
        <v>7179652</v>
      </c>
      <c r="E100" s="52">
        <v>45638</v>
      </c>
      <c r="F100" s="80">
        <v>10193.68</v>
      </c>
      <c r="G100" s="79" t="s">
        <v>15</v>
      </c>
      <c r="H100" s="49" t="str">
        <f>IF(F100&gt;25000,"C",IF(F100&gt;1000,"B","A"))</f>
        <v>B</v>
      </c>
      <c r="I100" s="48" t="str">
        <f>VLOOKUP(H100,$L$2:$M$4,2,FALSE)</f>
        <v>The Commissioner &amp; Chief Constable are satisfied the spend represents VFM in accordance with the requirements of Category B</v>
      </c>
      <c r="J100" s="60"/>
      <c r="K100" s="60"/>
    </row>
    <row r="101" spans="1:11" x14ac:dyDescent="0.2">
      <c r="A101" s="56" t="s">
        <v>8</v>
      </c>
      <c r="B101" s="55" t="s">
        <v>9</v>
      </c>
      <c r="C101" s="81" t="s">
        <v>113</v>
      </c>
      <c r="D101" s="53">
        <v>7180560</v>
      </c>
      <c r="E101" s="52">
        <v>45643</v>
      </c>
      <c r="F101" s="80">
        <v>10003.09</v>
      </c>
      <c r="G101" s="79" t="s">
        <v>114</v>
      </c>
      <c r="H101" s="49" t="str">
        <f>IF(F101&gt;25000,"C",IF(F101&gt;1000,"B","A"))</f>
        <v>B</v>
      </c>
      <c r="I101" s="48" t="str">
        <f>VLOOKUP(H101,$L$2:$M$4,2,FALSE)</f>
        <v>The Commissioner &amp; Chief Constable are satisfied the spend represents VFM in accordance with the requirements of Category B</v>
      </c>
      <c r="J101" s="60"/>
      <c r="K101" s="60"/>
    </row>
    <row r="102" spans="1:11" x14ac:dyDescent="0.2">
      <c r="A102" s="56" t="s">
        <v>8</v>
      </c>
      <c r="B102" s="55" t="s">
        <v>9</v>
      </c>
      <c r="C102" s="81" t="s">
        <v>415</v>
      </c>
      <c r="D102" s="53">
        <v>7179990</v>
      </c>
      <c r="E102" s="52">
        <v>45629</v>
      </c>
      <c r="F102" s="80">
        <v>10000</v>
      </c>
      <c r="G102" s="79" t="s">
        <v>164</v>
      </c>
      <c r="H102" s="49" t="str">
        <f>IF(F102&gt;25000,"C",IF(F102&gt;1000,"B","A"))</f>
        <v>B</v>
      </c>
      <c r="I102" s="48" t="str">
        <f>VLOOKUP(H102,$L$2:$M$4,2,FALSE)</f>
        <v>The Commissioner &amp; Chief Constable are satisfied the spend represents VFM in accordance with the requirements of Category B</v>
      </c>
    </row>
    <row r="103" spans="1:11" x14ac:dyDescent="0.2">
      <c r="A103" s="56" t="s">
        <v>8</v>
      </c>
      <c r="B103" s="55" t="s">
        <v>9</v>
      </c>
      <c r="C103" s="82" t="s">
        <v>183</v>
      </c>
      <c r="D103" s="53">
        <v>7180808</v>
      </c>
      <c r="E103" s="52">
        <v>45650</v>
      </c>
      <c r="F103" s="80">
        <v>9760.25</v>
      </c>
      <c r="G103" s="79" t="s">
        <v>131</v>
      </c>
      <c r="H103" s="49" t="str">
        <f>IF(F103&gt;25000,"C",IF(F103&gt;1000,"B","A"))</f>
        <v>B</v>
      </c>
      <c r="I103" s="48" t="str">
        <f>VLOOKUP(H103,$L$2:$M$4,2,FALSE)</f>
        <v>The Commissioner &amp; Chief Constable are satisfied the spend represents VFM in accordance with the requirements of Category B</v>
      </c>
    </row>
    <row r="104" spans="1:11" x14ac:dyDescent="0.2">
      <c r="A104" s="56" t="s">
        <v>8</v>
      </c>
      <c r="B104" s="55" t="s">
        <v>9</v>
      </c>
      <c r="C104" s="81" t="s">
        <v>183</v>
      </c>
      <c r="D104" s="53">
        <v>7180558</v>
      </c>
      <c r="E104" s="52">
        <v>45644</v>
      </c>
      <c r="F104" s="80">
        <v>9760.25</v>
      </c>
      <c r="G104" s="79" t="s">
        <v>131</v>
      </c>
      <c r="H104" s="49" t="str">
        <f>IF(F104&gt;25000,"C",IF(F104&gt;1000,"B","A"))</f>
        <v>B</v>
      </c>
      <c r="I104" s="48" t="str">
        <f>VLOOKUP(H104,$L$2:$M$4,2,FALSE)</f>
        <v>The Commissioner &amp; Chief Constable are satisfied the spend represents VFM in accordance with the requirements of Category B</v>
      </c>
    </row>
    <row r="105" spans="1:11" x14ac:dyDescent="0.2">
      <c r="A105" s="56" t="s">
        <v>8</v>
      </c>
      <c r="B105" s="55" t="s">
        <v>9</v>
      </c>
      <c r="C105" s="81" t="s">
        <v>863</v>
      </c>
      <c r="D105" s="53">
        <v>7180231</v>
      </c>
      <c r="E105" s="52">
        <v>45635</v>
      </c>
      <c r="F105" s="80">
        <v>9712.5</v>
      </c>
      <c r="G105" s="79" t="s">
        <v>22</v>
      </c>
      <c r="H105" s="49" t="str">
        <f>IF(F105&gt;25000,"C",IF(F105&gt;1000,"B","A"))</f>
        <v>B</v>
      </c>
      <c r="I105" s="48" t="str">
        <f>VLOOKUP(H105,$L$2:$M$4,2,FALSE)</f>
        <v>The Commissioner &amp; Chief Constable are satisfied the spend represents VFM in accordance with the requirements of Category B</v>
      </c>
    </row>
    <row r="106" spans="1:11" x14ac:dyDescent="0.2">
      <c r="A106" s="56" t="s">
        <v>8</v>
      </c>
      <c r="B106" s="55" t="s">
        <v>9</v>
      </c>
      <c r="C106" s="81" t="s">
        <v>140</v>
      </c>
      <c r="D106" s="53">
        <v>7179780</v>
      </c>
      <c r="E106" s="52">
        <v>45628</v>
      </c>
      <c r="F106" s="80">
        <v>9105.36</v>
      </c>
      <c r="G106" s="79" t="s">
        <v>34</v>
      </c>
      <c r="H106" s="49" t="str">
        <f>IF(F106&gt;25000,"C",IF(F106&gt;1000,"B","A"))</f>
        <v>B</v>
      </c>
      <c r="I106" s="48" t="str">
        <f>VLOOKUP(H106,$L$2:$M$4,2,FALSE)</f>
        <v>The Commissioner &amp; Chief Constable are satisfied the spend represents VFM in accordance with the requirements of Category B</v>
      </c>
    </row>
    <row r="107" spans="1:11" x14ac:dyDescent="0.2">
      <c r="A107" s="56" t="s">
        <v>8</v>
      </c>
      <c r="B107" s="55" t="s">
        <v>9</v>
      </c>
      <c r="C107" s="81" t="s">
        <v>157</v>
      </c>
      <c r="D107" s="53">
        <v>7180601</v>
      </c>
      <c r="E107" s="52">
        <v>45645</v>
      </c>
      <c r="F107" s="80">
        <v>9105.36</v>
      </c>
      <c r="G107" s="79" t="s">
        <v>43</v>
      </c>
      <c r="H107" s="49" t="str">
        <f>IF(F107&gt;25000,"C",IF(F107&gt;1000,"B","A"))</f>
        <v>B</v>
      </c>
      <c r="I107" s="48" t="str">
        <f>VLOOKUP(H107,$L$2:$M$4,2,FALSE)</f>
        <v>The Commissioner &amp; Chief Constable are satisfied the spend represents VFM in accordance with the requirements of Category B</v>
      </c>
    </row>
    <row r="108" spans="1:11" x14ac:dyDescent="0.2">
      <c r="A108" s="56" t="s">
        <v>8</v>
      </c>
      <c r="B108" s="55" t="s">
        <v>9</v>
      </c>
      <c r="C108" s="81" t="s">
        <v>575</v>
      </c>
      <c r="D108" s="53">
        <v>7180241</v>
      </c>
      <c r="E108" s="52">
        <v>45636</v>
      </c>
      <c r="F108" s="80">
        <v>9000</v>
      </c>
      <c r="G108" s="79" t="s">
        <v>574</v>
      </c>
      <c r="H108" s="49" t="str">
        <f>IF(F108&gt;25000,"C",IF(F108&gt;1000,"B","A"))</f>
        <v>B</v>
      </c>
      <c r="I108" s="48" t="str">
        <f>VLOOKUP(H108,$L$2:$M$4,2,FALSE)</f>
        <v>The Commissioner &amp; Chief Constable are satisfied the spend represents VFM in accordance with the requirements of Category B</v>
      </c>
    </row>
    <row r="109" spans="1:11" x14ac:dyDescent="0.2">
      <c r="A109" s="56" t="s">
        <v>8</v>
      </c>
      <c r="B109" s="55" t="s">
        <v>9</v>
      </c>
      <c r="C109" s="81" t="s">
        <v>575</v>
      </c>
      <c r="D109" s="53">
        <v>7180313</v>
      </c>
      <c r="E109" s="52">
        <v>45636</v>
      </c>
      <c r="F109" s="80">
        <v>9000</v>
      </c>
      <c r="G109" s="79" t="s">
        <v>574</v>
      </c>
      <c r="H109" s="49" t="str">
        <f>IF(F109&gt;25000,"C",IF(F109&gt;1000,"B","A"))</f>
        <v>B</v>
      </c>
      <c r="I109" s="48" t="str">
        <f>VLOOKUP(H109,$L$2:$M$4,2,FALSE)</f>
        <v>The Commissioner &amp; Chief Constable are satisfied the spend represents VFM in accordance with the requirements of Category B</v>
      </c>
    </row>
    <row r="110" spans="1:11" x14ac:dyDescent="0.2">
      <c r="A110" s="56" t="s">
        <v>8</v>
      </c>
      <c r="B110" s="55" t="s">
        <v>9</v>
      </c>
      <c r="C110" s="81" t="s">
        <v>139</v>
      </c>
      <c r="D110" s="53">
        <v>7180397</v>
      </c>
      <c r="E110" s="52">
        <v>45645</v>
      </c>
      <c r="F110" s="80">
        <v>8873.51</v>
      </c>
      <c r="G110" s="79" t="s">
        <v>39</v>
      </c>
      <c r="H110" s="49" t="str">
        <f>IF(F110&gt;25000,"C",IF(F110&gt;1000,"B","A"))</f>
        <v>B</v>
      </c>
      <c r="I110" s="48" t="str">
        <f>VLOOKUP(H110,$L$2:$M$4,2,FALSE)</f>
        <v>The Commissioner &amp; Chief Constable are satisfied the spend represents VFM in accordance with the requirements of Category B</v>
      </c>
    </row>
    <row r="111" spans="1:11" x14ac:dyDescent="0.2">
      <c r="A111" s="56" t="s">
        <v>8</v>
      </c>
      <c r="B111" s="55" t="s">
        <v>9</v>
      </c>
      <c r="C111" s="81" t="s">
        <v>26</v>
      </c>
      <c r="D111" s="53">
        <v>7180788</v>
      </c>
      <c r="E111" s="52">
        <v>45649</v>
      </c>
      <c r="F111" s="80">
        <v>8825.34</v>
      </c>
      <c r="G111" s="79" t="s">
        <v>76</v>
      </c>
      <c r="H111" s="49" t="str">
        <f>IF(F111&gt;25000,"C",IF(F111&gt;1000,"B","A"))</f>
        <v>B</v>
      </c>
      <c r="I111" s="48" t="str">
        <f>VLOOKUP(H111,$L$2:$M$4,2,FALSE)</f>
        <v>The Commissioner &amp; Chief Constable are satisfied the spend represents VFM in accordance with the requirements of Category B</v>
      </c>
    </row>
    <row r="112" spans="1:11" x14ac:dyDescent="0.2">
      <c r="A112" s="56" t="s">
        <v>8</v>
      </c>
      <c r="B112" s="55" t="s">
        <v>9</v>
      </c>
      <c r="C112" s="81" t="s">
        <v>305</v>
      </c>
      <c r="D112" s="53">
        <v>7179849</v>
      </c>
      <c r="E112" s="52">
        <v>45628</v>
      </c>
      <c r="F112" s="80">
        <v>8588.59</v>
      </c>
      <c r="G112" s="79" t="s">
        <v>306</v>
      </c>
      <c r="H112" s="49" t="str">
        <f>IF(F112&gt;25000,"C",IF(F112&gt;1000,"B","A"))</f>
        <v>B</v>
      </c>
      <c r="I112" s="48" t="str">
        <f>VLOOKUP(H112,$L$2:$M$4,2,FALSE)</f>
        <v>The Commissioner &amp; Chief Constable are satisfied the spend represents VFM in accordance with the requirements of Category B</v>
      </c>
    </row>
    <row r="113" spans="1:13" x14ac:dyDescent="0.2">
      <c r="A113" s="56" t="s">
        <v>8</v>
      </c>
      <c r="B113" s="55" t="s">
        <v>9</v>
      </c>
      <c r="C113" s="81" t="s">
        <v>26</v>
      </c>
      <c r="D113" s="53">
        <v>7180868</v>
      </c>
      <c r="E113" s="52">
        <v>45657</v>
      </c>
      <c r="F113" s="80">
        <v>8560.85</v>
      </c>
      <c r="G113" s="79" t="s">
        <v>88</v>
      </c>
      <c r="H113" s="49" t="str">
        <f>IF(F113&gt;25000,"C",IF(F113&gt;1000,"B","A"))</f>
        <v>B</v>
      </c>
      <c r="I113" s="48" t="str">
        <f>VLOOKUP(H113,$L$2:$M$4,2,FALSE)</f>
        <v>The Commissioner &amp; Chief Constable are satisfied the spend represents VFM in accordance with the requirements of Category B</v>
      </c>
    </row>
    <row r="114" spans="1:13" x14ac:dyDescent="0.2">
      <c r="A114" s="56" t="s">
        <v>8</v>
      </c>
      <c r="B114" s="55" t="s">
        <v>9</v>
      </c>
      <c r="C114" s="81" t="s">
        <v>863</v>
      </c>
      <c r="D114" s="53">
        <v>7180232</v>
      </c>
      <c r="E114" s="52">
        <v>45635</v>
      </c>
      <c r="F114" s="80">
        <v>8460</v>
      </c>
      <c r="G114" s="79" t="s">
        <v>22</v>
      </c>
      <c r="H114" s="49" t="str">
        <f>IF(F114&gt;25000,"C",IF(F114&gt;1000,"B","A"))</f>
        <v>B</v>
      </c>
      <c r="I114" s="48" t="str">
        <f>VLOOKUP(H114,$L$2:$M$4,2,FALSE)</f>
        <v>The Commissioner &amp; Chief Constable are satisfied the spend represents VFM in accordance with the requirements of Category B</v>
      </c>
    </row>
    <row r="115" spans="1:13" x14ac:dyDescent="0.2">
      <c r="A115" s="56" t="s">
        <v>8</v>
      </c>
      <c r="B115" s="55" t="s">
        <v>9</v>
      </c>
      <c r="C115" s="82" t="s">
        <v>196</v>
      </c>
      <c r="D115" s="53">
        <v>7179784</v>
      </c>
      <c r="E115" s="52">
        <v>45638</v>
      </c>
      <c r="F115" s="80">
        <v>8329.4000000000015</v>
      </c>
      <c r="G115" s="79" t="s">
        <v>169</v>
      </c>
      <c r="H115" s="49" t="str">
        <f>IF(F115&gt;25000,"C",IF(F115&gt;1000,"B","A"))</f>
        <v>B</v>
      </c>
      <c r="I115" s="48" t="str">
        <f>VLOOKUP(H115,$L$2:$M$4,2,FALSE)</f>
        <v>The Commissioner &amp; Chief Constable are satisfied the spend represents VFM in accordance with the requirements of Category B</v>
      </c>
    </row>
    <row r="116" spans="1:13" x14ac:dyDescent="0.2">
      <c r="A116" s="56" t="s">
        <v>8</v>
      </c>
      <c r="B116" s="55" t="s">
        <v>9</v>
      </c>
      <c r="C116" s="82" t="s">
        <v>109</v>
      </c>
      <c r="D116" s="53">
        <v>7180150</v>
      </c>
      <c r="E116" s="52">
        <v>45638</v>
      </c>
      <c r="F116" s="80">
        <v>8325.58</v>
      </c>
      <c r="G116" s="79" t="s">
        <v>27</v>
      </c>
      <c r="H116" s="49" t="str">
        <f>IF(F116&gt;25000,"C",IF(F116&gt;1000,"B","A"))</f>
        <v>B</v>
      </c>
      <c r="I116" s="48" t="str">
        <f>VLOOKUP(H116,$L$2:$M$4,2,FALSE)</f>
        <v>The Commissioner &amp; Chief Constable are satisfied the spend represents VFM in accordance with the requirements of Category B</v>
      </c>
    </row>
    <row r="117" spans="1:13" x14ac:dyDescent="0.2">
      <c r="A117" s="56" t="s">
        <v>8</v>
      </c>
      <c r="B117" s="55" t="s">
        <v>9</v>
      </c>
      <c r="C117" s="81" t="s">
        <v>26</v>
      </c>
      <c r="D117" s="53">
        <v>7180784</v>
      </c>
      <c r="E117" s="52">
        <v>45649</v>
      </c>
      <c r="F117" s="80">
        <v>8096.34</v>
      </c>
      <c r="G117" s="79" t="s">
        <v>76</v>
      </c>
      <c r="H117" s="49" t="str">
        <f>IF(F117&gt;25000,"C",IF(F117&gt;1000,"B","A"))</f>
        <v>B</v>
      </c>
      <c r="I117" s="48" t="str">
        <f>VLOOKUP(H117,$L$2:$M$4,2,FALSE)</f>
        <v>The Commissioner &amp; Chief Constable are satisfied the spend represents VFM in accordance with the requirements of Category B</v>
      </c>
    </row>
    <row r="118" spans="1:13" s="42" customFormat="1" x14ac:dyDescent="0.2">
      <c r="A118" s="56" t="s">
        <v>8</v>
      </c>
      <c r="B118" s="55" t="s">
        <v>9</v>
      </c>
      <c r="C118" s="81" t="s">
        <v>26</v>
      </c>
      <c r="D118" s="53">
        <v>7180791</v>
      </c>
      <c r="E118" s="52">
        <v>45649</v>
      </c>
      <c r="F118" s="80">
        <v>7769.3399999999992</v>
      </c>
      <c r="G118" s="79" t="s">
        <v>76</v>
      </c>
      <c r="H118" s="49" t="str">
        <f>IF(F118&gt;25000,"C",IF(F118&gt;1000,"B","A"))</f>
        <v>B</v>
      </c>
      <c r="I118" s="48" t="str">
        <f>VLOOKUP(H118,$L$2:$M$4,2,FALSE)</f>
        <v>The Commissioner &amp; Chief Constable are satisfied the spend represents VFM in accordance with the requirements of Category B</v>
      </c>
      <c r="L118" s="41"/>
      <c r="M118" s="41"/>
    </row>
    <row r="119" spans="1:13" s="42" customFormat="1" x14ac:dyDescent="0.2">
      <c r="A119" s="56" t="s">
        <v>8</v>
      </c>
      <c r="B119" s="55" t="s">
        <v>9</v>
      </c>
      <c r="C119" s="81" t="s">
        <v>159</v>
      </c>
      <c r="D119" s="53">
        <v>7179938</v>
      </c>
      <c r="E119" s="52">
        <v>45629</v>
      </c>
      <c r="F119" s="80">
        <v>7585.23</v>
      </c>
      <c r="G119" s="79" t="s">
        <v>22</v>
      </c>
      <c r="H119" s="49" t="str">
        <f>IF(F119&gt;25000,"C",IF(F119&gt;1000,"B","A"))</f>
        <v>B</v>
      </c>
      <c r="I119" s="48" t="str">
        <f>VLOOKUP(H119,$L$2:$M$4,2,FALSE)</f>
        <v>The Commissioner &amp; Chief Constable are satisfied the spend represents VFM in accordance with the requirements of Category B</v>
      </c>
      <c r="L119" s="41"/>
      <c r="M119" s="41"/>
    </row>
    <row r="120" spans="1:13" s="42" customFormat="1" x14ac:dyDescent="0.2">
      <c r="A120" s="56" t="s">
        <v>8</v>
      </c>
      <c r="B120" s="55" t="s">
        <v>9</v>
      </c>
      <c r="C120" s="81" t="s">
        <v>252</v>
      </c>
      <c r="D120" s="53">
        <v>7179740</v>
      </c>
      <c r="E120" s="52">
        <v>45638</v>
      </c>
      <c r="F120" s="80">
        <v>7330</v>
      </c>
      <c r="G120" s="79" t="s">
        <v>148</v>
      </c>
      <c r="H120" s="49" t="str">
        <f>IF(F120&gt;25000,"C",IF(F120&gt;1000,"B","A"))</f>
        <v>B</v>
      </c>
      <c r="I120" s="48" t="str">
        <f>VLOOKUP(H120,$L$2:$M$4,2,FALSE)</f>
        <v>The Commissioner &amp; Chief Constable are satisfied the spend represents VFM in accordance with the requirements of Category B</v>
      </c>
      <c r="L120" s="41"/>
      <c r="M120" s="41"/>
    </row>
    <row r="121" spans="1:13" s="42" customFormat="1" x14ac:dyDescent="0.2">
      <c r="A121" s="56" t="s">
        <v>8</v>
      </c>
      <c r="B121" s="55" t="s">
        <v>9</v>
      </c>
      <c r="C121" s="81" t="s">
        <v>196</v>
      </c>
      <c r="D121" s="53">
        <v>7180020</v>
      </c>
      <c r="E121" s="52">
        <v>45629</v>
      </c>
      <c r="F121" s="80">
        <v>7300.86</v>
      </c>
      <c r="G121" s="79" t="s">
        <v>169</v>
      </c>
      <c r="H121" s="49" t="str">
        <f>IF(F121&gt;25000,"C",IF(F121&gt;1000,"B","A"))</f>
        <v>B</v>
      </c>
      <c r="I121" s="48" t="str">
        <f>VLOOKUP(H121,$L$2:$M$4,2,FALSE)</f>
        <v>The Commissioner &amp; Chief Constable are satisfied the spend represents VFM in accordance with the requirements of Category B</v>
      </c>
      <c r="L121" s="41"/>
      <c r="M121" s="41"/>
    </row>
    <row r="122" spans="1:13" s="42" customFormat="1" x14ac:dyDescent="0.2">
      <c r="A122" s="56" t="s">
        <v>8</v>
      </c>
      <c r="B122" s="55" t="s">
        <v>9</v>
      </c>
      <c r="C122" s="82" t="s">
        <v>119</v>
      </c>
      <c r="D122" s="53">
        <v>7180485</v>
      </c>
      <c r="E122" s="52">
        <v>45642</v>
      </c>
      <c r="F122" s="80">
        <v>7092.13</v>
      </c>
      <c r="G122" s="79" t="s">
        <v>120</v>
      </c>
      <c r="H122" s="49" t="str">
        <f>IF(F122&gt;25000,"C",IF(F122&gt;1000,"B","A"))</f>
        <v>B</v>
      </c>
      <c r="I122" s="48" t="str">
        <f>VLOOKUP(H122,$L$2:$M$4,2,FALSE)</f>
        <v>The Commissioner &amp; Chief Constable are satisfied the spend represents VFM in accordance with the requirements of Category B</v>
      </c>
      <c r="L122" s="41"/>
      <c r="M122" s="41"/>
    </row>
    <row r="123" spans="1:13" s="42" customFormat="1" x14ac:dyDescent="0.2">
      <c r="A123" s="56" t="s">
        <v>8</v>
      </c>
      <c r="B123" s="55" t="s">
        <v>9</v>
      </c>
      <c r="C123" s="81" t="s">
        <v>90</v>
      </c>
      <c r="D123" s="53">
        <v>7180652</v>
      </c>
      <c r="E123" s="52">
        <v>45649</v>
      </c>
      <c r="F123" s="80">
        <v>6954.5</v>
      </c>
      <c r="G123" s="79" t="s">
        <v>91</v>
      </c>
      <c r="H123" s="49" t="str">
        <f>IF(F123&gt;25000,"C",IF(F123&gt;1000,"B","A"))</f>
        <v>B</v>
      </c>
      <c r="I123" s="48" t="str">
        <f>VLOOKUP(H123,$L$2:$M$4,2,FALSE)</f>
        <v>The Commissioner &amp; Chief Constable are satisfied the spend represents VFM in accordance with the requirements of Category B</v>
      </c>
      <c r="L123" s="41"/>
      <c r="M123" s="41"/>
    </row>
    <row r="124" spans="1:13" s="42" customFormat="1" x14ac:dyDescent="0.2">
      <c r="A124" s="56" t="s">
        <v>8</v>
      </c>
      <c r="B124" s="55" t="s">
        <v>9</v>
      </c>
      <c r="C124" s="81" t="s">
        <v>74</v>
      </c>
      <c r="D124" s="53">
        <v>7180620</v>
      </c>
      <c r="E124" s="52">
        <v>45645</v>
      </c>
      <c r="F124" s="80">
        <v>6745.56</v>
      </c>
      <c r="G124" s="79" t="s">
        <v>131</v>
      </c>
      <c r="H124" s="49" t="str">
        <f>IF(F124&gt;25000,"C",IF(F124&gt;1000,"B","A"))</f>
        <v>B</v>
      </c>
      <c r="I124" s="48" t="str">
        <f>VLOOKUP(H124,$L$2:$M$4,2,FALSE)</f>
        <v>The Commissioner &amp; Chief Constable are satisfied the spend represents VFM in accordance with the requirements of Category B</v>
      </c>
      <c r="L124" s="41"/>
      <c r="M124" s="41"/>
    </row>
    <row r="125" spans="1:13" s="42" customFormat="1" x14ac:dyDescent="0.2">
      <c r="A125" s="56" t="s">
        <v>8</v>
      </c>
      <c r="B125" s="55" t="s">
        <v>9</v>
      </c>
      <c r="C125" s="81" t="s">
        <v>196</v>
      </c>
      <c r="D125" s="53">
        <v>7180557</v>
      </c>
      <c r="E125" s="52">
        <v>45644</v>
      </c>
      <c r="F125" s="80">
        <v>6652.11</v>
      </c>
      <c r="G125" s="79" t="s">
        <v>169</v>
      </c>
      <c r="H125" s="49" t="str">
        <f>IF(F125&gt;25000,"C",IF(F125&gt;1000,"B","A"))</f>
        <v>B</v>
      </c>
      <c r="I125" s="48" t="str">
        <f>VLOOKUP(H125,$L$2:$M$4,2,FALSE)</f>
        <v>The Commissioner &amp; Chief Constable are satisfied the spend represents VFM in accordance with the requirements of Category B</v>
      </c>
      <c r="L125" s="41"/>
      <c r="M125" s="41"/>
    </row>
    <row r="126" spans="1:13" s="42" customFormat="1" x14ac:dyDescent="0.2">
      <c r="A126" s="56" t="s">
        <v>8</v>
      </c>
      <c r="B126" s="55" t="s">
        <v>9</v>
      </c>
      <c r="C126" s="81" t="s">
        <v>305</v>
      </c>
      <c r="D126" s="53">
        <v>7179357</v>
      </c>
      <c r="E126" s="52">
        <v>45628</v>
      </c>
      <c r="F126" s="80">
        <v>6511.14</v>
      </c>
      <c r="G126" s="79" t="s">
        <v>306</v>
      </c>
      <c r="H126" s="49" t="str">
        <f>IF(F126&gt;25000,"C",IF(F126&gt;1000,"B","A"))</f>
        <v>B</v>
      </c>
      <c r="I126" s="48" t="str">
        <f>VLOOKUP(H126,$L$2:$M$4,2,FALSE)</f>
        <v>The Commissioner &amp; Chief Constable are satisfied the spend represents VFM in accordance with the requirements of Category B</v>
      </c>
      <c r="L126" s="41"/>
      <c r="M126" s="41"/>
    </row>
    <row r="127" spans="1:13" s="42" customFormat="1" x14ac:dyDescent="0.2">
      <c r="A127" s="56" t="s">
        <v>8</v>
      </c>
      <c r="B127" s="55" t="s">
        <v>9</v>
      </c>
      <c r="C127" s="81" t="s">
        <v>139</v>
      </c>
      <c r="D127" s="53">
        <v>7179791</v>
      </c>
      <c r="E127" s="52">
        <v>45628</v>
      </c>
      <c r="F127" s="80">
        <v>6459.61</v>
      </c>
      <c r="G127" s="79" t="s">
        <v>39</v>
      </c>
      <c r="H127" s="49" t="str">
        <f>IF(F127&gt;25000,"C",IF(F127&gt;1000,"B","A"))</f>
        <v>B</v>
      </c>
      <c r="I127" s="48" t="str">
        <f>VLOOKUP(H127,$L$2:$M$4,2,FALSE)</f>
        <v>The Commissioner &amp; Chief Constable are satisfied the spend represents VFM in accordance with the requirements of Category B</v>
      </c>
      <c r="L127" s="41"/>
      <c r="M127" s="41"/>
    </row>
    <row r="128" spans="1:13" s="42" customFormat="1" x14ac:dyDescent="0.2">
      <c r="A128" s="56" t="s">
        <v>8</v>
      </c>
      <c r="B128" s="55" t="s">
        <v>9</v>
      </c>
      <c r="C128" s="81" t="s">
        <v>74</v>
      </c>
      <c r="D128" s="53">
        <v>7180459</v>
      </c>
      <c r="E128" s="52">
        <v>45642</v>
      </c>
      <c r="F128" s="80">
        <v>6408.22</v>
      </c>
      <c r="G128" s="79" t="s">
        <v>75</v>
      </c>
      <c r="H128" s="49" t="str">
        <f>IF(F128&gt;25000,"C",IF(F128&gt;1000,"B","A"))</f>
        <v>B</v>
      </c>
      <c r="I128" s="48" t="str">
        <f>VLOOKUP(H128,$L$2:$M$4,2,FALSE)</f>
        <v>The Commissioner &amp; Chief Constable are satisfied the spend represents VFM in accordance with the requirements of Category B</v>
      </c>
      <c r="L128" s="41"/>
      <c r="M128" s="41"/>
    </row>
    <row r="129" spans="1:13" s="42" customFormat="1" x14ac:dyDescent="0.2">
      <c r="A129" s="56" t="s">
        <v>8</v>
      </c>
      <c r="B129" s="55" t="s">
        <v>9</v>
      </c>
      <c r="C129" s="82" t="s">
        <v>100</v>
      </c>
      <c r="D129" s="53">
        <v>7180330</v>
      </c>
      <c r="E129" s="52">
        <v>45639</v>
      </c>
      <c r="F129" s="80">
        <v>6353.55</v>
      </c>
      <c r="G129" s="79" t="s">
        <v>38</v>
      </c>
      <c r="H129" s="49" t="str">
        <f>IF(F129&gt;25000,"C",IF(F129&gt;1000,"B","A"))</f>
        <v>B</v>
      </c>
      <c r="I129" s="48" t="str">
        <f>VLOOKUP(H129,$L$2:$M$4,2,FALSE)</f>
        <v>The Commissioner &amp; Chief Constable are satisfied the spend represents VFM in accordance with the requirements of Category B</v>
      </c>
      <c r="L129" s="41"/>
      <c r="M129" s="41"/>
    </row>
    <row r="130" spans="1:13" s="42" customFormat="1" x14ac:dyDescent="0.2">
      <c r="A130" s="56" t="s">
        <v>8</v>
      </c>
      <c r="B130" s="55" t="s">
        <v>9</v>
      </c>
      <c r="C130" s="81" t="s">
        <v>144</v>
      </c>
      <c r="D130" s="53">
        <v>7180045</v>
      </c>
      <c r="E130" s="52">
        <v>45636</v>
      </c>
      <c r="F130" s="80">
        <v>6310</v>
      </c>
      <c r="G130" s="79" t="s">
        <v>145</v>
      </c>
      <c r="H130" s="49" t="str">
        <f>IF(F130&gt;25000,"C",IF(F130&gt;1000,"B","A"))</f>
        <v>B</v>
      </c>
      <c r="I130" s="48" t="str">
        <f>VLOOKUP(H130,$L$2:$M$4,2,FALSE)</f>
        <v>The Commissioner &amp; Chief Constable are satisfied the spend represents VFM in accordance with the requirements of Category B</v>
      </c>
      <c r="L130" s="41"/>
      <c r="M130" s="41"/>
    </row>
    <row r="131" spans="1:13" s="42" customFormat="1" x14ac:dyDescent="0.2">
      <c r="A131" s="56" t="s">
        <v>8</v>
      </c>
      <c r="B131" s="55" t="s">
        <v>9</v>
      </c>
      <c r="C131" s="81" t="s">
        <v>90</v>
      </c>
      <c r="D131" s="53">
        <v>7180655</v>
      </c>
      <c r="E131" s="52">
        <v>45649</v>
      </c>
      <c r="F131" s="80">
        <v>6288.97</v>
      </c>
      <c r="G131" s="79" t="s">
        <v>91</v>
      </c>
      <c r="H131" s="49" t="str">
        <f>IF(F131&gt;25000,"C",IF(F131&gt;1000,"B","A"))</f>
        <v>B</v>
      </c>
      <c r="I131" s="48" t="str">
        <f>VLOOKUP(H131,$L$2:$M$4,2,FALSE)</f>
        <v>The Commissioner &amp; Chief Constable are satisfied the spend represents VFM in accordance with the requirements of Category B</v>
      </c>
      <c r="L131" s="41"/>
      <c r="M131" s="41"/>
    </row>
    <row r="132" spans="1:13" s="42" customFormat="1" x14ac:dyDescent="0.2">
      <c r="A132" s="56" t="s">
        <v>8</v>
      </c>
      <c r="B132" s="55" t="s">
        <v>9</v>
      </c>
      <c r="C132" s="82" t="s">
        <v>990</v>
      </c>
      <c r="D132" s="53">
        <v>7180732</v>
      </c>
      <c r="E132" s="52">
        <v>45649</v>
      </c>
      <c r="F132" s="80">
        <v>6271.5</v>
      </c>
      <c r="G132" s="79" t="s">
        <v>89</v>
      </c>
      <c r="H132" s="49" t="str">
        <f>IF(F132&gt;25000,"C",IF(F132&gt;1000,"B","A"))</f>
        <v>B</v>
      </c>
      <c r="I132" s="48" t="str">
        <f>VLOOKUP(H132,$L$2:$M$4,2,FALSE)</f>
        <v>The Commissioner &amp; Chief Constable are satisfied the spend represents VFM in accordance with the requirements of Category B</v>
      </c>
      <c r="L132" s="41"/>
      <c r="M132" s="41"/>
    </row>
    <row r="133" spans="1:13" s="42" customFormat="1" x14ac:dyDescent="0.2">
      <c r="A133" s="56" t="s">
        <v>8</v>
      </c>
      <c r="B133" s="55" t="s">
        <v>9</v>
      </c>
      <c r="C133" s="82" t="s">
        <v>196</v>
      </c>
      <c r="D133" s="53">
        <v>7180300</v>
      </c>
      <c r="E133" s="52">
        <v>45636</v>
      </c>
      <c r="F133" s="83">
        <v>6205.8099999999995</v>
      </c>
      <c r="G133" s="79" t="s">
        <v>169</v>
      </c>
      <c r="H133" s="49" t="str">
        <f>IF(F133&gt;25000,"C",IF(F133&gt;1000,"B","A"))</f>
        <v>B</v>
      </c>
      <c r="I133" s="48" t="str">
        <f>VLOOKUP(H133,$L$2:$M$4,2,FALSE)</f>
        <v>The Commissioner &amp; Chief Constable are satisfied the spend represents VFM in accordance with the requirements of Category B</v>
      </c>
      <c r="L133" s="41"/>
      <c r="M133" s="41"/>
    </row>
    <row r="134" spans="1:13" s="42" customFormat="1" x14ac:dyDescent="0.2">
      <c r="A134" s="56" t="s">
        <v>8</v>
      </c>
      <c r="B134" s="55" t="s">
        <v>9</v>
      </c>
      <c r="C134" s="81" t="s">
        <v>107</v>
      </c>
      <c r="D134" s="53">
        <v>7180120</v>
      </c>
      <c r="E134" s="52">
        <v>45632</v>
      </c>
      <c r="F134" s="83">
        <v>6088.47</v>
      </c>
      <c r="G134" s="79" t="s">
        <v>108</v>
      </c>
      <c r="H134" s="49" t="str">
        <f>IF(F134&gt;25000,"C",IF(F134&gt;1000,"B","A"))</f>
        <v>B</v>
      </c>
      <c r="I134" s="48" t="str">
        <f>VLOOKUP(H134,$L$2:$M$4,2,FALSE)</f>
        <v>The Commissioner &amp; Chief Constable are satisfied the spend represents VFM in accordance with the requirements of Category B</v>
      </c>
      <c r="L134" s="41"/>
      <c r="M134" s="41"/>
    </row>
    <row r="135" spans="1:13" s="42" customFormat="1" x14ac:dyDescent="0.2">
      <c r="A135" s="56" t="s">
        <v>8</v>
      </c>
      <c r="B135" s="55" t="s">
        <v>9</v>
      </c>
      <c r="C135" s="81" t="s">
        <v>1011</v>
      </c>
      <c r="D135" s="53">
        <v>7180615</v>
      </c>
      <c r="E135" s="52">
        <v>45645</v>
      </c>
      <c r="F135" s="83">
        <v>6000</v>
      </c>
      <c r="G135" s="79" t="s">
        <v>27</v>
      </c>
      <c r="H135" s="49" t="str">
        <f>IF(F135&gt;25000,"C",IF(F135&gt;1000,"B","A"))</f>
        <v>B</v>
      </c>
      <c r="I135" s="48" t="str">
        <f>VLOOKUP(H135,$L$2:$M$4,2,FALSE)</f>
        <v>The Commissioner &amp; Chief Constable are satisfied the spend represents VFM in accordance with the requirements of Category B</v>
      </c>
      <c r="L135" s="41"/>
      <c r="M135" s="41"/>
    </row>
    <row r="136" spans="1:13" s="42" customFormat="1" x14ac:dyDescent="0.2">
      <c r="A136" s="56" t="s">
        <v>8</v>
      </c>
      <c r="B136" s="55" t="s">
        <v>9</v>
      </c>
      <c r="C136" s="81" t="s">
        <v>420</v>
      </c>
      <c r="D136" s="53">
        <v>7179267</v>
      </c>
      <c r="E136" s="52">
        <v>45638</v>
      </c>
      <c r="F136" s="80">
        <v>5730</v>
      </c>
      <c r="G136" s="79" t="s">
        <v>106</v>
      </c>
      <c r="H136" s="49" t="str">
        <f>IF(F136&gt;25000,"C",IF(F136&gt;1000,"B","A"))</f>
        <v>B</v>
      </c>
      <c r="I136" s="48" t="str">
        <f>VLOOKUP(H136,$L$2:$M$4,2,FALSE)</f>
        <v>The Commissioner &amp; Chief Constable are satisfied the spend represents VFM in accordance with the requirements of Category B</v>
      </c>
      <c r="L136" s="41"/>
      <c r="M136" s="41"/>
    </row>
    <row r="137" spans="1:13" s="42" customFormat="1" x14ac:dyDescent="0.2">
      <c r="A137" s="56" t="s">
        <v>8</v>
      </c>
      <c r="B137" s="55" t="s">
        <v>9</v>
      </c>
      <c r="C137" s="81" t="s">
        <v>196</v>
      </c>
      <c r="D137" s="53">
        <v>7180824</v>
      </c>
      <c r="E137" s="52">
        <v>45657</v>
      </c>
      <c r="F137" s="80">
        <v>5504.84</v>
      </c>
      <c r="G137" s="79" t="s">
        <v>169</v>
      </c>
      <c r="H137" s="49" t="str">
        <f>IF(F137&gt;25000,"C",IF(F137&gt;1000,"B","A"))</f>
        <v>B</v>
      </c>
      <c r="I137" s="48" t="str">
        <f>VLOOKUP(H137,$L$2:$M$4,2,FALSE)</f>
        <v>The Commissioner &amp; Chief Constable are satisfied the spend represents VFM in accordance with the requirements of Category B</v>
      </c>
      <c r="L137" s="41"/>
      <c r="M137" s="41"/>
    </row>
    <row r="138" spans="1:13" s="42" customFormat="1" x14ac:dyDescent="0.2">
      <c r="A138" s="56" t="s">
        <v>8</v>
      </c>
      <c r="B138" s="55" t="s">
        <v>9</v>
      </c>
      <c r="C138" s="81" t="s">
        <v>150</v>
      </c>
      <c r="D138" s="53">
        <v>7179934</v>
      </c>
      <c r="E138" s="52">
        <v>45637</v>
      </c>
      <c r="F138" s="80">
        <v>5452.44</v>
      </c>
      <c r="G138" s="79" t="s">
        <v>131</v>
      </c>
      <c r="H138" s="49" t="str">
        <f>IF(F138&gt;25000,"C",IF(F138&gt;1000,"B","A"))</f>
        <v>B</v>
      </c>
      <c r="I138" s="48" t="str">
        <f>VLOOKUP(H138,$L$2:$M$4,2,FALSE)</f>
        <v>The Commissioner &amp; Chief Constable are satisfied the spend represents VFM in accordance with the requirements of Category B</v>
      </c>
      <c r="L138" s="41"/>
      <c r="M138" s="41"/>
    </row>
    <row r="139" spans="1:13" s="42" customFormat="1" x14ac:dyDescent="0.2">
      <c r="A139" s="56" t="s">
        <v>8</v>
      </c>
      <c r="B139" s="55" t="s">
        <v>9</v>
      </c>
      <c r="C139" s="81" t="s">
        <v>161</v>
      </c>
      <c r="D139" s="53">
        <v>7179889</v>
      </c>
      <c r="E139" s="52">
        <v>45636</v>
      </c>
      <c r="F139" s="80">
        <v>5413.83</v>
      </c>
      <c r="G139" s="79" t="s">
        <v>390</v>
      </c>
      <c r="H139" s="49" t="str">
        <f>IF(F139&gt;25000,"C",IF(F139&gt;1000,"B","A"))</f>
        <v>B</v>
      </c>
      <c r="I139" s="48" t="str">
        <f>VLOOKUP(H139,$L$2:$M$4,2,FALSE)</f>
        <v>The Commissioner &amp; Chief Constable are satisfied the spend represents VFM in accordance with the requirements of Category B</v>
      </c>
      <c r="L139" s="41"/>
      <c r="M139" s="41"/>
    </row>
    <row r="140" spans="1:13" s="42" customFormat="1" x14ac:dyDescent="0.2">
      <c r="A140" s="56" t="s">
        <v>8</v>
      </c>
      <c r="B140" s="55" t="s">
        <v>9</v>
      </c>
      <c r="C140" s="81" t="s">
        <v>23</v>
      </c>
      <c r="D140" s="53">
        <v>7180253</v>
      </c>
      <c r="E140" s="52">
        <v>45646</v>
      </c>
      <c r="F140" s="80">
        <v>5181.32</v>
      </c>
      <c r="G140" s="79" t="s">
        <v>24</v>
      </c>
      <c r="H140" s="49" t="str">
        <f>IF(F140&gt;25000,"C",IF(F140&gt;1000,"B","A"))</f>
        <v>B</v>
      </c>
      <c r="I140" s="48" t="str">
        <f>VLOOKUP(H140,$L$2:$M$4,2,FALSE)</f>
        <v>The Commissioner &amp; Chief Constable are satisfied the spend represents VFM in accordance with the requirements of Category B</v>
      </c>
      <c r="L140" s="41"/>
      <c r="M140" s="41"/>
    </row>
    <row r="141" spans="1:13" s="42" customFormat="1" x14ac:dyDescent="0.2">
      <c r="A141" s="56" t="s">
        <v>8</v>
      </c>
      <c r="B141" s="55" t="s">
        <v>9</v>
      </c>
      <c r="C141" s="81" t="s">
        <v>420</v>
      </c>
      <c r="D141" s="53">
        <v>7180742</v>
      </c>
      <c r="E141" s="52">
        <v>45649</v>
      </c>
      <c r="F141" s="80">
        <v>5181.3100000000004</v>
      </c>
      <c r="G141" s="79" t="s">
        <v>58</v>
      </c>
      <c r="H141" s="49" t="str">
        <f>IF(F141&gt;25000,"C",IF(F141&gt;1000,"B","A"))</f>
        <v>B</v>
      </c>
      <c r="I141" s="48" t="str">
        <f>VLOOKUP(H141,$L$2:$M$4,2,FALSE)</f>
        <v>The Commissioner &amp; Chief Constable are satisfied the spend represents VFM in accordance with the requirements of Category B</v>
      </c>
      <c r="L141" s="41"/>
      <c r="M141" s="41"/>
    </row>
    <row r="142" spans="1:13" s="42" customFormat="1" x14ac:dyDescent="0.2">
      <c r="A142" s="56" t="s">
        <v>8</v>
      </c>
      <c r="B142" s="55" t="s">
        <v>9</v>
      </c>
      <c r="C142" s="82" t="s">
        <v>139</v>
      </c>
      <c r="D142" s="53">
        <v>7180607</v>
      </c>
      <c r="E142" s="52">
        <v>45645</v>
      </c>
      <c r="F142" s="80">
        <v>5091.25</v>
      </c>
      <c r="G142" s="79" t="s">
        <v>39</v>
      </c>
      <c r="H142" s="49" t="str">
        <f>IF(F142&gt;25000,"C",IF(F142&gt;1000,"B","A"))</f>
        <v>B</v>
      </c>
      <c r="I142" s="48" t="str">
        <f>VLOOKUP(H142,$L$2:$M$4,2,FALSE)</f>
        <v>The Commissioner &amp; Chief Constable are satisfied the spend represents VFM in accordance with the requirements of Category B</v>
      </c>
      <c r="L142" s="41"/>
      <c r="M142" s="41"/>
    </row>
    <row r="143" spans="1:13" s="42" customFormat="1" x14ac:dyDescent="0.2">
      <c r="A143" s="56" t="s">
        <v>8</v>
      </c>
      <c r="B143" s="55" t="s">
        <v>9</v>
      </c>
      <c r="C143" s="81" t="s">
        <v>23</v>
      </c>
      <c r="D143" s="53">
        <v>7180252</v>
      </c>
      <c r="E143" s="52">
        <v>45646</v>
      </c>
      <c r="F143" s="80">
        <v>5043.26</v>
      </c>
      <c r="G143" s="79" t="s">
        <v>24</v>
      </c>
      <c r="H143" s="49" t="str">
        <f>IF(F143&gt;25000,"C",IF(F143&gt;1000,"B","A"))</f>
        <v>B</v>
      </c>
      <c r="I143" s="48" t="str">
        <f>VLOOKUP(H143,$L$2:$M$4,2,FALSE)</f>
        <v>The Commissioner &amp; Chief Constable are satisfied the spend represents VFM in accordance with the requirements of Category B</v>
      </c>
      <c r="L143" s="41"/>
      <c r="M143" s="41"/>
    </row>
    <row r="144" spans="1:13" s="42" customFormat="1" x14ac:dyDescent="0.2">
      <c r="A144" s="56" t="s">
        <v>8</v>
      </c>
      <c r="B144" s="55" t="s">
        <v>9</v>
      </c>
      <c r="C144" s="81" t="s">
        <v>90</v>
      </c>
      <c r="D144" s="53">
        <v>7180149</v>
      </c>
      <c r="E144" s="52">
        <v>45631</v>
      </c>
      <c r="F144" s="80">
        <v>5028.3900000000003</v>
      </c>
      <c r="G144" s="79" t="s">
        <v>91</v>
      </c>
      <c r="H144" s="49" t="str">
        <f>IF(F144&gt;25000,"C",IF(F144&gt;1000,"B","A"))</f>
        <v>B</v>
      </c>
      <c r="I144" s="48" t="str">
        <f>VLOOKUP(H144,$L$2:$M$4,2,FALSE)</f>
        <v>The Commissioner &amp; Chief Constable are satisfied the spend represents VFM in accordance with the requirements of Category B</v>
      </c>
      <c r="L144" s="41"/>
      <c r="M144" s="41"/>
    </row>
    <row r="145" spans="1:13" s="42" customFormat="1" x14ac:dyDescent="0.2">
      <c r="A145" s="56" t="s">
        <v>8</v>
      </c>
      <c r="B145" s="55" t="s">
        <v>9</v>
      </c>
      <c r="C145" s="81" t="s">
        <v>448</v>
      </c>
      <c r="D145" s="53">
        <v>7180570</v>
      </c>
      <c r="E145" s="52">
        <v>45643</v>
      </c>
      <c r="F145" s="80">
        <v>5000</v>
      </c>
      <c r="G145" s="79" t="s">
        <v>27</v>
      </c>
      <c r="H145" s="49" t="str">
        <f>IF(F145&gt;25000,"C",IF(F145&gt;1000,"B","A"))</f>
        <v>B</v>
      </c>
      <c r="I145" s="48" t="str">
        <f>VLOOKUP(H145,$L$2:$M$4,2,FALSE)</f>
        <v>The Commissioner &amp; Chief Constable are satisfied the spend represents VFM in accordance with the requirements of Category B</v>
      </c>
      <c r="L145" s="41"/>
      <c r="M145" s="41"/>
    </row>
    <row r="146" spans="1:13" s="42" customFormat="1" x14ac:dyDescent="0.2">
      <c r="A146" s="56" t="s">
        <v>8</v>
      </c>
      <c r="B146" s="55" t="s">
        <v>9</v>
      </c>
      <c r="C146" s="81" t="s">
        <v>448</v>
      </c>
      <c r="D146" s="53">
        <v>7179618</v>
      </c>
      <c r="E146" s="52">
        <v>45628</v>
      </c>
      <c r="F146" s="80">
        <v>5000</v>
      </c>
      <c r="G146" s="79" t="s">
        <v>27</v>
      </c>
      <c r="H146" s="49" t="str">
        <f>IF(F146&gt;25000,"C",IF(F146&gt;1000,"B","A"))</f>
        <v>B</v>
      </c>
      <c r="I146" s="48" t="str">
        <f>VLOOKUP(H146,$L$2:$M$4,2,FALSE)</f>
        <v>The Commissioner &amp; Chief Constable are satisfied the spend represents VFM in accordance with the requirements of Category B</v>
      </c>
      <c r="L146" s="41"/>
      <c r="M146" s="41"/>
    </row>
    <row r="147" spans="1:13" s="42" customFormat="1" x14ac:dyDescent="0.2">
      <c r="A147" s="56" t="s">
        <v>8</v>
      </c>
      <c r="B147" s="55" t="s">
        <v>9</v>
      </c>
      <c r="C147" s="81" t="s">
        <v>168</v>
      </c>
      <c r="D147" s="53">
        <v>3068951</v>
      </c>
      <c r="E147" s="52">
        <v>45642</v>
      </c>
      <c r="F147" s="80">
        <v>5000</v>
      </c>
      <c r="G147" s="79" t="s">
        <v>169</v>
      </c>
      <c r="H147" s="49" t="str">
        <f>IF(F147&gt;25000,"C",IF(F147&gt;1000,"B","A"))</f>
        <v>B</v>
      </c>
      <c r="I147" s="48" t="str">
        <f>VLOOKUP(H147,$L$2:$M$4,2,FALSE)</f>
        <v>The Commissioner &amp; Chief Constable are satisfied the spend represents VFM in accordance with the requirements of Category B</v>
      </c>
      <c r="L147" s="41"/>
      <c r="M147" s="41"/>
    </row>
    <row r="148" spans="1:13" s="42" customFormat="1" x14ac:dyDescent="0.2">
      <c r="A148" s="56" t="s">
        <v>8</v>
      </c>
      <c r="B148" s="55" t="s">
        <v>9</v>
      </c>
      <c r="C148" s="81" t="s">
        <v>168</v>
      </c>
      <c r="D148" s="53">
        <v>3068952</v>
      </c>
      <c r="E148" s="52">
        <v>45642</v>
      </c>
      <c r="F148" s="80">
        <v>5000</v>
      </c>
      <c r="G148" s="79" t="s">
        <v>169</v>
      </c>
      <c r="H148" s="49" t="str">
        <f>IF(F148&gt;25000,"C",IF(F148&gt;1000,"B","A"))</f>
        <v>B</v>
      </c>
      <c r="I148" s="48" t="str">
        <f>VLOOKUP(H148,$L$2:$M$4,2,FALSE)</f>
        <v>The Commissioner &amp; Chief Constable are satisfied the spend represents VFM in accordance with the requirements of Category B</v>
      </c>
      <c r="L148" s="41"/>
      <c r="M148" s="41"/>
    </row>
    <row r="149" spans="1:13" s="42" customFormat="1" x14ac:dyDescent="0.2">
      <c r="A149" s="56" t="s">
        <v>8</v>
      </c>
      <c r="B149" s="55" t="s">
        <v>9</v>
      </c>
      <c r="C149" s="81" t="s">
        <v>477</v>
      </c>
      <c r="D149" s="53">
        <v>7180530</v>
      </c>
      <c r="E149" s="52">
        <v>45653</v>
      </c>
      <c r="F149" s="80">
        <v>5000</v>
      </c>
      <c r="G149" s="79" t="s">
        <v>22</v>
      </c>
      <c r="H149" s="49" t="str">
        <f>IF(F149&gt;25000,"C",IF(F149&gt;1000,"B","A"))</f>
        <v>B</v>
      </c>
      <c r="I149" s="48" t="str">
        <f>VLOOKUP(H149,$L$2:$M$4,2,FALSE)</f>
        <v>The Commissioner &amp; Chief Constable are satisfied the spend represents VFM in accordance with the requirements of Category B</v>
      </c>
      <c r="L149" s="41"/>
      <c r="M149" s="41"/>
    </row>
    <row r="150" spans="1:13" s="42" customFormat="1" x14ac:dyDescent="0.2">
      <c r="A150" s="56" t="s">
        <v>8</v>
      </c>
      <c r="B150" s="55" t="s">
        <v>9</v>
      </c>
      <c r="C150" s="81" t="s">
        <v>90</v>
      </c>
      <c r="D150" s="53">
        <v>7180648</v>
      </c>
      <c r="E150" s="52">
        <v>45645</v>
      </c>
      <c r="F150" s="80">
        <v>4967.5</v>
      </c>
      <c r="G150" s="79" t="s">
        <v>91</v>
      </c>
      <c r="H150" s="49" t="str">
        <f>IF(F150&gt;25000,"C",IF(F150&gt;1000,"B","A"))</f>
        <v>B</v>
      </c>
      <c r="I150" s="48" t="str">
        <f>VLOOKUP(H150,$L$2:$M$4,2,FALSE)</f>
        <v>The Commissioner &amp; Chief Constable are satisfied the spend represents VFM in accordance with the requirements of Category B</v>
      </c>
      <c r="L150" s="41"/>
      <c r="M150" s="41"/>
    </row>
    <row r="151" spans="1:13" s="42" customFormat="1" x14ac:dyDescent="0.2">
      <c r="A151" s="56" t="s">
        <v>8</v>
      </c>
      <c r="B151" s="55" t="s">
        <v>9</v>
      </c>
      <c r="C151" s="81" t="s">
        <v>157</v>
      </c>
      <c r="D151" s="53">
        <v>7180338</v>
      </c>
      <c r="E151" s="52">
        <v>45645</v>
      </c>
      <c r="F151" s="80">
        <v>4933.37</v>
      </c>
      <c r="G151" s="79" t="s">
        <v>43</v>
      </c>
      <c r="H151" s="49" t="str">
        <f>IF(F151&gt;25000,"C",IF(F151&gt;1000,"B","A"))</f>
        <v>B</v>
      </c>
      <c r="I151" s="48" t="str">
        <f>VLOOKUP(H151,$L$2:$M$4,2,FALSE)</f>
        <v>The Commissioner &amp; Chief Constable are satisfied the spend represents VFM in accordance with the requirements of Category B</v>
      </c>
      <c r="L151" s="41"/>
      <c r="M151" s="41"/>
    </row>
    <row r="152" spans="1:13" s="42" customFormat="1" x14ac:dyDescent="0.2">
      <c r="A152" s="56" t="s">
        <v>8</v>
      </c>
      <c r="B152" s="55" t="s">
        <v>9</v>
      </c>
      <c r="C152" s="81" t="s">
        <v>173</v>
      </c>
      <c r="D152" s="53">
        <v>7180152</v>
      </c>
      <c r="E152" s="52">
        <v>45632</v>
      </c>
      <c r="F152" s="80">
        <v>4874.66</v>
      </c>
      <c r="G152" s="79" t="s">
        <v>80</v>
      </c>
      <c r="H152" s="49" t="str">
        <f>IF(F152&gt;25000,"C",IF(F152&gt;1000,"B","A"))</f>
        <v>B</v>
      </c>
      <c r="I152" s="48" t="str">
        <f>VLOOKUP(H152,$L$2:$M$4,2,FALSE)</f>
        <v>The Commissioner &amp; Chief Constable are satisfied the spend represents VFM in accordance with the requirements of Category B</v>
      </c>
      <c r="L152" s="41"/>
      <c r="M152" s="41"/>
    </row>
    <row r="153" spans="1:13" s="42" customFormat="1" x14ac:dyDescent="0.2">
      <c r="A153" s="56" t="s">
        <v>8</v>
      </c>
      <c r="B153" s="55" t="s">
        <v>9</v>
      </c>
      <c r="C153" s="81" t="s">
        <v>974</v>
      </c>
      <c r="D153" s="53">
        <v>7180351</v>
      </c>
      <c r="E153" s="52">
        <v>45637</v>
      </c>
      <c r="F153" s="80">
        <v>4840</v>
      </c>
      <c r="G153" s="79" t="s">
        <v>106</v>
      </c>
      <c r="H153" s="49" t="str">
        <f>IF(F153&gt;25000,"C",IF(F153&gt;1000,"B","A"))</f>
        <v>B</v>
      </c>
      <c r="I153" s="48" t="str">
        <f>VLOOKUP(H153,$L$2:$M$4,2,FALSE)</f>
        <v>The Commissioner &amp; Chief Constable are satisfied the spend represents VFM in accordance with the requirements of Category B</v>
      </c>
      <c r="L153" s="41"/>
      <c r="M153" s="41"/>
    </row>
    <row r="154" spans="1:13" s="42" customFormat="1" x14ac:dyDescent="0.2">
      <c r="A154" s="56" t="s">
        <v>8</v>
      </c>
      <c r="B154" s="55" t="s">
        <v>9</v>
      </c>
      <c r="C154" s="81" t="s">
        <v>172</v>
      </c>
      <c r="D154" s="53">
        <v>7180208</v>
      </c>
      <c r="E154" s="52">
        <v>45636</v>
      </c>
      <c r="F154" s="80">
        <v>4800</v>
      </c>
      <c r="G154" s="79" t="s">
        <v>39</v>
      </c>
      <c r="H154" s="49" t="str">
        <f>IF(F154&gt;25000,"C",IF(F154&gt;1000,"B","A"))</f>
        <v>B</v>
      </c>
      <c r="I154" s="48" t="str">
        <f>VLOOKUP(H154,$L$2:$M$4,2,FALSE)</f>
        <v>The Commissioner &amp; Chief Constable are satisfied the spend represents VFM in accordance with the requirements of Category B</v>
      </c>
      <c r="L154" s="41"/>
      <c r="M154" s="41"/>
    </row>
    <row r="155" spans="1:13" s="42" customFormat="1" x14ac:dyDescent="0.2">
      <c r="A155" s="56" t="s">
        <v>8</v>
      </c>
      <c r="B155" s="55" t="s">
        <v>9</v>
      </c>
      <c r="C155" s="81" t="s">
        <v>252</v>
      </c>
      <c r="D155" s="53">
        <v>7179512</v>
      </c>
      <c r="E155" s="52">
        <v>45638</v>
      </c>
      <c r="F155" s="80">
        <v>4784</v>
      </c>
      <c r="G155" s="79" t="s">
        <v>148</v>
      </c>
      <c r="H155" s="49" t="str">
        <f>IF(F155&gt;25000,"C",IF(F155&gt;1000,"B","A"))</f>
        <v>B</v>
      </c>
      <c r="I155" s="48" t="str">
        <f>VLOOKUP(H155,$L$2:$M$4,2,FALSE)</f>
        <v>The Commissioner &amp; Chief Constable are satisfied the spend represents VFM in accordance with the requirements of Category B</v>
      </c>
      <c r="L155" s="41"/>
      <c r="M155" s="41"/>
    </row>
    <row r="156" spans="1:13" s="42" customFormat="1" x14ac:dyDescent="0.2">
      <c r="A156" s="56" t="s">
        <v>8</v>
      </c>
      <c r="B156" s="55" t="s">
        <v>9</v>
      </c>
      <c r="C156" s="81" t="s">
        <v>119</v>
      </c>
      <c r="D156" s="53">
        <v>7179764</v>
      </c>
      <c r="E156" s="52">
        <v>45628</v>
      </c>
      <c r="F156" s="80">
        <v>4657.6499999999996</v>
      </c>
      <c r="G156" s="79" t="s">
        <v>120</v>
      </c>
      <c r="H156" s="49" t="str">
        <f>IF(F156&gt;25000,"C",IF(F156&gt;1000,"B","A"))</f>
        <v>B</v>
      </c>
      <c r="I156" s="48" t="str">
        <f>VLOOKUP(H156,$L$2:$M$4,2,FALSE)</f>
        <v>The Commissioner &amp; Chief Constable are satisfied the spend represents VFM in accordance with the requirements of Category B</v>
      </c>
      <c r="L156" s="41"/>
      <c r="M156" s="41"/>
    </row>
    <row r="157" spans="1:13" s="42" customFormat="1" x14ac:dyDescent="0.2">
      <c r="A157" s="56" t="s">
        <v>8</v>
      </c>
      <c r="B157" s="55" t="s">
        <v>9</v>
      </c>
      <c r="C157" s="81" t="s">
        <v>326</v>
      </c>
      <c r="D157" s="53">
        <v>7179133</v>
      </c>
      <c r="E157" s="52">
        <v>45631</v>
      </c>
      <c r="F157" s="80">
        <v>4632</v>
      </c>
      <c r="G157" s="79" t="s">
        <v>38</v>
      </c>
      <c r="H157" s="49" t="str">
        <f>IF(F157&gt;25000,"C",IF(F157&gt;1000,"B","A"))</f>
        <v>B</v>
      </c>
      <c r="I157" s="48" t="str">
        <f>VLOOKUP(H157,$L$2:$M$4,2,FALSE)</f>
        <v>The Commissioner &amp; Chief Constable are satisfied the spend represents VFM in accordance with the requirements of Category B</v>
      </c>
      <c r="L157" s="41"/>
      <c r="M157" s="41"/>
    </row>
    <row r="158" spans="1:13" s="42" customFormat="1" x14ac:dyDescent="0.2">
      <c r="A158" s="56" t="s">
        <v>8</v>
      </c>
      <c r="B158" s="55" t="s">
        <v>9</v>
      </c>
      <c r="C158" s="81" t="s">
        <v>514</v>
      </c>
      <c r="D158" s="53">
        <v>7180862</v>
      </c>
      <c r="E158" s="52">
        <v>45657</v>
      </c>
      <c r="F158" s="80">
        <v>4516.2</v>
      </c>
      <c r="G158" s="79" t="s">
        <v>151</v>
      </c>
      <c r="H158" s="49" t="str">
        <f>IF(F158&gt;25000,"C",IF(F158&gt;1000,"B","A"))</f>
        <v>B</v>
      </c>
      <c r="I158" s="48" t="str">
        <f>VLOOKUP(H158,$L$2:$M$4,2,FALSE)</f>
        <v>The Commissioner &amp; Chief Constable are satisfied the spend represents VFM in accordance with the requirements of Category B</v>
      </c>
      <c r="L158" s="41"/>
      <c r="M158" s="41"/>
    </row>
    <row r="159" spans="1:13" s="42" customFormat="1" x14ac:dyDescent="0.2">
      <c r="A159" s="56" t="s">
        <v>8</v>
      </c>
      <c r="B159" s="55" t="s">
        <v>9</v>
      </c>
      <c r="C159" s="81" t="s">
        <v>103</v>
      </c>
      <c r="D159" s="53">
        <v>7180363</v>
      </c>
      <c r="E159" s="52">
        <v>45637</v>
      </c>
      <c r="F159" s="80">
        <v>4490</v>
      </c>
      <c r="G159" s="79" t="s">
        <v>91</v>
      </c>
      <c r="H159" s="49" t="str">
        <f>IF(F159&gt;25000,"C",IF(F159&gt;1000,"B","A"))</f>
        <v>B</v>
      </c>
      <c r="I159" s="48" t="str">
        <f>VLOOKUP(H159,$L$2:$M$4,2,FALSE)</f>
        <v>The Commissioner &amp; Chief Constable are satisfied the spend represents VFM in accordance with the requirements of Category B</v>
      </c>
      <c r="L159" s="41"/>
      <c r="M159" s="41"/>
    </row>
    <row r="160" spans="1:13" s="42" customFormat="1" x14ac:dyDescent="0.2">
      <c r="A160" s="56" t="s">
        <v>8</v>
      </c>
      <c r="B160" s="55" t="s">
        <v>9</v>
      </c>
      <c r="C160" s="81" t="s">
        <v>195</v>
      </c>
      <c r="D160" s="53">
        <v>7180026</v>
      </c>
      <c r="E160" s="52">
        <v>45629</v>
      </c>
      <c r="F160" s="80">
        <v>4464.63</v>
      </c>
      <c r="G160" s="79" t="s">
        <v>22</v>
      </c>
      <c r="H160" s="49" t="str">
        <f>IF(F160&gt;25000,"C",IF(F160&gt;1000,"B","A"))</f>
        <v>B</v>
      </c>
      <c r="I160" s="48" t="str">
        <f>VLOOKUP(H160,$L$2:$M$4,2,FALSE)</f>
        <v>The Commissioner &amp; Chief Constable are satisfied the spend represents VFM in accordance with the requirements of Category B</v>
      </c>
      <c r="L160" s="41"/>
      <c r="M160" s="41"/>
    </row>
    <row r="161" spans="1:13" s="42" customFormat="1" x14ac:dyDescent="0.2">
      <c r="A161" s="56" t="s">
        <v>8</v>
      </c>
      <c r="B161" s="55" t="s">
        <v>9</v>
      </c>
      <c r="C161" s="81" t="s">
        <v>525</v>
      </c>
      <c r="D161" s="53">
        <v>7180563</v>
      </c>
      <c r="E161" s="52">
        <v>45653</v>
      </c>
      <c r="F161" s="80">
        <v>4380</v>
      </c>
      <c r="G161" s="79" t="s">
        <v>524</v>
      </c>
      <c r="H161" s="49" t="str">
        <f>IF(F161&gt;25000,"C",IF(F161&gt;1000,"B","A"))</f>
        <v>B</v>
      </c>
      <c r="I161" s="48" t="str">
        <f>VLOOKUP(H161,$L$2:$M$4,2,FALSE)</f>
        <v>The Commissioner &amp; Chief Constable are satisfied the spend represents VFM in accordance with the requirements of Category B</v>
      </c>
      <c r="L161" s="41"/>
      <c r="M161" s="41"/>
    </row>
    <row r="162" spans="1:13" s="42" customFormat="1" x14ac:dyDescent="0.2">
      <c r="A162" s="56" t="s">
        <v>8</v>
      </c>
      <c r="B162" s="55" t="s">
        <v>9</v>
      </c>
      <c r="C162" s="81" t="s">
        <v>369</v>
      </c>
      <c r="D162" s="53">
        <v>7180424</v>
      </c>
      <c r="E162" s="52">
        <v>45645</v>
      </c>
      <c r="F162" s="80">
        <v>4300</v>
      </c>
      <c r="G162" s="79" t="s">
        <v>112</v>
      </c>
      <c r="H162" s="49" t="str">
        <f>IF(F162&gt;25000,"C",IF(F162&gt;1000,"B","A"))</f>
        <v>B</v>
      </c>
      <c r="I162" s="48" t="str">
        <f>VLOOKUP(H162,$L$2:$M$4,2,FALSE)</f>
        <v>The Commissioner &amp; Chief Constable are satisfied the spend represents VFM in accordance with the requirements of Category B</v>
      </c>
      <c r="L162" s="41"/>
      <c r="M162" s="41"/>
    </row>
    <row r="163" spans="1:13" s="42" customFormat="1" x14ac:dyDescent="0.2">
      <c r="A163" s="56" t="s">
        <v>8</v>
      </c>
      <c r="B163" s="55" t="s">
        <v>9</v>
      </c>
      <c r="C163" s="81" t="s">
        <v>374</v>
      </c>
      <c r="D163" s="53">
        <v>7180169</v>
      </c>
      <c r="E163" s="52">
        <v>45638</v>
      </c>
      <c r="F163" s="80">
        <v>4250</v>
      </c>
      <c r="G163" s="79" t="s">
        <v>373</v>
      </c>
      <c r="H163" s="49" t="str">
        <f>IF(F163&gt;25000,"C",IF(F163&gt;1000,"B","A"))</f>
        <v>B</v>
      </c>
      <c r="I163" s="48" t="str">
        <f>VLOOKUP(H163,$L$2:$M$4,2,FALSE)</f>
        <v>The Commissioner &amp; Chief Constable are satisfied the spend represents VFM in accordance with the requirements of Category B</v>
      </c>
      <c r="L163" s="41"/>
      <c r="M163" s="41"/>
    </row>
    <row r="164" spans="1:13" s="42" customFormat="1" x14ac:dyDescent="0.2">
      <c r="A164" s="56" t="s">
        <v>8</v>
      </c>
      <c r="B164" s="55" t="s">
        <v>9</v>
      </c>
      <c r="C164" s="81" t="s">
        <v>1010</v>
      </c>
      <c r="D164" s="53">
        <v>9037095</v>
      </c>
      <c r="E164" s="52">
        <v>45653</v>
      </c>
      <c r="F164" s="80">
        <v>4215.92</v>
      </c>
      <c r="G164" s="79" t="s">
        <v>452</v>
      </c>
      <c r="H164" s="49" t="str">
        <f>IF(F164&gt;25000,"C",IF(F164&gt;1000,"B","A"))</f>
        <v>B</v>
      </c>
      <c r="I164" s="48" t="str">
        <f>VLOOKUP(H164,$L$2:$M$4,2,FALSE)</f>
        <v>The Commissioner &amp; Chief Constable are satisfied the spend represents VFM in accordance with the requirements of Category B</v>
      </c>
      <c r="L164" s="41"/>
      <c r="M164" s="41"/>
    </row>
    <row r="165" spans="1:13" s="42" customFormat="1" x14ac:dyDescent="0.2">
      <c r="A165" s="56" t="s">
        <v>8</v>
      </c>
      <c r="B165" s="55" t="s">
        <v>9</v>
      </c>
      <c r="C165" s="81" t="s">
        <v>369</v>
      </c>
      <c r="D165" s="53">
        <v>7180422</v>
      </c>
      <c r="E165" s="52">
        <v>45645</v>
      </c>
      <c r="F165" s="80">
        <v>4125</v>
      </c>
      <c r="G165" s="79" t="s">
        <v>112</v>
      </c>
      <c r="H165" s="49" t="str">
        <f>IF(F165&gt;25000,"C",IF(F165&gt;1000,"B","A"))</f>
        <v>B</v>
      </c>
      <c r="I165" s="48" t="str">
        <f>VLOOKUP(H165,$L$2:$M$4,2,FALSE)</f>
        <v>The Commissioner &amp; Chief Constable are satisfied the spend represents VFM in accordance with the requirements of Category B</v>
      </c>
      <c r="L165" s="41"/>
      <c r="M165" s="41"/>
    </row>
    <row r="166" spans="1:13" s="42" customFormat="1" x14ac:dyDescent="0.2">
      <c r="A166" s="56" t="s">
        <v>8</v>
      </c>
      <c r="B166" s="55" t="s">
        <v>9</v>
      </c>
      <c r="C166" s="81" t="s">
        <v>352</v>
      </c>
      <c r="D166" s="53">
        <v>7179814</v>
      </c>
      <c r="E166" s="52">
        <v>45628</v>
      </c>
      <c r="F166" s="80">
        <v>3950</v>
      </c>
      <c r="G166" s="79" t="s">
        <v>106</v>
      </c>
      <c r="H166" s="49" t="str">
        <f>IF(F166&gt;25000,"C",IF(F166&gt;1000,"B","A"))</f>
        <v>B</v>
      </c>
      <c r="I166" s="48" t="str">
        <f>VLOOKUP(H166,$L$2:$M$4,2,FALSE)</f>
        <v>The Commissioner &amp; Chief Constable are satisfied the spend represents VFM in accordance with the requirements of Category B</v>
      </c>
      <c r="L166" s="41"/>
      <c r="M166" s="41"/>
    </row>
    <row r="167" spans="1:13" s="42" customFormat="1" x14ac:dyDescent="0.2">
      <c r="A167" s="56" t="s">
        <v>8</v>
      </c>
      <c r="B167" s="55" t="s">
        <v>9</v>
      </c>
      <c r="C167" s="81" t="s">
        <v>894</v>
      </c>
      <c r="D167" s="53">
        <v>7180177</v>
      </c>
      <c r="E167" s="52">
        <v>45632</v>
      </c>
      <c r="F167" s="80">
        <v>3927</v>
      </c>
      <c r="G167" s="79" t="s">
        <v>94</v>
      </c>
      <c r="H167" s="49" t="str">
        <f>IF(F167&gt;25000,"C",IF(F167&gt;1000,"B","A"))</f>
        <v>B</v>
      </c>
      <c r="I167" s="48" t="str">
        <f>VLOOKUP(H167,$L$2:$M$4,2,FALSE)</f>
        <v>The Commissioner &amp; Chief Constable are satisfied the spend represents VFM in accordance with the requirements of Category B</v>
      </c>
      <c r="L167" s="41"/>
      <c r="M167" s="41"/>
    </row>
    <row r="168" spans="1:13" s="42" customFormat="1" x14ac:dyDescent="0.2">
      <c r="A168" s="56" t="s">
        <v>8</v>
      </c>
      <c r="B168" s="55" t="s">
        <v>9</v>
      </c>
      <c r="C168" s="81" t="s">
        <v>140</v>
      </c>
      <c r="D168" s="53">
        <v>7180636</v>
      </c>
      <c r="E168" s="52">
        <v>45644</v>
      </c>
      <c r="F168" s="80">
        <v>3890.1499999999996</v>
      </c>
      <c r="G168" s="79" t="s">
        <v>156</v>
      </c>
      <c r="H168" s="49" t="str">
        <f>IF(F168&gt;25000,"C",IF(F168&gt;1000,"B","A"))</f>
        <v>B</v>
      </c>
      <c r="I168" s="48" t="str">
        <f>VLOOKUP(H168,$L$2:$M$4,2,FALSE)</f>
        <v>The Commissioner &amp; Chief Constable are satisfied the spend represents VFM in accordance with the requirements of Category B</v>
      </c>
      <c r="L168" s="41"/>
      <c r="M168" s="41"/>
    </row>
    <row r="169" spans="1:13" s="42" customFormat="1" x14ac:dyDescent="0.2">
      <c r="A169" s="56" t="s">
        <v>8</v>
      </c>
      <c r="B169" s="55" t="s">
        <v>9</v>
      </c>
      <c r="C169" s="81" t="s">
        <v>609</v>
      </c>
      <c r="D169" s="53">
        <v>7180171</v>
      </c>
      <c r="E169" s="52">
        <v>45642</v>
      </c>
      <c r="F169" s="80">
        <v>3801.6</v>
      </c>
      <c r="G169" s="79" t="s">
        <v>131</v>
      </c>
      <c r="H169" s="49" t="str">
        <f>IF(F169&gt;25000,"C",IF(F169&gt;1000,"B","A"))</f>
        <v>B</v>
      </c>
      <c r="I169" s="48" t="str">
        <f>VLOOKUP(H169,$L$2:$M$4,2,FALSE)</f>
        <v>The Commissioner &amp; Chief Constable are satisfied the spend represents VFM in accordance with the requirements of Category B</v>
      </c>
      <c r="L169" s="41"/>
      <c r="M169" s="41"/>
    </row>
    <row r="170" spans="1:13" s="42" customFormat="1" x14ac:dyDescent="0.2">
      <c r="A170" s="56" t="s">
        <v>8</v>
      </c>
      <c r="B170" s="55" t="s">
        <v>9</v>
      </c>
      <c r="C170" s="81" t="s">
        <v>374</v>
      </c>
      <c r="D170" s="53">
        <v>7179708</v>
      </c>
      <c r="E170" s="52">
        <v>45638</v>
      </c>
      <c r="F170" s="80">
        <v>3750</v>
      </c>
      <c r="G170" s="79" t="s">
        <v>373</v>
      </c>
      <c r="H170" s="49" t="str">
        <f>IF(F170&gt;25000,"C",IF(F170&gt;1000,"B","A"))</f>
        <v>B</v>
      </c>
      <c r="I170" s="48" t="str">
        <f>VLOOKUP(H170,$L$2:$M$4,2,FALSE)</f>
        <v>The Commissioner &amp; Chief Constable are satisfied the spend represents VFM in accordance with the requirements of Category B</v>
      </c>
      <c r="L170" s="41"/>
      <c r="M170" s="41"/>
    </row>
    <row r="171" spans="1:13" s="42" customFormat="1" x14ac:dyDescent="0.2">
      <c r="A171" s="56" t="s">
        <v>8</v>
      </c>
      <c r="B171" s="55" t="s">
        <v>9</v>
      </c>
      <c r="C171" s="81" t="s">
        <v>773</v>
      </c>
      <c r="D171" s="53">
        <v>7179991</v>
      </c>
      <c r="E171" s="52">
        <v>45629</v>
      </c>
      <c r="F171" s="80">
        <v>3750</v>
      </c>
      <c r="G171" s="79" t="s">
        <v>529</v>
      </c>
      <c r="H171" s="49" t="str">
        <f>IF(F171&gt;25000,"C",IF(F171&gt;1000,"B","A"))</f>
        <v>B</v>
      </c>
      <c r="I171" s="48" t="str">
        <f>VLOOKUP(H171,$L$2:$M$4,2,FALSE)</f>
        <v>The Commissioner &amp; Chief Constable are satisfied the spend represents VFM in accordance with the requirements of Category B</v>
      </c>
      <c r="L171" s="41"/>
      <c r="M171" s="41"/>
    </row>
    <row r="172" spans="1:13" s="42" customFormat="1" x14ac:dyDescent="0.2">
      <c r="A172" s="56" t="s">
        <v>8</v>
      </c>
      <c r="B172" s="55" t="s">
        <v>9</v>
      </c>
      <c r="C172" s="81" t="s">
        <v>195</v>
      </c>
      <c r="D172" s="53">
        <v>7179972</v>
      </c>
      <c r="E172" s="52">
        <v>45630</v>
      </c>
      <c r="F172" s="80">
        <v>3733.4</v>
      </c>
      <c r="G172" s="79" t="s">
        <v>22</v>
      </c>
      <c r="H172" s="49" t="str">
        <f>IF(F172&gt;25000,"C",IF(F172&gt;1000,"B","A"))</f>
        <v>B</v>
      </c>
      <c r="I172" s="48" t="str">
        <f>VLOOKUP(H172,$L$2:$M$4,2,FALSE)</f>
        <v>The Commissioner &amp; Chief Constable are satisfied the spend represents VFM in accordance with the requirements of Category B</v>
      </c>
      <c r="L172" s="41"/>
      <c r="M172" s="41"/>
    </row>
    <row r="173" spans="1:13" s="42" customFormat="1" x14ac:dyDescent="0.2">
      <c r="A173" s="56" t="s">
        <v>8</v>
      </c>
      <c r="B173" s="55" t="s">
        <v>9</v>
      </c>
      <c r="C173" s="81" t="s">
        <v>369</v>
      </c>
      <c r="D173" s="53">
        <v>7180413</v>
      </c>
      <c r="E173" s="52">
        <v>45645</v>
      </c>
      <c r="F173" s="80">
        <v>3675</v>
      </c>
      <c r="G173" s="79" t="s">
        <v>112</v>
      </c>
      <c r="H173" s="49" t="str">
        <f>IF(F173&gt;25000,"C",IF(F173&gt;1000,"B","A"))</f>
        <v>B</v>
      </c>
      <c r="I173" s="48" t="str">
        <f>VLOOKUP(H173,$L$2:$M$4,2,FALSE)</f>
        <v>The Commissioner &amp; Chief Constable are satisfied the spend represents VFM in accordance with the requirements of Category B</v>
      </c>
      <c r="L173" s="41"/>
      <c r="M173" s="41"/>
    </row>
    <row r="174" spans="1:13" s="42" customFormat="1" x14ac:dyDescent="0.2">
      <c r="A174" s="56" t="s">
        <v>8</v>
      </c>
      <c r="B174" s="55" t="s">
        <v>9</v>
      </c>
      <c r="C174" s="81" t="s">
        <v>162</v>
      </c>
      <c r="D174" s="53">
        <v>7180358</v>
      </c>
      <c r="E174" s="52">
        <v>45645</v>
      </c>
      <c r="F174" s="80">
        <v>3661.3</v>
      </c>
      <c r="G174" s="79" t="s">
        <v>39</v>
      </c>
      <c r="H174" s="49" t="str">
        <f>IF(F174&gt;25000,"C",IF(F174&gt;1000,"B","A"))</f>
        <v>B</v>
      </c>
      <c r="I174" s="48" t="str">
        <f>VLOOKUP(H174,$L$2:$M$4,2,FALSE)</f>
        <v>The Commissioner &amp; Chief Constable are satisfied the spend represents VFM in accordance with the requirements of Category B</v>
      </c>
      <c r="L174" s="41"/>
      <c r="M174" s="41"/>
    </row>
    <row r="175" spans="1:13" s="42" customFormat="1" x14ac:dyDescent="0.2">
      <c r="A175" s="56" t="s">
        <v>8</v>
      </c>
      <c r="B175" s="55" t="s">
        <v>9</v>
      </c>
      <c r="C175" s="81" t="s">
        <v>196</v>
      </c>
      <c r="D175" s="53">
        <v>7180853</v>
      </c>
      <c r="E175" s="52">
        <v>45657</v>
      </c>
      <c r="F175" s="80">
        <v>3634.9</v>
      </c>
      <c r="G175" s="79" t="s">
        <v>169</v>
      </c>
      <c r="H175" s="49" t="str">
        <f>IF(F175&gt;25000,"C",IF(F175&gt;1000,"B","A"))</f>
        <v>B</v>
      </c>
      <c r="I175" s="48" t="str">
        <f>VLOOKUP(H175,$L$2:$M$4,2,FALSE)</f>
        <v>The Commissioner &amp; Chief Constable are satisfied the spend represents VFM in accordance with the requirements of Category B</v>
      </c>
      <c r="L175" s="41"/>
      <c r="M175" s="41"/>
    </row>
    <row r="176" spans="1:13" s="42" customFormat="1" x14ac:dyDescent="0.2">
      <c r="A176" s="56" t="s">
        <v>8</v>
      </c>
      <c r="B176" s="55" t="s">
        <v>9</v>
      </c>
      <c r="C176" s="81" t="s">
        <v>119</v>
      </c>
      <c r="D176" s="53">
        <v>7180456</v>
      </c>
      <c r="E176" s="52">
        <v>45642</v>
      </c>
      <c r="F176" s="80">
        <v>3604.98</v>
      </c>
      <c r="G176" s="79" t="s">
        <v>120</v>
      </c>
      <c r="H176" s="49" t="str">
        <f>IF(F176&gt;25000,"C",IF(F176&gt;1000,"B","A"))</f>
        <v>B</v>
      </c>
      <c r="I176" s="48" t="str">
        <f>VLOOKUP(H176,$L$2:$M$4,2,FALSE)</f>
        <v>The Commissioner &amp; Chief Constable are satisfied the spend represents VFM in accordance with the requirements of Category B</v>
      </c>
      <c r="L176" s="41"/>
      <c r="M176" s="41"/>
    </row>
    <row r="177" spans="1:13" s="42" customFormat="1" x14ac:dyDescent="0.2">
      <c r="A177" s="56" t="s">
        <v>8</v>
      </c>
      <c r="B177" s="55" t="s">
        <v>9</v>
      </c>
      <c r="C177" s="81" t="s">
        <v>1004</v>
      </c>
      <c r="D177" s="53">
        <v>7179350</v>
      </c>
      <c r="E177" s="52">
        <v>45630</v>
      </c>
      <c r="F177" s="80">
        <v>3600</v>
      </c>
      <c r="G177" s="79" t="s">
        <v>22</v>
      </c>
      <c r="H177" s="49" t="str">
        <f>IF(F177&gt;25000,"C",IF(F177&gt;1000,"B","A"))</f>
        <v>B</v>
      </c>
      <c r="I177" s="48" t="str">
        <f>VLOOKUP(H177,$L$2:$M$4,2,FALSE)</f>
        <v>The Commissioner &amp; Chief Constable are satisfied the spend represents VFM in accordance with the requirements of Category B</v>
      </c>
      <c r="L177" s="41"/>
      <c r="M177" s="41"/>
    </row>
    <row r="178" spans="1:13" s="42" customFormat="1" x14ac:dyDescent="0.2">
      <c r="A178" s="56" t="s">
        <v>8</v>
      </c>
      <c r="B178" s="55" t="s">
        <v>9</v>
      </c>
      <c r="C178" s="81" t="s">
        <v>432</v>
      </c>
      <c r="D178" s="53">
        <v>7177943</v>
      </c>
      <c r="E178" s="52">
        <v>45638</v>
      </c>
      <c r="F178" s="80">
        <v>3565</v>
      </c>
      <c r="G178" s="79" t="s">
        <v>22</v>
      </c>
      <c r="H178" s="49" t="str">
        <f>IF(F178&gt;25000,"C",IF(F178&gt;1000,"B","A"))</f>
        <v>B</v>
      </c>
      <c r="I178" s="48" t="str">
        <f>VLOOKUP(H178,$L$2:$M$4,2,FALSE)</f>
        <v>The Commissioner &amp; Chief Constable are satisfied the spend represents VFM in accordance with the requirements of Category B</v>
      </c>
      <c r="L178" s="41"/>
      <c r="M178" s="41"/>
    </row>
    <row r="179" spans="1:13" s="42" customFormat="1" x14ac:dyDescent="0.2">
      <c r="A179" s="56" t="s">
        <v>8</v>
      </c>
      <c r="B179" s="55" t="s">
        <v>9</v>
      </c>
      <c r="C179" s="81" t="s">
        <v>1009</v>
      </c>
      <c r="D179" s="53">
        <v>7179831</v>
      </c>
      <c r="E179" s="52">
        <v>45639</v>
      </c>
      <c r="F179" s="80">
        <v>3500</v>
      </c>
      <c r="G179" s="79" t="s">
        <v>27</v>
      </c>
      <c r="H179" s="49" t="str">
        <f>IF(F179&gt;25000,"C",IF(F179&gt;1000,"B","A"))</f>
        <v>B</v>
      </c>
      <c r="I179" s="48" t="str">
        <f>VLOOKUP(H179,$L$2:$M$4,2,FALSE)</f>
        <v>The Commissioner &amp; Chief Constable are satisfied the spend represents VFM in accordance with the requirements of Category B</v>
      </c>
      <c r="L179" s="41"/>
      <c r="M179" s="41"/>
    </row>
    <row r="180" spans="1:13" s="42" customFormat="1" x14ac:dyDescent="0.2">
      <c r="A180" s="56" t="s">
        <v>8</v>
      </c>
      <c r="B180" s="55" t="s">
        <v>9</v>
      </c>
      <c r="C180" s="81" t="s">
        <v>833</v>
      </c>
      <c r="D180" s="53">
        <v>7180153</v>
      </c>
      <c r="E180" s="52">
        <v>45631</v>
      </c>
      <c r="F180" s="80">
        <v>3500</v>
      </c>
      <c r="G180" s="79" t="s">
        <v>62</v>
      </c>
      <c r="H180" s="49" t="str">
        <f>IF(F180&gt;25000,"C",IF(F180&gt;1000,"B","A"))</f>
        <v>B</v>
      </c>
      <c r="I180" s="48" t="str">
        <f>VLOOKUP(H180,$L$2:$M$4,2,FALSE)</f>
        <v>The Commissioner &amp; Chief Constable are satisfied the spend represents VFM in accordance with the requirements of Category B</v>
      </c>
      <c r="L180" s="41"/>
      <c r="M180" s="41"/>
    </row>
    <row r="181" spans="1:13" s="42" customFormat="1" x14ac:dyDescent="0.2">
      <c r="A181" s="56" t="s">
        <v>8</v>
      </c>
      <c r="B181" s="55" t="s">
        <v>9</v>
      </c>
      <c r="C181" s="81" t="s">
        <v>1008</v>
      </c>
      <c r="D181" s="53">
        <v>7180711</v>
      </c>
      <c r="E181" s="52">
        <v>45646</v>
      </c>
      <c r="F181" s="83">
        <v>3500</v>
      </c>
      <c r="G181" s="79" t="s">
        <v>27</v>
      </c>
      <c r="H181" s="49" t="str">
        <f>IF(F181&gt;25000,"C",IF(F181&gt;1000,"B","A"))</f>
        <v>B</v>
      </c>
      <c r="I181" s="48" t="str">
        <f>VLOOKUP(H181,$L$2:$M$4,2,FALSE)</f>
        <v>The Commissioner &amp; Chief Constable are satisfied the spend represents VFM in accordance with the requirements of Category B</v>
      </c>
      <c r="L181" s="41"/>
      <c r="M181" s="41"/>
    </row>
    <row r="182" spans="1:13" s="42" customFormat="1" x14ac:dyDescent="0.2">
      <c r="A182" s="56" t="s">
        <v>8</v>
      </c>
      <c r="B182" s="55" t="s">
        <v>9</v>
      </c>
      <c r="C182" s="81" t="s">
        <v>1007</v>
      </c>
      <c r="D182" s="53">
        <v>7180332</v>
      </c>
      <c r="E182" s="52">
        <v>45638</v>
      </c>
      <c r="F182" s="80">
        <v>3431.28</v>
      </c>
      <c r="G182" s="84" t="s">
        <v>27</v>
      </c>
      <c r="H182" s="49" t="str">
        <f>IF(F182&gt;25000,"C",IF(F182&gt;1000,"B","A"))</f>
        <v>B</v>
      </c>
      <c r="I182" s="48" t="str">
        <f>VLOOKUP(H182,$L$2:$M$4,2,FALSE)</f>
        <v>The Commissioner &amp; Chief Constable are satisfied the spend represents VFM in accordance with the requirements of Category B</v>
      </c>
      <c r="L182" s="41"/>
      <c r="M182" s="41"/>
    </row>
    <row r="183" spans="1:13" s="42" customFormat="1" x14ac:dyDescent="0.2">
      <c r="A183" s="56" t="s">
        <v>8</v>
      </c>
      <c r="B183" s="55" t="s">
        <v>9</v>
      </c>
      <c r="C183" s="81" t="s">
        <v>1006</v>
      </c>
      <c r="D183" s="53">
        <v>7180039</v>
      </c>
      <c r="E183" s="52">
        <v>45630</v>
      </c>
      <c r="F183" s="80">
        <v>3400</v>
      </c>
      <c r="G183" s="79" t="s">
        <v>155</v>
      </c>
      <c r="H183" s="49" t="str">
        <f>IF(F183&gt;25000,"C",IF(F183&gt;1000,"B","A"))</f>
        <v>B</v>
      </c>
      <c r="I183" s="48" t="str">
        <f>VLOOKUP(H183,$L$2:$M$4,2,FALSE)</f>
        <v>The Commissioner &amp; Chief Constable are satisfied the spend represents VFM in accordance with the requirements of Category B</v>
      </c>
      <c r="L183" s="41"/>
      <c r="M183" s="41"/>
    </row>
    <row r="184" spans="1:13" s="42" customFormat="1" x14ac:dyDescent="0.2">
      <c r="A184" s="56" t="s">
        <v>8</v>
      </c>
      <c r="B184" s="55" t="s">
        <v>9</v>
      </c>
      <c r="C184" s="81" t="s">
        <v>536</v>
      </c>
      <c r="D184" s="53">
        <v>7180310</v>
      </c>
      <c r="E184" s="52">
        <v>45636</v>
      </c>
      <c r="F184" s="80">
        <v>3330</v>
      </c>
      <c r="G184" s="79" t="s">
        <v>319</v>
      </c>
      <c r="H184" s="49" t="str">
        <f>IF(F184&gt;25000,"C",IF(F184&gt;1000,"B","A"))</f>
        <v>B</v>
      </c>
      <c r="I184" s="48" t="str">
        <f>VLOOKUP(H184,$L$2:$M$4,2,FALSE)</f>
        <v>The Commissioner &amp; Chief Constable are satisfied the spend represents VFM in accordance with the requirements of Category B</v>
      </c>
      <c r="L184" s="41"/>
      <c r="M184" s="41"/>
    </row>
    <row r="185" spans="1:13" s="42" customFormat="1" x14ac:dyDescent="0.2">
      <c r="A185" s="56" t="s">
        <v>8</v>
      </c>
      <c r="B185" s="55" t="s">
        <v>9</v>
      </c>
      <c r="C185" s="81" t="s">
        <v>894</v>
      </c>
      <c r="D185" s="53">
        <v>7180176</v>
      </c>
      <c r="E185" s="52">
        <v>45632</v>
      </c>
      <c r="F185" s="80">
        <v>3328</v>
      </c>
      <c r="G185" s="79" t="s">
        <v>94</v>
      </c>
      <c r="H185" s="49" t="str">
        <f>IF(F185&gt;25000,"C",IF(F185&gt;1000,"B","A"))</f>
        <v>B</v>
      </c>
      <c r="I185" s="48" t="str">
        <f>VLOOKUP(H185,$L$2:$M$4,2,FALSE)</f>
        <v>The Commissioner &amp; Chief Constable are satisfied the spend represents VFM in accordance with the requirements of Category B</v>
      </c>
      <c r="L185" s="41"/>
      <c r="M185" s="41"/>
    </row>
    <row r="186" spans="1:13" s="42" customFormat="1" x14ac:dyDescent="0.2">
      <c r="A186" s="56" t="s">
        <v>8</v>
      </c>
      <c r="B186" s="55" t="s">
        <v>9</v>
      </c>
      <c r="C186" s="81" t="s">
        <v>448</v>
      </c>
      <c r="D186" s="53">
        <v>7179617</v>
      </c>
      <c r="E186" s="52">
        <v>45628</v>
      </c>
      <c r="F186" s="80">
        <v>3325</v>
      </c>
      <c r="G186" s="79" t="s">
        <v>27</v>
      </c>
      <c r="H186" s="49" t="str">
        <f>IF(F186&gt;25000,"C",IF(F186&gt;1000,"B","A"))</f>
        <v>B</v>
      </c>
      <c r="I186" s="48" t="str">
        <f>VLOOKUP(H186,$L$2:$M$4,2,FALSE)</f>
        <v>The Commissioner &amp; Chief Constable are satisfied the spend represents VFM in accordance with the requirements of Category B</v>
      </c>
      <c r="L186" s="41"/>
      <c r="M186" s="41"/>
    </row>
    <row r="187" spans="1:13" s="42" customFormat="1" x14ac:dyDescent="0.2">
      <c r="A187" s="56" t="s">
        <v>8</v>
      </c>
      <c r="B187" s="55" t="s">
        <v>9</v>
      </c>
      <c r="C187" s="81" t="s">
        <v>448</v>
      </c>
      <c r="D187" s="53">
        <v>7180569</v>
      </c>
      <c r="E187" s="52">
        <v>45643</v>
      </c>
      <c r="F187" s="80">
        <v>3325</v>
      </c>
      <c r="G187" s="79" t="s">
        <v>27</v>
      </c>
      <c r="H187" s="49" t="str">
        <f>IF(F187&gt;25000,"C",IF(F187&gt;1000,"B","A"))</f>
        <v>B</v>
      </c>
      <c r="I187" s="48" t="str">
        <f>VLOOKUP(H187,$L$2:$M$4,2,FALSE)</f>
        <v>The Commissioner &amp; Chief Constable are satisfied the spend represents VFM in accordance with the requirements of Category B</v>
      </c>
      <c r="L187" s="41"/>
      <c r="M187" s="41"/>
    </row>
    <row r="188" spans="1:13" s="42" customFormat="1" x14ac:dyDescent="0.2">
      <c r="A188" s="56" t="s">
        <v>8</v>
      </c>
      <c r="B188" s="55" t="s">
        <v>9</v>
      </c>
      <c r="C188" s="81" t="s">
        <v>193</v>
      </c>
      <c r="D188" s="53">
        <v>7180302</v>
      </c>
      <c r="E188" s="52">
        <v>45636</v>
      </c>
      <c r="F188" s="80">
        <v>3321</v>
      </c>
      <c r="G188" s="79" t="s">
        <v>194</v>
      </c>
      <c r="H188" s="49" t="str">
        <f>IF(F188&gt;25000,"C",IF(F188&gt;1000,"B","A"))</f>
        <v>B</v>
      </c>
      <c r="I188" s="48" t="str">
        <f>VLOOKUP(H188,$L$2:$M$4,2,FALSE)</f>
        <v>The Commissioner &amp; Chief Constable are satisfied the spend represents VFM in accordance with the requirements of Category B</v>
      </c>
      <c r="L188" s="41"/>
      <c r="M188" s="41"/>
    </row>
    <row r="189" spans="1:13" s="42" customFormat="1" x14ac:dyDescent="0.2">
      <c r="A189" s="56" t="s">
        <v>8</v>
      </c>
      <c r="B189" s="55" t="s">
        <v>9</v>
      </c>
      <c r="C189" s="81" t="s">
        <v>193</v>
      </c>
      <c r="D189" s="53">
        <v>7180291</v>
      </c>
      <c r="E189" s="52">
        <v>45636</v>
      </c>
      <c r="F189" s="80">
        <v>3321</v>
      </c>
      <c r="G189" s="79" t="s">
        <v>194</v>
      </c>
      <c r="H189" s="49" t="str">
        <f>IF(F189&gt;25000,"C",IF(F189&gt;1000,"B","A"))</f>
        <v>B</v>
      </c>
      <c r="I189" s="48" t="str">
        <f>VLOOKUP(H189,$L$2:$M$4,2,FALSE)</f>
        <v>The Commissioner &amp; Chief Constable are satisfied the spend represents VFM in accordance with the requirements of Category B</v>
      </c>
      <c r="L189" s="41"/>
      <c r="M189" s="41"/>
    </row>
    <row r="190" spans="1:13" s="42" customFormat="1" x14ac:dyDescent="0.2">
      <c r="A190" s="56" t="s">
        <v>8</v>
      </c>
      <c r="B190" s="55" t="s">
        <v>9</v>
      </c>
      <c r="C190" s="81" t="s">
        <v>193</v>
      </c>
      <c r="D190" s="53">
        <v>7180289</v>
      </c>
      <c r="E190" s="52">
        <v>45636</v>
      </c>
      <c r="F190" s="80">
        <v>3321</v>
      </c>
      <c r="G190" s="79" t="s">
        <v>194</v>
      </c>
      <c r="H190" s="49" t="str">
        <f>IF(F190&gt;25000,"C",IF(F190&gt;1000,"B","A"))</f>
        <v>B</v>
      </c>
      <c r="I190" s="48" t="str">
        <f>VLOOKUP(H190,$L$2:$M$4,2,FALSE)</f>
        <v>The Commissioner &amp; Chief Constable are satisfied the spend represents VFM in accordance with the requirements of Category B</v>
      </c>
      <c r="L190" s="41"/>
      <c r="M190" s="41"/>
    </row>
    <row r="191" spans="1:13" s="42" customFormat="1" x14ac:dyDescent="0.2">
      <c r="A191" s="56" t="s">
        <v>8</v>
      </c>
      <c r="B191" s="55" t="s">
        <v>9</v>
      </c>
      <c r="C191" s="81" t="s">
        <v>193</v>
      </c>
      <c r="D191" s="53">
        <v>7180264</v>
      </c>
      <c r="E191" s="52">
        <v>45636</v>
      </c>
      <c r="F191" s="80">
        <v>3321</v>
      </c>
      <c r="G191" s="79" t="s">
        <v>194</v>
      </c>
      <c r="H191" s="49" t="str">
        <f>IF(F191&gt;25000,"C",IF(F191&gt;1000,"B","A"))</f>
        <v>B</v>
      </c>
      <c r="I191" s="48" t="str">
        <f>VLOOKUP(H191,$L$2:$M$4,2,FALSE)</f>
        <v>The Commissioner &amp; Chief Constable are satisfied the spend represents VFM in accordance with the requirements of Category B</v>
      </c>
      <c r="L191" s="41"/>
      <c r="M191" s="41"/>
    </row>
    <row r="192" spans="1:13" s="42" customFormat="1" x14ac:dyDescent="0.2">
      <c r="A192" s="56" t="s">
        <v>8</v>
      </c>
      <c r="B192" s="55" t="s">
        <v>9</v>
      </c>
      <c r="C192" s="81" t="s">
        <v>234</v>
      </c>
      <c r="D192" s="53">
        <v>7179795</v>
      </c>
      <c r="E192" s="52">
        <v>45628</v>
      </c>
      <c r="F192" s="80">
        <v>3292</v>
      </c>
      <c r="G192" s="79" t="s">
        <v>42</v>
      </c>
      <c r="H192" s="49" t="str">
        <f>IF(F192&gt;25000,"C",IF(F192&gt;1000,"B","A"))</f>
        <v>B</v>
      </c>
      <c r="I192" s="48" t="str">
        <f>VLOOKUP(H192,$L$2:$M$4,2,FALSE)</f>
        <v>The Commissioner &amp; Chief Constable are satisfied the spend represents VFM in accordance with the requirements of Category B</v>
      </c>
      <c r="L192" s="41"/>
      <c r="M192" s="41"/>
    </row>
    <row r="193" spans="1:13" s="42" customFormat="1" x14ac:dyDescent="0.2">
      <c r="A193" s="56" t="s">
        <v>8</v>
      </c>
      <c r="B193" s="55" t="s">
        <v>9</v>
      </c>
      <c r="C193" s="81" t="s">
        <v>153</v>
      </c>
      <c r="D193" s="53">
        <v>7180349</v>
      </c>
      <c r="E193" s="52">
        <v>45645</v>
      </c>
      <c r="F193" s="80">
        <v>3283.16</v>
      </c>
      <c r="G193" s="79" t="s">
        <v>39</v>
      </c>
      <c r="H193" s="49" t="str">
        <f>IF(F193&gt;25000,"C",IF(F193&gt;1000,"B","A"))</f>
        <v>B</v>
      </c>
      <c r="I193" s="48" t="str">
        <f>VLOOKUP(H193,$L$2:$M$4,2,FALSE)</f>
        <v>The Commissioner &amp; Chief Constable are satisfied the spend represents VFM in accordance with the requirements of Category B</v>
      </c>
      <c r="L193" s="41"/>
      <c r="M193" s="41"/>
    </row>
    <row r="194" spans="1:13" s="42" customFormat="1" x14ac:dyDescent="0.2">
      <c r="A194" s="56" t="s">
        <v>8</v>
      </c>
      <c r="B194" s="55" t="s">
        <v>9</v>
      </c>
      <c r="C194" s="81" t="s">
        <v>968</v>
      </c>
      <c r="D194" s="53">
        <v>7179704</v>
      </c>
      <c r="E194" s="52">
        <v>45628</v>
      </c>
      <c r="F194" s="80">
        <v>3279</v>
      </c>
      <c r="G194" s="79" t="s">
        <v>131</v>
      </c>
      <c r="H194" s="49" t="str">
        <f>IF(F194&gt;25000,"C",IF(F194&gt;1000,"B","A"))</f>
        <v>B</v>
      </c>
      <c r="I194" s="48" t="str">
        <f>VLOOKUP(H194,$L$2:$M$4,2,FALSE)</f>
        <v>The Commissioner &amp; Chief Constable are satisfied the spend represents VFM in accordance with the requirements of Category B</v>
      </c>
      <c r="L194" s="41"/>
      <c r="M194" s="41"/>
    </row>
    <row r="195" spans="1:13" s="42" customFormat="1" x14ac:dyDescent="0.2">
      <c r="A195" s="56" t="s">
        <v>8</v>
      </c>
      <c r="B195" s="55" t="s">
        <v>9</v>
      </c>
      <c r="C195" s="81" t="s">
        <v>207</v>
      </c>
      <c r="D195" s="53">
        <v>7180041</v>
      </c>
      <c r="E195" s="52">
        <v>45636</v>
      </c>
      <c r="F195" s="80">
        <v>3272.66</v>
      </c>
      <c r="G195" s="79" t="s">
        <v>114</v>
      </c>
      <c r="H195" s="49" t="str">
        <f>IF(F195&gt;25000,"C",IF(F195&gt;1000,"B","A"))</f>
        <v>B</v>
      </c>
      <c r="I195" s="48" t="str">
        <f>VLOOKUP(H195,$L$2:$M$4,2,FALSE)</f>
        <v>The Commissioner &amp; Chief Constable are satisfied the spend represents VFM in accordance with the requirements of Category B</v>
      </c>
      <c r="L195" s="41"/>
      <c r="M195" s="41"/>
    </row>
    <row r="196" spans="1:13" s="42" customFormat="1" x14ac:dyDescent="0.2">
      <c r="A196" s="56" t="s">
        <v>8</v>
      </c>
      <c r="B196" s="55" t="s">
        <v>9</v>
      </c>
      <c r="C196" s="81" t="s">
        <v>276</v>
      </c>
      <c r="D196" s="53">
        <v>7180109</v>
      </c>
      <c r="E196" s="52">
        <v>45645</v>
      </c>
      <c r="F196" s="80">
        <v>3191.9</v>
      </c>
      <c r="G196" s="79" t="s">
        <v>40</v>
      </c>
      <c r="H196" s="49" t="str">
        <f>IF(F196&gt;25000,"C",IF(F196&gt;1000,"B","A"))</f>
        <v>B</v>
      </c>
      <c r="I196" s="48" t="str">
        <f>VLOOKUP(H196,$L$2:$M$4,2,FALSE)</f>
        <v>The Commissioner &amp; Chief Constable are satisfied the spend represents VFM in accordance with the requirements of Category B</v>
      </c>
      <c r="L196" s="41"/>
      <c r="M196" s="41"/>
    </row>
    <row r="197" spans="1:13" s="42" customFormat="1" x14ac:dyDescent="0.2">
      <c r="A197" s="56" t="s">
        <v>8</v>
      </c>
      <c r="B197" s="55" t="s">
        <v>9</v>
      </c>
      <c r="C197" s="81" t="s">
        <v>369</v>
      </c>
      <c r="D197" s="53">
        <v>7180260</v>
      </c>
      <c r="E197" s="52">
        <v>45636</v>
      </c>
      <c r="F197" s="80">
        <v>3020</v>
      </c>
      <c r="G197" s="79" t="s">
        <v>39</v>
      </c>
      <c r="H197" s="49" t="str">
        <f>IF(F197&gt;25000,"C",IF(F197&gt;1000,"B","A"))</f>
        <v>B</v>
      </c>
      <c r="I197" s="48" t="str">
        <f>VLOOKUP(H197,$L$2:$M$4,2,FALSE)</f>
        <v>The Commissioner &amp; Chief Constable are satisfied the spend represents VFM in accordance with the requirements of Category B</v>
      </c>
      <c r="L197" s="41"/>
      <c r="M197" s="41"/>
    </row>
    <row r="198" spans="1:13" s="42" customFormat="1" x14ac:dyDescent="0.2">
      <c r="A198" s="56" t="s">
        <v>8</v>
      </c>
      <c r="B198" s="55" t="s">
        <v>9</v>
      </c>
      <c r="C198" s="81" t="s">
        <v>90</v>
      </c>
      <c r="D198" s="53">
        <v>7180654</v>
      </c>
      <c r="E198" s="52">
        <v>45649</v>
      </c>
      <c r="F198" s="80">
        <v>3014.4</v>
      </c>
      <c r="G198" s="79" t="s">
        <v>91</v>
      </c>
      <c r="H198" s="49" t="str">
        <f>IF(F198&gt;25000,"C",IF(F198&gt;1000,"B","A"))</f>
        <v>B</v>
      </c>
      <c r="I198" s="48" t="str">
        <f>VLOOKUP(H198,$L$2:$M$4,2,FALSE)</f>
        <v>The Commissioner &amp; Chief Constable are satisfied the spend represents VFM in accordance with the requirements of Category B</v>
      </c>
      <c r="L198" s="41"/>
      <c r="M198" s="41"/>
    </row>
    <row r="199" spans="1:13" s="42" customFormat="1" x14ac:dyDescent="0.2">
      <c r="A199" s="56" t="s">
        <v>8</v>
      </c>
      <c r="B199" s="55" t="s">
        <v>9</v>
      </c>
      <c r="C199" s="81" t="s">
        <v>1005</v>
      </c>
      <c r="D199" s="53">
        <v>7179825</v>
      </c>
      <c r="E199" s="52">
        <v>45639</v>
      </c>
      <c r="F199" s="80">
        <v>3000</v>
      </c>
      <c r="G199" s="79" t="s">
        <v>27</v>
      </c>
      <c r="H199" s="49" t="str">
        <f>IF(F199&gt;25000,"C",IF(F199&gt;1000,"B","A"))</f>
        <v>B</v>
      </c>
      <c r="I199" s="48" t="str">
        <f>VLOOKUP(H199,$L$2:$M$4,2,FALSE)</f>
        <v>The Commissioner &amp; Chief Constable are satisfied the spend represents VFM in accordance with the requirements of Category B</v>
      </c>
      <c r="L199" s="41"/>
      <c r="M199" s="41"/>
    </row>
    <row r="200" spans="1:13" s="42" customFormat="1" x14ac:dyDescent="0.2">
      <c r="A200" s="56" t="s">
        <v>8</v>
      </c>
      <c r="B200" s="55" t="s">
        <v>9</v>
      </c>
      <c r="C200" s="81" t="s">
        <v>90</v>
      </c>
      <c r="D200" s="53">
        <v>7180651</v>
      </c>
      <c r="E200" s="52">
        <v>45649</v>
      </c>
      <c r="F200" s="80">
        <v>2977.36</v>
      </c>
      <c r="G200" s="79" t="s">
        <v>91</v>
      </c>
      <c r="H200" s="49" t="str">
        <f>IF(F200&gt;25000,"C",IF(F200&gt;1000,"B","A"))</f>
        <v>B</v>
      </c>
      <c r="I200" s="48" t="str">
        <f>VLOOKUP(H200,$L$2:$M$4,2,FALSE)</f>
        <v>The Commissioner &amp; Chief Constable are satisfied the spend represents VFM in accordance with the requirements of Category B</v>
      </c>
      <c r="L200" s="41"/>
      <c r="M200" s="41"/>
    </row>
    <row r="201" spans="1:13" s="42" customFormat="1" x14ac:dyDescent="0.2">
      <c r="A201" s="56" t="s">
        <v>8</v>
      </c>
      <c r="B201" s="55" t="s">
        <v>9</v>
      </c>
      <c r="C201" s="81" t="s">
        <v>172</v>
      </c>
      <c r="D201" s="53">
        <v>7180209</v>
      </c>
      <c r="E201" s="52">
        <v>45636</v>
      </c>
      <c r="F201" s="80">
        <v>2941.66</v>
      </c>
      <c r="G201" s="79" t="s">
        <v>112</v>
      </c>
      <c r="H201" s="49" t="str">
        <f>IF(F201&gt;25000,"C",IF(F201&gt;1000,"B","A"))</f>
        <v>B</v>
      </c>
      <c r="I201" s="48" t="str">
        <f>VLOOKUP(H201,$L$2:$M$4,2,FALSE)</f>
        <v>The Commissioner &amp; Chief Constable are satisfied the spend represents VFM in accordance with the requirements of Category B</v>
      </c>
      <c r="L201" s="41"/>
      <c r="M201" s="41"/>
    </row>
    <row r="202" spans="1:13" s="42" customFormat="1" x14ac:dyDescent="0.2">
      <c r="A202" s="56" t="s">
        <v>8</v>
      </c>
      <c r="B202" s="55" t="s">
        <v>9</v>
      </c>
      <c r="C202" s="81" t="s">
        <v>30</v>
      </c>
      <c r="D202" s="53">
        <v>7179982</v>
      </c>
      <c r="E202" s="52">
        <v>45629</v>
      </c>
      <c r="F202" s="80">
        <v>2891.1</v>
      </c>
      <c r="G202" s="79" t="s">
        <v>31</v>
      </c>
      <c r="H202" s="49" t="str">
        <f>IF(F202&gt;25000,"C",IF(F202&gt;1000,"B","A"))</f>
        <v>B</v>
      </c>
      <c r="I202" s="48" t="str">
        <f>VLOOKUP(H202,$L$2:$M$4,2,FALSE)</f>
        <v>The Commissioner &amp; Chief Constable are satisfied the spend represents VFM in accordance with the requirements of Category B</v>
      </c>
      <c r="L202" s="41"/>
      <c r="M202" s="41"/>
    </row>
    <row r="203" spans="1:13" s="42" customFormat="1" x14ac:dyDescent="0.2">
      <c r="A203" s="56" t="s">
        <v>8</v>
      </c>
      <c r="B203" s="55" t="s">
        <v>9</v>
      </c>
      <c r="C203" s="81" t="s">
        <v>30</v>
      </c>
      <c r="D203" s="53">
        <v>7179982</v>
      </c>
      <c r="E203" s="52">
        <v>45629</v>
      </c>
      <c r="F203" s="80">
        <v>7.17</v>
      </c>
      <c r="G203" s="79" t="s">
        <v>32</v>
      </c>
      <c r="H203" s="49" t="str">
        <f>IF(F203&gt;25000,"C",IF(F203&gt;1000,"B","A"))</f>
        <v>A</v>
      </c>
      <c r="I203" s="48" t="str">
        <f>VLOOKUP(H203,$L$2:$M$4,2,FALSE)</f>
        <v>The Commissioner &amp; Chief Constable are satisfied the spend represents VFM in accordance with the requirements of Category A</v>
      </c>
      <c r="L203" s="41"/>
      <c r="M203" s="41"/>
    </row>
    <row r="204" spans="1:13" s="42" customFormat="1" x14ac:dyDescent="0.2">
      <c r="A204" s="56" t="s">
        <v>8</v>
      </c>
      <c r="B204" s="55" t="s">
        <v>9</v>
      </c>
      <c r="C204" s="81" t="s">
        <v>420</v>
      </c>
      <c r="D204" s="53">
        <v>7179341</v>
      </c>
      <c r="E204" s="52">
        <v>45638</v>
      </c>
      <c r="F204" s="80">
        <v>2854</v>
      </c>
      <c r="G204" s="79" t="s">
        <v>106</v>
      </c>
      <c r="H204" s="49" t="str">
        <f>IF(F204&gt;25000,"C",IF(F204&gt;1000,"B","A"))</f>
        <v>B</v>
      </c>
      <c r="I204" s="48" t="str">
        <f>VLOOKUP(H204,$L$2:$M$4,2,FALSE)</f>
        <v>The Commissioner &amp; Chief Constable are satisfied the spend represents VFM in accordance with the requirements of Category B</v>
      </c>
      <c r="L204" s="41"/>
      <c r="M204" s="41"/>
    </row>
    <row r="205" spans="1:13" s="42" customFormat="1" x14ac:dyDescent="0.2">
      <c r="A205" s="56" t="s">
        <v>8</v>
      </c>
      <c r="B205" s="55" t="s">
        <v>9</v>
      </c>
      <c r="C205" s="81" t="s">
        <v>111</v>
      </c>
      <c r="D205" s="53">
        <v>7180646</v>
      </c>
      <c r="E205" s="52">
        <v>45649</v>
      </c>
      <c r="F205" s="80">
        <v>2850</v>
      </c>
      <c r="G205" s="79" t="s">
        <v>106</v>
      </c>
      <c r="H205" s="49" t="str">
        <f>IF(F205&gt;25000,"C",IF(F205&gt;1000,"B","A"))</f>
        <v>B</v>
      </c>
      <c r="I205" s="48" t="str">
        <f>VLOOKUP(H205,$L$2:$M$4,2,FALSE)</f>
        <v>The Commissioner &amp; Chief Constable are satisfied the spend represents VFM in accordance with the requirements of Category B</v>
      </c>
      <c r="L205" s="41"/>
      <c r="M205" s="41"/>
    </row>
    <row r="206" spans="1:13" s="42" customFormat="1" x14ac:dyDescent="0.2">
      <c r="A206" s="56" t="s">
        <v>8</v>
      </c>
      <c r="B206" s="55" t="s">
        <v>9</v>
      </c>
      <c r="C206" s="81" t="s">
        <v>135</v>
      </c>
      <c r="D206" s="53">
        <v>7180195</v>
      </c>
      <c r="E206" s="52">
        <v>45642</v>
      </c>
      <c r="F206" s="80">
        <v>2844.2</v>
      </c>
      <c r="G206" s="79" t="s">
        <v>40</v>
      </c>
      <c r="H206" s="49" t="str">
        <f>IF(F206&gt;25000,"C",IF(F206&gt;1000,"B","A"))</f>
        <v>B</v>
      </c>
      <c r="I206" s="48" t="str">
        <f>VLOOKUP(H206,$L$2:$M$4,2,FALSE)</f>
        <v>The Commissioner &amp; Chief Constable are satisfied the spend represents VFM in accordance with the requirements of Category B</v>
      </c>
      <c r="L206" s="41"/>
      <c r="M206" s="41"/>
    </row>
    <row r="207" spans="1:13" s="42" customFormat="1" x14ac:dyDescent="0.2">
      <c r="A207" s="56" t="s">
        <v>8</v>
      </c>
      <c r="B207" s="55" t="s">
        <v>9</v>
      </c>
      <c r="C207" s="81" t="s">
        <v>706</v>
      </c>
      <c r="D207" s="53">
        <v>7180715</v>
      </c>
      <c r="E207" s="52">
        <v>45649</v>
      </c>
      <c r="F207" s="80">
        <v>2840.62</v>
      </c>
      <c r="G207" s="79" t="s">
        <v>574</v>
      </c>
      <c r="H207" s="49" t="str">
        <f>IF(F207&gt;25000,"C",IF(F207&gt;1000,"B","A"))</f>
        <v>B</v>
      </c>
      <c r="I207" s="48" t="str">
        <f>VLOOKUP(H207,$L$2:$M$4,2,FALSE)</f>
        <v>The Commissioner &amp; Chief Constable are satisfied the spend represents VFM in accordance with the requirements of Category B</v>
      </c>
      <c r="L207" s="41"/>
      <c r="M207" s="41"/>
    </row>
    <row r="208" spans="1:13" s="42" customFormat="1" x14ac:dyDescent="0.2">
      <c r="A208" s="56" t="s">
        <v>8</v>
      </c>
      <c r="B208" s="55" t="s">
        <v>9</v>
      </c>
      <c r="C208" s="81" t="s">
        <v>706</v>
      </c>
      <c r="D208" s="53">
        <v>7180699</v>
      </c>
      <c r="E208" s="52">
        <v>45649</v>
      </c>
      <c r="F208" s="83">
        <v>2840.62</v>
      </c>
      <c r="G208" s="79" t="s">
        <v>574</v>
      </c>
      <c r="H208" s="49" t="str">
        <f>IF(F208&gt;25000,"C",IF(F208&gt;1000,"B","A"))</f>
        <v>B</v>
      </c>
      <c r="I208" s="48" t="str">
        <f>VLOOKUP(H208,$L$2:$M$4,2,FALSE)</f>
        <v>The Commissioner &amp; Chief Constable are satisfied the spend represents VFM in accordance with the requirements of Category B</v>
      </c>
      <c r="L208" s="41"/>
      <c r="M208" s="41"/>
    </row>
    <row r="209" spans="1:13" s="42" customFormat="1" x14ac:dyDescent="0.2">
      <c r="A209" s="56" t="s">
        <v>8</v>
      </c>
      <c r="B209" s="55" t="s">
        <v>9</v>
      </c>
      <c r="C209" s="81" t="s">
        <v>706</v>
      </c>
      <c r="D209" s="53">
        <v>7180684</v>
      </c>
      <c r="E209" s="52">
        <v>45649</v>
      </c>
      <c r="F209" s="80">
        <v>2840.62</v>
      </c>
      <c r="G209" s="79" t="s">
        <v>574</v>
      </c>
      <c r="H209" s="49" t="str">
        <f>IF(F209&gt;25000,"C",IF(F209&gt;1000,"B","A"))</f>
        <v>B</v>
      </c>
      <c r="I209" s="48" t="str">
        <f>VLOOKUP(H209,$L$2:$M$4,2,FALSE)</f>
        <v>The Commissioner &amp; Chief Constable are satisfied the spend represents VFM in accordance with the requirements of Category B</v>
      </c>
      <c r="L209" s="41"/>
      <c r="M209" s="41"/>
    </row>
    <row r="210" spans="1:13" s="42" customFormat="1" x14ac:dyDescent="0.2">
      <c r="A210" s="56" t="s">
        <v>8</v>
      </c>
      <c r="B210" s="55" t="s">
        <v>9</v>
      </c>
      <c r="C210" s="81" t="s">
        <v>1004</v>
      </c>
      <c r="D210" s="53">
        <v>7179779</v>
      </c>
      <c r="E210" s="52">
        <v>45630</v>
      </c>
      <c r="F210" s="80">
        <v>2800</v>
      </c>
      <c r="G210" s="79" t="s">
        <v>22</v>
      </c>
      <c r="H210" s="49" t="str">
        <f>IF(F210&gt;25000,"C",IF(F210&gt;1000,"B","A"))</f>
        <v>B</v>
      </c>
      <c r="I210" s="48" t="str">
        <f>VLOOKUP(H210,$L$2:$M$4,2,FALSE)</f>
        <v>The Commissioner &amp; Chief Constable are satisfied the spend represents VFM in accordance with the requirements of Category B</v>
      </c>
      <c r="L210" s="41"/>
      <c r="M210" s="41"/>
    </row>
    <row r="211" spans="1:13" s="42" customFormat="1" x14ac:dyDescent="0.2">
      <c r="A211" s="56" t="s">
        <v>8</v>
      </c>
      <c r="B211" s="55" t="s">
        <v>9</v>
      </c>
      <c r="C211" s="81" t="s">
        <v>1004</v>
      </c>
      <c r="D211" s="53">
        <v>7179351</v>
      </c>
      <c r="E211" s="52">
        <v>45630</v>
      </c>
      <c r="F211" s="80">
        <v>2800</v>
      </c>
      <c r="G211" s="79" t="s">
        <v>22</v>
      </c>
      <c r="H211" s="49" t="str">
        <f>IF(F211&gt;25000,"C",IF(F211&gt;1000,"B","A"))</f>
        <v>B</v>
      </c>
      <c r="I211" s="48" t="str">
        <f>VLOOKUP(H211,$L$2:$M$4,2,FALSE)</f>
        <v>The Commissioner &amp; Chief Constable are satisfied the spend represents VFM in accordance with the requirements of Category B</v>
      </c>
      <c r="L211" s="41"/>
      <c r="M211" s="41"/>
    </row>
    <row r="212" spans="1:13" s="42" customFormat="1" x14ac:dyDescent="0.2">
      <c r="A212" s="56" t="s">
        <v>8</v>
      </c>
      <c r="B212" s="55" t="s">
        <v>9</v>
      </c>
      <c r="C212" s="81" t="s">
        <v>1003</v>
      </c>
      <c r="D212" s="53">
        <v>7180051</v>
      </c>
      <c r="E212" s="52">
        <v>45645</v>
      </c>
      <c r="F212" s="80">
        <v>2742</v>
      </c>
      <c r="G212" s="79" t="s">
        <v>131</v>
      </c>
      <c r="H212" s="49" t="str">
        <f>IF(F212&gt;25000,"C",IF(F212&gt;1000,"B","A"))</f>
        <v>B</v>
      </c>
      <c r="I212" s="48" t="str">
        <f>VLOOKUP(H212,$L$2:$M$4,2,FALSE)</f>
        <v>The Commissioner &amp; Chief Constable are satisfied the spend represents VFM in accordance with the requirements of Category B</v>
      </c>
      <c r="L212" s="41"/>
      <c r="M212" s="41"/>
    </row>
    <row r="213" spans="1:13" s="42" customFormat="1" x14ac:dyDescent="0.2">
      <c r="A213" s="56" t="s">
        <v>8</v>
      </c>
      <c r="B213" s="55" t="s">
        <v>9</v>
      </c>
      <c r="C213" s="81" t="s">
        <v>195</v>
      </c>
      <c r="D213" s="53">
        <v>7180027</v>
      </c>
      <c r="E213" s="52">
        <v>45638</v>
      </c>
      <c r="F213" s="80">
        <v>2670</v>
      </c>
      <c r="G213" s="79" t="s">
        <v>22</v>
      </c>
      <c r="H213" s="49" t="str">
        <f>IF(F213&gt;25000,"C",IF(F213&gt;1000,"B","A"))</f>
        <v>B</v>
      </c>
      <c r="I213" s="48" t="str">
        <f>VLOOKUP(H213,$L$2:$M$4,2,FALSE)</f>
        <v>The Commissioner &amp; Chief Constable are satisfied the spend represents VFM in accordance with the requirements of Category B</v>
      </c>
      <c r="L213" s="41"/>
      <c r="M213" s="41"/>
    </row>
    <row r="214" spans="1:13" s="42" customFormat="1" x14ac:dyDescent="0.2">
      <c r="A214" s="56" t="s">
        <v>8</v>
      </c>
      <c r="B214" s="55" t="s">
        <v>9</v>
      </c>
      <c r="C214" s="81" t="s">
        <v>545</v>
      </c>
      <c r="D214" s="53">
        <v>7180012</v>
      </c>
      <c r="E214" s="52">
        <v>45629</v>
      </c>
      <c r="F214" s="80">
        <v>2650</v>
      </c>
      <c r="G214" s="79" t="s">
        <v>22</v>
      </c>
      <c r="H214" s="49" t="str">
        <f>IF(F214&gt;25000,"C",IF(F214&gt;1000,"B","A"))</f>
        <v>B</v>
      </c>
      <c r="I214" s="48" t="str">
        <f>VLOOKUP(H214,$L$2:$M$4,2,FALSE)</f>
        <v>The Commissioner &amp; Chief Constable are satisfied the spend represents VFM in accordance with the requirements of Category B</v>
      </c>
      <c r="L214" s="41"/>
      <c r="M214" s="41"/>
    </row>
    <row r="215" spans="1:13" s="42" customFormat="1" x14ac:dyDescent="0.2">
      <c r="A215" s="56" t="s">
        <v>8</v>
      </c>
      <c r="B215" s="55" t="s">
        <v>9</v>
      </c>
      <c r="C215" s="81" t="s">
        <v>213</v>
      </c>
      <c r="D215" s="53">
        <v>7180046</v>
      </c>
      <c r="E215" s="52">
        <v>45642</v>
      </c>
      <c r="F215" s="80">
        <v>2631</v>
      </c>
      <c r="G215" s="79" t="s">
        <v>131</v>
      </c>
      <c r="H215" s="49" t="str">
        <f>IF(F215&gt;25000,"C",IF(F215&gt;1000,"B","A"))</f>
        <v>B</v>
      </c>
      <c r="I215" s="48" t="str">
        <f>VLOOKUP(H215,$L$2:$M$4,2,FALSE)</f>
        <v>The Commissioner &amp; Chief Constable are satisfied the spend represents VFM in accordance with the requirements of Category B</v>
      </c>
      <c r="L215" s="41"/>
      <c r="M215" s="41"/>
    </row>
    <row r="216" spans="1:13" s="42" customFormat="1" x14ac:dyDescent="0.2">
      <c r="A216" s="56" t="s">
        <v>8</v>
      </c>
      <c r="B216" s="55" t="s">
        <v>9</v>
      </c>
      <c r="C216" s="81" t="s">
        <v>369</v>
      </c>
      <c r="D216" s="53">
        <v>7180414</v>
      </c>
      <c r="E216" s="52">
        <v>45645</v>
      </c>
      <c r="F216" s="80">
        <v>2550</v>
      </c>
      <c r="G216" s="79" t="s">
        <v>112</v>
      </c>
      <c r="H216" s="49" t="str">
        <f>IF(F216&gt;25000,"C",IF(F216&gt;1000,"B","A"))</f>
        <v>B</v>
      </c>
      <c r="I216" s="48" t="str">
        <f>VLOOKUP(H216,$L$2:$M$4,2,FALSE)</f>
        <v>The Commissioner &amp; Chief Constable are satisfied the spend represents VFM in accordance with the requirements of Category B</v>
      </c>
      <c r="L216" s="41"/>
      <c r="M216" s="41"/>
    </row>
    <row r="217" spans="1:13" s="42" customFormat="1" x14ac:dyDescent="0.2">
      <c r="A217" s="56" t="s">
        <v>8</v>
      </c>
      <c r="B217" s="55" t="s">
        <v>9</v>
      </c>
      <c r="C217" s="81" t="s">
        <v>93</v>
      </c>
      <c r="D217" s="53">
        <v>7180449</v>
      </c>
      <c r="E217" s="52">
        <v>45645</v>
      </c>
      <c r="F217" s="80">
        <v>2530.6</v>
      </c>
      <c r="G217" s="79" t="s">
        <v>94</v>
      </c>
      <c r="H217" s="49" t="str">
        <f>IF(F217&gt;25000,"C",IF(F217&gt;1000,"B","A"))</f>
        <v>B</v>
      </c>
      <c r="I217" s="48" t="str">
        <f>VLOOKUP(H217,$L$2:$M$4,2,FALSE)</f>
        <v>The Commissioner &amp; Chief Constable are satisfied the spend represents VFM in accordance with the requirements of Category B</v>
      </c>
      <c r="L217" s="41"/>
      <c r="M217" s="41"/>
    </row>
    <row r="218" spans="1:13" s="42" customFormat="1" x14ac:dyDescent="0.2">
      <c r="A218" s="56" t="s">
        <v>8</v>
      </c>
      <c r="B218" s="55" t="s">
        <v>9</v>
      </c>
      <c r="C218" s="81" t="s">
        <v>208</v>
      </c>
      <c r="D218" s="53">
        <v>7180296</v>
      </c>
      <c r="E218" s="52">
        <v>45643</v>
      </c>
      <c r="F218" s="80">
        <v>2510.02</v>
      </c>
      <c r="G218" s="79" t="s">
        <v>209</v>
      </c>
      <c r="H218" s="49" t="str">
        <f>IF(F218&gt;25000,"C",IF(F218&gt;1000,"B","A"))</f>
        <v>B</v>
      </c>
      <c r="I218" s="48" t="str">
        <f>VLOOKUP(H218,$L$2:$M$4,2,FALSE)</f>
        <v>The Commissioner &amp; Chief Constable are satisfied the spend represents VFM in accordance with the requirements of Category B</v>
      </c>
      <c r="L218" s="41"/>
      <c r="M218" s="41"/>
    </row>
    <row r="219" spans="1:13" s="42" customFormat="1" x14ac:dyDescent="0.2">
      <c r="A219" s="56" t="s">
        <v>8</v>
      </c>
      <c r="B219" s="55" t="s">
        <v>9</v>
      </c>
      <c r="C219" s="81" t="s">
        <v>439</v>
      </c>
      <c r="D219" s="53">
        <v>7180500</v>
      </c>
      <c r="E219" s="52">
        <v>45645</v>
      </c>
      <c r="F219" s="80">
        <v>2500</v>
      </c>
      <c r="G219" s="79" t="s">
        <v>27</v>
      </c>
      <c r="H219" s="49" t="str">
        <f>IF(F219&gt;25000,"C",IF(F219&gt;1000,"B","A"))</f>
        <v>B</v>
      </c>
      <c r="I219" s="48" t="str">
        <f>VLOOKUP(H219,$L$2:$M$4,2,FALSE)</f>
        <v>The Commissioner &amp; Chief Constable are satisfied the spend represents VFM in accordance with the requirements of Category B</v>
      </c>
      <c r="L219" s="41"/>
      <c r="M219" s="41"/>
    </row>
    <row r="220" spans="1:13" s="42" customFormat="1" x14ac:dyDescent="0.2">
      <c r="A220" s="56" t="s">
        <v>8</v>
      </c>
      <c r="B220" s="55" t="s">
        <v>9</v>
      </c>
      <c r="C220" s="81" t="s">
        <v>548</v>
      </c>
      <c r="D220" s="53">
        <v>7180573</v>
      </c>
      <c r="E220" s="52">
        <v>45645</v>
      </c>
      <c r="F220" s="80">
        <v>2500</v>
      </c>
      <c r="G220" s="79" t="s">
        <v>27</v>
      </c>
      <c r="H220" s="49" t="str">
        <f>IF(F220&gt;25000,"C",IF(F220&gt;1000,"B","A"))</f>
        <v>B</v>
      </c>
      <c r="I220" s="48" t="str">
        <f>VLOOKUP(H220,$L$2:$M$4,2,FALSE)</f>
        <v>The Commissioner &amp; Chief Constable are satisfied the spend represents VFM in accordance with the requirements of Category B</v>
      </c>
      <c r="L220" s="41"/>
      <c r="M220" s="41"/>
    </row>
    <row r="221" spans="1:13" s="42" customFormat="1" x14ac:dyDescent="0.2">
      <c r="A221" s="56" t="s">
        <v>8</v>
      </c>
      <c r="B221" s="55" t="s">
        <v>9</v>
      </c>
      <c r="C221" s="82" t="s">
        <v>572</v>
      </c>
      <c r="D221" s="53">
        <v>7180182</v>
      </c>
      <c r="E221" s="52">
        <v>45635</v>
      </c>
      <c r="F221" s="80">
        <v>2500</v>
      </c>
      <c r="G221" s="79" t="s">
        <v>22</v>
      </c>
      <c r="H221" s="49" t="str">
        <f>IF(F221&gt;25000,"C",IF(F221&gt;1000,"B","A"))</f>
        <v>B</v>
      </c>
      <c r="I221" s="48" t="str">
        <f>VLOOKUP(H221,$L$2:$M$4,2,FALSE)</f>
        <v>The Commissioner &amp; Chief Constable are satisfied the spend represents VFM in accordance with the requirements of Category B</v>
      </c>
      <c r="L221" s="41"/>
      <c r="M221" s="41"/>
    </row>
    <row r="222" spans="1:13" s="42" customFormat="1" x14ac:dyDescent="0.2">
      <c r="A222" s="56" t="s">
        <v>8</v>
      </c>
      <c r="B222" s="55" t="s">
        <v>9</v>
      </c>
      <c r="C222" s="81" t="s">
        <v>1002</v>
      </c>
      <c r="D222" s="53">
        <v>3068909</v>
      </c>
      <c r="E222" s="52">
        <v>45629</v>
      </c>
      <c r="F222" s="80">
        <v>2430.69</v>
      </c>
      <c r="G222" s="79" t="s">
        <v>80</v>
      </c>
      <c r="H222" s="49" t="str">
        <f>IF(F222&gt;25000,"C",IF(F222&gt;1000,"B","A"))</f>
        <v>B</v>
      </c>
      <c r="I222" s="48" t="str">
        <f>VLOOKUP(H222,$L$2:$M$4,2,FALSE)</f>
        <v>The Commissioner &amp; Chief Constable are satisfied the spend represents VFM in accordance with the requirements of Category B</v>
      </c>
      <c r="L222" s="41"/>
      <c r="M222" s="41"/>
    </row>
    <row r="223" spans="1:13" s="42" customFormat="1" x14ac:dyDescent="0.2">
      <c r="A223" s="56" t="s">
        <v>8</v>
      </c>
      <c r="B223" s="55" t="s">
        <v>9</v>
      </c>
      <c r="C223" s="81" t="s">
        <v>28</v>
      </c>
      <c r="D223" s="53">
        <v>7180501</v>
      </c>
      <c r="E223" s="52">
        <v>45645</v>
      </c>
      <c r="F223" s="80">
        <v>2355.7399999999998</v>
      </c>
      <c r="G223" s="79" t="s">
        <v>27</v>
      </c>
      <c r="H223" s="49" t="str">
        <f>IF(F223&gt;25000,"C",IF(F223&gt;1000,"B","A"))</f>
        <v>B</v>
      </c>
      <c r="I223" s="48" t="str">
        <f>VLOOKUP(H223,$L$2:$M$4,2,FALSE)</f>
        <v>The Commissioner &amp; Chief Constable are satisfied the spend represents VFM in accordance with the requirements of Category B</v>
      </c>
      <c r="L223" s="41"/>
      <c r="M223" s="41"/>
    </row>
    <row r="224" spans="1:13" s="42" customFormat="1" x14ac:dyDescent="0.2">
      <c r="A224" s="56" t="s">
        <v>8</v>
      </c>
      <c r="B224" s="55" t="s">
        <v>9</v>
      </c>
      <c r="C224" s="81" t="s">
        <v>219</v>
      </c>
      <c r="D224" s="53">
        <v>7179926</v>
      </c>
      <c r="E224" s="52">
        <v>45628</v>
      </c>
      <c r="F224" s="80">
        <v>2310.3000000000002</v>
      </c>
      <c r="G224" s="79" t="s">
        <v>220</v>
      </c>
      <c r="H224" s="49" t="str">
        <f>IF(F224&gt;25000,"C",IF(F224&gt;1000,"B","A"))</f>
        <v>B</v>
      </c>
      <c r="I224" s="48" t="str">
        <f>VLOOKUP(H224,$L$2:$M$4,2,FALSE)</f>
        <v>The Commissioner &amp; Chief Constable are satisfied the spend represents VFM in accordance with the requirements of Category B</v>
      </c>
      <c r="L224" s="41"/>
      <c r="M224" s="41"/>
    </row>
    <row r="225" spans="1:13" s="42" customFormat="1" x14ac:dyDescent="0.2">
      <c r="A225" s="56" t="s">
        <v>8</v>
      </c>
      <c r="B225" s="55" t="s">
        <v>9</v>
      </c>
      <c r="C225" s="81" t="s">
        <v>119</v>
      </c>
      <c r="D225" s="53">
        <v>7179766</v>
      </c>
      <c r="E225" s="52">
        <v>45628</v>
      </c>
      <c r="F225" s="80">
        <v>2307.4899999999998</v>
      </c>
      <c r="G225" s="79" t="s">
        <v>120</v>
      </c>
      <c r="H225" s="49" t="str">
        <f>IF(F225&gt;25000,"C",IF(F225&gt;1000,"B","A"))</f>
        <v>B</v>
      </c>
      <c r="I225" s="48" t="str">
        <f>VLOOKUP(H225,$L$2:$M$4,2,FALSE)</f>
        <v>The Commissioner &amp; Chief Constable are satisfied the spend represents VFM in accordance with the requirements of Category B</v>
      </c>
      <c r="L225" s="41"/>
      <c r="M225" s="41"/>
    </row>
    <row r="226" spans="1:13" s="42" customFormat="1" x14ac:dyDescent="0.2">
      <c r="A226" s="56" t="s">
        <v>8</v>
      </c>
      <c r="B226" s="55" t="s">
        <v>9</v>
      </c>
      <c r="C226" s="81" t="s">
        <v>33</v>
      </c>
      <c r="D226" s="53">
        <v>7180519</v>
      </c>
      <c r="E226" s="52">
        <v>45649</v>
      </c>
      <c r="F226" s="80">
        <v>2306.4899999999998</v>
      </c>
      <c r="G226" s="79" t="s">
        <v>58</v>
      </c>
      <c r="H226" s="49" t="str">
        <f>IF(F226&gt;25000,"C",IF(F226&gt;1000,"B","A"))</f>
        <v>B</v>
      </c>
      <c r="I226" s="48" t="str">
        <f>VLOOKUP(H226,$L$2:$M$4,2,FALSE)</f>
        <v>The Commissioner &amp; Chief Constable are satisfied the spend represents VFM in accordance with the requirements of Category B</v>
      </c>
      <c r="L226" s="41"/>
      <c r="M226" s="41"/>
    </row>
    <row r="227" spans="1:13" s="42" customFormat="1" x14ac:dyDescent="0.2">
      <c r="A227" s="56" t="s">
        <v>8</v>
      </c>
      <c r="B227" s="55" t="s">
        <v>9</v>
      </c>
      <c r="C227" s="81" t="s">
        <v>262</v>
      </c>
      <c r="D227" s="53">
        <v>7179996</v>
      </c>
      <c r="E227" s="52">
        <v>45629</v>
      </c>
      <c r="F227" s="80">
        <v>2270.5</v>
      </c>
      <c r="G227" s="79" t="s">
        <v>263</v>
      </c>
      <c r="H227" s="49" t="str">
        <f>IF(F227&gt;25000,"C",IF(F227&gt;1000,"B","A"))</f>
        <v>B</v>
      </c>
      <c r="I227" s="48" t="str">
        <f>VLOOKUP(H227,$L$2:$M$4,2,FALSE)</f>
        <v>The Commissioner &amp; Chief Constable are satisfied the spend represents VFM in accordance with the requirements of Category B</v>
      </c>
      <c r="L227" s="41"/>
      <c r="M227" s="41"/>
    </row>
    <row r="228" spans="1:13" s="42" customFormat="1" x14ac:dyDescent="0.2">
      <c r="A228" s="56" t="s">
        <v>8</v>
      </c>
      <c r="B228" s="55" t="s">
        <v>9</v>
      </c>
      <c r="C228" s="81" t="s">
        <v>929</v>
      </c>
      <c r="D228" s="53">
        <v>7180006</v>
      </c>
      <c r="E228" s="52">
        <v>45638</v>
      </c>
      <c r="F228" s="80">
        <v>2190</v>
      </c>
      <c r="G228" s="79" t="s">
        <v>22</v>
      </c>
      <c r="H228" s="49" t="str">
        <f>IF(F228&gt;25000,"C",IF(F228&gt;1000,"B","A"))</f>
        <v>B</v>
      </c>
      <c r="I228" s="48" t="str">
        <f>VLOOKUP(H228,$L$2:$M$4,2,FALSE)</f>
        <v>The Commissioner &amp; Chief Constable are satisfied the spend represents VFM in accordance with the requirements of Category B</v>
      </c>
      <c r="L228" s="41"/>
      <c r="M228" s="41"/>
    </row>
    <row r="229" spans="1:13" s="42" customFormat="1" x14ac:dyDescent="0.2">
      <c r="A229" s="56" t="s">
        <v>8</v>
      </c>
      <c r="B229" s="55" t="s">
        <v>9</v>
      </c>
      <c r="C229" s="81" t="s">
        <v>99</v>
      </c>
      <c r="D229" s="53">
        <v>7180132</v>
      </c>
      <c r="E229" s="52">
        <v>45631</v>
      </c>
      <c r="F229" s="80">
        <v>2184.4</v>
      </c>
      <c r="G229" s="79" t="s">
        <v>94</v>
      </c>
      <c r="H229" s="49" t="str">
        <f>IF(F229&gt;25000,"C",IF(F229&gt;1000,"B","A"))</f>
        <v>B</v>
      </c>
      <c r="I229" s="48" t="str">
        <f>VLOOKUP(H229,$L$2:$M$4,2,FALSE)</f>
        <v>The Commissioner &amp; Chief Constable are satisfied the spend represents VFM in accordance with the requirements of Category B</v>
      </c>
      <c r="L229" s="41"/>
      <c r="M229" s="41"/>
    </row>
    <row r="230" spans="1:13" s="42" customFormat="1" x14ac:dyDescent="0.2">
      <c r="A230" s="56" t="s">
        <v>8</v>
      </c>
      <c r="B230" s="55" t="s">
        <v>9</v>
      </c>
      <c r="C230" s="81" t="s">
        <v>287</v>
      </c>
      <c r="D230" s="53">
        <v>7179360</v>
      </c>
      <c r="E230" s="52">
        <v>45635</v>
      </c>
      <c r="F230" s="80">
        <v>2180.58</v>
      </c>
      <c r="G230" s="79" t="s">
        <v>75</v>
      </c>
      <c r="H230" s="49" t="str">
        <f>IF(F230&gt;25000,"C",IF(F230&gt;1000,"B","A"))</f>
        <v>B</v>
      </c>
      <c r="I230" s="48" t="str">
        <f>VLOOKUP(H230,$L$2:$M$4,2,FALSE)</f>
        <v>The Commissioner &amp; Chief Constable are satisfied the spend represents VFM in accordance with the requirements of Category B</v>
      </c>
      <c r="L230" s="41"/>
      <c r="M230" s="41"/>
    </row>
    <row r="231" spans="1:13" s="42" customFormat="1" x14ac:dyDescent="0.2">
      <c r="A231" s="56" t="s">
        <v>8</v>
      </c>
      <c r="B231" s="55" t="s">
        <v>9</v>
      </c>
      <c r="C231" s="81" t="s">
        <v>162</v>
      </c>
      <c r="D231" s="53">
        <v>7180357</v>
      </c>
      <c r="E231" s="52">
        <v>45645</v>
      </c>
      <c r="F231" s="80">
        <v>2155.9</v>
      </c>
      <c r="G231" s="79" t="s">
        <v>39</v>
      </c>
      <c r="H231" s="49" t="str">
        <f>IF(F231&gt;25000,"C",IF(F231&gt;1000,"B","A"))</f>
        <v>B</v>
      </c>
      <c r="I231" s="48" t="str">
        <f>VLOOKUP(H231,$L$2:$M$4,2,FALSE)</f>
        <v>The Commissioner &amp; Chief Constable are satisfied the spend represents VFM in accordance with the requirements of Category B</v>
      </c>
      <c r="L231" s="41"/>
      <c r="M231" s="41"/>
    </row>
    <row r="232" spans="1:13" s="42" customFormat="1" x14ac:dyDescent="0.2">
      <c r="A232" s="56" t="s">
        <v>8</v>
      </c>
      <c r="B232" s="55" t="s">
        <v>9</v>
      </c>
      <c r="C232" s="81" t="s">
        <v>256</v>
      </c>
      <c r="D232" s="53">
        <v>7180258</v>
      </c>
      <c r="E232" s="52">
        <v>45636</v>
      </c>
      <c r="F232" s="80">
        <v>2152.4</v>
      </c>
      <c r="G232" s="79" t="s">
        <v>203</v>
      </c>
      <c r="H232" s="49" t="str">
        <f>IF(F232&gt;25000,"C",IF(F232&gt;1000,"B","A"))</f>
        <v>B</v>
      </c>
      <c r="I232" s="48" t="str">
        <f>VLOOKUP(H232,$L$2:$M$4,2,FALSE)</f>
        <v>The Commissioner &amp; Chief Constable are satisfied the spend represents VFM in accordance with the requirements of Category B</v>
      </c>
      <c r="L232" s="41"/>
      <c r="M232" s="41"/>
    </row>
    <row r="233" spans="1:13" s="42" customFormat="1" x14ac:dyDescent="0.2">
      <c r="A233" s="56" t="s">
        <v>8</v>
      </c>
      <c r="B233" s="55" t="s">
        <v>9</v>
      </c>
      <c r="C233" s="81" t="s">
        <v>342</v>
      </c>
      <c r="D233" s="53">
        <v>7179852</v>
      </c>
      <c r="E233" s="52">
        <v>45628</v>
      </c>
      <c r="F233" s="80">
        <v>2150</v>
      </c>
      <c r="G233" s="79" t="s">
        <v>112</v>
      </c>
      <c r="H233" s="49" t="str">
        <f>IF(F233&gt;25000,"C",IF(F233&gt;1000,"B","A"))</f>
        <v>B</v>
      </c>
      <c r="I233" s="48" t="str">
        <f>VLOOKUP(H233,$L$2:$M$4,2,FALSE)</f>
        <v>The Commissioner &amp; Chief Constable are satisfied the spend represents VFM in accordance with the requirements of Category B</v>
      </c>
      <c r="L233" s="41"/>
      <c r="M233" s="41"/>
    </row>
    <row r="234" spans="1:13" s="42" customFormat="1" x14ac:dyDescent="0.2">
      <c r="A234" s="56" t="s">
        <v>8</v>
      </c>
      <c r="B234" s="55" t="s">
        <v>9</v>
      </c>
      <c r="C234" s="81" t="s">
        <v>238</v>
      </c>
      <c r="D234" s="53">
        <v>7179778</v>
      </c>
      <c r="E234" s="52">
        <v>45635</v>
      </c>
      <c r="F234" s="80">
        <v>2147.58</v>
      </c>
      <c r="G234" s="79" t="s">
        <v>106</v>
      </c>
      <c r="H234" s="49" t="str">
        <f>IF(F234&gt;25000,"C",IF(F234&gt;1000,"B","A"))</f>
        <v>B</v>
      </c>
      <c r="I234" s="48" t="str">
        <f>VLOOKUP(H234,$L$2:$M$4,2,FALSE)</f>
        <v>The Commissioner &amp; Chief Constable are satisfied the spend represents VFM in accordance with the requirements of Category B</v>
      </c>
      <c r="L234" s="41"/>
      <c r="M234" s="41"/>
    </row>
    <row r="235" spans="1:13" s="42" customFormat="1" x14ac:dyDescent="0.2">
      <c r="A235" s="56" t="s">
        <v>8</v>
      </c>
      <c r="B235" s="55" t="s">
        <v>9</v>
      </c>
      <c r="C235" s="81" t="s">
        <v>863</v>
      </c>
      <c r="D235" s="53">
        <v>7180233</v>
      </c>
      <c r="E235" s="52">
        <v>45636</v>
      </c>
      <c r="F235" s="80">
        <v>2142.8200000000002</v>
      </c>
      <c r="G235" s="79" t="s">
        <v>22</v>
      </c>
      <c r="H235" s="49" t="str">
        <f>IF(F235&gt;25000,"C",IF(F235&gt;1000,"B","A"))</f>
        <v>B</v>
      </c>
      <c r="I235" s="48" t="str">
        <f>VLOOKUP(H235,$L$2:$M$4,2,FALSE)</f>
        <v>The Commissioner &amp; Chief Constable are satisfied the spend represents VFM in accordance with the requirements of Category B</v>
      </c>
      <c r="L235" s="41"/>
      <c r="M235" s="41"/>
    </row>
    <row r="236" spans="1:13" s="42" customFormat="1" x14ac:dyDescent="0.2">
      <c r="A236" s="56" t="s">
        <v>8</v>
      </c>
      <c r="B236" s="55" t="s">
        <v>9</v>
      </c>
      <c r="C236" s="81" t="s">
        <v>385</v>
      </c>
      <c r="D236" s="53">
        <v>7180229</v>
      </c>
      <c r="E236" s="52">
        <v>45636</v>
      </c>
      <c r="F236" s="80">
        <v>2130.4899999999998</v>
      </c>
      <c r="G236" s="84" t="s">
        <v>91</v>
      </c>
      <c r="H236" s="49" t="str">
        <f>IF(F236&gt;25000,"C",IF(F236&gt;1000,"B","A"))</f>
        <v>B</v>
      </c>
      <c r="I236" s="48" t="str">
        <f>VLOOKUP(H236,$L$2:$M$4,2,FALSE)</f>
        <v>The Commissioner &amp; Chief Constable are satisfied the spend represents VFM in accordance with the requirements of Category B</v>
      </c>
      <c r="L236" s="41"/>
      <c r="M236" s="41"/>
    </row>
    <row r="237" spans="1:13" s="42" customFormat="1" x14ac:dyDescent="0.2">
      <c r="A237" s="56" t="s">
        <v>8</v>
      </c>
      <c r="B237" s="55" t="s">
        <v>9</v>
      </c>
      <c r="C237" s="81" t="s">
        <v>385</v>
      </c>
      <c r="D237" s="53">
        <v>7180087</v>
      </c>
      <c r="E237" s="52">
        <v>45631</v>
      </c>
      <c r="F237" s="80">
        <v>2126.8200000000002</v>
      </c>
      <c r="G237" s="79" t="s">
        <v>91</v>
      </c>
      <c r="H237" s="49" t="str">
        <f>IF(F237&gt;25000,"C",IF(F237&gt;1000,"B","A"))</f>
        <v>B</v>
      </c>
      <c r="I237" s="48" t="str">
        <f>VLOOKUP(H237,$L$2:$M$4,2,FALSE)</f>
        <v>The Commissioner &amp; Chief Constable are satisfied the spend represents VFM in accordance with the requirements of Category B</v>
      </c>
      <c r="L237" s="41"/>
      <c r="M237" s="41"/>
    </row>
    <row r="238" spans="1:13" s="42" customFormat="1" x14ac:dyDescent="0.2">
      <c r="A238" s="56" t="s">
        <v>8</v>
      </c>
      <c r="B238" s="55" t="s">
        <v>9</v>
      </c>
      <c r="C238" s="81" t="s">
        <v>90</v>
      </c>
      <c r="D238" s="53">
        <v>7180657</v>
      </c>
      <c r="E238" s="52">
        <v>45649</v>
      </c>
      <c r="F238" s="83">
        <v>2084.71</v>
      </c>
      <c r="G238" s="79" t="s">
        <v>91</v>
      </c>
      <c r="H238" s="49" t="str">
        <f>IF(F238&gt;25000,"C",IF(F238&gt;1000,"B","A"))</f>
        <v>B</v>
      </c>
      <c r="I238" s="48" t="str">
        <f>VLOOKUP(H238,$L$2:$M$4,2,FALSE)</f>
        <v>The Commissioner &amp; Chief Constable are satisfied the spend represents VFM in accordance with the requirements of Category B</v>
      </c>
      <c r="L238" s="41"/>
      <c r="M238" s="41"/>
    </row>
    <row r="239" spans="1:13" s="42" customFormat="1" x14ac:dyDescent="0.2">
      <c r="A239" s="56" t="s">
        <v>8</v>
      </c>
      <c r="B239" s="55" t="s">
        <v>9</v>
      </c>
      <c r="C239" s="81" t="s">
        <v>163</v>
      </c>
      <c r="D239" s="53">
        <v>7180056</v>
      </c>
      <c r="E239" s="52">
        <v>45630</v>
      </c>
      <c r="F239" s="80">
        <v>140</v>
      </c>
      <c r="G239" s="79" t="s">
        <v>45</v>
      </c>
      <c r="H239" s="49" t="str">
        <f>IF(F239&gt;25000,"C",IF(F239&gt;1000,"B","A"))</f>
        <v>A</v>
      </c>
      <c r="I239" s="48" t="str">
        <f>VLOOKUP(H239,$L$2:$M$4,2,FALSE)</f>
        <v>The Commissioner &amp; Chief Constable are satisfied the spend represents VFM in accordance with the requirements of Category A</v>
      </c>
      <c r="L239" s="41"/>
      <c r="M239" s="41"/>
    </row>
    <row r="240" spans="1:13" s="42" customFormat="1" x14ac:dyDescent="0.2">
      <c r="A240" s="56" t="s">
        <v>8</v>
      </c>
      <c r="B240" s="55" t="s">
        <v>9</v>
      </c>
      <c r="C240" s="81" t="s">
        <v>163</v>
      </c>
      <c r="D240" s="53">
        <v>7180056</v>
      </c>
      <c r="E240" s="52">
        <v>45630</v>
      </c>
      <c r="F240" s="80">
        <v>472</v>
      </c>
      <c r="G240" s="79" t="s">
        <v>81</v>
      </c>
      <c r="H240" s="49" t="str">
        <f>IF(F240&gt;25000,"C",IF(F240&gt;1000,"B","A"))</f>
        <v>A</v>
      </c>
      <c r="I240" s="48" t="str">
        <f>VLOOKUP(H240,$L$2:$M$4,2,FALSE)</f>
        <v>The Commissioner &amp; Chief Constable are satisfied the spend represents VFM in accordance with the requirements of Category A</v>
      </c>
      <c r="L240" s="41"/>
      <c r="M240" s="41"/>
    </row>
    <row r="241" spans="1:13" s="42" customFormat="1" x14ac:dyDescent="0.2">
      <c r="A241" s="56" t="s">
        <v>8</v>
      </c>
      <c r="B241" s="55" t="s">
        <v>9</v>
      </c>
      <c r="C241" s="81" t="s">
        <v>163</v>
      </c>
      <c r="D241" s="53">
        <v>7180056</v>
      </c>
      <c r="E241" s="52">
        <v>45630</v>
      </c>
      <c r="F241" s="80">
        <v>1464</v>
      </c>
      <c r="G241" s="79" t="s">
        <v>82</v>
      </c>
      <c r="H241" s="49" t="str">
        <f>IF(F241&gt;25000,"C",IF(F241&gt;1000,"B","A"))</f>
        <v>B</v>
      </c>
      <c r="I241" s="48" t="str">
        <f>VLOOKUP(H241,$L$2:$M$4,2,FALSE)</f>
        <v>The Commissioner &amp; Chief Constable are satisfied the spend represents VFM in accordance with the requirements of Category B</v>
      </c>
      <c r="L241" s="41"/>
      <c r="M241" s="41"/>
    </row>
    <row r="242" spans="1:13" s="42" customFormat="1" x14ac:dyDescent="0.2">
      <c r="A242" s="56" t="s">
        <v>8</v>
      </c>
      <c r="B242" s="55" t="s">
        <v>9</v>
      </c>
      <c r="C242" s="81" t="s">
        <v>181</v>
      </c>
      <c r="D242" s="53">
        <v>7180304</v>
      </c>
      <c r="E242" s="52">
        <v>45636</v>
      </c>
      <c r="F242" s="80">
        <v>2073.2199999999998</v>
      </c>
      <c r="G242" s="79" t="s">
        <v>106</v>
      </c>
      <c r="H242" s="49" t="str">
        <f>IF(F242&gt;25000,"C",IF(F242&gt;1000,"B","A"))</f>
        <v>B</v>
      </c>
      <c r="I242" s="48" t="str">
        <f>VLOOKUP(H242,$L$2:$M$4,2,FALSE)</f>
        <v>The Commissioner &amp; Chief Constable are satisfied the spend represents VFM in accordance with the requirements of Category B</v>
      </c>
      <c r="L242" s="41"/>
      <c r="M242" s="41"/>
    </row>
    <row r="243" spans="1:13" s="42" customFormat="1" x14ac:dyDescent="0.2">
      <c r="A243" s="56" t="s">
        <v>8</v>
      </c>
      <c r="B243" s="55" t="s">
        <v>9</v>
      </c>
      <c r="C243" s="81" t="s">
        <v>1001</v>
      </c>
      <c r="D243" s="53">
        <v>7180724</v>
      </c>
      <c r="E243" s="52">
        <v>45646</v>
      </c>
      <c r="F243" s="83">
        <v>870.7</v>
      </c>
      <c r="G243" s="79" t="s">
        <v>131</v>
      </c>
      <c r="H243" s="49" t="str">
        <f>IF(F243&gt;25000,"C",IF(F243&gt;1000,"B","A"))</f>
        <v>A</v>
      </c>
      <c r="I243" s="48" t="str">
        <f>VLOOKUP(H243,$L$2:$M$4,2,FALSE)</f>
        <v>The Commissioner &amp; Chief Constable are satisfied the spend represents VFM in accordance with the requirements of Category A</v>
      </c>
      <c r="L243" s="41"/>
      <c r="M243" s="41"/>
    </row>
    <row r="244" spans="1:13" s="42" customFormat="1" x14ac:dyDescent="0.2">
      <c r="A244" s="56" t="s">
        <v>8</v>
      </c>
      <c r="B244" s="55" t="s">
        <v>9</v>
      </c>
      <c r="C244" s="81" t="s">
        <v>1001</v>
      </c>
      <c r="D244" s="53">
        <v>7180724</v>
      </c>
      <c r="E244" s="52">
        <v>45646</v>
      </c>
      <c r="F244" s="80">
        <v>1200</v>
      </c>
      <c r="G244" s="79" t="s">
        <v>686</v>
      </c>
      <c r="H244" s="49" t="str">
        <f>IF(F244&gt;25000,"C",IF(F244&gt;1000,"B","A"))</f>
        <v>B</v>
      </c>
      <c r="I244" s="48" t="str">
        <f>VLOOKUP(H244,$L$2:$M$4,2,FALSE)</f>
        <v>The Commissioner &amp; Chief Constable are satisfied the spend represents VFM in accordance with the requirements of Category B</v>
      </c>
      <c r="L244" s="41"/>
      <c r="M244" s="41"/>
    </row>
    <row r="245" spans="1:13" s="42" customFormat="1" x14ac:dyDescent="0.2">
      <c r="A245" s="56" t="s">
        <v>8</v>
      </c>
      <c r="B245" s="55" t="s">
        <v>9</v>
      </c>
      <c r="C245" s="81" t="s">
        <v>26</v>
      </c>
      <c r="D245" s="53">
        <v>7179963</v>
      </c>
      <c r="E245" s="52">
        <v>45629</v>
      </c>
      <c r="F245" s="80">
        <v>2064.38</v>
      </c>
      <c r="G245" s="79" t="s">
        <v>76</v>
      </c>
      <c r="H245" s="49" t="str">
        <f>IF(F245&gt;25000,"C",IF(F245&gt;1000,"B","A"))</f>
        <v>B</v>
      </c>
      <c r="I245" s="48" t="str">
        <f>VLOOKUP(H245,$L$2:$M$4,2,FALSE)</f>
        <v>The Commissioner &amp; Chief Constable are satisfied the spend represents VFM in accordance with the requirements of Category B</v>
      </c>
      <c r="L245" s="41"/>
      <c r="M245" s="41"/>
    </row>
    <row r="246" spans="1:13" s="42" customFormat="1" x14ac:dyDescent="0.2">
      <c r="A246" s="56" t="s">
        <v>8</v>
      </c>
      <c r="B246" s="55" t="s">
        <v>9</v>
      </c>
      <c r="C246" s="81" t="s">
        <v>224</v>
      </c>
      <c r="D246" s="53">
        <v>7180649</v>
      </c>
      <c r="E246" s="52">
        <v>45649</v>
      </c>
      <c r="F246" s="80">
        <v>2063</v>
      </c>
      <c r="G246" s="79" t="s">
        <v>182</v>
      </c>
      <c r="H246" s="49" t="str">
        <f>IF(F246&gt;25000,"C",IF(F246&gt;1000,"B","A"))</f>
        <v>B</v>
      </c>
      <c r="I246" s="48" t="str">
        <f>VLOOKUP(H246,$L$2:$M$4,2,FALSE)</f>
        <v>The Commissioner &amp; Chief Constable are satisfied the spend represents VFM in accordance with the requirements of Category B</v>
      </c>
      <c r="L246" s="41"/>
      <c r="M246" s="41"/>
    </row>
    <row r="247" spans="1:13" s="42" customFormat="1" x14ac:dyDescent="0.2">
      <c r="A247" s="56" t="s">
        <v>8</v>
      </c>
      <c r="B247" s="55" t="s">
        <v>9</v>
      </c>
      <c r="C247" s="81" t="s">
        <v>260</v>
      </c>
      <c r="D247" s="53">
        <v>7180717</v>
      </c>
      <c r="E247" s="52">
        <v>45646</v>
      </c>
      <c r="F247" s="80">
        <v>2028.2199999999998</v>
      </c>
      <c r="G247" s="79" t="s">
        <v>261</v>
      </c>
      <c r="H247" s="49" t="str">
        <f>IF(F247&gt;25000,"C",IF(F247&gt;1000,"B","A"))</f>
        <v>B</v>
      </c>
      <c r="I247" s="48" t="str">
        <f>VLOOKUP(H247,$L$2:$M$4,2,FALSE)</f>
        <v>The Commissioner &amp; Chief Constable are satisfied the spend represents VFM in accordance with the requirements of Category B</v>
      </c>
      <c r="L247" s="41"/>
      <c r="M247" s="41"/>
    </row>
    <row r="248" spans="1:13" s="42" customFormat="1" x14ac:dyDescent="0.2">
      <c r="A248" s="56" t="s">
        <v>8</v>
      </c>
      <c r="B248" s="55" t="s">
        <v>9</v>
      </c>
      <c r="C248" s="81" t="s">
        <v>514</v>
      </c>
      <c r="D248" s="53">
        <v>7180807</v>
      </c>
      <c r="E248" s="52">
        <v>45650</v>
      </c>
      <c r="F248" s="80">
        <v>2020.35</v>
      </c>
      <c r="G248" s="79" t="s">
        <v>151</v>
      </c>
      <c r="H248" s="49" t="str">
        <f>IF(F248&gt;25000,"C",IF(F248&gt;1000,"B","A"))</f>
        <v>B</v>
      </c>
      <c r="I248" s="48" t="str">
        <f>VLOOKUP(H248,$L$2:$M$4,2,FALSE)</f>
        <v>The Commissioner &amp; Chief Constable are satisfied the spend represents VFM in accordance with the requirements of Category B</v>
      </c>
      <c r="L248" s="41"/>
      <c r="M248" s="41"/>
    </row>
    <row r="249" spans="1:13" s="42" customFormat="1" x14ac:dyDescent="0.2">
      <c r="A249" s="56" t="s">
        <v>8</v>
      </c>
      <c r="B249" s="55" t="s">
        <v>9</v>
      </c>
      <c r="C249" s="82" t="s">
        <v>202</v>
      </c>
      <c r="D249" s="53">
        <v>7179872</v>
      </c>
      <c r="E249" s="52">
        <v>45628</v>
      </c>
      <c r="F249" s="80">
        <v>1992.5</v>
      </c>
      <c r="G249" s="79" t="s">
        <v>203</v>
      </c>
      <c r="H249" s="49" t="str">
        <f>IF(F249&gt;25000,"C",IF(F249&gt;1000,"B","A"))</f>
        <v>B</v>
      </c>
      <c r="I249" s="48" t="str">
        <f>VLOOKUP(H249,$L$2:$M$4,2,FALSE)</f>
        <v>The Commissioner &amp; Chief Constable are satisfied the spend represents VFM in accordance with the requirements of Category B</v>
      </c>
      <c r="L249" s="41"/>
      <c r="M249" s="41"/>
    </row>
    <row r="250" spans="1:13" s="42" customFormat="1" x14ac:dyDescent="0.2">
      <c r="A250" s="56" t="s">
        <v>8</v>
      </c>
      <c r="B250" s="55" t="s">
        <v>9</v>
      </c>
      <c r="C250" s="81" t="s">
        <v>992</v>
      </c>
      <c r="D250" s="53">
        <v>7180158</v>
      </c>
      <c r="E250" s="52">
        <v>45631</v>
      </c>
      <c r="F250" s="80">
        <v>1981.49</v>
      </c>
      <c r="G250" s="79" t="s">
        <v>27</v>
      </c>
      <c r="H250" s="49" t="str">
        <f>IF(F250&gt;25000,"C",IF(F250&gt;1000,"B","A"))</f>
        <v>B</v>
      </c>
      <c r="I250" s="48" t="str">
        <f>VLOOKUP(H250,$L$2:$M$4,2,FALSE)</f>
        <v>The Commissioner &amp; Chief Constable are satisfied the spend represents VFM in accordance with the requirements of Category B</v>
      </c>
      <c r="L250" s="41"/>
      <c r="M250" s="41"/>
    </row>
    <row r="251" spans="1:13" s="42" customFormat="1" x14ac:dyDescent="0.2">
      <c r="A251" s="56" t="s">
        <v>8</v>
      </c>
      <c r="B251" s="55" t="s">
        <v>9</v>
      </c>
      <c r="C251" s="81" t="s">
        <v>411</v>
      </c>
      <c r="D251" s="53">
        <v>7179676</v>
      </c>
      <c r="E251" s="52">
        <v>45631</v>
      </c>
      <c r="F251" s="80">
        <v>1960</v>
      </c>
      <c r="G251" s="79" t="s">
        <v>131</v>
      </c>
      <c r="H251" s="49" t="str">
        <f>IF(F251&gt;25000,"C",IF(F251&gt;1000,"B","A"))</f>
        <v>B</v>
      </c>
      <c r="I251" s="48" t="str">
        <f>VLOOKUP(H251,$L$2:$M$4,2,FALSE)</f>
        <v>The Commissioner &amp; Chief Constable are satisfied the spend represents VFM in accordance with the requirements of Category B</v>
      </c>
      <c r="L251" s="41"/>
      <c r="M251" s="41"/>
    </row>
    <row r="252" spans="1:13" s="42" customFormat="1" x14ac:dyDescent="0.2">
      <c r="A252" s="56" t="s">
        <v>8</v>
      </c>
      <c r="B252" s="55" t="s">
        <v>9</v>
      </c>
      <c r="C252" s="81" t="s">
        <v>202</v>
      </c>
      <c r="D252" s="53">
        <v>7180484</v>
      </c>
      <c r="E252" s="52">
        <v>45642</v>
      </c>
      <c r="F252" s="80">
        <v>1960</v>
      </c>
      <c r="G252" s="79" t="s">
        <v>203</v>
      </c>
      <c r="H252" s="49" t="str">
        <f>IF(F252&gt;25000,"C",IF(F252&gt;1000,"B","A"))</f>
        <v>B</v>
      </c>
      <c r="I252" s="48" t="str">
        <f>VLOOKUP(H252,$L$2:$M$4,2,FALSE)</f>
        <v>The Commissioner &amp; Chief Constable are satisfied the spend represents VFM in accordance with the requirements of Category B</v>
      </c>
      <c r="L252" s="41"/>
      <c r="M252" s="41"/>
    </row>
    <row r="253" spans="1:13" s="42" customFormat="1" x14ac:dyDescent="0.2">
      <c r="A253" s="56" t="s">
        <v>8</v>
      </c>
      <c r="B253" s="55" t="s">
        <v>9</v>
      </c>
      <c r="C253" s="81" t="s">
        <v>351</v>
      </c>
      <c r="D253" s="53">
        <v>7180005</v>
      </c>
      <c r="E253" s="52">
        <v>45635</v>
      </c>
      <c r="F253" s="80">
        <v>1960</v>
      </c>
      <c r="G253" s="79" t="s">
        <v>131</v>
      </c>
      <c r="H253" s="49" t="str">
        <f>IF(F253&gt;25000,"C",IF(F253&gt;1000,"B","A"))</f>
        <v>B</v>
      </c>
      <c r="I253" s="48" t="str">
        <f>VLOOKUP(H253,$L$2:$M$4,2,FALSE)</f>
        <v>The Commissioner &amp; Chief Constable are satisfied the spend represents VFM in accordance with the requirements of Category B</v>
      </c>
      <c r="L253" s="41"/>
      <c r="M253" s="41"/>
    </row>
    <row r="254" spans="1:13" s="42" customFormat="1" x14ac:dyDescent="0.2">
      <c r="A254" s="56" t="s">
        <v>8</v>
      </c>
      <c r="B254" s="55" t="s">
        <v>9</v>
      </c>
      <c r="C254" s="81" t="s">
        <v>90</v>
      </c>
      <c r="D254" s="53">
        <v>7180650</v>
      </c>
      <c r="E254" s="52">
        <v>45649</v>
      </c>
      <c r="F254" s="80">
        <v>1938.41</v>
      </c>
      <c r="G254" s="84" t="s">
        <v>91</v>
      </c>
      <c r="H254" s="49" t="str">
        <f>IF(F254&gt;25000,"C",IF(F254&gt;1000,"B","A"))</f>
        <v>B</v>
      </c>
      <c r="I254" s="48" t="str">
        <f>VLOOKUP(H254,$L$2:$M$4,2,FALSE)</f>
        <v>The Commissioner &amp; Chief Constable are satisfied the spend represents VFM in accordance with the requirements of Category B</v>
      </c>
      <c r="L254" s="41"/>
      <c r="M254" s="41"/>
    </row>
    <row r="255" spans="1:13" s="42" customFormat="1" x14ac:dyDescent="0.2">
      <c r="A255" s="56" t="s">
        <v>8</v>
      </c>
      <c r="B255" s="55" t="s">
        <v>9</v>
      </c>
      <c r="C255" s="81" t="s">
        <v>418</v>
      </c>
      <c r="D255" s="53">
        <v>7180863</v>
      </c>
      <c r="E255" s="52">
        <v>45657</v>
      </c>
      <c r="F255" s="80">
        <v>1892.7</v>
      </c>
      <c r="G255" s="79" t="s">
        <v>155</v>
      </c>
      <c r="H255" s="49" t="str">
        <f>IF(F255&gt;25000,"C",IF(F255&gt;1000,"B","A"))</f>
        <v>B</v>
      </c>
      <c r="I255" s="48" t="str">
        <f>VLOOKUP(H255,$L$2:$M$4,2,FALSE)</f>
        <v>The Commissioner &amp; Chief Constable are satisfied the spend represents VFM in accordance with the requirements of Category B</v>
      </c>
      <c r="L255" s="41"/>
      <c r="M255" s="41"/>
    </row>
    <row r="256" spans="1:13" s="42" customFormat="1" x14ac:dyDescent="0.2">
      <c r="A256" s="56" t="s">
        <v>8</v>
      </c>
      <c r="B256" s="55" t="s">
        <v>9</v>
      </c>
      <c r="C256" s="81" t="s">
        <v>990</v>
      </c>
      <c r="D256" s="53">
        <v>7180733</v>
      </c>
      <c r="E256" s="52">
        <v>45649</v>
      </c>
      <c r="F256" s="80">
        <v>1887</v>
      </c>
      <c r="G256" s="79" t="s">
        <v>89</v>
      </c>
      <c r="H256" s="49" t="str">
        <f>IF(F256&gt;25000,"C",IF(F256&gt;1000,"B","A"))</f>
        <v>B</v>
      </c>
      <c r="I256" s="48" t="str">
        <f>VLOOKUP(H256,$L$2:$M$4,2,FALSE)</f>
        <v>The Commissioner &amp; Chief Constable are satisfied the spend represents VFM in accordance with the requirements of Category B</v>
      </c>
      <c r="L256" s="41"/>
      <c r="M256" s="41"/>
    </row>
    <row r="257" spans="1:13" s="42" customFormat="1" x14ac:dyDescent="0.2">
      <c r="A257" s="56" t="s">
        <v>8</v>
      </c>
      <c r="B257" s="55" t="s">
        <v>9</v>
      </c>
      <c r="C257" s="81" t="s">
        <v>99</v>
      </c>
      <c r="D257" s="53">
        <v>7180347</v>
      </c>
      <c r="E257" s="52">
        <v>45637</v>
      </c>
      <c r="F257" s="80">
        <v>1872.1599999999999</v>
      </c>
      <c r="G257" s="79" t="s">
        <v>94</v>
      </c>
      <c r="H257" s="49" t="str">
        <f>IF(F257&gt;25000,"C",IF(F257&gt;1000,"B","A"))</f>
        <v>B</v>
      </c>
      <c r="I257" s="48" t="str">
        <f>VLOOKUP(H257,$L$2:$M$4,2,FALSE)</f>
        <v>The Commissioner &amp; Chief Constable are satisfied the spend represents VFM in accordance with the requirements of Category B</v>
      </c>
      <c r="L257" s="41"/>
      <c r="M257" s="41"/>
    </row>
    <row r="258" spans="1:13" s="42" customFormat="1" x14ac:dyDescent="0.2">
      <c r="A258" s="56" t="s">
        <v>8</v>
      </c>
      <c r="B258" s="55" t="s">
        <v>9</v>
      </c>
      <c r="C258" s="81" t="s">
        <v>369</v>
      </c>
      <c r="D258" s="53">
        <v>7180411</v>
      </c>
      <c r="E258" s="52">
        <v>45645</v>
      </c>
      <c r="F258" s="80">
        <v>1800</v>
      </c>
      <c r="G258" s="79" t="s">
        <v>112</v>
      </c>
      <c r="H258" s="49" t="str">
        <f>IF(F258&gt;25000,"C",IF(F258&gt;1000,"B","A"))</f>
        <v>B</v>
      </c>
      <c r="I258" s="48" t="str">
        <f>VLOOKUP(H258,$L$2:$M$4,2,FALSE)</f>
        <v>The Commissioner &amp; Chief Constable are satisfied the spend represents VFM in accordance with the requirements of Category B</v>
      </c>
      <c r="L258" s="41"/>
      <c r="M258" s="41"/>
    </row>
    <row r="259" spans="1:13" s="42" customFormat="1" x14ac:dyDescent="0.2">
      <c r="A259" s="56" t="s">
        <v>8</v>
      </c>
      <c r="B259" s="55" t="s">
        <v>9</v>
      </c>
      <c r="C259" s="81" t="s">
        <v>119</v>
      </c>
      <c r="D259" s="53">
        <v>7180457</v>
      </c>
      <c r="E259" s="52">
        <v>45642</v>
      </c>
      <c r="F259" s="80">
        <v>1797.47</v>
      </c>
      <c r="G259" s="79" t="s">
        <v>120</v>
      </c>
      <c r="H259" s="49" t="str">
        <f>IF(F259&gt;25000,"C",IF(F259&gt;1000,"B","A"))</f>
        <v>B</v>
      </c>
      <c r="I259" s="48" t="str">
        <f>VLOOKUP(H259,$L$2:$M$4,2,FALSE)</f>
        <v>The Commissioner &amp; Chief Constable are satisfied the spend represents VFM in accordance with the requirements of Category B</v>
      </c>
      <c r="L259" s="41"/>
      <c r="M259" s="41"/>
    </row>
    <row r="260" spans="1:13" s="42" customFormat="1" x14ac:dyDescent="0.2">
      <c r="A260" s="56" t="s">
        <v>8</v>
      </c>
      <c r="B260" s="55" t="s">
        <v>9</v>
      </c>
      <c r="C260" s="81" t="s">
        <v>1000</v>
      </c>
      <c r="D260" s="53">
        <v>7179890</v>
      </c>
      <c r="E260" s="52">
        <v>45628</v>
      </c>
      <c r="F260" s="80">
        <v>1750</v>
      </c>
      <c r="G260" s="79" t="s">
        <v>106</v>
      </c>
      <c r="H260" s="49" t="str">
        <f>IF(F260&gt;25000,"C",IF(F260&gt;1000,"B","A"))</f>
        <v>B</v>
      </c>
      <c r="I260" s="48" t="str">
        <f>VLOOKUP(H260,$L$2:$M$4,2,FALSE)</f>
        <v>The Commissioner &amp; Chief Constable are satisfied the spend represents VFM in accordance with the requirements of Category B</v>
      </c>
      <c r="L260" s="41"/>
      <c r="M260" s="41"/>
    </row>
    <row r="261" spans="1:13" s="42" customFormat="1" x14ac:dyDescent="0.2">
      <c r="A261" s="56" t="s">
        <v>8</v>
      </c>
      <c r="B261" s="55" t="s">
        <v>9</v>
      </c>
      <c r="C261" s="81" t="s">
        <v>432</v>
      </c>
      <c r="D261" s="53">
        <v>7180529</v>
      </c>
      <c r="E261" s="52">
        <v>45644</v>
      </c>
      <c r="F261" s="80">
        <v>1740</v>
      </c>
      <c r="G261" s="79" t="s">
        <v>22</v>
      </c>
      <c r="H261" s="49" t="str">
        <f>IF(F261&gt;25000,"C",IF(F261&gt;1000,"B","A"))</f>
        <v>B</v>
      </c>
      <c r="I261" s="48" t="str">
        <f>VLOOKUP(H261,$L$2:$M$4,2,FALSE)</f>
        <v>The Commissioner &amp; Chief Constable are satisfied the spend represents VFM in accordance with the requirements of Category B</v>
      </c>
      <c r="L261" s="41"/>
      <c r="M261" s="41"/>
    </row>
    <row r="262" spans="1:13" s="42" customFormat="1" x14ac:dyDescent="0.2">
      <c r="A262" s="56" t="s">
        <v>8</v>
      </c>
      <c r="B262" s="55" t="s">
        <v>9</v>
      </c>
      <c r="C262" s="81" t="s">
        <v>999</v>
      </c>
      <c r="D262" s="53">
        <v>7179918</v>
      </c>
      <c r="E262" s="52">
        <v>45628</v>
      </c>
      <c r="F262" s="80">
        <v>1725</v>
      </c>
      <c r="G262" s="79" t="s">
        <v>106</v>
      </c>
      <c r="H262" s="49" t="str">
        <f>IF(F262&gt;25000,"C",IF(F262&gt;1000,"B","A"))</f>
        <v>B</v>
      </c>
      <c r="I262" s="48" t="str">
        <f>VLOOKUP(H262,$L$2:$M$4,2,FALSE)</f>
        <v>The Commissioner &amp; Chief Constable are satisfied the spend represents VFM in accordance with the requirements of Category B</v>
      </c>
      <c r="L262" s="41"/>
      <c r="M262" s="41"/>
    </row>
    <row r="263" spans="1:13" s="42" customFormat="1" x14ac:dyDescent="0.2">
      <c r="A263" s="56" t="s">
        <v>8</v>
      </c>
      <c r="B263" s="55" t="s">
        <v>9</v>
      </c>
      <c r="C263" s="81" t="s">
        <v>395</v>
      </c>
      <c r="D263" s="53">
        <v>7180117</v>
      </c>
      <c r="E263" s="52">
        <v>45636</v>
      </c>
      <c r="F263" s="80">
        <v>1663.5</v>
      </c>
      <c r="G263" s="79" t="s">
        <v>94</v>
      </c>
      <c r="H263" s="49" t="str">
        <f>IF(F263&gt;25000,"C",IF(F263&gt;1000,"B","A"))</f>
        <v>B</v>
      </c>
      <c r="I263" s="48" t="str">
        <f>VLOOKUP(H263,$L$2:$M$4,2,FALSE)</f>
        <v>The Commissioner &amp; Chief Constable are satisfied the spend represents VFM in accordance with the requirements of Category B</v>
      </c>
      <c r="L263" s="41"/>
      <c r="M263" s="41"/>
    </row>
    <row r="264" spans="1:13" s="42" customFormat="1" x14ac:dyDescent="0.2">
      <c r="A264" s="56" t="s">
        <v>8</v>
      </c>
      <c r="B264" s="55" t="s">
        <v>9</v>
      </c>
      <c r="C264" s="81" t="s">
        <v>250</v>
      </c>
      <c r="D264" s="53">
        <v>7180108</v>
      </c>
      <c r="E264" s="52">
        <v>45634</v>
      </c>
      <c r="F264" s="80">
        <v>1641.2</v>
      </c>
      <c r="G264" s="79" t="s">
        <v>251</v>
      </c>
      <c r="H264" s="49" t="str">
        <f>IF(F264&gt;25000,"C",IF(F264&gt;1000,"B","A"))</f>
        <v>B</v>
      </c>
      <c r="I264" s="48" t="str">
        <f>VLOOKUP(H264,$L$2:$M$4,2,FALSE)</f>
        <v>The Commissioner &amp; Chief Constable are satisfied the spend represents VFM in accordance with the requirements of Category B</v>
      </c>
      <c r="L264" s="41"/>
      <c r="M264" s="41"/>
    </row>
    <row r="265" spans="1:13" s="42" customFormat="1" x14ac:dyDescent="0.2">
      <c r="A265" s="56" t="s">
        <v>8</v>
      </c>
      <c r="B265" s="55" t="s">
        <v>9</v>
      </c>
      <c r="C265" s="81" t="s">
        <v>283</v>
      </c>
      <c r="D265" s="53">
        <v>7179978</v>
      </c>
      <c r="E265" s="52">
        <v>45645</v>
      </c>
      <c r="F265" s="80">
        <v>1639.2</v>
      </c>
      <c r="G265" s="79" t="s">
        <v>40</v>
      </c>
      <c r="H265" s="49" t="str">
        <f>IF(F265&gt;25000,"C",IF(F265&gt;1000,"B","A"))</f>
        <v>B</v>
      </c>
      <c r="I265" s="48" t="str">
        <f>VLOOKUP(H265,$L$2:$M$4,2,FALSE)</f>
        <v>The Commissioner &amp; Chief Constable are satisfied the spend represents VFM in accordance with the requirements of Category B</v>
      </c>
      <c r="L265" s="41"/>
      <c r="M265" s="41"/>
    </row>
    <row r="266" spans="1:13" s="42" customFormat="1" x14ac:dyDescent="0.2">
      <c r="A266" s="56" t="s">
        <v>8</v>
      </c>
      <c r="B266" s="55" t="s">
        <v>9</v>
      </c>
      <c r="C266" s="81" t="s">
        <v>260</v>
      </c>
      <c r="D266" s="53">
        <v>7180455</v>
      </c>
      <c r="E266" s="52">
        <v>45639</v>
      </c>
      <c r="F266" s="80">
        <v>1636.97</v>
      </c>
      <c r="G266" s="79" t="s">
        <v>261</v>
      </c>
      <c r="H266" s="49" t="str">
        <f>IF(F266&gt;25000,"C",IF(F266&gt;1000,"B","A"))</f>
        <v>B</v>
      </c>
      <c r="I266" s="48" t="str">
        <f>VLOOKUP(H266,$L$2:$M$4,2,FALSE)</f>
        <v>The Commissioner &amp; Chief Constable are satisfied the spend represents VFM in accordance with the requirements of Category B</v>
      </c>
      <c r="L266" s="41"/>
      <c r="M266" s="41"/>
    </row>
    <row r="267" spans="1:13" s="42" customFormat="1" x14ac:dyDescent="0.2">
      <c r="A267" s="56" t="s">
        <v>8</v>
      </c>
      <c r="B267" s="55" t="s">
        <v>9</v>
      </c>
      <c r="C267" s="81" t="s">
        <v>221</v>
      </c>
      <c r="D267" s="53">
        <v>7179313</v>
      </c>
      <c r="E267" s="52">
        <v>45637</v>
      </c>
      <c r="F267" s="80">
        <v>1636</v>
      </c>
      <c r="G267" s="79" t="s">
        <v>106</v>
      </c>
      <c r="H267" s="49" t="str">
        <f>IF(F267&gt;25000,"C",IF(F267&gt;1000,"B","A"))</f>
        <v>B</v>
      </c>
      <c r="I267" s="48" t="str">
        <f>VLOOKUP(H267,$L$2:$M$4,2,FALSE)</f>
        <v>The Commissioner &amp; Chief Constable are satisfied the spend represents VFM in accordance with the requirements of Category B</v>
      </c>
      <c r="L267" s="41"/>
      <c r="M267" s="41"/>
    </row>
    <row r="268" spans="1:13" s="42" customFormat="1" x14ac:dyDescent="0.2">
      <c r="A268" s="56" t="s">
        <v>8</v>
      </c>
      <c r="B268" s="55" t="s">
        <v>9</v>
      </c>
      <c r="C268" s="81" t="s">
        <v>990</v>
      </c>
      <c r="D268" s="53">
        <v>7180731</v>
      </c>
      <c r="E268" s="52">
        <v>45649</v>
      </c>
      <c r="F268" s="80">
        <v>1628</v>
      </c>
      <c r="G268" s="79" t="s">
        <v>38</v>
      </c>
      <c r="H268" s="49" t="str">
        <f>IF(F268&gt;25000,"C",IF(F268&gt;1000,"B","A"))</f>
        <v>B</v>
      </c>
      <c r="I268" s="48" t="str">
        <f>VLOOKUP(H268,$L$2:$M$4,2,FALSE)</f>
        <v>The Commissioner &amp; Chief Constable are satisfied the spend represents VFM in accordance with the requirements of Category B</v>
      </c>
      <c r="L268" s="41"/>
      <c r="M268" s="41"/>
    </row>
    <row r="269" spans="1:13" s="42" customFormat="1" x14ac:dyDescent="0.2">
      <c r="A269" s="56" t="s">
        <v>8</v>
      </c>
      <c r="B269" s="55" t="s">
        <v>9</v>
      </c>
      <c r="C269" s="81" t="s">
        <v>916</v>
      </c>
      <c r="D269" s="53">
        <v>7179572</v>
      </c>
      <c r="E269" s="52">
        <v>45630</v>
      </c>
      <c r="F269" s="83">
        <v>1601.68</v>
      </c>
      <c r="G269" s="79" t="s">
        <v>106</v>
      </c>
      <c r="H269" s="49" t="str">
        <f>IF(F269&gt;25000,"C",IF(F269&gt;1000,"B","A"))</f>
        <v>B</v>
      </c>
      <c r="I269" s="48" t="str">
        <f>VLOOKUP(H269,$L$2:$M$4,2,FALSE)</f>
        <v>The Commissioner &amp; Chief Constable are satisfied the spend represents VFM in accordance with the requirements of Category B</v>
      </c>
      <c r="L269" s="41"/>
      <c r="M269" s="41"/>
    </row>
    <row r="270" spans="1:13" s="42" customFormat="1" x14ac:dyDescent="0.2">
      <c r="A270" s="56" t="s">
        <v>8</v>
      </c>
      <c r="B270" s="55" t="s">
        <v>9</v>
      </c>
      <c r="C270" s="81" t="s">
        <v>305</v>
      </c>
      <c r="D270" s="53">
        <v>7180096</v>
      </c>
      <c r="E270" s="52">
        <v>45645</v>
      </c>
      <c r="F270" s="80">
        <v>1589.62</v>
      </c>
      <c r="G270" s="79" t="s">
        <v>306</v>
      </c>
      <c r="H270" s="49" t="str">
        <f>IF(F270&gt;25000,"C",IF(F270&gt;1000,"B","A"))</f>
        <v>B</v>
      </c>
      <c r="I270" s="48" t="str">
        <f>VLOOKUP(H270,$L$2:$M$4,2,FALSE)</f>
        <v>The Commissioner &amp; Chief Constable are satisfied the spend represents VFM in accordance with the requirements of Category B</v>
      </c>
      <c r="L270" s="41"/>
      <c r="M270" s="41"/>
    </row>
    <row r="271" spans="1:13" s="42" customFormat="1" x14ac:dyDescent="0.2">
      <c r="A271" s="56" t="s">
        <v>8</v>
      </c>
      <c r="B271" s="55" t="s">
        <v>9</v>
      </c>
      <c r="C271" s="81" t="s">
        <v>767</v>
      </c>
      <c r="D271" s="53">
        <v>7180023</v>
      </c>
      <c r="E271" s="52">
        <v>45645</v>
      </c>
      <c r="F271" s="80">
        <v>1584</v>
      </c>
      <c r="G271" s="79" t="s">
        <v>27</v>
      </c>
      <c r="H271" s="49" t="str">
        <f>IF(F271&gt;25000,"C",IF(F271&gt;1000,"B","A"))</f>
        <v>B</v>
      </c>
      <c r="I271" s="48" t="str">
        <f>VLOOKUP(H271,$L$2:$M$4,2,FALSE)</f>
        <v>The Commissioner &amp; Chief Constable are satisfied the spend represents VFM in accordance with the requirements of Category B</v>
      </c>
      <c r="L271" s="41"/>
      <c r="M271" s="41"/>
    </row>
    <row r="272" spans="1:13" x14ac:dyDescent="0.2">
      <c r="A272" s="56" t="s">
        <v>8</v>
      </c>
      <c r="B272" s="55" t="s">
        <v>9</v>
      </c>
      <c r="C272" s="81" t="s">
        <v>320</v>
      </c>
      <c r="D272" s="53">
        <v>7180494</v>
      </c>
      <c r="E272" s="52">
        <v>45642</v>
      </c>
      <c r="F272" s="80">
        <v>1574</v>
      </c>
      <c r="G272" s="79" t="s">
        <v>133</v>
      </c>
      <c r="H272" s="49" t="str">
        <f>IF(F272&gt;25000,"C",IF(F272&gt;1000,"B","A"))</f>
        <v>B</v>
      </c>
      <c r="I272" s="48" t="str">
        <f>VLOOKUP(H272,$L$2:$M$4,2,FALSE)</f>
        <v>The Commissioner &amp; Chief Constable are satisfied the spend represents VFM in accordance with the requirements of Category B</v>
      </c>
    </row>
    <row r="273" spans="1:9" x14ac:dyDescent="0.2">
      <c r="A273" s="56" t="s">
        <v>8</v>
      </c>
      <c r="B273" s="55" t="s">
        <v>9</v>
      </c>
      <c r="C273" s="81" t="s">
        <v>103</v>
      </c>
      <c r="D273" s="53">
        <v>7179761</v>
      </c>
      <c r="E273" s="52">
        <v>45628</v>
      </c>
      <c r="F273" s="80">
        <v>1560</v>
      </c>
      <c r="G273" s="79" t="s">
        <v>91</v>
      </c>
      <c r="H273" s="49" t="str">
        <f>IF(F273&gt;25000,"C",IF(F273&gt;1000,"B","A"))</f>
        <v>B</v>
      </c>
      <c r="I273" s="48" t="str">
        <f>VLOOKUP(H273,$L$2:$M$4,2,FALSE)</f>
        <v>The Commissioner &amp; Chief Constable are satisfied the spend represents VFM in accordance with the requirements of Category B</v>
      </c>
    </row>
    <row r="274" spans="1:9" x14ac:dyDescent="0.2">
      <c r="A274" s="56" t="s">
        <v>8</v>
      </c>
      <c r="B274" s="55" t="s">
        <v>9</v>
      </c>
      <c r="C274" s="81" t="s">
        <v>217</v>
      </c>
      <c r="D274" s="53">
        <v>7179663</v>
      </c>
      <c r="E274" s="52">
        <v>45628</v>
      </c>
      <c r="F274" s="80">
        <v>1542.56</v>
      </c>
      <c r="G274" s="79" t="s">
        <v>84</v>
      </c>
      <c r="H274" s="49" t="str">
        <f>IF(F274&gt;25000,"C",IF(F274&gt;1000,"B","A"))</f>
        <v>B</v>
      </c>
      <c r="I274" s="48" t="str">
        <f>VLOOKUP(H274,$L$2:$M$4,2,FALSE)</f>
        <v>The Commissioner &amp; Chief Constable are satisfied the spend represents VFM in accordance with the requirements of Category B</v>
      </c>
    </row>
    <row r="275" spans="1:9" x14ac:dyDescent="0.2">
      <c r="A275" s="56" t="s">
        <v>8</v>
      </c>
      <c r="B275" s="55" t="s">
        <v>9</v>
      </c>
      <c r="C275" s="81" t="s">
        <v>305</v>
      </c>
      <c r="D275" s="53">
        <v>7180263</v>
      </c>
      <c r="E275" s="52">
        <v>45645</v>
      </c>
      <c r="F275" s="80">
        <v>1527.33</v>
      </c>
      <c r="G275" s="79" t="s">
        <v>306</v>
      </c>
      <c r="H275" s="49" t="str">
        <f>IF(F275&gt;25000,"C",IF(F275&gt;1000,"B","A"))</f>
        <v>B</v>
      </c>
      <c r="I275" s="48" t="str">
        <f>VLOOKUP(H275,$L$2:$M$4,2,FALSE)</f>
        <v>The Commissioner &amp; Chief Constable are satisfied the spend represents VFM in accordance with the requirements of Category B</v>
      </c>
    </row>
    <row r="276" spans="1:9" x14ac:dyDescent="0.2">
      <c r="A276" s="56" t="s">
        <v>8</v>
      </c>
      <c r="B276" s="55" t="s">
        <v>9</v>
      </c>
      <c r="C276" s="81" t="s">
        <v>411</v>
      </c>
      <c r="D276" s="53">
        <v>7179897</v>
      </c>
      <c r="E276" s="52">
        <v>45629</v>
      </c>
      <c r="F276" s="80">
        <v>1527.04</v>
      </c>
      <c r="G276" s="79" t="s">
        <v>156</v>
      </c>
      <c r="H276" s="49" t="str">
        <f>IF(F276&gt;25000,"C",IF(F276&gt;1000,"B","A"))</f>
        <v>B</v>
      </c>
      <c r="I276" s="48" t="str">
        <f>VLOOKUP(H276,$L$2:$M$4,2,FALSE)</f>
        <v>The Commissioner &amp; Chief Constable are satisfied the spend represents VFM in accordance with the requirements of Category B</v>
      </c>
    </row>
    <row r="277" spans="1:9" x14ac:dyDescent="0.2">
      <c r="A277" s="56" t="s">
        <v>8</v>
      </c>
      <c r="B277" s="55" t="s">
        <v>9</v>
      </c>
      <c r="C277" s="81" t="s">
        <v>531</v>
      </c>
      <c r="D277" s="53">
        <v>7180465</v>
      </c>
      <c r="E277" s="52">
        <v>45642</v>
      </c>
      <c r="F277" s="80">
        <v>1519.99</v>
      </c>
      <c r="G277" s="79" t="s">
        <v>390</v>
      </c>
      <c r="H277" s="49" t="str">
        <f>IF(F277&gt;25000,"C",IF(F277&gt;1000,"B","A"))</f>
        <v>B</v>
      </c>
      <c r="I277" s="48" t="str">
        <f>VLOOKUP(H277,$L$2:$M$4,2,FALSE)</f>
        <v>The Commissioner &amp; Chief Constable are satisfied the spend represents VFM in accordance with the requirements of Category B</v>
      </c>
    </row>
    <row r="278" spans="1:9" x14ac:dyDescent="0.2">
      <c r="A278" s="56" t="s">
        <v>8</v>
      </c>
      <c r="B278" s="55" t="s">
        <v>9</v>
      </c>
      <c r="C278" s="81" t="s">
        <v>221</v>
      </c>
      <c r="D278" s="53">
        <v>7179196</v>
      </c>
      <c r="E278" s="52">
        <v>45637</v>
      </c>
      <c r="F278" s="80">
        <v>1515.8</v>
      </c>
      <c r="G278" s="79" t="s">
        <v>106</v>
      </c>
      <c r="H278" s="49" t="str">
        <f>IF(F278&gt;25000,"C",IF(F278&gt;1000,"B","A"))</f>
        <v>B</v>
      </c>
      <c r="I278" s="48" t="str">
        <f>VLOOKUP(H278,$L$2:$M$4,2,FALSE)</f>
        <v>The Commissioner &amp; Chief Constable are satisfied the spend represents VFM in accordance with the requirements of Category B</v>
      </c>
    </row>
    <row r="279" spans="1:9" x14ac:dyDescent="0.2">
      <c r="A279" s="56" t="s">
        <v>8</v>
      </c>
      <c r="B279" s="55" t="s">
        <v>9</v>
      </c>
      <c r="C279" s="81" t="s">
        <v>90</v>
      </c>
      <c r="D279" s="53">
        <v>7180656</v>
      </c>
      <c r="E279" s="52">
        <v>45649</v>
      </c>
      <c r="F279" s="80">
        <v>1507.2</v>
      </c>
      <c r="G279" s="79" t="s">
        <v>91</v>
      </c>
      <c r="H279" s="49" t="str">
        <f>IF(F279&gt;25000,"C",IF(F279&gt;1000,"B","A"))</f>
        <v>B</v>
      </c>
      <c r="I279" s="48" t="str">
        <f>VLOOKUP(H279,$L$2:$M$4,2,FALSE)</f>
        <v>The Commissioner &amp; Chief Constable are satisfied the spend represents VFM in accordance with the requirements of Category B</v>
      </c>
    </row>
    <row r="280" spans="1:9" x14ac:dyDescent="0.2">
      <c r="A280" s="56" t="s">
        <v>8</v>
      </c>
      <c r="B280" s="55" t="s">
        <v>9</v>
      </c>
      <c r="C280" s="81" t="s">
        <v>305</v>
      </c>
      <c r="D280" s="53">
        <v>7180662</v>
      </c>
      <c r="E280" s="52">
        <v>45645</v>
      </c>
      <c r="F280" s="80">
        <v>1500.69</v>
      </c>
      <c r="G280" s="79" t="s">
        <v>22</v>
      </c>
      <c r="H280" s="49" t="str">
        <f>IF(F280&gt;25000,"C",IF(F280&gt;1000,"B","A"))</f>
        <v>B</v>
      </c>
      <c r="I280" s="48" t="str">
        <f>VLOOKUP(H280,$L$2:$M$4,2,FALSE)</f>
        <v>The Commissioner &amp; Chief Constable are satisfied the spend represents VFM in accordance with the requirements of Category B</v>
      </c>
    </row>
    <row r="281" spans="1:9" x14ac:dyDescent="0.2">
      <c r="A281" s="56" t="s">
        <v>8</v>
      </c>
      <c r="B281" s="55" t="s">
        <v>9</v>
      </c>
      <c r="C281" s="81" t="s">
        <v>223</v>
      </c>
      <c r="D281" s="53">
        <v>7179400</v>
      </c>
      <c r="E281" s="52">
        <v>45644</v>
      </c>
      <c r="F281" s="80">
        <v>1500</v>
      </c>
      <c r="G281" s="79" t="s">
        <v>22</v>
      </c>
      <c r="H281" s="49" t="str">
        <f>IF(F281&gt;25000,"C",IF(F281&gt;1000,"B","A"))</f>
        <v>B</v>
      </c>
      <c r="I281" s="48" t="str">
        <f>VLOOKUP(H281,$L$2:$M$4,2,FALSE)</f>
        <v>The Commissioner &amp; Chief Constable are satisfied the spend represents VFM in accordance with the requirements of Category B</v>
      </c>
    </row>
    <row r="282" spans="1:9" x14ac:dyDescent="0.2">
      <c r="A282" s="56" t="s">
        <v>8</v>
      </c>
      <c r="B282" s="55" t="s">
        <v>9</v>
      </c>
      <c r="C282" s="81" t="s">
        <v>149</v>
      </c>
      <c r="D282" s="53">
        <v>7179999</v>
      </c>
      <c r="E282" s="52">
        <v>45635</v>
      </c>
      <c r="F282" s="80">
        <v>1486.65</v>
      </c>
      <c r="G282" s="79" t="s">
        <v>138</v>
      </c>
      <c r="H282" s="49" t="str">
        <f>IF(F282&gt;25000,"C",IF(F282&gt;1000,"B","A"))</f>
        <v>B</v>
      </c>
      <c r="I282" s="48" t="str">
        <f>VLOOKUP(H282,$L$2:$M$4,2,FALSE)</f>
        <v>The Commissioner &amp; Chief Constable are satisfied the spend represents VFM in accordance with the requirements of Category B</v>
      </c>
    </row>
    <row r="283" spans="1:9" x14ac:dyDescent="0.2">
      <c r="A283" s="56" t="s">
        <v>8</v>
      </c>
      <c r="B283" s="55" t="s">
        <v>9</v>
      </c>
      <c r="C283" s="81" t="s">
        <v>463</v>
      </c>
      <c r="D283" s="53">
        <v>7180192</v>
      </c>
      <c r="E283" s="52">
        <v>45635</v>
      </c>
      <c r="F283" s="80">
        <v>1479.08</v>
      </c>
      <c r="G283" s="79" t="s">
        <v>376</v>
      </c>
      <c r="H283" s="49" t="str">
        <f>IF(F283&gt;25000,"C",IF(F283&gt;1000,"B","A"))</f>
        <v>B</v>
      </c>
      <c r="I283" s="48" t="str">
        <f>VLOOKUP(H283,$L$2:$M$4,2,FALSE)</f>
        <v>The Commissioner &amp; Chief Constable are satisfied the spend represents VFM in accordance with the requirements of Category B</v>
      </c>
    </row>
    <row r="284" spans="1:9" x14ac:dyDescent="0.2">
      <c r="A284" s="56" t="s">
        <v>8</v>
      </c>
      <c r="B284" s="55" t="s">
        <v>9</v>
      </c>
      <c r="C284" s="81" t="s">
        <v>288</v>
      </c>
      <c r="D284" s="53">
        <v>7179940</v>
      </c>
      <c r="E284" s="52">
        <v>45628</v>
      </c>
      <c r="F284" s="80">
        <v>1470</v>
      </c>
      <c r="G284" s="79" t="s">
        <v>131</v>
      </c>
      <c r="H284" s="49" t="str">
        <f>IF(F284&gt;25000,"C",IF(F284&gt;1000,"B","A"))</f>
        <v>B</v>
      </c>
      <c r="I284" s="48" t="str">
        <f>VLOOKUP(H284,$L$2:$M$4,2,FALSE)</f>
        <v>The Commissioner &amp; Chief Constable are satisfied the spend represents VFM in accordance with the requirements of Category B</v>
      </c>
    </row>
    <row r="285" spans="1:9" x14ac:dyDescent="0.2">
      <c r="A285" s="56" t="s">
        <v>8</v>
      </c>
      <c r="B285" s="55" t="s">
        <v>9</v>
      </c>
      <c r="C285" s="81" t="s">
        <v>135</v>
      </c>
      <c r="D285" s="53">
        <v>7180164</v>
      </c>
      <c r="E285" s="52">
        <v>45645</v>
      </c>
      <c r="F285" s="80">
        <v>1465</v>
      </c>
      <c r="G285" s="79" t="s">
        <v>40</v>
      </c>
      <c r="H285" s="49" t="str">
        <f>IF(F285&gt;25000,"C",IF(F285&gt;1000,"B","A"))</f>
        <v>B</v>
      </c>
      <c r="I285" s="48" t="str">
        <f>VLOOKUP(H285,$L$2:$M$4,2,FALSE)</f>
        <v>The Commissioner &amp; Chief Constable are satisfied the spend represents VFM in accordance with the requirements of Category B</v>
      </c>
    </row>
    <row r="286" spans="1:9" x14ac:dyDescent="0.2">
      <c r="A286" s="56" t="s">
        <v>8</v>
      </c>
      <c r="B286" s="55" t="s">
        <v>9</v>
      </c>
      <c r="C286" s="81" t="s">
        <v>900</v>
      </c>
      <c r="D286" s="53">
        <v>7179794</v>
      </c>
      <c r="E286" s="52">
        <v>45631</v>
      </c>
      <c r="F286" s="80">
        <v>1460</v>
      </c>
      <c r="G286" s="79" t="s">
        <v>131</v>
      </c>
      <c r="H286" s="49" t="str">
        <f>IF(F286&gt;25000,"C",IF(F286&gt;1000,"B","A"))</f>
        <v>B</v>
      </c>
      <c r="I286" s="48" t="str">
        <f>VLOOKUP(H286,$L$2:$M$4,2,FALSE)</f>
        <v>The Commissioner &amp; Chief Constable are satisfied the spend represents VFM in accordance with the requirements of Category B</v>
      </c>
    </row>
    <row r="287" spans="1:9" x14ac:dyDescent="0.2">
      <c r="A287" s="56" t="s">
        <v>8</v>
      </c>
      <c r="B287" s="55" t="s">
        <v>9</v>
      </c>
      <c r="C287" s="81" t="s">
        <v>900</v>
      </c>
      <c r="D287" s="53">
        <v>7180583</v>
      </c>
      <c r="E287" s="52">
        <v>45643</v>
      </c>
      <c r="F287" s="80">
        <v>1460</v>
      </c>
      <c r="G287" s="79" t="s">
        <v>131</v>
      </c>
      <c r="H287" s="49" t="str">
        <f>IF(F287&gt;25000,"C",IF(F287&gt;1000,"B","A"))</f>
        <v>B</v>
      </c>
      <c r="I287" s="48" t="str">
        <f>VLOOKUP(H287,$L$2:$M$4,2,FALSE)</f>
        <v>The Commissioner &amp; Chief Constable are satisfied the spend represents VFM in accordance with the requirements of Category B</v>
      </c>
    </row>
    <row r="288" spans="1:9" x14ac:dyDescent="0.2">
      <c r="A288" s="56" t="s">
        <v>8</v>
      </c>
      <c r="B288" s="55" t="s">
        <v>9</v>
      </c>
      <c r="C288" s="81" t="s">
        <v>900</v>
      </c>
      <c r="D288" s="53">
        <v>7180635</v>
      </c>
      <c r="E288" s="52">
        <v>45645</v>
      </c>
      <c r="F288" s="80">
        <v>1460</v>
      </c>
      <c r="G288" s="79" t="s">
        <v>131</v>
      </c>
      <c r="H288" s="49" t="str">
        <f>IF(F288&gt;25000,"C",IF(F288&gt;1000,"B","A"))</f>
        <v>B</v>
      </c>
      <c r="I288" s="48" t="str">
        <f>VLOOKUP(H288,$L$2:$M$4,2,FALSE)</f>
        <v>The Commissioner &amp; Chief Constable are satisfied the spend represents VFM in accordance with the requirements of Category B</v>
      </c>
    </row>
    <row r="289" spans="1:9" x14ac:dyDescent="0.2">
      <c r="A289" s="56" t="s">
        <v>8</v>
      </c>
      <c r="B289" s="55" t="s">
        <v>9</v>
      </c>
      <c r="C289" s="81" t="s">
        <v>527</v>
      </c>
      <c r="D289" s="53">
        <v>7179714</v>
      </c>
      <c r="E289" s="52">
        <v>45628</v>
      </c>
      <c r="F289" s="80">
        <v>1438.82</v>
      </c>
      <c r="G289" s="79" t="s">
        <v>296</v>
      </c>
      <c r="H289" s="49" t="str">
        <f>IF(F289&gt;25000,"C",IF(F289&gt;1000,"B","A"))</f>
        <v>B</v>
      </c>
      <c r="I289" s="48" t="str">
        <f>VLOOKUP(H289,$L$2:$M$4,2,FALSE)</f>
        <v>The Commissioner &amp; Chief Constable are satisfied the spend represents VFM in accordance with the requirements of Category B</v>
      </c>
    </row>
    <row r="290" spans="1:9" x14ac:dyDescent="0.2">
      <c r="A290" s="56" t="s">
        <v>8</v>
      </c>
      <c r="B290" s="55" t="s">
        <v>9</v>
      </c>
      <c r="C290" s="81" t="s">
        <v>412</v>
      </c>
      <c r="D290" s="53">
        <v>7180142</v>
      </c>
      <c r="E290" s="52">
        <v>45636</v>
      </c>
      <c r="F290" s="80">
        <v>1432.27</v>
      </c>
      <c r="G290" s="79" t="s">
        <v>388</v>
      </c>
      <c r="H290" s="49" t="str">
        <f>IF(F290&gt;25000,"C",IF(F290&gt;1000,"B","A"))</f>
        <v>B</v>
      </c>
      <c r="I290" s="48" t="str">
        <f>VLOOKUP(H290,$L$2:$M$4,2,FALSE)</f>
        <v>The Commissioner &amp; Chief Constable are satisfied the spend represents VFM in accordance with the requirements of Category B</v>
      </c>
    </row>
    <row r="291" spans="1:9" x14ac:dyDescent="0.2">
      <c r="A291" s="56" t="s">
        <v>8</v>
      </c>
      <c r="B291" s="55" t="s">
        <v>9</v>
      </c>
      <c r="C291" s="81" t="s">
        <v>463</v>
      </c>
      <c r="D291" s="53">
        <v>7180193</v>
      </c>
      <c r="E291" s="52">
        <v>45642</v>
      </c>
      <c r="F291" s="80">
        <v>1405.68</v>
      </c>
      <c r="G291" s="79" t="s">
        <v>376</v>
      </c>
      <c r="H291" s="49" t="str">
        <f>IF(F291&gt;25000,"C",IF(F291&gt;1000,"B","A"))</f>
        <v>B</v>
      </c>
      <c r="I291" s="48" t="str">
        <f>VLOOKUP(H291,$L$2:$M$4,2,FALSE)</f>
        <v>The Commissioner &amp; Chief Constable are satisfied the spend represents VFM in accordance with the requirements of Category B</v>
      </c>
    </row>
    <row r="292" spans="1:9" x14ac:dyDescent="0.2">
      <c r="A292" s="56" t="s">
        <v>8</v>
      </c>
      <c r="B292" s="55" t="s">
        <v>9</v>
      </c>
      <c r="C292" s="81" t="s">
        <v>240</v>
      </c>
      <c r="D292" s="53">
        <v>7180510</v>
      </c>
      <c r="E292" s="52">
        <v>45644</v>
      </c>
      <c r="F292" s="80">
        <v>1404.48</v>
      </c>
      <c r="G292" s="79" t="s">
        <v>241</v>
      </c>
      <c r="H292" s="49" t="str">
        <f>IF(F292&gt;25000,"C",IF(F292&gt;1000,"B","A"))</f>
        <v>B</v>
      </c>
      <c r="I292" s="48" t="str">
        <f>VLOOKUP(H292,$L$2:$M$4,2,FALSE)</f>
        <v>The Commissioner &amp; Chief Constable are satisfied the spend represents VFM in accordance with the requirements of Category B</v>
      </c>
    </row>
    <row r="293" spans="1:9" x14ac:dyDescent="0.2">
      <c r="A293" s="56" t="s">
        <v>8</v>
      </c>
      <c r="B293" s="55" t="s">
        <v>9</v>
      </c>
      <c r="C293" s="81" t="s">
        <v>250</v>
      </c>
      <c r="D293" s="53">
        <v>7179840</v>
      </c>
      <c r="E293" s="52">
        <v>45630</v>
      </c>
      <c r="F293" s="80">
        <v>1396.25</v>
      </c>
      <c r="G293" s="79" t="s">
        <v>251</v>
      </c>
      <c r="H293" s="49" t="str">
        <f>IF(F293&gt;25000,"C",IF(F293&gt;1000,"B","A"))</f>
        <v>B</v>
      </c>
      <c r="I293" s="48" t="str">
        <f>VLOOKUP(H293,$L$2:$M$4,2,FALSE)</f>
        <v>The Commissioner &amp; Chief Constable are satisfied the spend represents VFM in accordance with the requirements of Category B</v>
      </c>
    </row>
    <row r="294" spans="1:9" x14ac:dyDescent="0.2">
      <c r="A294" s="56" t="s">
        <v>8</v>
      </c>
      <c r="B294" s="55" t="s">
        <v>9</v>
      </c>
      <c r="C294" s="81" t="s">
        <v>998</v>
      </c>
      <c r="D294" s="53">
        <v>7180247</v>
      </c>
      <c r="E294" s="52">
        <v>45635</v>
      </c>
      <c r="F294" s="80">
        <v>1390</v>
      </c>
      <c r="G294" s="79" t="s">
        <v>15</v>
      </c>
      <c r="H294" s="49" t="str">
        <f>IF(F294&gt;25000,"C",IF(F294&gt;1000,"B","A"))</f>
        <v>B</v>
      </c>
      <c r="I294" s="48" t="str">
        <f>VLOOKUP(H294,$L$2:$M$4,2,FALSE)</f>
        <v>The Commissioner &amp; Chief Constable are satisfied the spend represents VFM in accordance with the requirements of Category B</v>
      </c>
    </row>
    <row r="295" spans="1:9" x14ac:dyDescent="0.2">
      <c r="A295" s="56" t="s">
        <v>8</v>
      </c>
      <c r="B295" s="55" t="s">
        <v>9</v>
      </c>
      <c r="C295" s="81" t="s">
        <v>134</v>
      </c>
      <c r="D295" s="53">
        <v>7180696</v>
      </c>
      <c r="E295" s="52">
        <v>45646</v>
      </c>
      <c r="F295" s="80">
        <v>1360</v>
      </c>
      <c r="G295" s="79" t="s">
        <v>112</v>
      </c>
      <c r="H295" s="49" t="str">
        <f>IF(F295&gt;25000,"C",IF(F295&gt;1000,"B","A"))</f>
        <v>B</v>
      </c>
      <c r="I295" s="48" t="str">
        <f>VLOOKUP(H295,$L$2:$M$4,2,FALSE)</f>
        <v>The Commissioner &amp; Chief Constable are satisfied the spend represents VFM in accordance with the requirements of Category B</v>
      </c>
    </row>
    <row r="296" spans="1:9" x14ac:dyDescent="0.2">
      <c r="A296" s="56" t="s">
        <v>8</v>
      </c>
      <c r="B296" s="55" t="s">
        <v>9</v>
      </c>
      <c r="C296" s="81" t="s">
        <v>997</v>
      </c>
      <c r="D296" s="53">
        <v>7180011</v>
      </c>
      <c r="E296" s="52">
        <v>45629</v>
      </c>
      <c r="F296" s="80">
        <v>1350</v>
      </c>
      <c r="G296" s="79" t="s">
        <v>15</v>
      </c>
      <c r="H296" s="49" t="str">
        <f>IF(F296&gt;25000,"C",IF(F296&gt;1000,"B","A"))</f>
        <v>B</v>
      </c>
      <c r="I296" s="48" t="str">
        <f>VLOOKUP(H296,$L$2:$M$4,2,FALSE)</f>
        <v>The Commissioner &amp; Chief Constable are satisfied the spend represents VFM in accordance with the requirements of Category B</v>
      </c>
    </row>
    <row r="297" spans="1:9" x14ac:dyDescent="0.2">
      <c r="A297" s="56" t="s">
        <v>8</v>
      </c>
      <c r="B297" s="55" t="s">
        <v>9</v>
      </c>
      <c r="C297" s="81" t="s">
        <v>348</v>
      </c>
      <c r="D297" s="53">
        <v>7179826</v>
      </c>
      <c r="E297" s="52">
        <v>45628</v>
      </c>
      <c r="F297" s="80">
        <v>1343.82</v>
      </c>
      <c r="G297" s="79" t="s">
        <v>131</v>
      </c>
      <c r="H297" s="49" t="str">
        <f>IF(F297&gt;25000,"C",IF(F297&gt;1000,"B","A"))</f>
        <v>B</v>
      </c>
      <c r="I297" s="48" t="str">
        <f>VLOOKUP(H297,$L$2:$M$4,2,FALSE)</f>
        <v>The Commissioner &amp; Chief Constable are satisfied the spend represents VFM in accordance with the requirements of Category B</v>
      </c>
    </row>
    <row r="298" spans="1:9" x14ac:dyDescent="0.2">
      <c r="A298" s="56" t="s">
        <v>8</v>
      </c>
      <c r="B298" s="55" t="s">
        <v>9</v>
      </c>
      <c r="C298" s="81" t="s">
        <v>305</v>
      </c>
      <c r="D298" s="53">
        <v>7179322</v>
      </c>
      <c r="E298" s="52">
        <v>45628</v>
      </c>
      <c r="F298" s="80">
        <v>1194.3499999999999</v>
      </c>
      <c r="G298" s="79" t="s">
        <v>306</v>
      </c>
      <c r="H298" s="49" t="str">
        <f>IF(F298&gt;25000,"C",IF(F298&gt;1000,"B","A"))</f>
        <v>B</v>
      </c>
      <c r="I298" s="48" t="str">
        <f>VLOOKUP(H298,$L$2:$M$4,2,FALSE)</f>
        <v>The Commissioner &amp; Chief Constable are satisfied the spend represents VFM in accordance with the requirements of Category B</v>
      </c>
    </row>
    <row r="299" spans="1:9" x14ac:dyDescent="0.2">
      <c r="A299" s="56" t="s">
        <v>8</v>
      </c>
      <c r="B299" s="55" t="s">
        <v>9</v>
      </c>
      <c r="C299" s="81" t="s">
        <v>305</v>
      </c>
      <c r="D299" s="53">
        <v>7179322</v>
      </c>
      <c r="E299" s="52">
        <v>45628</v>
      </c>
      <c r="F299" s="80">
        <v>143.32</v>
      </c>
      <c r="G299" s="79" t="s">
        <v>22</v>
      </c>
      <c r="H299" s="49" t="str">
        <f>IF(F299&gt;25000,"C",IF(F299&gt;1000,"B","A"))</f>
        <v>A</v>
      </c>
      <c r="I299" s="48" t="str">
        <f>VLOOKUP(H299,$L$2:$M$4,2,FALSE)</f>
        <v>The Commissioner &amp; Chief Constable are satisfied the spend represents VFM in accordance with the requirements of Category A</v>
      </c>
    </row>
    <row r="300" spans="1:9" x14ac:dyDescent="0.2">
      <c r="A300" s="56" t="s">
        <v>8</v>
      </c>
      <c r="B300" s="55" t="s">
        <v>9</v>
      </c>
      <c r="C300" s="81" t="s">
        <v>741</v>
      </c>
      <c r="D300" s="53">
        <v>7180345</v>
      </c>
      <c r="E300" s="52">
        <v>45639</v>
      </c>
      <c r="F300" s="80">
        <v>1328.82</v>
      </c>
      <c r="G300" s="79" t="s">
        <v>131</v>
      </c>
      <c r="H300" s="49" t="str">
        <f>IF(F300&gt;25000,"C",IF(F300&gt;1000,"B","A"))</f>
        <v>B</v>
      </c>
      <c r="I300" s="48" t="str">
        <f>VLOOKUP(H300,$L$2:$M$4,2,FALSE)</f>
        <v>The Commissioner &amp; Chief Constable are satisfied the spend represents VFM in accordance with the requirements of Category B</v>
      </c>
    </row>
    <row r="301" spans="1:9" x14ac:dyDescent="0.2">
      <c r="A301" s="56" t="s">
        <v>8</v>
      </c>
      <c r="B301" s="55" t="s">
        <v>9</v>
      </c>
      <c r="C301" s="81" t="s">
        <v>454</v>
      </c>
      <c r="D301" s="53">
        <v>7180597</v>
      </c>
      <c r="E301" s="52">
        <v>45643</v>
      </c>
      <c r="F301" s="80">
        <v>1323.41</v>
      </c>
      <c r="G301" s="79" t="s">
        <v>38</v>
      </c>
      <c r="H301" s="49" t="str">
        <f>IF(F301&gt;25000,"C",IF(F301&gt;1000,"B","A"))</f>
        <v>B</v>
      </c>
      <c r="I301" s="48" t="str">
        <f>VLOOKUP(H301,$L$2:$M$4,2,FALSE)</f>
        <v>The Commissioner &amp; Chief Constable are satisfied the spend represents VFM in accordance with the requirements of Category B</v>
      </c>
    </row>
    <row r="302" spans="1:9" x14ac:dyDescent="0.2">
      <c r="A302" s="56" t="s">
        <v>8</v>
      </c>
      <c r="B302" s="55" t="s">
        <v>9</v>
      </c>
      <c r="C302" s="81" t="s">
        <v>183</v>
      </c>
      <c r="D302" s="53">
        <v>7180550</v>
      </c>
      <c r="E302" s="52">
        <v>45644</v>
      </c>
      <c r="F302" s="80">
        <v>1315</v>
      </c>
      <c r="G302" s="79" t="s">
        <v>22</v>
      </c>
      <c r="H302" s="49" t="str">
        <f>IF(F302&gt;25000,"C",IF(F302&gt;1000,"B","A"))</f>
        <v>B</v>
      </c>
      <c r="I302" s="48" t="str">
        <f>VLOOKUP(H302,$L$2:$M$4,2,FALSE)</f>
        <v>The Commissioner &amp; Chief Constable are satisfied the spend represents VFM in accordance with the requirements of Category B</v>
      </c>
    </row>
    <row r="303" spans="1:9" x14ac:dyDescent="0.2">
      <c r="A303" s="56" t="s">
        <v>8</v>
      </c>
      <c r="B303" s="55" t="s">
        <v>9</v>
      </c>
      <c r="C303" s="81" t="s">
        <v>90</v>
      </c>
      <c r="D303" s="53">
        <v>7180658</v>
      </c>
      <c r="E303" s="52">
        <v>45649</v>
      </c>
      <c r="F303" s="80">
        <v>1313.36</v>
      </c>
      <c r="G303" s="79" t="s">
        <v>91</v>
      </c>
      <c r="H303" s="49" t="str">
        <f>IF(F303&gt;25000,"C",IF(F303&gt;1000,"B","A"))</f>
        <v>B</v>
      </c>
      <c r="I303" s="48" t="str">
        <f>VLOOKUP(H303,$L$2:$M$4,2,FALSE)</f>
        <v>The Commissioner &amp; Chief Constable are satisfied the spend represents VFM in accordance with the requirements of Category B</v>
      </c>
    </row>
    <row r="304" spans="1:9" x14ac:dyDescent="0.2">
      <c r="A304" s="56" t="s">
        <v>8</v>
      </c>
      <c r="B304" s="55" t="s">
        <v>9</v>
      </c>
      <c r="C304" s="81" t="s">
        <v>996</v>
      </c>
      <c r="D304" s="53">
        <v>7179915</v>
      </c>
      <c r="E304" s="52">
        <v>45628</v>
      </c>
      <c r="F304" s="80">
        <v>1300</v>
      </c>
      <c r="G304" s="79" t="s">
        <v>22</v>
      </c>
      <c r="H304" s="49" t="str">
        <f>IF(F304&gt;25000,"C",IF(F304&gt;1000,"B","A"))</f>
        <v>B</v>
      </c>
      <c r="I304" s="48" t="str">
        <f>VLOOKUP(H304,$L$2:$M$4,2,FALSE)</f>
        <v>The Commissioner &amp; Chief Constable are satisfied the spend represents VFM in accordance with the requirements of Category B</v>
      </c>
    </row>
    <row r="305" spans="1:9" x14ac:dyDescent="0.2">
      <c r="A305" s="56" t="s">
        <v>8</v>
      </c>
      <c r="B305" s="55" t="s">
        <v>9</v>
      </c>
      <c r="C305" s="81" t="s">
        <v>238</v>
      </c>
      <c r="D305" s="53">
        <v>7180415</v>
      </c>
      <c r="E305" s="52">
        <v>45645</v>
      </c>
      <c r="F305" s="80">
        <v>1300</v>
      </c>
      <c r="G305" s="79" t="s">
        <v>106</v>
      </c>
      <c r="H305" s="49" t="str">
        <f>IF(F305&gt;25000,"C",IF(F305&gt;1000,"B","A"))</f>
        <v>B</v>
      </c>
      <c r="I305" s="48" t="str">
        <f>VLOOKUP(H305,$L$2:$M$4,2,FALSE)</f>
        <v>The Commissioner &amp; Chief Constable are satisfied the spend represents VFM in accordance with the requirements of Category B</v>
      </c>
    </row>
    <row r="306" spans="1:9" x14ac:dyDescent="0.2">
      <c r="A306" s="56" t="s">
        <v>8</v>
      </c>
      <c r="B306" s="55" t="s">
        <v>9</v>
      </c>
      <c r="C306" s="82" t="s">
        <v>995</v>
      </c>
      <c r="D306" s="53">
        <v>7179685</v>
      </c>
      <c r="E306" s="52">
        <v>45635</v>
      </c>
      <c r="F306" s="80">
        <v>1260.29</v>
      </c>
      <c r="G306" s="79" t="s">
        <v>177</v>
      </c>
      <c r="H306" s="49" t="str">
        <f>IF(F306&gt;25000,"C",IF(F306&gt;1000,"B","A"))</f>
        <v>B</v>
      </c>
      <c r="I306" s="48" t="str">
        <f>VLOOKUP(H306,$L$2:$M$4,2,FALSE)</f>
        <v>The Commissioner &amp; Chief Constable are satisfied the spend represents VFM in accordance with the requirements of Category B</v>
      </c>
    </row>
    <row r="307" spans="1:9" x14ac:dyDescent="0.2">
      <c r="A307" s="56" t="s">
        <v>8</v>
      </c>
      <c r="B307" s="55" t="s">
        <v>9</v>
      </c>
      <c r="C307" s="81" t="s">
        <v>256</v>
      </c>
      <c r="D307" s="53">
        <v>7180767</v>
      </c>
      <c r="E307" s="52">
        <v>45653</v>
      </c>
      <c r="F307" s="83">
        <v>1239.4000000000001</v>
      </c>
      <c r="G307" s="79" t="s">
        <v>203</v>
      </c>
      <c r="H307" s="49" t="str">
        <f>IF(F307&gt;25000,"C",IF(F307&gt;1000,"B","A"))</f>
        <v>B</v>
      </c>
      <c r="I307" s="48" t="str">
        <f>VLOOKUP(H307,$L$2:$M$4,2,FALSE)</f>
        <v>The Commissioner &amp; Chief Constable are satisfied the spend represents VFM in accordance with the requirements of Category B</v>
      </c>
    </row>
    <row r="308" spans="1:9" x14ac:dyDescent="0.2">
      <c r="A308" s="56" t="s">
        <v>8</v>
      </c>
      <c r="B308" s="55" t="s">
        <v>9</v>
      </c>
      <c r="C308" s="81" t="s">
        <v>119</v>
      </c>
      <c r="D308" s="53">
        <v>7180469</v>
      </c>
      <c r="E308" s="52">
        <v>45642</v>
      </c>
      <c r="F308" s="80">
        <v>1238.3699999999999</v>
      </c>
      <c r="G308" s="79" t="s">
        <v>120</v>
      </c>
      <c r="H308" s="49" t="str">
        <f>IF(F308&gt;25000,"C",IF(F308&gt;1000,"B","A"))</f>
        <v>B</v>
      </c>
      <c r="I308" s="48" t="str">
        <f>VLOOKUP(H308,$L$2:$M$4,2,FALSE)</f>
        <v>The Commissioner &amp; Chief Constable are satisfied the spend represents VFM in accordance with the requirements of Category B</v>
      </c>
    </row>
    <row r="309" spans="1:9" x14ac:dyDescent="0.2">
      <c r="A309" s="56" t="s">
        <v>8</v>
      </c>
      <c r="B309" s="55" t="s">
        <v>9</v>
      </c>
      <c r="C309" s="81" t="s">
        <v>305</v>
      </c>
      <c r="D309" s="53">
        <v>7179323</v>
      </c>
      <c r="E309" s="52">
        <v>45628</v>
      </c>
      <c r="F309" s="80">
        <v>1099.9000000000001</v>
      </c>
      <c r="G309" s="79" t="s">
        <v>306</v>
      </c>
      <c r="H309" s="49" t="str">
        <f>IF(F309&gt;25000,"C",IF(F309&gt;1000,"B","A"))</f>
        <v>B</v>
      </c>
      <c r="I309" s="48" t="str">
        <f>VLOOKUP(H309,$L$2:$M$4,2,FALSE)</f>
        <v>The Commissioner &amp; Chief Constable are satisfied the spend represents VFM in accordance with the requirements of Category B</v>
      </c>
    </row>
    <row r="310" spans="1:9" x14ac:dyDescent="0.2">
      <c r="A310" s="56" t="s">
        <v>8</v>
      </c>
      <c r="B310" s="55" t="s">
        <v>9</v>
      </c>
      <c r="C310" s="81" t="s">
        <v>305</v>
      </c>
      <c r="D310" s="53">
        <v>7179323</v>
      </c>
      <c r="E310" s="52">
        <v>45628</v>
      </c>
      <c r="F310" s="80">
        <v>131.99</v>
      </c>
      <c r="G310" s="79" t="s">
        <v>22</v>
      </c>
      <c r="H310" s="49" t="str">
        <f>IF(F310&gt;25000,"C",IF(F310&gt;1000,"B","A"))</f>
        <v>A</v>
      </c>
      <c r="I310" s="48" t="str">
        <f>VLOOKUP(H310,$L$2:$M$4,2,FALSE)</f>
        <v>The Commissioner &amp; Chief Constable are satisfied the spend represents VFM in accordance with the requirements of Category A</v>
      </c>
    </row>
    <row r="311" spans="1:9" x14ac:dyDescent="0.2">
      <c r="A311" s="56" t="s">
        <v>8</v>
      </c>
      <c r="B311" s="55" t="s">
        <v>9</v>
      </c>
      <c r="C311" s="81" t="s">
        <v>727</v>
      </c>
      <c r="D311" s="53">
        <v>7180725</v>
      </c>
      <c r="E311" s="52">
        <v>45646</v>
      </c>
      <c r="F311" s="80">
        <v>1230.83</v>
      </c>
      <c r="G311" s="79" t="s">
        <v>106</v>
      </c>
      <c r="H311" s="49" t="str">
        <f>IF(F311&gt;25000,"C",IF(F311&gt;1000,"B","A"))</f>
        <v>B</v>
      </c>
      <c r="I311" s="48" t="str">
        <f>VLOOKUP(H311,$L$2:$M$4,2,FALSE)</f>
        <v>The Commissioner &amp; Chief Constable are satisfied the spend represents VFM in accordance with the requirements of Category B</v>
      </c>
    </row>
    <row r="312" spans="1:9" x14ac:dyDescent="0.2">
      <c r="A312" s="56" t="s">
        <v>8</v>
      </c>
      <c r="B312" s="55" t="s">
        <v>9</v>
      </c>
      <c r="C312" s="81" t="s">
        <v>26</v>
      </c>
      <c r="D312" s="53">
        <v>7180348</v>
      </c>
      <c r="E312" s="52">
        <v>45637</v>
      </c>
      <c r="F312" s="80">
        <v>1213.1199999999999</v>
      </c>
      <c r="G312" s="79" t="s">
        <v>88</v>
      </c>
      <c r="H312" s="49" t="str">
        <f>IF(F312&gt;25000,"C",IF(F312&gt;1000,"B","A"))</f>
        <v>B</v>
      </c>
      <c r="I312" s="48" t="str">
        <f>VLOOKUP(H312,$L$2:$M$4,2,FALSE)</f>
        <v>The Commissioner &amp; Chief Constable are satisfied the spend represents VFM in accordance with the requirements of Category B</v>
      </c>
    </row>
    <row r="313" spans="1:9" x14ac:dyDescent="0.2">
      <c r="A313" s="56" t="s">
        <v>8</v>
      </c>
      <c r="B313" s="55" t="s">
        <v>9</v>
      </c>
      <c r="C313" s="81" t="s">
        <v>305</v>
      </c>
      <c r="D313" s="53">
        <v>7180664</v>
      </c>
      <c r="E313" s="52">
        <v>45645</v>
      </c>
      <c r="F313" s="80">
        <v>1212.3800000000001</v>
      </c>
      <c r="G313" s="79" t="s">
        <v>22</v>
      </c>
      <c r="H313" s="49" t="str">
        <f>IF(F313&gt;25000,"C",IF(F313&gt;1000,"B","A"))</f>
        <v>B</v>
      </c>
      <c r="I313" s="48" t="str">
        <f>VLOOKUP(H313,$L$2:$M$4,2,FALSE)</f>
        <v>The Commissioner &amp; Chief Constable are satisfied the spend represents VFM in accordance with the requirements of Category B</v>
      </c>
    </row>
    <row r="314" spans="1:9" x14ac:dyDescent="0.2">
      <c r="A314" s="56" t="s">
        <v>8</v>
      </c>
      <c r="B314" s="55" t="s">
        <v>9</v>
      </c>
      <c r="C314" s="81" t="s">
        <v>404</v>
      </c>
      <c r="D314" s="53">
        <v>7178794</v>
      </c>
      <c r="E314" s="52">
        <v>45628</v>
      </c>
      <c r="F314" s="80">
        <v>1180.24</v>
      </c>
      <c r="G314" s="79" t="s">
        <v>155</v>
      </c>
      <c r="H314" s="49" t="str">
        <f>IF(F314&gt;25000,"C",IF(F314&gt;1000,"B","A"))</f>
        <v>B</v>
      </c>
      <c r="I314" s="48" t="str">
        <f>VLOOKUP(H314,$L$2:$M$4,2,FALSE)</f>
        <v>The Commissioner &amp; Chief Constable are satisfied the spend represents VFM in accordance with the requirements of Category B</v>
      </c>
    </row>
    <row r="315" spans="1:9" x14ac:dyDescent="0.2">
      <c r="A315" s="56" t="s">
        <v>8</v>
      </c>
      <c r="B315" s="55" t="s">
        <v>9</v>
      </c>
      <c r="C315" s="81" t="s">
        <v>135</v>
      </c>
      <c r="D315" s="53">
        <v>7180461</v>
      </c>
      <c r="E315" s="52">
        <v>45645</v>
      </c>
      <c r="F315" s="80">
        <v>1179.3499999999999</v>
      </c>
      <c r="G315" s="79" t="s">
        <v>40</v>
      </c>
      <c r="H315" s="49" t="str">
        <f>IF(F315&gt;25000,"C",IF(F315&gt;1000,"B","A"))</f>
        <v>B</v>
      </c>
      <c r="I315" s="48" t="str">
        <f>VLOOKUP(H315,$L$2:$M$4,2,FALSE)</f>
        <v>The Commissioner &amp; Chief Constable are satisfied the spend represents VFM in accordance with the requirements of Category B</v>
      </c>
    </row>
    <row r="316" spans="1:9" x14ac:dyDescent="0.2">
      <c r="A316" s="56" t="s">
        <v>8</v>
      </c>
      <c r="B316" s="55" t="s">
        <v>9</v>
      </c>
      <c r="C316" s="81" t="s">
        <v>433</v>
      </c>
      <c r="D316" s="53">
        <v>7180223</v>
      </c>
      <c r="E316" s="52">
        <v>45637</v>
      </c>
      <c r="F316" s="80">
        <v>1144.7</v>
      </c>
      <c r="G316" s="79" t="s">
        <v>94</v>
      </c>
      <c r="H316" s="49" t="str">
        <f>IF(F316&gt;25000,"C",IF(F316&gt;1000,"B","A"))</f>
        <v>B</v>
      </c>
      <c r="I316" s="48" t="str">
        <f>VLOOKUP(H316,$L$2:$M$4,2,FALSE)</f>
        <v>The Commissioner &amp; Chief Constable are satisfied the spend represents VFM in accordance with the requirements of Category B</v>
      </c>
    </row>
    <row r="317" spans="1:9" x14ac:dyDescent="0.2">
      <c r="A317" s="56" t="s">
        <v>8</v>
      </c>
      <c r="B317" s="55" t="s">
        <v>9</v>
      </c>
      <c r="C317" s="81" t="s">
        <v>305</v>
      </c>
      <c r="D317" s="53">
        <v>7180447</v>
      </c>
      <c r="E317" s="52">
        <v>45645</v>
      </c>
      <c r="F317" s="80">
        <v>1137.25</v>
      </c>
      <c r="G317" s="79" t="s">
        <v>306</v>
      </c>
      <c r="H317" s="49" t="str">
        <f>IF(F317&gt;25000,"C",IF(F317&gt;1000,"B","A"))</f>
        <v>B</v>
      </c>
      <c r="I317" s="48" t="str">
        <f>VLOOKUP(H317,$L$2:$M$4,2,FALSE)</f>
        <v>The Commissioner &amp; Chief Constable are satisfied the spend represents VFM in accordance with the requirements of Category B</v>
      </c>
    </row>
    <row r="318" spans="1:9" x14ac:dyDescent="0.2">
      <c r="A318" s="56" t="s">
        <v>8</v>
      </c>
      <c r="B318" s="55" t="s">
        <v>9</v>
      </c>
      <c r="C318" s="81" t="s">
        <v>281</v>
      </c>
      <c r="D318" s="53">
        <v>7179955</v>
      </c>
      <c r="E318" s="52">
        <v>45636</v>
      </c>
      <c r="F318" s="80">
        <v>1131.06</v>
      </c>
      <c r="G318" s="79" t="s">
        <v>209</v>
      </c>
      <c r="H318" s="49" t="str">
        <f>IF(F318&gt;25000,"C",IF(F318&gt;1000,"B","A"))</f>
        <v>B</v>
      </c>
      <c r="I318" s="48" t="str">
        <f>VLOOKUP(H318,$L$2:$M$4,2,FALSE)</f>
        <v>The Commissioner &amp; Chief Constable are satisfied the spend represents VFM in accordance with the requirements of Category B</v>
      </c>
    </row>
    <row r="319" spans="1:9" x14ac:dyDescent="0.2">
      <c r="A319" s="56" t="s">
        <v>8</v>
      </c>
      <c r="B319" s="55" t="s">
        <v>9</v>
      </c>
      <c r="C319" s="81" t="s">
        <v>124</v>
      </c>
      <c r="D319" s="53">
        <v>7180137</v>
      </c>
      <c r="E319" s="52">
        <v>45631</v>
      </c>
      <c r="F319" s="80">
        <v>1128.78</v>
      </c>
      <c r="G319" s="79" t="s">
        <v>112</v>
      </c>
      <c r="H319" s="49" t="str">
        <f>IF(F319&gt;25000,"C",IF(F319&gt;1000,"B","A"))</f>
        <v>B</v>
      </c>
      <c r="I319" s="48" t="str">
        <f>VLOOKUP(H319,$L$2:$M$4,2,FALSE)</f>
        <v>The Commissioner &amp; Chief Constable are satisfied the spend represents VFM in accordance with the requirements of Category B</v>
      </c>
    </row>
    <row r="320" spans="1:9" x14ac:dyDescent="0.2">
      <c r="A320" s="56" t="s">
        <v>8</v>
      </c>
      <c r="B320" s="55" t="s">
        <v>9</v>
      </c>
      <c r="C320" s="81" t="s">
        <v>149</v>
      </c>
      <c r="D320" s="53">
        <v>7180323</v>
      </c>
      <c r="E320" s="52">
        <v>45645</v>
      </c>
      <c r="F320" s="80">
        <v>1126.8699999999999</v>
      </c>
      <c r="G320" s="79" t="s">
        <v>138</v>
      </c>
      <c r="H320" s="49" t="str">
        <f>IF(F320&gt;25000,"C",IF(F320&gt;1000,"B","A"))</f>
        <v>B</v>
      </c>
      <c r="I320" s="48" t="str">
        <f>VLOOKUP(H320,$L$2:$M$4,2,FALSE)</f>
        <v>The Commissioner &amp; Chief Constable are satisfied the spend represents VFM in accordance with the requirements of Category B</v>
      </c>
    </row>
    <row r="321" spans="1:9" x14ac:dyDescent="0.2">
      <c r="A321" s="56" t="s">
        <v>8</v>
      </c>
      <c r="B321" s="55" t="s">
        <v>9</v>
      </c>
      <c r="C321" s="81" t="s">
        <v>181</v>
      </c>
      <c r="D321" s="53">
        <v>7179331</v>
      </c>
      <c r="E321" s="52">
        <v>45657</v>
      </c>
      <c r="F321" s="80">
        <v>1112</v>
      </c>
      <c r="G321" s="79" t="s">
        <v>106</v>
      </c>
      <c r="H321" s="49" t="str">
        <f>IF(F321&gt;25000,"C",IF(F321&gt;1000,"B","A"))</f>
        <v>B</v>
      </c>
      <c r="I321" s="48" t="str">
        <f>VLOOKUP(H321,$L$2:$M$4,2,FALSE)</f>
        <v>The Commissioner &amp; Chief Constable are satisfied the spend represents VFM in accordance with the requirements of Category B</v>
      </c>
    </row>
    <row r="322" spans="1:9" x14ac:dyDescent="0.2">
      <c r="A322" s="56" t="s">
        <v>8</v>
      </c>
      <c r="B322" s="55" t="s">
        <v>9</v>
      </c>
      <c r="C322" s="81" t="s">
        <v>181</v>
      </c>
      <c r="D322" s="53">
        <v>7177549</v>
      </c>
      <c r="E322" s="52">
        <v>45657</v>
      </c>
      <c r="F322" s="80">
        <v>1112</v>
      </c>
      <c r="G322" s="79" t="s">
        <v>106</v>
      </c>
      <c r="H322" s="49" t="str">
        <f>IF(F322&gt;25000,"C",IF(F322&gt;1000,"B","A"))</f>
        <v>B</v>
      </c>
      <c r="I322" s="48" t="str">
        <f>VLOOKUP(H322,$L$2:$M$4,2,FALSE)</f>
        <v>The Commissioner &amp; Chief Constable are satisfied the spend represents VFM in accordance with the requirements of Category B</v>
      </c>
    </row>
    <row r="323" spans="1:9" x14ac:dyDescent="0.2">
      <c r="A323" s="56" t="s">
        <v>8</v>
      </c>
      <c r="B323" s="55" t="s">
        <v>9</v>
      </c>
      <c r="C323" s="81" t="s">
        <v>293</v>
      </c>
      <c r="D323" s="53">
        <v>7178037</v>
      </c>
      <c r="E323" s="52">
        <v>45642</v>
      </c>
      <c r="F323" s="80">
        <v>1106.31</v>
      </c>
      <c r="G323" s="79" t="s">
        <v>133</v>
      </c>
      <c r="H323" s="49" t="str">
        <f>IF(F323&gt;25000,"C",IF(F323&gt;1000,"B","A"))</f>
        <v>B</v>
      </c>
      <c r="I323" s="48" t="str">
        <f>VLOOKUP(H323,$L$2:$M$4,2,FALSE)</f>
        <v>The Commissioner &amp; Chief Constable are satisfied the spend represents VFM in accordance with the requirements of Category B</v>
      </c>
    </row>
    <row r="324" spans="1:9" x14ac:dyDescent="0.2">
      <c r="A324" s="56" t="s">
        <v>8</v>
      </c>
      <c r="B324" s="55" t="s">
        <v>9</v>
      </c>
      <c r="C324" s="81" t="s">
        <v>172</v>
      </c>
      <c r="D324" s="53">
        <v>7179864</v>
      </c>
      <c r="E324" s="52">
        <v>45628</v>
      </c>
      <c r="F324" s="80">
        <v>1103.44</v>
      </c>
      <c r="G324" s="79" t="s">
        <v>112</v>
      </c>
      <c r="H324" s="49" t="str">
        <f>IF(F324&gt;25000,"C",IF(F324&gt;1000,"B","A"))</f>
        <v>B</v>
      </c>
      <c r="I324" s="48" t="str">
        <f>VLOOKUP(H324,$L$2:$M$4,2,FALSE)</f>
        <v>The Commissioner &amp; Chief Constable are satisfied the spend represents VFM in accordance with the requirements of Category B</v>
      </c>
    </row>
    <row r="325" spans="1:9" x14ac:dyDescent="0.2">
      <c r="A325" s="56" t="s">
        <v>8</v>
      </c>
      <c r="B325" s="55" t="s">
        <v>9</v>
      </c>
      <c r="C325" s="81" t="s">
        <v>172</v>
      </c>
      <c r="D325" s="53">
        <v>7179865</v>
      </c>
      <c r="E325" s="52">
        <v>45628</v>
      </c>
      <c r="F325" s="80">
        <v>1103.44</v>
      </c>
      <c r="G325" s="79" t="s">
        <v>112</v>
      </c>
      <c r="H325" s="49" t="str">
        <f>IF(F325&gt;25000,"C",IF(F325&gt;1000,"B","A"))</f>
        <v>B</v>
      </c>
      <c r="I325" s="48" t="str">
        <f>VLOOKUP(H325,$L$2:$M$4,2,FALSE)</f>
        <v>The Commissioner &amp; Chief Constable are satisfied the spend represents VFM in accordance with the requirements of Category B</v>
      </c>
    </row>
    <row r="326" spans="1:9" x14ac:dyDescent="0.2">
      <c r="A326" s="56" t="s">
        <v>8</v>
      </c>
      <c r="B326" s="55" t="s">
        <v>9</v>
      </c>
      <c r="C326" s="81" t="s">
        <v>181</v>
      </c>
      <c r="D326" s="53">
        <v>7180448</v>
      </c>
      <c r="E326" s="52">
        <v>45645</v>
      </c>
      <c r="F326" s="80">
        <v>1095.5</v>
      </c>
      <c r="G326" s="79" t="s">
        <v>106</v>
      </c>
      <c r="H326" s="49" t="str">
        <f>IF(F326&gt;25000,"C",IF(F326&gt;1000,"B","A"))</f>
        <v>B</v>
      </c>
      <c r="I326" s="48" t="str">
        <f>VLOOKUP(H326,$L$2:$M$4,2,FALSE)</f>
        <v>The Commissioner &amp; Chief Constable are satisfied the spend represents VFM in accordance with the requirements of Category B</v>
      </c>
    </row>
    <row r="327" spans="1:9" x14ac:dyDescent="0.2">
      <c r="A327" s="56" t="s">
        <v>8</v>
      </c>
      <c r="B327" s="55" t="s">
        <v>9</v>
      </c>
      <c r="C327" s="81" t="s">
        <v>181</v>
      </c>
      <c r="D327" s="53">
        <v>7180552</v>
      </c>
      <c r="E327" s="52">
        <v>45643</v>
      </c>
      <c r="F327" s="80">
        <v>1095.5</v>
      </c>
      <c r="G327" s="79" t="s">
        <v>106</v>
      </c>
      <c r="H327" s="49" t="str">
        <f>IF(F327&gt;25000,"C",IF(F327&gt;1000,"B","A"))</f>
        <v>B</v>
      </c>
      <c r="I327" s="48" t="str">
        <f>VLOOKUP(H327,$L$2:$M$4,2,FALSE)</f>
        <v>The Commissioner &amp; Chief Constable are satisfied the spend represents VFM in accordance with the requirements of Category B</v>
      </c>
    </row>
    <row r="328" spans="1:9" x14ac:dyDescent="0.2">
      <c r="A328" s="56" t="s">
        <v>8</v>
      </c>
      <c r="B328" s="55" t="s">
        <v>9</v>
      </c>
      <c r="C328" s="81" t="s">
        <v>741</v>
      </c>
      <c r="D328" s="53">
        <v>7180346</v>
      </c>
      <c r="E328" s="52">
        <v>45639</v>
      </c>
      <c r="F328" s="80">
        <v>1085.7</v>
      </c>
      <c r="G328" s="79" t="s">
        <v>131</v>
      </c>
      <c r="H328" s="49" t="str">
        <f>IF(F328&gt;25000,"C",IF(F328&gt;1000,"B","A"))</f>
        <v>B</v>
      </c>
      <c r="I328" s="48" t="str">
        <f>VLOOKUP(H328,$L$2:$M$4,2,FALSE)</f>
        <v>The Commissioner &amp; Chief Constable are satisfied the spend represents VFM in accordance with the requirements of Category B</v>
      </c>
    </row>
    <row r="329" spans="1:9" x14ac:dyDescent="0.2">
      <c r="A329" s="56" t="s">
        <v>8</v>
      </c>
      <c r="B329" s="55" t="s">
        <v>9</v>
      </c>
      <c r="C329" s="81" t="s">
        <v>314</v>
      </c>
      <c r="D329" s="53">
        <v>7180450</v>
      </c>
      <c r="E329" s="52">
        <v>45642</v>
      </c>
      <c r="F329" s="80">
        <v>268</v>
      </c>
      <c r="G329" s="79" t="s">
        <v>315</v>
      </c>
      <c r="H329" s="49" t="str">
        <f>IF(F329&gt;25000,"C",IF(F329&gt;1000,"B","A"))</f>
        <v>A</v>
      </c>
      <c r="I329" s="48" t="str">
        <f>VLOOKUP(H329,$L$2:$M$4,2,FALSE)</f>
        <v>The Commissioner &amp; Chief Constable are satisfied the spend represents VFM in accordance with the requirements of Category A</v>
      </c>
    </row>
    <row r="330" spans="1:9" x14ac:dyDescent="0.2">
      <c r="A330" s="56" t="s">
        <v>8</v>
      </c>
      <c r="B330" s="55" t="s">
        <v>9</v>
      </c>
      <c r="C330" s="81" t="s">
        <v>314</v>
      </c>
      <c r="D330" s="53">
        <v>7180450</v>
      </c>
      <c r="E330" s="52">
        <v>45642</v>
      </c>
      <c r="F330" s="80">
        <v>816.78</v>
      </c>
      <c r="G330" s="79" t="s">
        <v>382</v>
      </c>
      <c r="H330" s="49" t="str">
        <f>IF(F330&gt;25000,"C",IF(F330&gt;1000,"B","A"))</f>
        <v>A</v>
      </c>
      <c r="I330" s="48" t="str">
        <f>VLOOKUP(H330,$L$2:$M$4,2,FALSE)</f>
        <v>The Commissioner &amp; Chief Constable are satisfied the spend represents VFM in accordance with the requirements of Category A</v>
      </c>
    </row>
    <row r="331" spans="1:9" x14ac:dyDescent="0.2">
      <c r="A331" s="56" t="s">
        <v>8</v>
      </c>
      <c r="B331" s="55" t="s">
        <v>9</v>
      </c>
      <c r="C331" s="81" t="s">
        <v>10</v>
      </c>
      <c r="D331" s="53">
        <v>7180321</v>
      </c>
      <c r="E331" s="52">
        <v>45646</v>
      </c>
      <c r="F331" s="80">
        <v>1056</v>
      </c>
      <c r="G331" s="79" t="s">
        <v>22</v>
      </c>
      <c r="H331" s="49" t="str">
        <f>IF(F331&gt;25000,"C",IF(F331&gt;1000,"B","A"))</f>
        <v>B</v>
      </c>
      <c r="I331" s="48" t="str">
        <f>VLOOKUP(H331,$L$2:$M$4,2,FALSE)</f>
        <v>The Commissioner &amp; Chief Constable are satisfied the spend represents VFM in accordance with the requirements of Category B</v>
      </c>
    </row>
    <row r="332" spans="1:9" x14ac:dyDescent="0.2">
      <c r="A332" s="56" t="s">
        <v>8</v>
      </c>
      <c r="B332" s="55" t="s">
        <v>9</v>
      </c>
      <c r="C332" s="81" t="s">
        <v>401</v>
      </c>
      <c r="D332" s="53">
        <v>7180336</v>
      </c>
      <c r="E332" s="52">
        <v>45645</v>
      </c>
      <c r="F332" s="80">
        <v>1054.6500000000001</v>
      </c>
      <c r="G332" s="79" t="s">
        <v>42</v>
      </c>
      <c r="H332" s="49" t="str">
        <f>IF(F332&gt;25000,"C",IF(F332&gt;1000,"B","A"))</f>
        <v>B</v>
      </c>
      <c r="I332" s="48" t="str">
        <f>VLOOKUP(H332,$L$2:$M$4,2,FALSE)</f>
        <v>The Commissioner &amp; Chief Constable are satisfied the spend represents VFM in accordance with the requirements of Category B</v>
      </c>
    </row>
    <row r="333" spans="1:9" x14ac:dyDescent="0.2">
      <c r="A333" s="56" t="s">
        <v>8</v>
      </c>
      <c r="B333" s="55" t="s">
        <v>9</v>
      </c>
      <c r="C333" s="81" t="s">
        <v>107</v>
      </c>
      <c r="D333" s="53">
        <v>7180114</v>
      </c>
      <c r="E333" s="52">
        <v>45631</v>
      </c>
      <c r="F333" s="80">
        <v>1053.8</v>
      </c>
      <c r="G333" s="79" t="s">
        <v>108</v>
      </c>
      <c r="H333" s="49" t="str">
        <f>IF(F333&gt;25000,"C",IF(F333&gt;1000,"B","A"))</f>
        <v>B</v>
      </c>
      <c r="I333" s="48" t="str">
        <f>VLOOKUP(H333,$L$2:$M$4,2,FALSE)</f>
        <v>The Commissioner &amp; Chief Constable are satisfied the spend represents VFM in accordance with the requirements of Category B</v>
      </c>
    </row>
    <row r="334" spans="1:9" x14ac:dyDescent="0.2">
      <c r="A334" s="56" t="s">
        <v>8</v>
      </c>
      <c r="B334" s="55" t="s">
        <v>9</v>
      </c>
      <c r="C334" s="81" t="s">
        <v>410</v>
      </c>
      <c r="D334" s="53">
        <v>7179851</v>
      </c>
      <c r="E334" s="52">
        <v>45638</v>
      </c>
      <c r="F334" s="80">
        <v>1050</v>
      </c>
      <c r="G334" s="79" t="s">
        <v>106</v>
      </c>
      <c r="H334" s="49" t="str">
        <f>IF(F334&gt;25000,"C",IF(F334&gt;1000,"B","A"))</f>
        <v>B</v>
      </c>
      <c r="I334" s="48" t="str">
        <f>VLOOKUP(H334,$L$2:$M$4,2,FALSE)</f>
        <v>The Commissioner &amp; Chief Constable are satisfied the spend represents VFM in accordance with the requirements of Category B</v>
      </c>
    </row>
    <row r="335" spans="1:9" x14ac:dyDescent="0.2">
      <c r="A335" s="56" t="s">
        <v>8</v>
      </c>
      <c r="B335" s="55" t="s">
        <v>9</v>
      </c>
      <c r="C335" s="81" t="s">
        <v>284</v>
      </c>
      <c r="D335" s="53">
        <v>7179816</v>
      </c>
      <c r="E335" s="52">
        <v>45631</v>
      </c>
      <c r="F335" s="80">
        <v>1046.0999999999999</v>
      </c>
      <c r="G335" s="79" t="s">
        <v>131</v>
      </c>
      <c r="H335" s="49" t="str">
        <f>IF(F335&gt;25000,"C",IF(F335&gt;1000,"B","A"))</f>
        <v>B</v>
      </c>
      <c r="I335" s="48" t="str">
        <f>VLOOKUP(H335,$L$2:$M$4,2,FALSE)</f>
        <v>The Commissioner &amp; Chief Constable are satisfied the spend represents VFM in accordance with the requirements of Category B</v>
      </c>
    </row>
    <row r="336" spans="1:9" x14ac:dyDescent="0.2">
      <c r="A336" s="56" t="s">
        <v>8</v>
      </c>
      <c r="B336" s="55" t="s">
        <v>9</v>
      </c>
      <c r="C336" s="81" t="s">
        <v>994</v>
      </c>
      <c r="D336" s="53">
        <v>7180265</v>
      </c>
      <c r="E336" s="52">
        <v>45638</v>
      </c>
      <c r="F336" s="80">
        <v>1004.25</v>
      </c>
      <c r="G336" s="79" t="s">
        <v>155</v>
      </c>
      <c r="H336" s="49" t="str">
        <f>IF(F336&gt;25000,"C",IF(F336&gt;1000,"B","A"))</f>
        <v>B</v>
      </c>
      <c r="I336" s="48" t="str">
        <f>VLOOKUP(H336,$L$2:$M$4,2,FALSE)</f>
        <v>The Commissioner &amp; Chief Constable are satisfied the spend represents VFM in accordance with the requirements of Category B</v>
      </c>
    </row>
    <row r="337" spans="1:13" x14ac:dyDescent="0.2">
      <c r="A337" s="56" t="s">
        <v>8</v>
      </c>
      <c r="B337" s="55" t="s">
        <v>9</v>
      </c>
      <c r="C337" s="81" t="s">
        <v>246</v>
      </c>
      <c r="D337" s="53">
        <v>7180673</v>
      </c>
      <c r="E337" s="52">
        <v>45645</v>
      </c>
      <c r="F337" s="80">
        <v>1003.8</v>
      </c>
      <c r="G337" s="79" t="s">
        <v>131</v>
      </c>
      <c r="H337" s="49" t="str">
        <f>IF(F337&gt;25000,"C",IF(F337&gt;1000,"B","A"))</f>
        <v>B</v>
      </c>
      <c r="I337" s="48" t="str">
        <f>VLOOKUP(H337,$L$2:$M$4,2,FALSE)</f>
        <v>The Commissioner &amp; Chief Constable are satisfied the spend represents VFM in accordance with the requirements of Category B</v>
      </c>
    </row>
    <row r="338" spans="1:13" x14ac:dyDescent="0.2">
      <c r="A338" s="56" t="s">
        <v>8</v>
      </c>
      <c r="B338" s="55" t="s">
        <v>9</v>
      </c>
      <c r="C338" s="81" t="s">
        <v>223</v>
      </c>
      <c r="D338" s="53">
        <v>7179401</v>
      </c>
      <c r="E338" s="52">
        <v>45643</v>
      </c>
      <c r="F338" s="80">
        <v>1000</v>
      </c>
      <c r="G338" s="79" t="s">
        <v>22</v>
      </c>
      <c r="H338" s="49" t="str">
        <f>IF(F338&gt;25000,"C",IF(F338&gt;1000,"B","A"))</f>
        <v>A</v>
      </c>
      <c r="I338" s="48" t="str">
        <f>VLOOKUP(H338,$L$2:$M$4,2,FALSE)</f>
        <v>The Commissioner &amp; Chief Constable are satisfied the spend represents VFM in accordance with the requirements of Category A</v>
      </c>
    </row>
    <row r="339" spans="1:13" x14ac:dyDescent="0.2">
      <c r="A339" s="56" t="s">
        <v>8</v>
      </c>
      <c r="B339" s="55" t="s">
        <v>9</v>
      </c>
      <c r="C339" s="81" t="s">
        <v>807</v>
      </c>
      <c r="D339" s="53">
        <v>7180044</v>
      </c>
      <c r="E339" s="52">
        <v>45639</v>
      </c>
      <c r="F339" s="80">
        <v>1000</v>
      </c>
      <c r="G339" s="79" t="s">
        <v>106</v>
      </c>
      <c r="H339" s="49" t="str">
        <f>IF(F339&gt;25000,"C",IF(F339&gt;1000,"B","A"))</f>
        <v>A</v>
      </c>
      <c r="I339" s="48" t="str">
        <f>VLOOKUP(H339,$L$2:$M$4,2,FALSE)</f>
        <v>The Commissioner &amp; Chief Constable are satisfied the spend represents VFM in accordance with the requirements of Category A</v>
      </c>
    </row>
    <row r="340" spans="1:13" s="42" customFormat="1" x14ac:dyDescent="0.2">
      <c r="A340" s="56" t="s">
        <v>8</v>
      </c>
      <c r="B340" s="55" t="s">
        <v>9</v>
      </c>
      <c r="C340" s="81" t="s">
        <v>266</v>
      </c>
      <c r="D340" s="53">
        <v>7180542</v>
      </c>
      <c r="E340" s="52">
        <v>45643</v>
      </c>
      <c r="F340" s="80">
        <v>998.99</v>
      </c>
      <c r="G340" s="79" t="s">
        <v>209</v>
      </c>
      <c r="H340" s="49" t="str">
        <f>IF(F340&gt;25000,"C",IF(F340&gt;1000,"B","A"))</f>
        <v>A</v>
      </c>
      <c r="I340" s="48" t="str">
        <f>VLOOKUP(H340,$L$2:$M$4,2,FALSE)</f>
        <v>The Commissioner &amp; Chief Constable are satisfied the spend represents VFM in accordance with the requirements of Category A</v>
      </c>
      <c r="L340" s="41"/>
      <c r="M340" s="41"/>
    </row>
    <row r="341" spans="1:13" s="42" customFormat="1" x14ac:dyDescent="0.2">
      <c r="A341" s="56" t="s">
        <v>8</v>
      </c>
      <c r="B341" s="55" t="s">
        <v>9</v>
      </c>
      <c r="C341" s="81" t="s">
        <v>993</v>
      </c>
      <c r="D341" s="53">
        <v>7180092</v>
      </c>
      <c r="E341" s="52">
        <v>45630</v>
      </c>
      <c r="F341" s="80">
        <v>990</v>
      </c>
      <c r="G341" s="79" t="s">
        <v>27</v>
      </c>
      <c r="H341" s="49" t="str">
        <f>IF(F341&gt;25000,"C",IF(F341&gt;1000,"B","A"))</f>
        <v>A</v>
      </c>
      <c r="I341" s="48" t="str">
        <f>VLOOKUP(H341,$L$2:$M$4,2,FALSE)</f>
        <v>The Commissioner &amp; Chief Constable are satisfied the spend represents VFM in accordance with the requirements of Category A</v>
      </c>
      <c r="L341" s="41"/>
      <c r="M341" s="41"/>
    </row>
    <row r="342" spans="1:13" s="42" customFormat="1" x14ac:dyDescent="0.2">
      <c r="A342" s="56" t="s">
        <v>8</v>
      </c>
      <c r="B342" s="55" t="s">
        <v>9</v>
      </c>
      <c r="C342" s="81" t="s">
        <v>342</v>
      </c>
      <c r="D342" s="53">
        <v>7180697</v>
      </c>
      <c r="E342" s="52">
        <v>45646</v>
      </c>
      <c r="F342" s="80">
        <v>980</v>
      </c>
      <c r="G342" s="79" t="s">
        <v>112</v>
      </c>
      <c r="H342" s="49" t="str">
        <f>IF(F342&gt;25000,"C",IF(F342&gt;1000,"B","A"))</f>
        <v>A</v>
      </c>
      <c r="I342" s="48" t="str">
        <f>VLOOKUP(H342,$L$2:$M$4,2,FALSE)</f>
        <v>The Commissioner &amp; Chief Constable are satisfied the spend represents VFM in accordance with the requirements of Category A</v>
      </c>
      <c r="L342" s="41"/>
      <c r="M342" s="41"/>
    </row>
    <row r="343" spans="1:13" s="42" customFormat="1" x14ac:dyDescent="0.2">
      <c r="A343" s="56" t="s">
        <v>8</v>
      </c>
      <c r="B343" s="55" t="s">
        <v>9</v>
      </c>
      <c r="C343" s="81" t="s">
        <v>342</v>
      </c>
      <c r="D343" s="53">
        <v>7180580</v>
      </c>
      <c r="E343" s="52">
        <v>45643</v>
      </c>
      <c r="F343" s="80">
        <v>980</v>
      </c>
      <c r="G343" s="79" t="s">
        <v>112</v>
      </c>
      <c r="H343" s="49" t="str">
        <f>IF(F343&gt;25000,"C",IF(F343&gt;1000,"B","A"))</f>
        <v>A</v>
      </c>
      <c r="I343" s="48" t="str">
        <f>VLOOKUP(H343,$L$2:$M$4,2,FALSE)</f>
        <v>The Commissioner &amp; Chief Constable are satisfied the spend represents VFM in accordance with the requirements of Category A</v>
      </c>
      <c r="L343" s="41"/>
      <c r="M343" s="41"/>
    </row>
    <row r="344" spans="1:13" s="42" customFormat="1" x14ac:dyDescent="0.2">
      <c r="A344" s="56" t="s">
        <v>8</v>
      </c>
      <c r="B344" s="55" t="s">
        <v>9</v>
      </c>
      <c r="C344" s="81" t="s">
        <v>260</v>
      </c>
      <c r="D344" s="53">
        <v>7179394</v>
      </c>
      <c r="E344" s="52">
        <v>45642</v>
      </c>
      <c r="F344" s="80">
        <v>975.54</v>
      </c>
      <c r="G344" s="79" t="s">
        <v>261</v>
      </c>
      <c r="H344" s="49" t="str">
        <f>IF(F344&gt;25000,"C",IF(F344&gt;1000,"B","A"))</f>
        <v>A</v>
      </c>
      <c r="I344" s="48" t="str">
        <f>VLOOKUP(H344,$L$2:$M$4,2,FALSE)</f>
        <v>The Commissioner &amp; Chief Constable are satisfied the spend represents VFM in accordance with the requirements of Category A</v>
      </c>
      <c r="L344" s="41"/>
      <c r="M344" s="41"/>
    </row>
    <row r="345" spans="1:13" s="42" customFormat="1" x14ac:dyDescent="0.2">
      <c r="A345" s="56" t="s">
        <v>8</v>
      </c>
      <c r="B345" s="55" t="s">
        <v>9</v>
      </c>
      <c r="C345" s="81" t="s">
        <v>423</v>
      </c>
      <c r="D345" s="53">
        <v>7180464</v>
      </c>
      <c r="E345" s="52">
        <v>45642</v>
      </c>
      <c r="F345" s="80">
        <v>973.7</v>
      </c>
      <c r="G345" s="79" t="s">
        <v>390</v>
      </c>
      <c r="H345" s="49" t="str">
        <f>IF(F345&gt;25000,"C",IF(F345&gt;1000,"B","A"))</f>
        <v>A</v>
      </c>
      <c r="I345" s="48" t="str">
        <f>VLOOKUP(H345,$L$2:$M$4,2,FALSE)</f>
        <v>The Commissioner &amp; Chief Constable are satisfied the spend represents VFM in accordance with the requirements of Category A</v>
      </c>
      <c r="L345" s="41"/>
      <c r="M345" s="41"/>
    </row>
    <row r="346" spans="1:13" s="42" customFormat="1" x14ac:dyDescent="0.2">
      <c r="A346" s="56" t="s">
        <v>8</v>
      </c>
      <c r="B346" s="55" t="s">
        <v>9</v>
      </c>
      <c r="C346" s="81" t="s">
        <v>119</v>
      </c>
      <c r="D346" s="53">
        <v>7179762</v>
      </c>
      <c r="E346" s="52">
        <v>45628</v>
      </c>
      <c r="F346" s="80">
        <v>970.13</v>
      </c>
      <c r="G346" s="79" t="s">
        <v>120</v>
      </c>
      <c r="H346" s="49" t="str">
        <f>IF(F346&gt;25000,"C",IF(F346&gt;1000,"B","A"))</f>
        <v>A</v>
      </c>
      <c r="I346" s="48" t="str">
        <f>VLOOKUP(H346,$L$2:$M$4,2,FALSE)</f>
        <v>The Commissioner &amp; Chief Constable are satisfied the spend represents VFM in accordance with the requirements of Category A</v>
      </c>
      <c r="L346" s="41"/>
      <c r="M346" s="41"/>
    </row>
    <row r="347" spans="1:13" s="42" customFormat="1" x14ac:dyDescent="0.2">
      <c r="A347" s="56" t="s">
        <v>8</v>
      </c>
      <c r="B347" s="55" t="s">
        <v>9</v>
      </c>
      <c r="C347" s="81" t="s">
        <v>842</v>
      </c>
      <c r="D347" s="53">
        <v>7179929</v>
      </c>
      <c r="E347" s="52">
        <v>45628</v>
      </c>
      <c r="F347" s="80">
        <v>955.7</v>
      </c>
      <c r="G347" s="79" t="s">
        <v>185</v>
      </c>
      <c r="H347" s="49" t="str">
        <f>IF(F347&gt;25000,"C",IF(F347&gt;1000,"B","A"))</f>
        <v>A</v>
      </c>
      <c r="I347" s="48" t="str">
        <f>VLOOKUP(H347,$L$2:$M$4,2,FALSE)</f>
        <v>The Commissioner &amp; Chief Constable are satisfied the spend represents VFM in accordance with the requirements of Category A</v>
      </c>
      <c r="L347" s="41"/>
      <c r="M347" s="41"/>
    </row>
    <row r="348" spans="1:13" s="42" customFormat="1" x14ac:dyDescent="0.2">
      <c r="A348" s="56" t="s">
        <v>8</v>
      </c>
      <c r="B348" s="55" t="s">
        <v>9</v>
      </c>
      <c r="C348" s="81" t="s">
        <v>992</v>
      </c>
      <c r="D348" s="53">
        <v>7179971</v>
      </c>
      <c r="E348" s="52">
        <v>45630</v>
      </c>
      <c r="F348" s="80">
        <v>950.19</v>
      </c>
      <c r="G348" s="79" t="s">
        <v>27</v>
      </c>
      <c r="H348" s="49" t="str">
        <f>IF(F348&gt;25000,"C",IF(F348&gt;1000,"B","A"))</f>
        <v>A</v>
      </c>
      <c r="I348" s="48" t="str">
        <f>VLOOKUP(H348,$L$2:$M$4,2,FALSE)</f>
        <v>The Commissioner &amp; Chief Constable are satisfied the spend represents VFM in accordance with the requirements of Category A</v>
      </c>
      <c r="L348" s="41"/>
      <c r="M348" s="41"/>
    </row>
    <row r="349" spans="1:13" s="42" customFormat="1" x14ac:dyDescent="0.2">
      <c r="A349" s="56" t="s">
        <v>8</v>
      </c>
      <c r="B349" s="55" t="s">
        <v>9</v>
      </c>
      <c r="C349" s="81" t="s">
        <v>991</v>
      </c>
      <c r="D349" s="53">
        <v>7179939</v>
      </c>
      <c r="E349" s="52">
        <v>45628</v>
      </c>
      <c r="F349" s="80">
        <v>940</v>
      </c>
      <c r="G349" s="79" t="s">
        <v>382</v>
      </c>
      <c r="H349" s="49" t="str">
        <f>IF(F349&gt;25000,"C",IF(F349&gt;1000,"B","A"))</f>
        <v>A</v>
      </c>
      <c r="I349" s="48" t="str">
        <f>VLOOKUP(H349,$L$2:$M$4,2,FALSE)</f>
        <v>The Commissioner &amp; Chief Constable are satisfied the spend represents VFM in accordance with the requirements of Category A</v>
      </c>
      <c r="L349" s="41"/>
      <c r="M349" s="41"/>
    </row>
    <row r="350" spans="1:13" s="42" customFormat="1" x14ac:dyDescent="0.2">
      <c r="A350" s="56" t="s">
        <v>8</v>
      </c>
      <c r="B350" s="55" t="s">
        <v>9</v>
      </c>
      <c r="C350" s="81" t="s">
        <v>219</v>
      </c>
      <c r="D350" s="53">
        <v>7179925</v>
      </c>
      <c r="E350" s="52">
        <v>45628</v>
      </c>
      <c r="F350" s="80">
        <v>920.95</v>
      </c>
      <c r="G350" s="79" t="s">
        <v>220</v>
      </c>
      <c r="H350" s="49" t="str">
        <f>IF(F350&gt;25000,"C",IF(F350&gt;1000,"B","A"))</f>
        <v>A</v>
      </c>
      <c r="I350" s="48" t="str">
        <f>VLOOKUP(H350,$L$2:$M$4,2,FALSE)</f>
        <v>The Commissioner &amp; Chief Constable are satisfied the spend represents VFM in accordance with the requirements of Category A</v>
      </c>
      <c r="L350" s="41"/>
      <c r="M350" s="41"/>
    </row>
    <row r="351" spans="1:13" x14ac:dyDescent="0.2">
      <c r="A351" s="56" t="s">
        <v>8</v>
      </c>
      <c r="B351" s="55" t="s">
        <v>9</v>
      </c>
      <c r="C351" s="81" t="s">
        <v>822</v>
      </c>
      <c r="D351" s="53">
        <v>7179813</v>
      </c>
      <c r="E351" s="52">
        <v>45628</v>
      </c>
      <c r="F351" s="80">
        <v>920</v>
      </c>
      <c r="G351" s="79" t="s">
        <v>91</v>
      </c>
      <c r="H351" s="49" t="str">
        <f>IF(F351&gt;25000,"C",IF(F351&gt;1000,"B","A"))</f>
        <v>A</v>
      </c>
      <c r="I351" s="48" t="str">
        <f>VLOOKUP(H351,$L$2:$M$4,2,FALSE)</f>
        <v>The Commissioner &amp; Chief Constable are satisfied the spend represents VFM in accordance with the requirements of Category A</v>
      </c>
    </row>
    <row r="352" spans="1:13" x14ac:dyDescent="0.2">
      <c r="A352" s="56" t="s">
        <v>8</v>
      </c>
      <c r="B352" s="55" t="s">
        <v>9</v>
      </c>
      <c r="C352" s="81" t="s">
        <v>822</v>
      </c>
      <c r="D352" s="53">
        <v>7180668</v>
      </c>
      <c r="E352" s="52">
        <v>45645</v>
      </c>
      <c r="F352" s="80">
        <v>920</v>
      </c>
      <c r="G352" s="79" t="s">
        <v>91</v>
      </c>
      <c r="H352" s="49" t="str">
        <f>IF(F352&gt;25000,"C",IF(F352&gt;1000,"B","A"))</f>
        <v>A</v>
      </c>
      <c r="I352" s="48" t="str">
        <f>VLOOKUP(H352,$L$2:$M$4,2,FALSE)</f>
        <v>The Commissioner &amp; Chief Constable are satisfied the spend represents VFM in accordance with the requirements of Category A</v>
      </c>
    </row>
    <row r="353" spans="1:13" x14ac:dyDescent="0.2">
      <c r="A353" s="56" t="s">
        <v>8</v>
      </c>
      <c r="B353" s="55" t="s">
        <v>9</v>
      </c>
      <c r="C353" s="81" t="s">
        <v>234</v>
      </c>
      <c r="D353" s="53">
        <v>7178556</v>
      </c>
      <c r="E353" s="52">
        <v>45628</v>
      </c>
      <c r="F353" s="80">
        <v>918.82</v>
      </c>
      <c r="G353" s="79" t="s">
        <v>42</v>
      </c>
      <c r="H353" s="49" t="str">
        <f>IF(F353&gt;25000,"C",IF(F353&gt;1000,"B","A"))</f>
        <v>A</v>
      </c>
      <c r="I353" s="48" t="str">
        <f>VLOOKUP(H353,$L$2:$M$4,2,FALSE)</f>
        <v>The Commissioner &amp; Chief Constable are satisfied the spend represents VFM in accordance with the requirements of Category A</v>
      </c>
    </row>
    <row r="354" spans="1:13" x14ac:dyDescent="0.2">
      <c r="A354" s="56" t="s">
        <v>8</v>
      </c>
      <c r="B354" s="55" t="s">
        <v>9</v>
      </c>
      <c r="C354" s="81" t="s">
        <v>891</v>
      </c>
      <c r="D354" s="53">
        <v>7180353</v>
      </c>
      <c r="E354" s="52">
        <v>45637</v>
      </c>
      <c r="F354" s="80">
        <v>918.22</v>
      </c>
      <c r="G354" s="79" t="s">
        <v>91</v>
      </c>
      <c r="H354" s="49" t="str">
        <f>IF(F354&gt;25000,"C",IF(F354&gt;1000,"B","A"))</f>
        <v>A</v>
      </c>
      <c r="I354" s="48" t="str">
        <f>VLOOKUP(H354,$L$2:$M$4,2,FALSE)</f>
        <v>The Commissioner &amp; Chief Constable are satisfied the spend represents VFM in accordance with the requirements of Category A</v>
      </c>
    </row>
    <row r="355" spans="1:13" x14ac:dyDescent="0.2">
      <c r="A355" s="56" t="s">
        <v>8</v>
      </c>
      <c r="B355" s="55" t="s">
        <v>9</v>
      </c>
      <c r="C355" s="81" t="s">
        <v>246</v>
      </c>
      <c r="D355" s="53">
        <v>7180674</v>
      </c>
      <c r="E355" s="52">
        <v>45646</v>
      </c>
      <c r="F355" s="80">
        <v>916.04</v>
      </c>
      <c r="G355" s="79" t="s">
        <v>131</v>
      </c>
      <c r="H355" s="49" t="str">
        <f>IF(F355&gt;25000,"C",IF(F355&gt;1000,"B","A"))</f>
        <v>A</v>
      </c>
      <c r="I355" s="48" t="str">
        <f>VLOOKUP(H355,$L$2:$M$4,2,FALSE)</f>
        <v>The Commissioner &amp; Chief Constable are satisfied the spend represents VFM in accordance with the requirements of Category A</v>
      </c>
    </row>
    <row r="356" spans="1:13" x14ac:dyDescent="0.2">
      <c r="A356" s="56" t="s">
        <v>8</v>
      </c>
      <c r="B356" s="55" t="s">
        <v>9</v>
      </c>
      <c r="C356" s="81" t="s">
        <v>202</v>
      </c>
      <c r="D356" s="53">
        <v>7179913</v>
      </c>
      <c r="E356" s="52">
        <v>45628</v>
      </c>
      <c r="F356" s="80">
        <v>908</v>
      </c>
      <c r="G356" s="79" t="s">
        <v>203</v>
      </c>
      <c r="H356" s="49" t="str">
        <f>IF(F356&gt;25000,"C",IF(F356&gt;1000,"B","A"))</f>
        <v>A</v>
      </c>
      <c r="I356" s="48" t="str">
        <f>VLOOKUP(H356,$L$2:$M$4,2,FALSE)</f>
        <v>The Commissioner &amp; Chief Constable are satisfied the spend represents VFM in accordance with the requirements of Category A</v>
      </c>
    </row>
    <row r="357" spans="1:13" x14ac:dyDescent="0.2">
      <c r="A357" s="56" t="s">
        <v>8</v>
      </c>
      <c r="B357" s="55" t="s">
        <v>9</v>
      </c>
      <c r="C357" s="81" t="s">
        <v>990</v>
      </c>
      <c r="D357" s="53">
        <v>7180734</v>
      </c>
      <c r="E357" s="52">
        <v>45646</v>
      </c>
      <c r="F357" s="80">
        <v>906.5</v>
      </c>
      <c r="G357" s="79" t="s">
        <v>89</v>
      </c>
      <c r="H357" s="49" t="str">
        <f>IF(F357&gt;25000,"C",IF(F357&gt;1000,"B","A"))</f>
        <v>A</v>
      </c>
      <c r="I357" s="48" t="str">
        <f>VLOOKUP(H357,$L$2:$M$4,2,FALSE)</f>
        <v>The Commissioner &amp; Chief Constable are satisfied the spend represents VFM in accordance with the requirements of Category A</v>
      </c>
    </row>
    <row r="358" spans="1:13" x14ac:dyDescent="0.2">
      <c r="A358" s="56" t="s">
        <v>8</v>
      </c>
      <c r="B358" s="55" t="s">
        <v>9</v>
      </c>
      <c r="C358" s="81" t="s">
        <v>172</v>
      </c>
      <c r="D358" s="53">
        <v>7180138</v>
      </c>
      <c r="E358" s="52">
        <v>45631</v>
      </c>
      <c r="F358" s="80">
        <v>904.5</v>
      </c>
      <c r="G358" s="79" t="s">
        <v>39</v>
      </c>
      <c r="H358" s="49" t="str">
        <f>IF(F358&gt;25000,"C",IF(F358&gt;1000,"B","A"))</f>
        <v>A</v>
      </c>
      <c r="I358" s="48" t="str">
        <f>VLOOKUP(H358,$L$2:$M$4,2,FALSE)</f>
        <v>The Commissioner &amp; Chief Constable are satisfied the spend represents VFM in accordance with the requirements of Category A</v>
      </c>
    </row>
    <row r="359" spans="1:13" x14ac:dyDescent="0.2">
      <c r="A359" s="56" t="s">
        <v>8</v>
      </c>
      <c r="B359" s="55" t="s">
        <v>9</v>
      </c>
      <c r="C359" s="81" t="s">
        <v>124</v>
      </c>
      <c r="D359" s="53">
        <v>7180134</v>
      </c>
      <c r="E359" s="52">
        <v>45631</v>
      </c>
      <c r="F359" s="80">
        <v>903.42</v>
      </c>
      <c r="G359" s="79" t="s">
        <v>376</v>
      </c>
      <c r="H359" s="49" t="str">
        <f>IF(F359&gt;25000,"C",IF(F359&gt;1000,"B","A"))</f>
        <v>A</v>
      </c>
      <c r="I359" s="48" t="str">
        <f>VLOOKUP(H359,$L$2:$M$4,2,FALSE)</f>
        <v>The Commissioner &amp; Chief Constable are satisfied the spend represents VFM in accordance with the requirements of Category A</v>
      </c>
    </row>
    <row r="360" spans="1:13" x14ac:dyDescent="0.2">
      <c r="A360" s="56" t="s">
        <v>8</v>
      </c>
      <c r="B360" s="55" t="s">
        <v>9</v>
      </c>
      <c r="C360" s="81" t="s">
        <v>10</v>
      </c>
      <c r="D360" s="53">
        <v>7179666</v>
      </c>
      <c r="E360" s="52">
        <v>45645</v>
      </c>
      <c r="F360" s="80">
        <v>902</v>
      </c>
      <c r="G360" s="79" t="s">
        <v>22</v>
      </c>
      <c r="H360" s="49" t="str">
        <f>IF(F360&gt;25000,"C",IF(F360&gt;1000,"B","A"))</f>
        <v>A</v>
      </c>
      <c r="I360" s="48" t="str">
        <f>VLOOKUP(H360,$L$2:$M$4,2,FALSE)</f>
        <v>The Commissioner &amp; Chief Constable are satisfied the spend represents VFM in accordance with the requirements of Category A</v>
      </c>
    </row>
    <row r="361" spans="1:13" x14ac:dyDescent="0.2">
      <c r="A361" s="56" t="s">
        <v>8</v>
      </c>
      <c r="B361" s="55" t="s">
        <v>9</v>
      </c>
      <c r="C361" s="81" t="s">
        <v>601</v>
      </c>
      <c r="D361" s="53">
        <v>7179892</v>
      </c>
      <c r="E361" s="52">
        <v>45628</v>
      </c>
      <c r="F361" s="80">
        <v>900</v>
      </c>
      <c r="G361" s="79" t="s">
        <v>155</v>
      </c>
      <c r="H361" s="49" t="str">
        <f>IF(F361&gt;25000,"C",IF(F361&gt;1000,"B","A"))</f>
        <v>A</v>
      </c>
      <c r="I361" s="48" t="str">
        <f>VLOOKUP(H361,$L$2:$M$4,2,FALSE)</f>
        <v>The Commissioner &amp; Chief Constable are satisfied the spend represents VFM in accordance with the requirements of Category A</v>
      </c>
    </row>
    <row r="362" spans="1:13" x14ac:dyDescent="0.2">
      <c r="A362" s="56" t="s">
        <v>8</v>
      </c>
      <c r="B362" s="55" t="s">
        <v>9</v>
      </c>
      <c r="C362" s="81" t="s">
        <v>90</v>
      </c>
      <c r="D362" s="53">
        <v>7180647</v>
      </c>
      <c r="E362" s="52">
        <v>45644</v>
      </c>
      <c r="F362" s="80">
        <v>895</v>
      </c>
      <c r="G362" s="79" t="s">
        <v>91</v>
      </c>
      <c r="H362" s="49" t="str">
        <f>IF(F362&gt;25000,"C",IF(F362&gt;1000,"B","A"))</f>
        <v>A</v>
      </c>
      <c r="I362" s="48" t="str">
        <f>VLOOKUP(H362,$L$2:$M$4,2,FALSE)</f>
        <v>The Commissioner &amp; Chief Constable are satisfied the spend represents VFM in accordance with the requirements of Category A</v>
      </c>
    </row>
    <row r="363" spans="1:13" x14ac:dyDescent="0.2">
      <c r="A363" s="56" t="s">
        <v>8</v>
      </c>
      <c r="B363" s="55" t="s">
        <v>9</v>
      </c>
      <c r="C363" s="81" t="s">
        <v>302</v>
      </c>
      <c r="D363" s="53">
        <v>7180166</v>
      </c>
      <c r="E363" s="52">
        <v>45632</v>
      </c>
      <c r="F363" s="80">
        <v>885.43</v>
      </c>
      <c r="G363" s="79" t="s">
        <v>131</v>
      </c>
      <c r="H363" s="49" t="str">
        <f>IF(F363&gt;25000,"C",IF(F363&gt;1000,"B","A"))</f>
        <v>A</v>
      </c>
      <c r="I363" s="48" t="str">
        <f>VLOOKUP(H363,$L$2:$M$4,2,FALSE)</f>
        <v>The Commissioner &amp; Chief Constable are satisfied the spend represents VFM in accordance with the requirements of Category A</v>
      </c>
    </row>
    <row r="364" spans="1:13" s="42" customFormat="1" x14ac:dyDescent="0.2">
      <c r="A364" s="56" t="s">
        <v>8</v>
      </c>
      <c r="B364" s="55" t="s">
        <v>9</v>
      </c>
      <c r="C364" s="81" t="s">
        <v>245</v>
      </c>
      <c r="D364" s="53">
        <v>7179603</v>
      </c>
      <c r="E364" s="52">
        <v>45643</v>
      </c>
      <c r="F364" s="80">
        <v>875</v>
      </c>
      <c r="G364" s="79" t="s">
        <v>22</v>
      </c>
      <c r="H364" s="49" t="str">
        <f>IF(F364&gt;25000,"C",IF(F364&gt;1000,"B","A"))</f>
        <v>A</v>
      </c>
      <c r="I364" s="48" t="str">
        <f>VLOOKUP(H364,$L$2:$M$4,2,FALSE)</f>
        <v>The Commissioner &amp; Chief Constable are satisfied the spend represents VFM in accordance with the requirements of Category A</v>
      </c>
      <c r="L364" s="41"/>
      <c r="M364" s="41"/>
    </row>
    <row r="365" spans="1:13" s="42" customFormat="1" x14ac:dyDescent="0.2">
      <c r="A365" s="56" t="s">
        <v>8</v>
      </c>
      <c r="B365" s="55" t="s">
        <v>9</v>
      </c>
      <c r="C365" s="81" t="s">
        <v>252</v>
      </c>
      <c r="D365" s="53">
        <v>7180103</v>
      </c>
      <c r="E365" s="52">
        <v>45631</v>
      </c>
      <c r="F365" s="80">
        <v>873.6</v>
      </c>
      <c r="G365" s="79" t="s">
        <v>148</v>
      </c>
      <c r="H365" s="49" t="str">
        <f>IF(F365&gt;25000,"C",IF(F365&gt;1000,"B","A"))</f>
        <v>A</v>
      </c>
      <c r="I365" s="48" t="str">
        <f>VLOOKUP(H365,$L$2:$M$4,2,FALSE)</f>
        <v>The Commissioner &amp; Chief Constable are satisfied the spend represents VFM in accordance with the requirements of Category A</v>
      </c>
      <c r="L365" s="41"/>
      <c r="M365" s="41"/>
    </row>
    <row r="366" spans="1:13" s="42" customFormat="1" x14ac:dyDescent="0.2">
      <c r="A366" s="56" t="s">
        <v>8</v>
      </c>
      <c r="B366" s="55" t="s">
        <v>9</v>
      </c>
      <c r="C366" s="82" t="s">
        <v>74</v>
      </c>
      <c r="D366" s="53">
        <v>7180543</v>
      </c>
      <c r="E366" s="52">
        <v>45644</v>
      </c>
      <c r="F366" s="80">
        <v>858</v>
      </c>
      <c r="G366" s="79" t="s">
        <v>75</v>
      </c>
      <c r="H366" s="49" t="str">
        <f>IF(F366&gt;25000,"C",IF(F366&gt;1000,"B","A"))</f>
        <v>A</v>
      </c>
      <c r="I366" s="48" t="str">
        <f>VLOOKUP(H366,$L$2:$M$4,2,FALSE)</f>
        <v>The Commissioner &amp; Chief Constable are satisfied the spend represents VFM in accordance with the requirements of Category A</v>
      </c>
      <c r="L366" s="41"/>
      <c r="M366" s="41"/>
    </row>
    <row r="367" spans="1:13" s="42" customFormat="1" x14ac:dyDescent="0.2">
      <c r="A367" s="56" t="s">
        <v>8</v>
      </c>
      <c r="B367" s="55" t="s">
        <v>9</v>
      </c>
      <c r="C367" s="81" t="s">
        <v>385</v>
      </c>
      <c r="D367" s="53">
        <v>7180228</v>
      </c>
      <c r="E367" s="52">
        <v>45636</v>
      </c>
      <c r="F367" s="80">
        <v>842.17</v>
      </c>
      <c r="G367" s="79" t="s">
        <v>112</v>
      </c>
      <c r="H367" s="49" t="str">
        <f>IF(F367&gt;25000,"C",IF(F367&gt;1000,"B","A"))</f>
        <v>A</v>
      </c>
      <c r="I367" s="48" t="str">
        <f>VLOOKUP(H367,$L$2:$M$4,2,FALSE)</f>
        <v>The Commissioner &amp; Chief Constable are satisfied the spend represents VFM in accordance with the requirements of Category A</v>
      </c>
      <c r="L367" s="41"/>
      <c r="M367" s="41"/>
    </row>
    <row r="368" spans="1:13" s="42" customFormat="1" x14ac:dyDescent="0.2">
      <c r="A368" s="56" t="s">
        <v>8</v>
      </c>
      <c r="B368" s="55" t="s">
        <v>9</v>
      </c>
      <c r="C368" s="81" t="s">
        <v>385</v>
      </c>
      <c r="D368" s="53">
        <v>7180086</v>
      </c>
      <c r="E368" s="52">
        <v>45631</v>
      </c>
      <c r="F368" s="80">
        <v>841.84</v>
      </c>
      <c r="G368" s="79" t="s">
        <v>91</v>
      </c>
      <c r="H368" s="49" t="str">
        <f>IF(F368&gt;25000,"C",IF(F368&gt;1000,"B","A"))</f>
        <v>A</v>
      </c>
      <c r="I368" s="48" t="str">
        <f>VLOOKUP(H368,$L$2:$M$4,2,FALSE)</f>
        <v>The Commissioner &amp; Chief Constable are satisfied the spend represents VFM in accordance with the requirements of Category A</v>
      </c>
      <c r="L368" s="41"/>
      <c r="M368" s="41"/>
    </row>
    <row r="369" spans="1:13" s="42" customFormat="1" x14ac:dyDescent="0.2">
      <c r="A369" s="56" t="s">
        <v>8</v>
      </c>
      <c r="B369" s="55" t="s">
        <v>9</v>
      </c>
      <c r="C369" s="81" t="s">
        <v>316</v>
      </c>
      <c r="D369" s="53">
        <v>7180143</v>
      </c>
      <c r="E369" s="52">
        <v>45631</v>
      </c>
      <c r="F369" s="80">
        <v>837</v>
      </c>
      <c r="G369" s="79" t="s">
        <v>241</v>
      </c>
      <c r="H369" s="49" t="str">
        <f>IF(F369&gt;25000,"C",IF(F369&gt;1000,"B","A"))</f>
        <v>A</v>
      </c>
      <c r="I369" s="48" t="str">
        <f>VLOOKUP(H369,$L$2:$M$4,2,FALSE)</f>
        <v>The Commissioner &amp; Chief Constable are satisfied the spend represents VFM in accordance with the requirements of Category A</v>
      </c>
      <c r="L369" s="41"/>
      <c r="M369" s="41"/>
    </row>
    <row r="370" spans="1:13" s="42" customFormat="1" x14ac:dyDescent="0.2">
      <c r="A370" s="56" t="s">
        <v>8</v>
      </c>
      <c r="B370" s="55" t="s">
        <v>9</v>
      </c>
      <c r="C370" s="81" t="s">
        <v>316</v>
      </c>
      <c r="D370" s="53">
        <v>7180842</v>
      </c>
      <c r="E370" s="52">
        <v>45653</v>
      </c>
      <c r="F370" s="80">
        <v>837</v>
      </c>
      <c r="G370" s="79" t="s">
        <v>241</v>
      </c>
      <c r="H370" s="49" t="str">
        <f>IF(F370&gt;25000,"C",IF(F370&gt;1000,"B","A"))</f>
        <v>A</v>
      </c>
      <c r="I370" s="48" t="str">
        <f>VLOOKUP(H370,$L$2:$M$4,2,FALSE)</f>
        <v>The Commissioner &amp; Chief Constable are satisfied the spend represents VFM in accordance with the requirements of Category A</v>
      </c>
      <c r="L370" s="41"/>
      <c r="M370" s="41"/>
    </row>
    <row r="371" spans="1:13" s="42" customFormat="1" x14ac:dyDescent="0.2">
      <c r="A371" s="56" t="s">
        <v>8</v>
      </c>
      <c r="B371" s="55" t="s">
        <v>9</v>
      </c>
      <c r="C371" s="81" t="s">
        <v>277</v>
      </c>
      <c r="D371" s="53">
        <v>7180218</v>
      </c>
      <c r="E371" s="52">
        <v>45635</v>
      </c>
      <c r="F371" s="80">
        <v>820</v>
      </c>
      <c r="G371" s="79" t="s">
        <v>131</v>
      </c>
      <c r="H371" s="49" t="str">
        <f>IF(F371&gt;25000,"C",IF(F371&gt;1000,"B","A"))</f>
        <v>A</v>
      </c>
      <c r="I371" s="48" t="str">
        <f>VLOOKUP(H371,$L$2:$M$4,2,FALSE)</f>
        <v>The Commissioner &amp; Chief Constable are satisfied the spend represents VFM in accordance with the requirements of Category A</v>
      </c>
      <c r="L371" s="41"/>
      <c r="M371" s="41"/>
    </row>
    <row r="372" spans="1:13" s="42" customFormat="1" x14ac:dyDescent="0.2">
      <c r="A372" s="56" t="s">
        <v>8</v>
      </c>
      <c r="B372" s="55" t="s">
        <v>9</v>
      </c>
      <c r="C372" s="81" t="s">
        <v>135</v>
      </c>
      <c r="D372" s="53">
        <v>7180254</v>
      </c>
      <c r="E372" s="52">
        <v>45645</v>
      </c>
      <c r="F372" s="80">
        <v>812.5</v>
      </c>
      <c r="G372" s="79" t="s">
        <v>40</v>
      </c>
      <c r="H372" s="49" t="str">
        <f>IF(F372&gt;25000,"C",IF(F372&gt;1000,"B","A"))</f>
        <v>A</v>
      </c>
      <c r="I372" s="48" t="str">
        <f>VLOOKUP(H372,$L$2:$M$4,2,FALSE)</f>
        <v>The Commissioner &amp; Chief Constable are satisfied the spend represents VFM in accordance with the requirements of Category A</v>
      </c>
      <c r="L372" s="41"/>
      <c r="M372" s="41"/>
    </row>
    <row r="373" spans="1:13" s="42" customFormat="1" x14ac:dyDescent="0.2">
      <c r="A373" s="56" t="s">
        <v>8</v>
      </c>
      <c r="B373" s="55" t="s">
        <v>9</v>
      </c>
      <c r="C373" s="82" t="s">
        <v>312</v>
      </c>
      <c r="D373" s="53">
        <v>7180315</v>
      </c>
      <c r="E373" s="52">
        <v>45636</v>
      </c>
      <c r="F373" s="80">
        <v>809</v>
      </c>
      <c r="G373" s="79" t="s">
        <v>151</v>
      </c>
      <c r="H373" s="49" t="str">
        <f>IF(F373&gt;25000,"C",IF(F373&gt;1000,"B","A"))</f>
        <v>A</v>
      </c>
      <c r="I373" s="48" t="str">
        <f>VLOOKUP(H373,$L$2:$M$4,2,FALSE)</f>
        <v>The Commissioner &amp; Chief Constable are satisfied the spend represents VFM in accordance with the requirements of Category A</v>
      </c>
      <c r="L373" s="41"/>
      <c r="M373" s="41"/>
    </row>
    <row r="374" spans="1:13" s="42" customFormat="1" x14ac:dyDescent="0.2">
      <c r="A374" s="56" t="s">
        <v>8</v>
      </c>
      <c r="B374" s="55" t="s">
        <v>9</v>
      </c>
      <c r="C374" s="81" t="s">
        <v>321</v>
      </c>
      <c r="D374" s="53">
        <v>7179951</v>
      </c>
      <c r="E374" s="52">
        <v>45628</v>
      </c>
      <c r="F374" s="80">
        <v>785</v>
      </c>
      <c r="G374" s="79" t="s">
        <v>229</v>
      </c>
      <c r="H374" s="49" t="str">
        <f>IF(F374&gt;25000,"C",IF(F374&gt;1000,"B","A"))</f>
        <v>A</v>
      </c>
      <c r="I374" s="48" t="str">
        <f>VLOOKUP(H374,$L$2:$M$4,2,FALSE)</f>
        <v>The Commissioner &amp; Chief Constable are satisfied the spend represents VFM in accordance with the requirements of Category A</v>
      </c>
      <c r="L374" s="41"/>
      <c r="M374" s="41"/>
    </row>
    <row r="375" spans="1:13" s="42" customFormat="1" x14ac:dyDescent="0.2">
      <c r="A375" s="56" t="s">
        <v>8</v>
      </c>
      <c r="B375" s="55" t="s">
        <v>9</v>
      </c>
      <c r="C375" s="81" t="s">
        <v>317</v>
      </c>
      <c r="D375" s="53">
        <v>7179867</v>
      </c>
      <c r="E375" s="52">
        <v>45628</v>
      </c>
      <c r="F375" s="80">
        <v>782.86</v>
      </c>
      <c r="G375" s="79" t="s">
        <v>102</v>
      </c>
      <c r="H375" s="49" t="str">
        <f>IF(F375&gt;25000,"C",IF(F375&gt;1000,"B","A"))</f>
        <v>A</v>
      </c>
      <c r="I375" s="48" t="str">
        <f>VLOOKUP(H375,$L$2:$M$4,2,FALSE)</f>
        <v>The Commissioner &amp; Chief Constable are satisfied the spend represents VFM in accordance with the requirements of Category A</v>
      </c>
      <c r="L375" s="41"/>
      <c r="M375" s="41"/>
    </row>
    <row r="376" spans="1:13" s="42" customFormat="1" x14ac:dyDescent="0.2">
      <c r="A376" s="56" t="s">
        <v>8</v>
      </c>
      <c r="B376" s="55" t="s">
        <v>9</v>
      </c>
      <c r="C376" s="81" t="s">
        <v>305</v>
      </c>
      <c r="D376" s="53">
        <v>7178870</v>
      </c>
      <c r="E376" s="52">
        <v>45628</v>
      </c>
      <c r="F376" s="80">
        <v>775.33999999999992</v>
      </c>
      <c r="G376" s="79" t="s">
        <v>22</v>
      </c>
      <c r="H376" s="49" t="str">
        <f>IF(F376&gt;25000,"C",IF(F376&gt;1000,"B","A"))</f>
        <v>A</v>
      </c>
      <c r="I376" s="48" t="str">
        <f>VLOOKUP(H376,$L$2:$M$4,2,FALSE)</f>
        <v>The Commissioner &amp; Chief Constable are satisfied the spend represents VFM in accordance with the requirements of Category A</v>
      </c>
      <c r="L376" s="41"/>
      <c r="M376" s="41"/>
    </row>
    <row r="377" spans="1:13" s="42" customFormat="1" x14ac:dyDescent="0.2">
      <c r="A377" s="56" t="s">
        <v>8</v>
      </c>
      <c r="B377" s="55" t="s">
        <v>9</v>
      </c>
      <c r="C377" s="81" t="s">
        <v>149</v>
      </c>
      <c r="D377" s="53">
        <v>7179737</v>
      </c>
      <c r="E377" s="52">
        <v>45635</v>
      </c>
      <c r="F377" s="80">
        <v>774.68</v>
      </c>
      <c r="G377" s="79" t="s">
        <v>138</v>
      </c>
      <c r="H377" s="49" t="str">
        <f>IF(F377&gt;25000,"C",IF(F377&gt;1000,"B","A"))</f>
        <v>A</v>
      </c>
      <c r="I377" s="48" t="str">
        <f>VLOOKUP(H377,$L$2:$M$4,2,FALSE)</f>
        <v>The Commissioner &amp; Chief Constable are satisfied the spend represents VFM in accordance with the requirements of Category A</v>
      </c>
      <c r="L377" s="41"/>
      <c r="M377" s="41"/>
    </row>
    <row r="378" spans="1:13" s="42" customFormat="1" x14ac:dyDescent="0.2">
      <c r="A378" s="56" t="s">
        <v>8</v>
      </c>
      <c r="B378" s="55" t="s">
        <v>9</v>
      </c>
      <c r="C378" s="81" t="s">
        <v>423</v>
      </c>
      <c r="D378" s="53">
        <v>7180301</v>
      </c>
      <c r="E378" s="52">
        <v>45636</v>
      </c>
      <c r="F378" s="80">
        <v>771.6</v>
      </c>
      <c r="G378" s="79" t="s">
        <v>390</v>
      </c>
      <c r="H378" s="49" t="str">
        <f>IF(F378&gt;25000,"C",IF(F378&gt;1000,"B","A"))</f>
        <v>A</v>
      </c>
      <c r="I378" s="48" t="str">
        <f>VLOOKUP(H378,$L$2:$M$4,2,FALSE)</f>
        <v>The Commissioner &amp; Chief Constable are satisfied the spend represents VFM in accordance with the requirements of Category A</v>
      </c>
      <c r="L378" s="41"/>
      <c r="M378" s="41"/>
    </row>
    <row r="379" spans="1:13" s="42" customFormat="1" x14ac:dyDescent="0.2">
      <c r="A379" s="56" t="s">
        <v>8</v>
      </c>
      <c r="B379" s="55" t="s">
        <v>9</v>
      </c>
      <c r="C379" s="81" t="s">
        <v>743</v>
      </c>
      <c r="D379" s="53">
        <v>7179933</v>
      </c>
      <c r="E379" s="52">
        <v>45628</v>
      </c>
      <c r="F379" s="80">
        <v>770</v>
      </c>
      <c r="G379" s="79" t="s">
        <v>66</v>
      </c>
      <c r="H379" s="49" t="str">
        <f>IF(F379&gt;25000,"C",IF(F379&gt;1000,"B","A"))</f>
        <v>A</v>
      </c>
      <c r="I379" s="48" t="str">
        <f>VLOOKUP(H379,$L$2:$M$4,2,FALSE)</f>
        <v>The Commissioner &amp; Chief Constable are satisfied the spend represents VFM in accordance with the requirements of Category A</v>
      </c>
      <c r="L379" s="41"/>
      <c r="M379" s="41"/>
    </row>
    <row r="380" spans="1:13" s="42" customFormat="1" x14ac:dyDescent="0.2">
      <c r="A380" s="56" t="s">
        <v>8</v>
      </c>
      <c r="B380" s="55" t="s">
        <v>9</v>
      </c>
      <c r="C380" s="81" t="s">
        <v>682</v>
      </c>
      <c r="D380" s="53">
        <v>7180294</v>
      </c>
      <c r="E380" s="52">
        <v>45636</v>
      </c>
      <c r="F380" s="80">
        <v>767.64</v>
      </c>
      <c r="G380" s="79" t="s">
        <v>131</v>
      </c>
      <c r="H380" s="49" t="str">
        <f>IF(F380&gt;25000,"C",IF(F380&gt;1000,"B","A"))</f>
        <v>A</v>
      </c>
      <c r="I380" s="48" t="str">
        <f>VLOOKUP(H380,$L$2:$M$4,2,FALSE)</f>
        <v>The Commissioner &amp; Chief Constable are satisfied the spend represents VFM in accordance with the requirements of Category A</v>
      </c>
      <c r="L380" s="41"/>
      <c r="M380" s="41"/>
    </row>
    <row r="381" spans="1:13" s="42" customFormat="1" x14ac:dyDescent="0.2">
      <c r="A381" s="56" t="s">
        <v>8</v>
      </c>
      <c r="B381" s="55" t="s">
        <v>9</v>
      </c>
      <c r="C381" s="81" t="s">
        <v>730</v>
      </c>
      <c r="D381" s="53">
        <v>7180322</v>
      </c>
      <c r="E381" s="52">
        <v>45639</v>
      </c>
      <c r="F381" s="80">
        <v>765</v>
      </c>
      <c r="G381" s="79" t="s">
        <v>729</v>
      </c>
      <c r="H381" s="49" t="str">
        <f>IF(F381&gt;25000,"C",IF(F381&gt;1000,"B","A"))</f>
        <v>A</v>
      </c>
      <c r="I381" s="48" t="str">
        <f>VLOOKUP(H381,$L$2:$M$4,2,FALSE)</f>
        <v>The Commissioner &amp; Chief Constable are satisfied the spend represents VFM in accordance with the requirements of Category A</v>
      </c>
      <c r="L381" s="41"/>
      <c r="M381" s="41"/>
    </row>
    <row r="382" spans="1:13" s="42" customFormat="1" x14ac:dyDescent="0.2">
      <c r="A382" s="56" t="s">
        <v>8</v>
      </c>
      <c r="B382" s="55" t="s">
        <v>9</v>
      </c>
      <c r="C382" s="81" t="s">
        <v>334</v>
      </c>
      <c r="D382" s="53">
        <v>7180034</v>
      </c>
      <c r="E382" s="52">
        <v>45631</v>
      </c>
      <c r="F382" s="80">
        <v>765</v>
      </c>
      <c r="G382" s="79" t="s">
        <v>91</v>
      </c>
      <c r="H382" s="49" t="str">
        <f>IF(F382&gt;25000,"C",IF(F382&gt;1000,"B","A"))</f>
        <v>A</v>
      </c>
      <c r="I382" s="48" t="str">
        <f>VLOOKUP(H382,$L$2:$M$4,2,FALSE)</f>
        <v>The Commissioner &amp; Chief Constable are satisfied the spend represents VFM in accordance with the requirements of Category A</v>
      </c>
      <c r="L382" s="41"/>
      <c r="M382" s="41"/>
    </row>
    <row r="383" spans="1:13" s="42" customFormat="1" x14ac:dyDescent="0.2">
      <c r="A383" s="56" t="s">
        <v>8</v>
      </c>
      <c r="B383" s="55" t="s">
        <v>9</v>
      </c>
      <c r="C383" s="81" t="s">
        <v>189</v>
      </c>
      <c r="D383" s="53">
        <v>7180394</v>
      </c>
      <c r="E383" s="52">
        <v>45638</v>
      </c>
      <c r="F383" s="80">
        <v>761</v>
      </c>
      <c r="G383" s="79" t="s">
        <v>131</v>
      </c>
      <c r="H383" s="49" t="str">
        <f>IF(F383&gt;25000,"C",IF(F383&gt;1000,"B","A"))</f>
        <v>A</v>
      </c>
      <c r="I383" s="48" t="str">
        <f>VLOOKUP(H383,$L$2:$M$4,2,FALSE)</f>
        <v>The Commissioner &amp; Chief Constable are satisfied the spend represents VFM in accordance with the requirements of Category A</v>
      </c>
      <c r="L383" s="41"/>
      <c r="M383" s="41"/>
    </row>
    <row r="384" spans="1:13" s="42" customFormat="1" x14ac:dyDescent="0.2">
      <c r="A384" s="56" t="s">
        <v>8</v>
      </c>
      <c r="B384" s="55" t="s">
        <v>9</v>
      </c>
      <c r="C384" s="81" t="s">
        <v>10</v>
      </c>
      <c r="D384" s="53">
        <v>7179847</v>
      </c>
      <c r="E384" s="52">
        <v>45635</v>
      </c>
      <c r="F384" s="80">
        <v>759</v>
      </c>
      <c r="G384" s="79" t="s">
        <v>22</v>
      </c>
      <c r="H384" s="49" t="str">
        <f>IF(F384&gt;25000,"C",IF(F384&gt;1000,"B","A"))</f>
        <v>A</v>
      </c>
      <c r="I384" s="48" t="str">
        <f>VLOOKUP(H384,$L$2:$M$4,2,FALSE)</f>
        <v>The Commissioner &amp; Chief Constable are satisfied the spend represents VFM in accordance with the requirements of Category A</v>
      </c>
      <c r="L384" s="41"/>
      <c r="M384" s="41"/>
    </row>
    <row r="385" spans="1:13" s="42" customFormat="1" x14ac:dyDescent="0.2">
      <c r="A385" s="56" t="s">
        <v>8</v>
      </c>
      <c r="B385" s="55" t="s">
        <v>9</v>
      </c>
      <c r="C385" s="81" t="s">
        <v>514</v>
      </c>
      <c r="D385" s="53">
        <v>7180438</v>
      </c>
      <c r="E385" s="52">
        <v>45639</v>
      </c>
      <c r="F385" s="80">
        <v>752.7</v>
      </c>
      <c r="G385" s="79" t="s">
        <v>151</v>
      </c>
      <c r="H385" s="49" t="str">
        <f>IF(F385&gt;25000,"C",IF(F385&gt;1000,"B","A"))</f>
        <v>A</v>
      </c>
      <c r="I385" s="48" t="str">
        <f>VLOOKUP(H385,$L$2:$M$4,2,FALSE)</f>
        <v>The Commissioner &amp; Chief Constable are satisfied the spend represents VFM in accordance with the requirements of Category A</v>
      </c>
      <c r="L385" s="41"/>
      <c r="M385" s="41"/>
    </row>
    <row r="386" spans="1:13" s="42" customFormat="1" x14ac:dyDescent="0.2">
      <c r="A386" s="56" t="s">
        <v>8</v>
      </c>
      <c r="B386" s="55" t="s">
        <v>9</v>
      </c>
      <c r="C386" s="81" t="s">
        <v>223</v>
      </c>
      <c r="D386" s="53">
        <v>7179397</v>
      </c>
      <c r="E386" s="52">
        <v>45639</v>
      </c>
      <c r="F386" s="80">
        <v>750</v>
      </c>
      <c r="G386" s="79" t="s">
        <v>22</v>
      </c>
      <c r="H386" s="49" t="str">
        <f>IF(F386&gt;25000,"C",IF(F386&gt;1000,"B","A"))</f>
        <v>A</v>
      </c>
      <c r="I386" s="48" t="str">
        <f>VLOOKUP(H386,$L$2:$M$4,2,FALSE)</f>
        <v>The Commissioner &amp; Chief Constable are satisfied the spend represents VFM in accordance with the requirements of Category A</v>
      </c>
      <c r="L386" s="41"/>
      <c r="M386" s="41"/>
    </row>
    <row r="387" spans="1:13" s="42" customFormat="1" x14ac:dyDescent="0.2">
      <c r="A387" s="56" t="s">
        <v>8</v>
      </c>
      <c r="B387" s="55" t="s">
        <v>9</v>
      </c>
      <c r="C387" s="81" t="s">
        <v>603</v>
      </c>
      <c r="D387" s="53">
        <v>7179998</v>
      </c>
      <c r="E387" s="52">
        <v>45645</v>
      </c>
      <c r="F387" s="80">
        <v>747.4</v>
      </c>
      <c r="G387" s="79" t="s">
        <v>40</v>
      </c>
      <c r="H387" s="49" t="str">
        <f>IF(F387&gt;25000,"C",IF(F387&gt;1000,"B","A"))</f>
        <v>A</v>
      </c>
      <c r="I387" s="48" t="str">
        <f>VLOOKUP(H387,$L$2:$M$4,2,FALSE)</f>
        <v>The Commissioner &amp; Chief Constable are satisfied the spend represents VFM in accordance with the requirements of Category A</v>
      </c>
      <c r="L387" s="41"/>
      <c r="M387" s="41"/>
    </row>
    <row r="388" spans="1:13" s="42" customFormat="1" x14ac:dyDescent="0.2">
      <c r="A388" s="56" t="s">
        <v>8</v>
      </c>
      <c r="B388" s="55" t="s">
        <v>9</v>
      </c>
      <c r="C388" s="81" t="s">
        <v>149</v>
      </c>
      <c r="D388" s="53">
        <v>7180585</v>
      </c>
      <c r="E388" s="52">
        <v>45645</v>
      </c>
      <c r="F388" s="80">
        <v>735.25</v>
      </c>
      <c r="G388" s="79" t="s">
        <v>138</v>
      </c>
      <c r="H388" s="49" t="str">
        <f>IF(F388&gt;25000,"C",IF(F388&gt;1000,"B","A"))</f>
        <v>A</v>
      </c>
      <c r="I388" s="48" t="str">
        <f>VLOOKUP(H388,$L$2:$M$4,2,FALSE)</f>
        <v>The Commissioner &amp; Chief Constable are satisfied the spend represents VFM in accordance with the requirements of Category A</v>
      </c>
      <c r="L388" s="41"/>
      <c r="M388" s="41"/>
    </row>
    <row r="389" spans="1:13" s="42" customFormat="1" x14ac:dyDescent="0.2">
      <c r="A389" s="56" t="s">
        <v>8</v>
      </c>
      <c r="B389" s="55" t="s">
        <v>9</v>
      </c>
      <c r="C389" s="81" t="s">
        <v>411</v>
      </c>
      <c r="D389" s="53">
        <v>7180511</v>
      </c>
      <c r="E389" s="52">
        <v>45642</v>
      </c>
      <c r="F389" s="80">
        <v>728.4</v>
      </c>
      <c r="G389" s="79" t="s">
        <v>156</v>
      </c>
      <c r="H389" s="49" t="str">
        <f>IF(F389&gt;25000,"C",IF(F389&gt;1000,"B","A"))</f>
        <v>A</v>
      </c>
      <c r="I389" s="48" t="str">
        <f>VLOOKUP(H389,$L$2:$M$4,2,FALSE)</f>
        <v>The Commissioner &amp; Chief Constable are satisfied the spend represents VFM in accordance with the requirements of Category A</v>
      </c>
      <c r="L389" s="41"/>
      <c r="M389" s="41"/>
    </row>
    <row r="390" spans="1:13" s="42" customFormat="1" x14ac:dyDescent="0.2">
      <c r="A390" s="56" t="s">
        <v>8</v>
      </c>
      <c r="B390" s="55" t="s">
        <v>9</v>
      </c>
      <c r="C390" s="81" t="s">
        <v>10</v>
      </c>
      <c r="D390" s="53">
        <v>7180523</v>
      </c>
      <c r="E390" s="52">
        <v>45646</v>
      </c>
      <c r="F390" s="80">
        <v>728.2</v>
      </c>
      <c r="G390" s="79" t="s">
        <v>22</v>
      </c>
      <c r="H390" s="49" t="str">
        <f>IF(F390&gt;25000,"C",IF(F390&gt;1000,"B","A"))</f>
        <v>A</v>
      </c>
      <c r="I390" s="48" t="str">
        <f>VLOOKUP(H390,$L$2:$M$4,2,FALSE)</f>
        <v>The Commissioner &amp; Chief Constable are satisfied the spend represents VFM in accordance with the requirements of Category A</v>
      </c>
      <c r="L390" s="41"/>
      <c r="M390" s="41"/>
    </row>
    <row r="391" spans="1:13" s="42" customFormat="1" x14ac:dyDescent="0.2">
      <c r="A391" s="56" t="s">
        <v>8</v>
      </c>
      <c r="B391" s="55" t="s">
        <v>9</v>
      </c>
      <c r="C391" s="81" t="s">
        <v>10</v>
      </c>
      <c r="D391" s="53">
        <v>7180593</v>
      </c>
      <c r="E391" s="52">
        <v>45645</v>
      </c>
      <c r="F391" s="80">
        <v>728.2</v>
      </c>
      <c r="G391" s="79" t="s">
        <v>22</v>
      </c>
      <c r="H391" s="49" t="str">
        <f>IF(F391&gt;25000,"C",IF(F391&gt;1000,"B","A"))</f>
        <v>A</v>
      </c>
      <c r="I391" s="48" t="str">
        <f>VLOOKUP(H391,$L$2:$M$4,2,FALSE)</f>
        <v>The Commissioner &amp; Chief Constable are satisfied the spend represents VFM in accordance with the requirements of Category A</v>
      </c>
      <c r="L391" s="41"/>
      <c r="M391" s="41"/>
    </row>
    <row r="392" spans="1:13" s="42" customFormat="1" x14ac:dyDescent="0.2">
      <c r="A392" s="56" t="s">
        <v>8</v>
      </c>
      <c r="B392" s="55" t="s">
        <v>9</v>
      </c>
      <c r="C392" s="81" t="s">
        <v>955</v>
      </c>
      <c r="D392" s="53">
        <v>7180333</v>
      </c>
      <c r="E392" s="52">
        <v>45637</v>
      </c>
      <c r="F392" s="80">
        <v>720</v>
      </c>
      <c r="G392" s="79" t="s">
        <v>330</v>
      </c>
      <c r="H392" s="49" t="str">
        <f>IF(F392&gt;25000,"C",IF(F392&gt;1000,"B","A"))</f>
        <v>A</v>
      </c>
      <c r="I392" s="48" t="str">
        <f>VLOOKUP(H392,$L$2:$M$4,2,FALSE)</f>
        <v>The Commissioner &amp; Chief Constable are satisfied the spend represents VFM in accordance with the requirements of Category A</v>
      </c>
      <c r="L392" s="41"/>
      <c r="M392" s="41"/>
    </row>
    <row r="393" spans="1:13" s="42" customFormat="1" x14ac:dyDescent="0.2">
      <c r="A393" s="56" t="s">
        <v>8</v>
      </c>
      <c r="B393" s="55" t="s">
        <v>9</v>
      </c>
      <c r="C393" s="81" t="s">
        <v>400</v>
      </c>
      <c r="D393" s="53">
        <v>7180473</v>
      </c>
      <c r="E393" s="52">
        <v>45639</v>
      </c>
      <c r="F393" s="80">
        <v>697.6</v>
      </c>
      <c r="G393" s="79" t="s">
        <v>298</v>
      </c>
      <c r="H393" s="49" t="str">
        <f>IF(F393&gt;25000,"C",IF(F393&gt;1000,"B","A"))</f>
        <v>A</v>
      </c>
      <c r="I393" s="48" t="str">
        <f>VLOOKUP(H393,$L$2:$M$4,2,FALSE)</f>
        <v>The Commissioner &amp; Chief Constable are satisfied the spend represents VFM in accordance with the requirements of Category A</v>
      </c>
      <c r="L393" s="41"/>
      <c r="M393" s="41"/>
    </row>
    <row r="394" spans="1:13" s="42" customFormat="1" x14ac:dyDescent="0.2">
      <c r="A394" s="56" t="s">
        <v>8</v>
      </c>
      <c r="B394" s="55" t="s">
        <v>9</v>
      </c>
      <c r="C394" s="81" t="s">
        <v>234</v>
      </c>
      <c r="D394" s="53">
        <v>7180102</v>
      </c>
      <c r="E394" s="52">
        <v>45636</v>
      </c>
      <c r="F394" s="80">
        <v>676.5</v>
      </c>
      <c r="G394" s="79" t="s">
        <v>42</v>
      </c>
      <c r="H394" s="49" t="str">
        <f>IF(F394&gt;25000,"C",IF(F394&gt;1000,"B","A"))</f>
        <v>A</v>
      </c>
      <c r="I394" s="48" t="str">
        <f>VLOOKUP(H394,$L$2:$M$4,2,FALSE)</f>
        <v>The Commissioner &amp; Chief Constable are satisfied the spend represents VFM in accordance with the requirements of Category A</v>
      </c>
      <c r="L394" s="41"/>
      <c r="M394" s="41"/>
    </row>
    <row r="395" spans="1:13" s="42" customFormat="1" x14ac:dyDescent="0.2">
      <c r="A395" s="56" t="s">
        <v>8</v>
      </c>
      <c r="B395" s="55" t="s">
        <v>9</v>
      </c>
      <c r="C395" s="81" t="s">
        <v>328</v>
      </c>
      <c r="D395" s="53">
        <v>7179920</v>
      </c>
      <c r="E395" s="52">
        <v>45628</v>
      </c>
      <c r="F395" s="80">
        <v>675</v>
      </c>
      <c r="G395" s="79" t="s">
        <v>131</v>
      </c>
      <c r="H395" s="49" t="str">
        <f>IF(F395&gt;25000,"C",IF(F395&gt;1000,"B","A"))</f>
        <v>A</v>
      </c>
      <c r="I395" s="48" t="str">
        <f>VLOOKUP(H395,$L$2:$M$4,2,FALSE)</f>
        <v>The Commissioner &amp; Chief Constable are satisfied the spend represents VFM in accordance with the requirements of Category A</v>
      </c>
      <c r="L395" s="41"/>
      <c r="M395" s="41"/>
    </row>
    <row r="396" spans="1:13" s="42" customFormat="1" x14ac:dyDescent="0.2">
      <c r="A396" s="56" t="s">
        <v>8</v>
      </c>
      <c r="B396" s="55" t="s">
        <v>9</v>
      </c>
      <c r="C396" s="81" t="s">
        <v>286</v>
      </c>
      <c r="D396" s="53">
        <v>7178598</v>
      </c>
      <c r="E396" s="52">
        <v>45642</v>
      </c>
      <c r="F396" s="80">
        <v>675</v>
      </c>
      <c r="G396" s="79" t="s">
        <v>22</v>
      </c>
      <c r="H396" s="49" t="str">
        <f>IF(F396&gt;25000,"C",IF(F396&gt;1000,"B","A"))</f>
        <v>A</v>
      </c>
      <c r="I396" s="48" t="str">
        <f>VLOOKUP(H396,$L$2:$M$4,2,FALSE)</f>
        <v>The Commissioner &amp; Chief Constable are satisfied the spend represents VFM in accordance with the requirements of Category A</v>
      </c>
      <c r="L396" s="41"/>
      <c r="M396" s="41"/>
    </row>
    <row r="397" spans="1:13" s="42" customFormat="1" x14ac:dyDescent="0.2">
      <c r="A397" s="56" t="s">
        <v>8</v>
      </c>
      <c r="B397" s="55" t="s">
        <v>9</v>
      </c>
      <c r="C397" s="81" t="s">
        <v>196</v>
      </c>
      <c r="D397" s="53">
        <v>7180197</v>
      </c>
      <c r="E397" s="52">
        <v>45636</v>
      </c>
      <c r="F397" s="80">
        <v>674.9</v>
      </c>
      <c r="G397" s="79" t="s">
        <v>169</v>
      </c>
      <c r="H397" s="49" t="str">
        <f>IF(F397&gt;25000,"C",IF(F397&gt;1000,"B","A"))</f>
        <v>A</v>
      </c>
      <c r="I397" s="48" t="str">
        <f>VLOOKUP(H397,$L$2:$M$4,2,FALSE)</f>
        <v>The Commissioner &amp; Chief Constable are satisfied the spend represents VFM in accordance with the requirements of Category A</v>
      </c>
      <c r="L397" s="41"/>
      <c r="M397" s="41"/>
    </row>
    <row r="398" spans="1:13" s="42" customFormat="1" x14ac:dyDescent="0.2">
      <c r="A398" s="56" t="s">
        <v>8</v>
      </c>
      <c r="B398" s="55" t="s">
        <v>9</v>
      </c>
      <c r="C398" s="81" t="s">
        <v>256</v>
      </c>
      <c r="D398" s="53">
        <v>7180256</v>
      </c>
      <c r="E398" s="52">
        <v>45636</v>
      </c>
      <c r="F398" s="80">
        <v>672.44</v>
      </c>
      <c r="G398" s="79" t="s">
        <v>155</v>
      </c>
      <c r="H398" s="49" t="str">
        <f>IF(F398&gt;25000,"C",IF(F398&gt;1000,"B","A"))</f>
        <v>A</v>
      </c>
      <c r="I398" s="48" t="str">
        <f>VLOOKUP(H398,$L$2:$M$4,2,FALSE)</f>
        <v>The Commissioner &amp; Chief Constable are satisfied the spend represents VFM in accordance with the requirements of Category A</v>
      </c>
      <c r="L398" s="41"/>
      <c r="M398" s="41"/>
    </row>
    <row r="399" spans="1:13" s="42" customFormat="1" x14ac:dyDescent="0.2">
      <c r="A399" s="56" t="s">
        <v>8</v>
      </c>
      <c r="B399" s="55" t="s">
        <v>9</v>
      </c>
      <c r="C399" s="81" t="s">
        <v>894</v>
      </c>
      <c r="D399" s="53">
        <v>7180526</v>
      </c>
      <c r="E399" s="52">
        <v>45643</v>
      </c>
      <c r="F399" s="80">
        <v>660</v>
      </c>
      <c r="G399" s="79" t="s">
        <v>94</v>
      </c>
      <c r="H399" s="49" t="str">
        <f>IF(F399&gt;25000,"C",IF(F399&gt;1000,"B","A"))</f>
        <v>A</v>
      </c>
      <c r="I399" s="48" t="str">
        <f>VLOOKUP(H399,$L$2:$M$4,2,FALSE)</f>
        <v>The Commissioner &amp; Chief Constable are satisfied the spend represents VFM in accordance with the requirements of Category A</v>
      </c>
      <c r="L399" s="41"/>
      <c r="M399" s="41"/>
    </row>
    <row r="400" spans="1:13" s="42" customFormat="1" x14ac:dyDescent="0.2">
      <c r="A400" s="56" t="s">
        <v>8</v>
      </c>
      <c r="B400" s="55" t="s">
        <v>9</v>
      </c>
      <c r="C400" s="81" t="s">
        <v>423</v>
      </c>
      <c r="D400" s="53">
        <v>7180525</v>
      </c>
      <c r="E400" s="52">
        <v>45642</v>
      </c>
      <c r="F400" s="80">
        <v>655</v>
      </c>
      <c r="G400" s="79" t="s">
        <v>390</v>
      </c>
      <c r="H400" s="49" t="str">
        <f>IF(F400&gt;25000,"C",IF(F400&gt;1000,"B","A"))</f>
        <v>A</v>
      </c>
      <c r="I400" s="48" t="str">
        <f>VLOOKUP(H400,$L$2:$M$4,2,FALSE)</f>
        <v>The Commissioner &amp; Chief Constable are satisfied the spend represents VFM in accordance with the requirements of Category A</v>
      </c>
      <c r="L400" s="41"/>
      <c r="M400" s="41"/>
    </row>
    <row r="401" spans="1:13" s="42" customFormat="1" x14ac:dyDescent="0.2">
      <c r="A401" s="56" t="s">
        <v>8</v>
      </c>
      <c r="B401" s="55" t="s">
        <v>9</v>
      </c>
      <c r="C401" s="81" t="s">
        <v>329</v>
      </c>
      <c r="D401" s="53">
        <v>7179880</v>
      </c>
      <c r="E401" s="52">
        <v>45628</v>
      </c>
      <c r="F401" s="80">
        <v>651.70000000000005</v>
      </c>
      <c r="G401" s="79" t="s">
        <v>363</v>
      </c>
      <c r="H401" s="49" t="str">
        <f>IF(F401&gt;25000,"C",IF(F401&gt;1000,"B","A"))</f>
        <v>A</v>
      </c>
      <c r="I401" s="48" t="str">
        <f>VLOOKUP(H401,$L$2:$M$4,2,FALSE)</f>
        <v>The Commissioner &amp; Chief Constable are satisfied the spend represents VFM in accordance with the requirements of Category A</v>
      </c>
      <c r="L401" s="41"/>
      <c r="M401" s="41"/>
    </row>
    <row r="402" spans="1:13" s="42" customFormat="1" x14ac:dyDescent="0.2">
      <c r="A402" s="56" t="s">
        <v>8</v>
      </c>
      <c r="B402" s="55" t="s">
        <v>9</v>
      </c>
      <c r="C402" s="81" t="s">
        <v>624</v>
      </c>
      <c r="D402" s="53">
        <v>7180144</v>
      </c>
      <c r="E402" s="52">
        <v>45636</v>
      </c>
      <c r="F402" s="80">
        <v>650</v>
      </c>
      <c r="G402" s="79" t="s">
        <v>106</v>
      </c>
      <c r="H402" s="49" t="str">
        <f>IF(F402&gt;25000,"C",IF(F402&gt;1000,"B","A"))</f>
        <v>A</v>
      </c>
      <c r="I402" s="48" t="str">
        <f>VLOOKUP(H402,$L$2:$M$4,2,FALSE)</f>
        <v>The Commissioner &amp; Chief Constable are satisfied the spend represents VFM in accordance with the requirements of Category A</v>
      </c>
      <c r="L402" s="41"/>
      <c r="M402" s="41"/>
    </row>
    <row r="403" spans="1:13" s="42" customFormat="1" x14ac:dyDescent="0.2">
      <c r="A403" s="56" t="s">
        <v>8</v>
      </c>
      <c r="B403" s="55" t="s">
        <v>9</v>
      </c>
      <c r="C403" s="81" t="s">
        <v>680</v>
      </c>
      <c r="D403" s="53">
        <v>7180275</v>
      </c>
      <c r="E403" s="52">
        <v>45636</v>
      </c>
      <c r="F403" s="80">
        <v>649.98</v>
      </c>
      <c r="G403" s="79" t="s">
        <v>131</v>
      </c>
      <c r="H403" s="49" t="str">
        <f>IF(F403&gt;25000,"C",IF(F403&gt;1000,"B","A"))</f>
        <v>A</v>
      </c>
      <c r="I403" s="48" t="str">
        <f>VLOOKUP(H403,$L$2:$M$4,2,FALSE)</f>
        <v>The Commissioner &amp; Chief Constable are satisfied the spend represents VFM in accordance with the requirements of Category A</v>
      </c>
      <c r="L403" s="41"/>
      <c r="M403" s="41"/>
    </row>
    <row r="404" spans="1:13" s="42" customFormat="1" x14ac:dyDescent="0.2">
      <c r="A404" s="56" t="s">
        <v>8</v>
      </c>
      <c r="B404" s="55" t="s">
        <v>9</v>
      </c>
      <c r="C404" s="81" t="s">
        <v>260</v>
      </c>
      <c r="D404" s="53">
        <v>7180720</v>
      </c>
      <c r="E404" s="52">
        <v>45646</v>
      </c>
      <c r="F404" s="80">
        <v>649.61</v>
      </c>
      <c r="G404" s="79" t="s">
        <v>261</v>
      </c>
      <c r="H404" s="49" t="str">
        <f>IF(F404&gt;25000,"C",IF(F404&gt;1000,"B","A"))</f>
        <v>A</v>
      </c>
      <c r="I404" s="48" t="str">
        <f>VLOOKUP(H404,$L$2:$M$4,2,FALSE)</f>
        <v>The Commissioner &amp; Chief Constable are satisfied the spend represents VFM in accordance with the requirements of Category A</v>
      </c>
      <c r="L404" s="41"/>
      <c r="M404" s="41"/>
    </row>
    <row r="405" spans="1:13" s="42" customFormat="1" x14ac:dyDescent="0.2">
      <c r="A405" s="56" t="s">
        <v>8</v>
      </c>
      <c r="B405" s="55" t="s">
        <v>9</v>
      </c>
      <c r="C405" s="81" t="s">
        <v>172</v>
      </c>
      <c r="D405" s="53">
        <v>7180084</v>
      </c>
      <c r="E405" s="52">
        <v>45630</v>
      </c>
      <c r="F405" s="80">
        <v>645</v>
      </c>
      <c r="G405" s="79" t="s">
        <v>112</v>
      </c>
      <c r="H405" s="49" t="str">
        <f>IF(F405&gt;25000,"C",IF(F405&gt;1000,"B","A"))</f>
        <v>A</v>
      </c>
      <c r="I405" s="48" t="str">
        <f>VLOOKUP(H405,$L$2:$M$4,2,FALSE)</f>
        <v>The Commissioner &amp; Chief Constable are satisfied the spend represents VFM in accordance with the requirements of Category A</v>
      </c>
      <c r="L405" s="41"/>
      <c r="M405" s="41"/>
    </row>
    <row r="406" spans="1:13" s="42" customFormat="1" x14ac:dyDescent="0.2">
      <c r="A406" s="56" t="s">
        <v>8</v>
      </c>
      <c r="B406" s="55" t="s">
        <v>9</v>
      </c>
      <c r="C406" s="81" t="s">
        <v>301</v>
      </c>
      <c r="D406" s="53">
        <v>7180590</v>
      </c>
      <c r="E406" s="52">
        <v>45643</v>
      </c>
      <c r="F406" s="80">
        <v>635</v>
      </c>
      <c r="G406" s="79" t="s">
        <v>131</v>
      </c>
      <c r="H406" s="49" t="str">
        <f>IF(F406&gt;25000,"C",IF(F406&gt;1000,"B","A"))</f>
        <v>A</v>
      </c>
      <c r="I406" s="48" t="str">
        <f>VLOOKUP(H406,$L$2:$M$4,2,FALSE)</f>
        <v>The Commissioner &amp; Chief Constable are satisfied the spend represents VFM in accordance with the requirements of Category A</v>
      </c>
      <c r="L406" s="41"/>
      <c r="M406" s="41"/>
    </row>
    <row r="407" spans="1:13" s="42" customFormat="1" x14ac:dyDescent="0.2">
      <c r="A407" s="56" t="s">
        <v>8</v>
      </c>
      <c r="B407" s="55" t="s">
        <v>9</v>
      </c>
      <c r="C407" s="81" t="s">
        <v>378</v>
      </c>
      <c r="D407" s="53">
        <v>7180599</v>
      </c>
      <c r="E407" s="52">
        <v>45643</v>
      </c>
      <c r="F407" s="80">
        <v>617.75</v>
      </c>
      <c r="G407" s="79" t="s">
        <v>106</v>
      </c>
      <c r="H407" s="49" t="str">
        <f>IF(F407&gt;25000,"C",IF(F407&gt;1000,"B","A"))</f>
        <v>A</v>
      </c>
      <c r="I407" s="48" t="str">
        <f>VLOOKUP(H407,$L$2:$M$4,2,FALSE)</f>
        <v>The Commissioner &amp; Chief Constable are satisfied the spend represents VFM in accordance with the requirements of Category A</v>
      </c>
      <c r="L407" s="41"/>
      <c r="M407" s="41"/>
    </row>
    <row r="408" spans="1:13" x14ac:dyDescent="0.2">
      <c r="A408" s="56" t="s">
        <v>8</v>
      </c>
      <c r="B408" s="55" t="s">
        <v>9</v>
      </c>
      <c r="C408" s="81" t="s">
        <v>74</v>
      </c>
      <c r="D408" s="53">
        <v>7180775</v>
      </c>
      <c r="E408" s="52">
        <v>45649</v>
      </c>
      <c r="F408" s="80">
        <v>617.29999999999995</v>
      </c>
      <c r="G408" s="79" t="s">
        <v>148</v>
      </c>
      <c r="H408" s="49" t="str">
        <f>IF(F408&gt;25000,"C",IF(F408&gt;1000,"B","A"))</f>
        <v>A</v>
      </c>
      <c r="I408" s="48" t="str">
        <f>VLOOKUP(H408,$L$2:$M$4,2,FALSE)</f>
        <v>The Commissioner &amp; Chief Constable are satisfied the spend represents VFM in accordance with the requirements of Category A</v>
      </c>
    </row>
    <row r="409" spans="1:13" x14ac:dyDescent="0.2">
      <c r="A409" s="56" t="s">
        <v>8</v>
      </c>
      <c r="B409" s="55" t="s">
        <v>9</v>
      </c>
      <c r="C409" s="81" t="s">
        <v>195</v>
      </c>
      <c r="D409" s="53">
        <v>7179974</v>
      </c>
      <c r="E409" s="52">
        <v>45630</v>
      </c>
      <c r="F409" s="80">
        <v>616</v>
      </c>
      <c r="G409" s="79" t="s">
        <v>22</v>
      </c>
      <c r="H409" s="49" t="str">
        <f>IF(F409&gt;25000,"C",IF(F409&gt;1000,"B","A"))</f>
        <v>A</v>
      </c>
      <c r="I409" s="48" t="str">
        <f>VLOOKUP(H409,$L$2:$M$4,2,FALSE)</f>
        <v>The Commissioner &amp; Chief Constable are satisfied the spend represents VFM in accordance with the requirements of Category A</v>
      </c>
    </row>
    <row r="410" spans="1:13" x14ac:dyDescent="0.2">
      <c r="A410" s="56" t="s">
        <v>8</v>
      </c>
      <c r="B410" s="55" t="s">
        <v>9</v>
      </c>
      <c r="C410" s="81" t="s">
        <v>339</v>
      </c>
      <c r="D410" s="53">
        <v>7180364</v>
      </c>
      <c r="E410" s="52">
        <v>45637</v>
      </c>
      <c r="F410" s="80">
        <v>610</v>
      </c>
      <c r="G410" s="79" t="s">
        <v>390</v>
      </c>
      <c r="H410" s="49" t="str">
        <f>IF(F410&gt;25000,"C",IF(F410&gt;1000,"B","A"))</f>
        <v>A</v>
      </c>
      <c r="I410" s="48" t="str">
        <f>VLOOKUP(H410,$L$2:$M$4,2,FALSE)</f>
        <v>The Commissioner &amp; Chief Constable are satisfied the spend represents VFM in accordance with the requirements of Category A</v>
      </c>
    </row>
    <row r="411" spans="1:13" x14ac:dyDescent="0.2">
      <c r="A411" s="56" t="s">
        <v>8</v>
      </c>
      <c r="B411" s="55" t="s">
        <v>9</v>
      </c>
      <c r="C411" s="81" t="s">
        <v>33</v>
      </c>
      <c r="D411" s="53">
        <v>7180410</v>
      </c>
      <c r="E411" s="52">
        <v>45638</v>
      </c>
      <c r="F411" s="80">
        <v>600</v>
      </c>
      <c r="G411" s="79" t="s">
        <v>106</v>
      </c>
      <c r="H411" s="49" t="str">
        <f>IF(F411&gt;25000,"C",IF(F411&gt;1000,"B","A"))</f>
        <v>A</v>
      </c>
      <c r="I411" s="48" t="str">
        <f>VLOOKUP(H411,$L$2:$M$4,2,FALSE)</f>
        <v>The Commissioner &amp; Chief Constable are satisfied the spend represents VFM in accordance with the requirements of Category A</v>
      </c>
    </row>
    <row r="412" spans="1:13" x14ac:dyDescent="0.2">
      <c r="A412" s="56" t="s">
        <v>8</v>
      </c>
      <c r="B412" s="55" t="s">
        <v>9</v>
      </c>
      <c r="C412" s="81" t="s">
        <v>74</v>
      </c>
      <c r="D412" s="53">
        <v>7180577</v>
      </c>
      <c r="E412" s="52">
        <v>45643</v>
      </c>
      <c r="F412" s="80">
        <v>594.95000000000005</v>
      </c>
      <c r="G412" s="79" t="s">
        <v>148</v>
      </c>
      <c r="H412" s="49" t="str">
        <f>IF(F412&gt;25000,"C",IF(F412&gt;1000,"B","A"))</f>
        <v>A</v>
      </c>
      <c r="I412" s="48" t="str">
        <f>VLOOKUP(H412,$L$2:$M$4,2,FALSE)</f>
        <v>The Commissioner &amp; Chief Constable are satisfied the spend represents VFM in accordance with the requirements of Category A</v>
      </c>
    </row>
    <row r="413" spans="1:13" x14ac:dyDescent="0.2">
      <c r="A413" s="56" t="s">
        <v>8</v>
      </c>
      <c r="B413" s="55" t="s">
        <v>9</v>
      </c>
      <c r="C413" s="81" t="s">
        <v>260</v>
      </c>
      <c r="D413" s="53">
        <v>7180179</v>
      </c>
      <c r="E413" s="52">
        <v>45632</v>
      </c>
      <c r="F413" s="80">
        <v>592.42000000000007</v>
      </c>
      <c r="G413" s="79" t="s">
        <v>261</v>
      </c>
      <c r="H413" s="49" t="str">
        <f>IF(F413&gt;25000,"C",IF(F413&gt;1000,"B","A"))</f>
        <v>A</v>
      </c>
      <c r="I413" s="48" t="str">
        <f>VLOOKUP(H413,$L$2:$M$4,2,FALSE)</f>
        <v>The Commissioner &amp; Chief Constable are satisfied the spend represents VFM in accordance with the requirements of Category A</v>
      </c>
    </row>
    <row r="414" spans="1:13" x14ac:dyDescent="0.2">
      <c r="A414" s="56" t="s">
        <v>8</v>
      </c>
      <c r="B414" s="55" t="s">
        <v>9</v>
      </c>
      <c r="C414" s="81" t="s">
        <v>540</v>
      </c>
      <c r="D414" s="53">
        <v>7180826</v>
      </c>
      <c r="E414" s="52">
        <v>45653</v>
      </c>
      <c r="F414" s="80">
        <v>589.67999999999995</v>
      </c>
      <c r="G414" s="79" t="s">
        <v>131</v>
      </c>
      <c r="H414" s="49" t="str">
        <f>IF(F414&gt;25000,"C",IF(F414&gt;1000,"B","A"))</f>
        <v>A</v>
      </c>
      <c r="I414" s="48" t="str">
        <f>VLOOKUP(H414,$L$2:$M$4,2,FALSE)</f>
        <v>The Commissioner &amp; Chief Constable are satisfied the spend represents VFM in accordance with the requirements of Category A</v>
      </c>
    </row>
    <row r="415" spans="1:13" x14ac:dyDescent="0.2">
      <c r="A415" s="56" t="s">
        <v>8</v>
      </c>
      <c r="B415" s="55" t="s">
        <v>9</v>
      </c>
      <c r="C415" s="81" t="s">
        <v>113</v>
      </c>
      <c r="D415" s="53">
        <v>7180518</v>
      </c>
      <c r="E415" s="52">
        <v>45643</v>
      </c>
      <c r="F415" s="80">
        <v>588.23</v>
      </c>
      <c r="G415" s="79" t="s">
        <v>114</v>
      </c>
      <c r="H415" s="49" t="str">
        <f>IF(F415&gt;25000,"C",IF(F415&gt;1000,"B","A"))</f>
        <v>A</v>
      </c>
      <c r="I415" s="48" t="str">
        <f>VLOOKUP(H415,$L$2:$M$4,2,FALSE)</f>
        <v>The Commissioner &amp; Chief Constable are satisfied the spend represents VFM in accordance with the requirements of Category A</v>
      </c>
    </row>
    <row r="416" spans="1:13" x14ac:dyDescent="0.2">
      <c r="A416" s="56" t="s">
        <v>8</v>
      </c>
      <c r="B416" s="55" t="s">
        <v>9</v>
      </c>
      <c r="C416" s="81" t="s">
        <v>989</v>
      </c>
      <c r="D416" s="53">
        <v>7180752</v>
      </c>
      <c r="E416" s="52">
        <v>45649</v>
      </c>
      <c r="F416" s="80">
        <v>580.95000000000005</v>
      </c>
      <c r="G416" s="79" t="s">
        <v>123</v>
      </c>
      <c r="H416" s="49" t="str">
        <f>IF(F416&gt;25000,"C",IF(F416&gt;1000,"B","A"))</f>
        <v>A</v>
      </c>
      <c r="I416" s="48" t="str">
        <f>VLOOKUP(H416,$L$2:$M$4,2,FALSE)</f>
        <v>The Commissioner &amp; Chief Constable are satisfied the spend represents VFM in accordance with the requirements of Category A</v>
      </c>
    </row>
    <row r="417" spans="1:9" x14ac:dyDescent="0.2">
      <c r="A417" s="56" t="s">
        <v>8</v>
      </c>
      <c r="B417" s="55" t="s">
        <v>9</v>
      </c>
      <c r="C417" s="81" t="s">
        <v>479</v>
      </c>
      <c r="D417" s="53">
        <v>7179138</v>
      </c>
      <c r="E417" s="52">
        <v>45628</v>
      </c>
      <c r="F417" s="80">
        <v>578</v>
      </c>
      <c r="G417" s="79" t="s">
        <v>75</v>
      </c>
      <c r="H417" s="49" t="str">
        <f>IF(F417&gt;25000,"C",IF(F417&gt;1000,"B","A"))</f>
        <v>A</v>
      </c>
      <c r="I417" s="48" t="str">
        <f>VLOOKUP(H417,$L$2:$M$4,2,FALSE)</f>
        <v>The Commissioner &amp; Chief Constable are satisfied the spend represents VFM in accordance with the requirements of Category A</v>
      </c>
    </row>
    <row r="418" spans="1:9" x14ac:dyDescent="0.2">
      <c r="A418" s="56" t="s">
        <v>8</v>
      </c>
      <c r="B418" s="55" t="s">
        <v>9</v>
      </c>
      <c r="C418" s="81" t="s">
        <v>988</v>
      </c>
      <c r="D418" s="53">
        <v>7180522</v>
      </c>
      <c r="E418" s="52">
        <v>45642</v>
      </c>
      <c r="F418" s="80">
        <v>577.70000000000005</v>
      </c>
      <c r="G418" s="79" t="s">
        <v>131</v>
      </c>
      <c r="H418" s="49" t="str">
        <f>IF(F418&gt;25000,"C",IF(F418&gt;1000,"B","A"))</f>
        <v>A</v>
      </c>
      <c r="I418" s="48" t="str">
        <f>VLOOKUP(H418,$L$2:$M$4,2,FALSE)</f>
        <v>The Commissioner &amp; Chief Constable are satisfied the spend represents VFM in accordance with the requirements of Category A</v>
      </c>
    </row>
    <row r="419" spans="1:9" x14ac:dyDescent="0.2">
      <c r="A419" s="56" t="s">
        <v>8</v>
      </c>
      <c r="B419" s="55" t="s">
        <v>9</v>
      </c>
      <c r="C419" s="81" t="s">
        <v>411</v>
      </c>
      <c r="D419" s="53">
        <v>7180477</v>
      </c>
      <c r="E419" s="52">
        <v>45644</v>
      </c>
      <c r="F419" s="80">
        <v>577</v>
      </c>
      <c r="G419" s="79" t="s">
        <v>156</v>
      </c>
      <c r="H419" s="49" t="str">
        <f>IF(F419&gt;25000,"C",IF(F419&gt;1000,"B","A"))</f>
        <v>A</v>
      </c>
      <c r="I419" s="48" t="str">
        <f>VLOOKUP(H419,$L$2:$M$4,2,FALSE)</f>
        <v>The Commissioner &amp; Chief Constable are satisfied the spend represents VFM in accordance with the requirements of Category A</v>
      </c>
    </row>
    <row r="420" spans="1:9" x14ac:dyDescent="0.2">
      <c r="A420" s="56" t="s">
        <v>8</v>
      </c>
      <c r="B420" s="55" t="s">
        <v>9</v>
      </c>
      <c r="C420" s="81" t="s">
        <v>987</v>
      </c>
      <c r="D420" s="53">
        <v>7180049</v>
      </c>
      <c r="E420" s="52">
        <v>45636</v>
      </c>
      <c r="F420" s="80">
        <v>576.03</v>
      </c>
      <c r="G420" s="79" t="s">
        <v>131</v>
      </c>
      <c r="H420" s="49" t="str">
        <f>IF(F420&gt;25000,"C",IF(F420&gt;1000,"B","A"))</f>
        <v>A</v>
      </c>
      <c r="I420" s="48" t="str">
        <f>VLOOKUP(H420,$L$2:$M$4,2,FALSE)</f>
        <v>The Commissioner &amp; Chief Constable are satisfied the spend represents VFM in accordance with the requirements of Category A</v>
      </c>
    </row>
    <row r="421" spans="1:9" x14ac:dyDescent="0.2">
      <c r="A421" s="56" t="s">
        <v>8</v>
      </c>
      <c r="B421" s="55" t="s">
        <v>9</v>
      </c>
      <c r="C421" s="81" t="s">
        <v>107</v>
      </c>
      <c r="D421" s="53">
        <v>7180112</v>
      </c>
      <c r="E421" s="52">
        <v>45631</v>
      </c>
      <c r="F421" s="80">
        <v>574.20000000000005</v>
      </c>
      <c r="G421" s="79" t="s">
        <v>108</v>
      </c>
      <c r="H421" s="49" t="str">
        <f>IF(F421&gt;25000,"C",IF(F421&gt;1000,"B","A"))</f>
        <v>A</v>
      </c>
      <c r="I421" s="48" t="str">
        <f>VLOOKUP(H421,$L$2:$M$4,2,FALSE)</f>
        <v>The Commissioner &amp; Chief Constable are satisfied the spend represents VFM in accordance with the requirements of Category A</v>
      </c>
    </row>
    <row r="422" spans="1:9" x14ac:dyDescent="0.2">
      <c r="A422" s="56" t="s">
        <v>8</v>
      </c>
      <c r="B422" s="55" t="s">
        <v>9</v>
      </c>
      <c r="C422" s="81" t="s">
        <v>433</v>
      </c>
      <c r="D422" s="53">
        <v>7180595</v>
      </c>
      <c r="E422" s="52">
        <v>45643</v>
      </c>
      <c r="F422" s="80">
        <v>573.29999999999995</v>
      </c>
      <c r="G422" s="79" t="s">
        <v>94</v>
      </c>
      <c r="H422" s="49" t="str">
        <f>IF(F422&gt;25000,"C",IF(F422&gt;1000,"B","A"))</f>
        <v>A</v>
      </c>
      <c r="I422" s="48" t="str">
        <f>VLOOKUP(H422,$L$2:$M$4,2,FALSE)</f>
        <v>The Commissioner &amp; Chief Constable are satisfied the spend represents VFM in accordance with the requirements of Category A</v>
      </c>
    </row>
    <row r="423" spans="1:9" x14ac:dyDescent="0.2">
      <c r="A423" s="56" t="s">
        <v>8</v>
      </c>
      <c r="B423" s="55" t="s">
        <v>9</v>
      </c>
      <c r="C423" s="81" t="s">
        <v>502</v>
      </c>
      <c r="D423" s="53">
        <v>7180173</v>
      </c>
      <c r="E423" s="52">
        <v>45632</v>
      </c>
      <c r="F423" s="80">
        <v>558.79999999999995</v>
      </c>
      <c r="G423" s="79" t="s">
        <v>38</v>
      </c>
      <c r="H423" s="49" t="str">
        <f>IF(F423&gt;25000,"C",IF(F423&gt;1000,"B","A"))</f>
        <v>A</v>
      </c>
      <c r="I423" s="48" t="str">
        <f>VLOOKUP(H423,$L$2:$M$4,2,FALSE)</f>
        <v>The Commissioner &amp; Chief Constable are satisfied the spend represents VFM in accordance with the requirements of Category A</v>
      </c>
    </row>
    <row r="424" spans="1:9" x14ac:dyDescent="0.2">
      <c r="A424" s="56" t="s">
        <v>8</v>
      </c>
      <c r="B424" s="55" t="s">
        <v>9</v>
      </c>
      <c r="C424" s="81" t="s">
        <v>172</v>
      </c>
      <c r="D424" s="53">
        <v>7179962</v>
      </c>
      <c r="E424" s="52">
        <v>45629</v>
      </c>
      <c r="F424" s="80">
        <v>549.29999999999995</v>
      </c>
      <c r="G424" s="79" t="s">
        <v>112</v>
      </c>
      <c r="H424" s="49" t="str">
        <f>IF(F424&gt;25000,"C",IF(F424&gt;1000,"B","A"))</f>
        <v>A</v>
      </c>
      <c r="I424" s="48" t="str">
        <f>VLOOKUP(H424,$L$2:$M$4,2,FALSE)</f>
        <v>The Commissioner &amp; Chief Constable are satisfied the spend represents VFM in accordance with the requirements of Category A</v>
      </c>
    </row>
    <row r="425" spans="1:9" x14ac:dyDescent="0.2">
      <c r="A425" s="56" t="s">
        <v>8</v>
      </c>
      <c r="B425" s="55" t="s">
        <v>9</v>
      </c>
      <c r="C425" s="81" t="s">
        <v>172</v>
      </c>
      <c r="D425" s="53">
        <v>7179961</v>
      </c>
      <c r="E425" s="52">
        <v>45629</v>
      </c>
      <c r="F425" s="80">
        <v>549.29999999999995</v>
      </c>
      <c r="G425" s="79" t="s">
        <v>112</v>
      </c>
      <c r="H425" s="49" t="str">
        <f>IF(F425&gt;25000,"C",IF(F425&gt;1000,"B","A"))</f>
        <v>A</v>
      </c>
      <c r="I425" s="48" t="str">
        <f>VLOOKUP(H425,$L$2:$M$4,2,FALSE)</f>
        <v>The Commissioner &amp; Chief Constable are satisfied the spend represents VFM in accordance with the requirements of Category A</v>
      </c>
    </row>
    <row r="426" spans="1:9" x14ac:dyDescent="0.2">
      <c r="A426" s="56" t="s">
        <v>8</v>
      </c>
      <c r="B426" s="55" t="s">
        <v>9</v>
      </c>
      <c r="C426" s="81" t="s">
        <v>172</v>
      </c>
      <c r="D426" s="53">
        <v>7179862</v>
      </c>
      <c r="E426" s="52">
        <v>45628</v>
      </c>
      <c r="F426" s="80">
        <v>547.5</v>
      </c>
      <c r="G426" s="42" t="s">
        <v>112</v>
      </c>
      <c r="H426" s="49" t="str">
        <f>IF(F426&gt;25000,"C",IF(F426&gt;1000,"B","A"))</f>
        <v>A</v>
      </c>
      <c r="I426" s="48" t="str">
        <f>VLOOKUP(H426,$L$2:$M$4,2,FALSE)</f>
        <v>The Commissioner &amp; Chief Constable are satisfied the spend represents VFM in accordance with the requirements of Category A</v>
      </c>
    </row>
    <row r="427" spans="1:9" x14ac:dyDescent="0.2">
      <c r="A427" s="56" t="s">
        <v>8</v>
      </c>
      <c r="B427" s="55" t="s">
        <v>9</v>
      </c>
      <c r="C427" s="81" t="s">
        <v>292</v>
      </c>
      <c r="D427" s="53">
        <v>7180198</v>
      </c>
      <c r="E427" s="52">
        <v>45636</v>
      </c>
      <c r="F427" s="80">
        <v>541.66</v>
      </c>
      <c r="G427" s="42" t="s">
        <v>84</v>
      </c>
      <c r="H427" s="49" t="str">
        <f>IF(F427&gt;25000,"C",IF(F427&gt;1000,"B","A"))</f>
        <v>A</v>
      </c>
      <c r="I427" s="48" t="str">
        <f>VLOOKUP(H427,$L$2:$M$4,2,FALSE)</f>
        <v>The Commissioner &amp; Chief Constable are satisfied the spend represents VFM in accordance with the requirements of Category A</v>
      </c>
    </row>
    <row r="428" spans="1:9" x14ac:dyDescent="0.2">
      <c r="A428" s="56" t="s">
        <v>8</v>
      </c>
      <c r="B428" s="55" t="s">
        <v>9</v>
      </c>
      <c r="C428" s="81" t="s">
        <v>294</v>
      </c>
      <c r="D428" s="53">
        <v>7180293</v>
      </c>
      <c r="E428" s="52">
        <v>45636</v>
      </c>
      <c r="F428" s="80">
        <v>539.6</v>
      </c>
      <c r="G428" s="42" t="s">
        <v>203</v>
      </c>
      <c r="H428" s="49" t="str">
        <f>IF(F428&gt;25000,"C",IF(F428&gt;1000,"B","A"))</f>
        <v>A</v>
      </c>
      <c r="I428" s="48" t="str">
        <f>VLOOKUP(H428,$L$2:$M$4,2,FALSE)</f>
        <v>The Commissioner &amp; Chief Constable are satisfied the spend represents VFM in accordance with the requirements of Category A</v>
      </c>
    </row>
    <row r="429" spans="1:9" x14ac:dyDescent="0.2">
      <c r="A429" s="56" t="s">
        <v>8</v>
      </c>
      <c r="B429" s="55" t="s">
        <v>9</v>
      </c>
      <c r="C429" s="81" t="s">
        <v>986</v>
      </c>
      <c r="D429" s="53">
        <v>7180782</v>
      </c>
      <c r="E429" s="52">
        <v>45649</v>
      </c>
      <c r="F429" s="80">
        <v>535.5</v>
      </c>
      <c r="G429" s="42" t="s">
        <v>131</v>
      </c>
      <c r="H429" s="49" t="str">
        <f>IF(F429&gt;25000,"C",IF(F429&gt;1000,"B","A"))</f>
        <v>A</v>
      </c>
      <c r="I429" s="48" t="str">
        <f>VLOOKUP(H429,$L$2:$M$4,2,FALSE)</f>
        <v>The Commissioner &amp; Chief Constable are satisfied the spend represents VFM in accordance with the requirements of Category A</v>
      </c>
    </row>
    <row r="430" spans="1:9" x14ac:dyDescent="0.2">
      <c r="A430" s="56" t="s">
        <v>8</v>
      </c>
      <c r="B430" s="55" t="s">
        <v>9</v>
      </c>
      <c r="C430" s="81" t="s">
        <v>985</v>
      </c>
      <c r="D430" s="53">
        <v>7180537</v>
      </c>
      <c r="E430" s="52">
        <v>45650</v>
      </c>
      <c r="F430" s="80">
        <v>531</v>
      </c>
      <c r="G430" s="79" t="s">
        <v>24</v>
      </c>
      <c r="H430" s="49" t="str">
        <f>IF(F430&gt;25000,"C",IF(F430&gt;1000,"B","A"))</f>
        <v>A</v>
      </c>
      <c r="I430" s="48" t="str">
        <f>VLOOKUP(H430,$L$2:$M$4,2,FALSE)</f>
        <v>The Commissioner &amp; Chief Constable are satisfied the spend represents VFM in accordance with the requirements of Category A</v>
      </c>
    </row>
    <row r="431" spans="1:9" x14ac:dyDescent="0.2">
      <c r="A431" s="56" t="s">
        <v>8</v>
      </c>
      <c r="B431" s="55" t="s">
        <v>9</v>
      </c>
      <c r="C431" s="81" t="s">
        <v>256</v>
      </c>
      <c r="D431" s="53">
        <v>7180765</v>
      </c>
      <c r="E431" s="52">
        <v>45649</v>
      </c>
      <c r="F431" s="80">
        <v>528.4</v>
      </c>
      <c r="G431" s="79" t="s">
        <v>155</v>
      </c>
      <c r="H431" s="49" t="str">
        <f>IF(F431&gt;25000,"C",IF(F431&gt;1000,"B","A"))</f>
        <v>A</v>
      </c>
      <c r="I431" s="48" t="str">
        <f>VLOOKUP(H431,$L$2:$M$4,2,FALSE)</f>
        <v>The Commissioner &amp; Chief Constable are satisfied the spend represents VFM in accordance with the requirements of Category A</v>
      </c>
    </row>
    <row r="432" spans="1:9" x14ac:dyDescent="0.2">
      <c r="A432" s="56" t="s">
        <v>8</v>
      </c>
      <c r="B432" s="55" t="s">
        <v>9</v>
      </c>
      <c r="C432" s="81" t="s">
        <v>100</v>
      </c>
      <c r="D432" s="53">
        <v>7180695</v>
      </c>
      <c r="E432" s="52">
        <v>45645</v>
      </c>
      <c r="F432" s="80">
        <v>526.52</v>
      </c>
      <c r="G432" s="79" t="s">
        <v>38</v>
      </c>
      <c r="H432" s="49" t="str">
        <f>IF(F432&gt;25000,"C",IF(F432&gt;1000,"B","A"))</f>
        <v>A</v>
      </c>
      <c r="I432" s="48" t="str">
        <f>VLOOKUP(H432,$L$2:$M$4,2,FALSE)</f>
        <v>The Commissioner &amp; Chief Constable are satisfied the spend represents VFM in accordance with the requirements of Category A</v>
      </c>
    </row>
    <row r="433" spans="1:9" x14ac:dyDescent="0.2">
      <c r="A433" s="56" t="s">
        <v>8</v>
      </c>
      <c r="B433" s="55" t="s">
        <v>9</v>
      </c>
      <c r="C433" s="81" t="s">
        <v>74</v>
      </c>
      <c r="D433" s="53">
        <v>7180324</v>
      </c>
      <c r="E433" s="52">
        <v>45636</v>
      </c>
      <c r="F433" s="80">
        <v>526.12</v>
      </c>
      <c r="G433" s="79" t="s">
        <v>131</v>
      </c>
      <c r="H433" s="49" t="str">
        <f>IF(F433&gt;25000,"C",IF(F433&gt;1000,"B","A"))</f>
        <v>A</v>
      </c>
      <c r="I433" s="48" t="str">
        <f>VLOOKUP(H433,$L$2:$M$4,2,FALSE)</f>
        <v>The Commissioner &amp; Chief Constable are satisfied the spend represents VFM in accordance with the requirements of Category A</v>
      </c>
    </row>
    <row r="434" spans="1:9" x14ac:dyDescent="0.2">
      <c r="A434" s="56" t="s">
        <v>8</v>
      </c>
      <c r="B434" s="55" t="s">
        <v>9</v>
      </c>
      <c r="C434" s="81" t="s">
        <v>283</v>
      </c>
      <c r="D434" s="53">
        <v>7180290</v>
      </c>
      <c r="E434" s="52">
        <v>45645</v>
      </c>
      <c r="F434" s="80">
        <v>522.5</v>
      </c>
      <c r="G434" s="79" t="s">
        <v>40</v>
      </c>
      <c r="H434" s="49" t="str">
        <f>IF(F434&gt;25000,"C",IF(F434&gt;1000,"B","A"))</f>
        <v>A</v>
      </c>
      <c r="I434" s="48" t="str">
        <f>VLOOKUP(H434,$L$2:$M$4,2,FALSE)</f>
        <v>The Commissioner &amp; Chief Constable are satisfied the spend represents VFM in accordance with the requirements of Category A</v>
      </c>
    </row>
    <row r="435" spans="1:9" x14ac:dyDescent="0.2">
      <c r="A435" s="56" t="s">
        <v>8</v>
      </c>
      <c r="B435" s="55" t="s">
        <v>9</v>
      </c>
      <c r="C435" s="81" t="s">
        <v>276</v>
      </c>
      <c r="D435" s="53">
        <v>7180399</v>
      </c>
      <c r="E435" s="52">
        <v>45645</v>
      </c>
      <c r="F435" s="80">
        <v>522.5</v>
      </c>
      <c r="G435" s="79" t="s">
        <v>40</v>
      </c>
      <c r="H435" s="49" t="str">
        <f>IF(F435&gt;25000,"C",IF(F435&gt;1000,"B","A"))</f>
        <v>A</v>
      </c>
      <c r="I435" s="48" t="str">
        <f>VLOOKUP(H435,$L$2:$M$4,2,FALSE)</f>
        <v>The Commissioner &amp; Chief Constable are satisfied the spend represents VFM in accordance with the requirements of Category A</v>
      </c>
    </row>
    <row r="436" spans="1:9" x14ac:dyDescent="0.2">
      <c r="A436" s="56" t="s">
        <v>8</v>
      </c>
      <c r="B436" s="55" t="s">
        <v>9</v>
      </c>
      <c r="C436" s="81" t="s">
        <v>984</v>
      </c>
      <c r="D436" s="53">
        <v>3068980</v>
      </c>
      <c r="E436" s="52">
        <v>45646</v>
      </c>
      <c r="F436" s="80">
        <v>500</v>
      </c>
      <c r="G436" s="79" t="s">
        <v>27</v>
      </c>
      <c r="H436" s="49" t="str">
        <f>IF(F436&gt;25000,"C",IF(F436&gt;1000,"B","A"))</f>
        <v>A</v>
      </c>
      <c r="I436" s="48" t="str">
        <f>VLOOKUP(H436,$L$2:$M$4,2,FALSE)</f>
        <v>The Commissioner &amp; Chief Constable are satisfied the spend represents VFM in accordance with the requirements of Category A</v>
      </c>
    </row>
    <row r="437" spans="1:9" x14ac:dyDescent="0.2">
      <c r="A437" s="56" t="s">
        <v>8</v>
      </c>
      <c r="B437" s="55" t="s">
        <v>9</v>
      </c>
      <c r="C437" s="81" t="s">
        <v>223</v>
      </c>
      <c r="D437" s="53">
        <v>7179498</v>
      </c>
      <c r="E437" s="52">
        <v>45639</v>
      </c>
      <c r="F437" s="80">
        <v>500</v>
      </c>
      <c r="G437" s="79" t="s">
        <v>22</v>
      </c>
      <c r="H437" s="49" t="str">
        <f>IF(F437&gt;25000,"C",IF(F437&gt;1000,"B","A"))</f>
        <v>A</v>
      </c>
      <c r="I437" s="48" t="str">
        <f>VLOOKUP(H437,$L$2:$M$4,2,FALSE)</f>
        <v>The Commissioner &amp; Chief Constable are satisfied the spend represents VFM in accordance with the requirements of Category A</v>
      </c>
    </row>
    <row r="438" spans="1:9" x14ac:dyDescent="0.2">
      <c r="A438" s="56" t="s">
        <v>8</v>
      </c>
      <c r="B438" s="55" t="s">
        <v>9</v>
      </c>
      <c r="C438" s="81" t="s">
        <v>349</v>
      </c>
      <c r="D438" s="53">
        <v>7179326</v>
      </c>
      <c r="E438" s="52">
        <v>45630</v>
      </c>
      <c r="F438" s="80">
        <v>500</v>
      </c>
      <c r="G438" s="79" t="s">
        <v>325</v>
      </c>
      <c r="H438" s="49" t="str">
        <f>IF(F438&gt;25000,"C",IF(F438&gt;1000,"B","A"))</f>
        <v>A</v>
      </c>
      <c r="I438" s="48" t="str">
        <f>VLOOKUP(H438,$L$2:$M$4,2,FALSE)</f>
        <v>The Commissioner &amp; Chief Constable are satisfied the spend represents VFM in accordance with the requirements of Category A</v>
      </c>
    </row>
    <row r="439" spans="1:9" x14ac:dyDescent="0.2">
      <c r="A439" s="56" t="s">
        <v>8</v>
      </c>
      <c r="B439" s="55" t="s">
        <v>9</v>
      </c>
      <c r="C439" s="81" t="s">
        <v>367</v>
      </c>
      <c r="D439" s="53">
        <v>7180278</v>
      </c>
      <c r="E439" s="52">
        <v>45636</v>
      </c>
      <c r="F439" s="80">
        <v>500</v>
      </c>
      <c r="G439" s="79" t="s">
        <v>22</v>
      </c>
      <c r="H439" s="49" t="str">
        <f>IF(F439&gt;25000,"C",IF(F439&gt;1000,"B","A"))</f>
        <v>A</v>
      </c>
      <c r="I439" s="48" t="str">
        <f>VLOOKUP(H439,$L$2:$M$4,2,FALSE)</f>
        <v>The Commissioner &amp; Chief Constable are satisfied the spend represents VFM in accordance with the requirements of Category A</v>
      </c>
    </row>
    <row r="440" spans="1:9" x14ac:dyDescent="0.2">
      <c r="A440" s="56" t="s">
        <v>8</v>
      </c>
      <c r="B440" s="55" t="s">
        <v>9</v>
      </c>
      <c r="C440" s="81" t="s">
        <v>983</v>
      </c>
      <c r="D440" s="53">
        <v>7180594</v>
      </c>
      <c r="E440" s="52">
        <v>45643</v>
      </c>
      <c r="F440" s="80">
        <v>500</v>
      </c>
      <c r="G440" s="79" t="s">
        <v>106</v>
      </c>
      <c r="H440" s="49" t="str">
        <f>IF(F440&gt;25000,"C",IF(F440&gt;1000,"B","A"))</f>
        <v>A</v>
      </c>
      <c r="I440" s="48" t="str">
        <f>VLOOKUP(H440,$L$2:$M$4,2,FALSE)</f>
        <v>The Commissioner &amp; Chief Constable are satisfied the spend represents VFM in accordance with the requirements of Category A</v>
      </c>
    </row>
    <row r="441" spans="1:9" x14ac:dyDescent="0.2">
      <c r="A441" s="56" t="s">
        <v>8</v>
      </c>
      <c r="B441" s="55" t="s">
        <v>9</v>
      </c>
      <c r="C441" s="81" t="s">
        <v>927</v>
      </c>
      <c r="D441" s="53">
        <v>3068954</v>
      </c>
      <c r="E441" s="52">
        <v>45642</v>
      </c>
      <c r="F441" s="80">
        <v>-2062.5</v>
      </c>
      <c r="G441" s="79" t="s">
        <v>80</v>
      </c>
      <c r="H441" s="49" t="str">
        <f>IF(F441&gt;25000,"C",IF(F441&gt;1000,"B","A"))</f>
        <v>A</v>
      </c>
      <c r="I441" s="48" t="str">
        <f>VLOOKUP(H441,$L$2:$M$4,2,FALSE)</f>
        <v>The Commissioner &amp; Chief Constable are satisfied the spend represents VFM in accordance with the requirements of Category A</v>
      </c>
    </row>
    <row r="442" spans="1:9" x14ac:dyDescent="0.2">
      <c r="A442" s="56" t="s">
        <v>8</v>
      </c>
      <c r="B442" s="55" t="s">
        <v>9</v>
      </c>
      <c r="C442" s="81" t="s">
        <v>74</v>
      </c>
      <c r="D442" s="53">
        <v>7179695</v>
      </c>
      <c r="E442" s="52">
        <v>45628</v>
      </c>
      <c r="F442" s="80">
        <v>-5419.73</v>
      </c>
      <c r="G442" s="79" t="s">
        <v>158</v>
      </c>
      <c r="H442" s="49" t="str">
        <f>IF(F442&gt;25000,"C",IF(F442&gt;1000,"B","A"))</f>
        <v>A</v>
      </c>
      <c r="I442" s="48" t="str">
        <f>VLOOKUP(H442,$L$2:$M$4,2,FALSE)</f>
        <v>The Commissioner &amp; Chief Constable are satisfied the spend represents VFM in accordance with the requirements of Category A</v>
      </c>
    </row>
    <row r="443" spans="1:9" x14ac:dyDescent="0.2">
      <c r="A443" s="56" t="s">
        <v>8</v>
      </c>
      <c r="B443" s="55" t="s">
        <v>9</v>
      </c>
      <c r="C443" s="81" t="s">
        <v>183</v>
      </c>
      <c r="D443" s="53">
        <v>7180816</v>
      </c>
      <c r="E443" s="52">
        <v>45650</v>
      </c>
      <c r="F443" s="80">
        <v>-9760.25</v>
      </c>
      <c r="G443" s="79" t="s">
        <v>131</v>
      </c>
      <c r="H443" s="49" t="str">
        <f>IF(F443&gt;25000,"C",IF(F443&gt;1000,"B","A"))</f>
        <v>A</v>
      </c>
      <c r="I443" s="48" t="str">
        <f>VLOOKUP(H443,$L$2:$M$4,2,FALSE)</f>
        <v>The Commissioner &amp; Chief Constable are satisfied the spend represents VFM in accordance with the requirements of Category A</v>
      </c>
    </row>
    <row r="444" spans="1:9" x14ac:dyDescent="0.2">
      <c r="A444" s="56" t="s">
        <v>8</v>
      </c>
      <c r="B444" s="55" t="s">
        <v>9</v>
      </c>
      <c r="C444" s="81" t="s">
        <v>74</v>
      </c>
      <c r="D444" s="53">
        <v>7180202</v>
      </c>
      <c r="E444" s="52">
        <v>45636</v>
      </c>
      <c r="F444" s="80">
        <v>-10193.68</v>
      </c>
      <c r="G444" s="79" t="s">
        <v>15</v>
      </c>
      <c r="H444" s="49" t="str">
        <f>IF(F444&gt;25000,"C",IF(F444&gt;1000,"B","A"))</f>
        <v>A</v>
      </c>
      <c r="I444" s="48" t="str">
        <f>VLOOKUP(H444,$L$2:$M$4,2,FALSE)</f>
        <v>The Commissioner &amp; Chief Constable are satisfied the spend represents VFM in accordance with the requirements of Category A</v>
      </c>
    </row>
    <row r="445" spans="1:9" x14ac:dyDescent="0.2">
      <c r="A445" s="56" t="s">
        <v>8</v>
      </c>
      <c r="B445" s="55" t="s">
        <v>9</v>
      </c>
      <c r="C445" s="81"/>
      <c r="D445" s="53"/>
      <c r="E445" s="52"/>
      <c r="F445" s="80"/>
      <c r="G445" s="79"/>
      <c r="H445" s="49" t="str">
        <f>IF(F445&gt;25000,"C",IF(F445&gt;1000,"B","A"))</f>
        <v>A</v>
      </c>
      <c r="I445" s="48" t="str">
        <f>VLOOKUP(H445,$L$2:$M$4,2,FALSE)</f>
        <v>The Commissioner &amp; Chief Constable are satisfied the spend represents VFM in accordance with the requirements of Category A</v>
      </c>
    </row>
    <row r="446" spans="1:9" x14ac:dyDescent="0.2">
      <c r="A446" s="56" t="s">
        <v>8</v>
      </c>
      <c r="B446" s="55" t="s">
        <v>9</v>
      </c>
      <c r="C446" s="81"/>
      <c r="D446" s="53"/>
      <c r="E446" s="52"/>
      <c r="F446" s="80"/>
      <c r="G446" s="79"/>
      <c r="H446" s="49" t="str">
        <f>IF(F446&gt;25000,"C",IF(F446&gt;1000,"B","A"))</f>
        <v>A</v>
      </c>
      <c r="I446" s="48" t="str">
        <f>VLOOKUP(H446,$L$2:$M$4,2,FALSE)</f>
        <v>The Commissioner &amp; Chief Constable are satisfied the spend represents VFM in accordance with the requirements of Category A</v>
      </c>
    </row>
    <row r="447" spans="1:9" x14ac:dyDescent="0.2">
      <c r="A447" s="56" t="s">
        <v>8</v>
      </c>
      <c r="B447" s="55" t="s">
        <v>9</v>
      </c>
      <c r="C447" s="81"/>
      <c r="D447" s="53"/>
      <c r="E447" s="52"/>
      <c r="F447" s="80"/>
      <c r="G447" s="79"/>
      <c r="H447" s="49" t="str">
        <f>IF(F447&gt;25000,"C",IF(F447&gt;1000,"B","A"))</f>
        <v>A</v>
      </c>
      <c r="I447" s="48" t="str">
        <f>VLOOKUP(H447,$L$2:$M$4,2,FALSE)</f>
        <v>The Commissioner &amp; Chief Constable are satisfied the spend represents VFM in accordance with the requirements of Category A</v>
      </c>
    </row>
    <row r="448" spans="1:9" x14ac:dyDescent="0.2">
      <c r="A448" s="56" t="s">
        <v>8</v>
      </c>
      <c r="B448" s="55" t="s">
        <v>9</v>
      </c>
      <c r="C448" s="81"/>
      <c r="D448" s="53"/>
      <c r="E448" s="52"/>
      <c r="F448" s="80"/>
      <c r="G448" s="79"/>
      <c r="H448" s="49" t="str">
        <f>IF(F448&gt;25000,"C",IF(F448&gt;1000,"B","A"))</f>
        <v>A</v>
      </c>
      <c r="I448" s="48" t="str">
        <f>VLOOKUP(H448,$L$2:$M$4,2,FALSE)</f>
        <v>The Commissioner &amp; Chief Constable are satisfied the spend represents VFM in accordance with the requirements of Category A</v>
      </c>
    </row>
    <row r="449" spans="1:9" x14ac:dyDescent="0.2">
      <c r="A449" s="56" t="s">
        <v>8</v>
      </c>
      <c r="B449" s="55" t="s">
        <v>9</v>
      </c>
      <c r="C449" s="81"/>
      <c r="D449" s="53"/>
      <c r="E449" s="52"/>
      <c r="F449" s="80"/>
      <c r="G449" s="79"/>
      <c r="H449" s="49" t="str">
        <f>IF(F449&gt;25000,"C",IF(F449&gt;1000,"B","A"))</f>
        <v>A</v>
      </c>
      <c r="I449" s="48" t="str">
        <f>VLOOKUP(H449,$L$2:$M$4,2,FALSE)</f>
        <v>The Commissioner &amp; Chief Constable are satisfied the spend represents VFM in accordance with the requirements of Category A</v>
      </c>
    </row>
    <row r="450" spans="1:9" x14ac:dyDescent="0.2">
      <c r="A450" s="56" t="s">
        <v>8</v>
      </c>
      <c r="B450" s="55" t="s">
        <v>9</v>
      </c>
      <c r="C450" s="81"/>
      <c r="D450" s="53"/>
      <c r="E450" s="52"/>
      <c r="F450" s="80"/>
      <c r="G450" s="79"/>
      <c r="H450" s="49" t="str">
        <f>IF(F450&gt;25000,"C",IF(F450&gt;1000,"B","A"))</f>
        <v>A</v>
      </c>
      <c r="I450" s="48" t="str">
        <f>VLOOKUP(H450,$L$2:$M$4,2,FALSE)</f>
        <v>The Commissioner &amp; Chief Constable are satisfied the spend represents VFM in accordance with the requirements of Category A</v>
      </c>
    </row>
    <row r="451" spans="1:9" x14ac:dyDescent="0.2">
      <c r="A451" s="56" t="s">
        <v>8</v>
      </c>
      <c r="B451" s="55" t="s">
        <v>9</v>
      </c>
      <c r="C451" s="81"/>
      <c r="D451" s="53"/>
      <c r="E451" s="52"/>
      <c r="F451" s="80"/>
      <c r="G451" s="79"/>
      <c r="H451" s="49" t="str">
        <f>IF(F451&gt;25000,"C",IF(F451&gt;1000,"B","A"))</f>
        <v>A</v>
      </c>
      <c r="I451" s="48" t="str">
        <f>VLOOKUP(H451,$L$2:$M$4,2,FALSE)</f>
        <v>The Commissioner &amp; Chief Constable are satisfied the spend represents VFM in accordance with the requirements of Category A</v>
      </c>
    </row>
    <row r="452" spans="1:9" x14ac:dyDescent="0.2">
      <c r="A452" s="56" t="s">
        <v>8</v>
      </c>
      <c r="B452" s="55" t="s">
        <v>9</v>
      </c>
      <c r="C452" s="81"/>
      <c r="D452" s="53"/>
      <c r="E452" s="52"/>
      <c r="F452" s="80"/>
      <c r="G452" s="79"/>
      <c r="H452" s="49" t="str">
        <f>IF(F452&gt;25000,"C",IF(F452&gt;1000,"B","A"))</f>
        <v>A</v>
      </c>
      <c r="I452" s="48" t="str">
        <f>VLOOKUP(H452,$L$2:$M$4,2,FALSE)</f>
        <v>The Commissioner &amp; Chief Constable are satisfied the spend represents VFM in accordance with the requirements of Category A</v>
      </c>
    </row>
    <row r="453" spans="1:9" x14ac:dyDescent="0.2">
      <c r="A453" s="56" t="s">
        <v>8</v>
      </c>
      <c r="B453" s="55" t="s">
        <v>9</v>
      </c>
      <c r="C453" s="81"/>
      <c r="D453" s="53"/>
      <c r="E453" s="52"/>
      <c r="F453" s="80"/>
      <c r="G453" s="79"/>
      <c r="H453" s="49" t="str">
        <f>IF(F453&gt;25000,"C",IF(F453&gt;1000,"B","A"))</f>
        <v>A</v>
      </c>
      <c r="I453" s="48" t="str">
        <f>VLOOKUP(H453,$L$2:$M$4,2,FALSE)</f>
        <v>The Commissioner &amp; Chief Constable are satisfied the spend represents VFM in accordance with the requirements of Category A</v>
      </c>
    </row>
    <row r="454" spans="1:9" x14ac:dyDescent="0.2">
      <c r="A454" s="56" t="s">
        <v>8</v>
      </c>
      <c r="B454" s="55" t="s">
        <v>9</v>
      </c>
      <c r="C454" s="81"/>
      <c r="D454" s="53"/>
      <c r="E454" s="52"/>
      <c r="F454" s="80"/>
      <c r="G454" s="79"/>
      <c r="H454" s="49" t="str">
        <f>IF(F454&gt;25000,"C",IF(F454&gt;1000,"B","A"))</f>
        <v>A</v>
      </c>
      <c r="I454" s="48" t="str">
        <f>VLOOKUP(H454,$L$2:$M$4,2,FALSE)</f>
        <v>The Commissioner &amp; Chief Constable are satisfied the spend represents VFM in accordance with the requirements of Category A</v>
      </c>
    </row>
    <row r="455" spans="1:9" x14ac:dyDescent="0.2">
      <c r="A455" s="56" t="s">
        <v>8</v>
      </c>
      <c r="B455" s="55" t="s">
        <v>9</v>
      </c>
      <c r="C455" s="81"/>
      <c r="D455" s="53"/>
      <c r="E455" s="52"/>
      <c r="F455" s="80"/>
      <c r="G455" s="79"/>
      <c r="H455" s="49" t="str">
        <f>IF(F455&gt;25000,"C",IF(F455&gt;1000,"B","A"))</f>
        <v>A</v>
      </c>
      <c r="I455" s="48" t="str">
        <f>VLOOKUP(H455,$L$2:$M$4,2,FALSE)</f>
        <v>The Commissioner &amp; Chief Constable are satisfied the spend represents VFM in accordance with the requirements of Category A</v>
      </c>
    </row>
    <row r="456" spans="1:9" x14ac:dyDescent="0.2">
      <c r="A456" s="56" t="s">
        <v>8</v>
      </c>
      <c r="B456" s="55" t="s">
        <v>9</v>
      </c>
      <c r="C456" s="81"/>
      <c r="D456" s="53"/>
      <c r="E456" s="52"/>
      <c r="F456" s="80"/>
      <c r="G456" s="79"/>
      <c r="H456" s="49" t="str">
        <f>IF(F456&gt;25000,"C",IF(F456&gt;1000,"B","A"))</f>
        <v>A</v>
      </c>
      <c r="I456" s="48" t="str">
        <f>VLOOKUP(H456,$L$2:$M$4,2,FALSE)</f>
        <v>The Commissioner &amp; Chief Constable are satisfied the spend represents VFM in accordance with the requirements of Category A</v>
      </c>
    </row>
    <row r="457" spans="1:9" x14ac:dyDescent="0.2">
      <c r="A457" s="56" t="s">
        <v>8</v>
      </c>
      <c r="B457" s="55" t="s">
        <v>9</v>
      </c>
      <c r="C457" s="81"/>
      <c r="D457" s="53"/>
      <c r="E457" s="52"/>
      <c r="F457" s="80"/>
      <c r="G457" s="79"/>
      <c r="H457" s="49" t="str">
        <f>IF(F457&gt;25000,"C",IF(F457&gt;1000,"B","A"))</f>
        <v>A</v>
      </c>
      <c r="I457" s="48" t="str">
        <f>VLOOKUP(H457,$L$2:$M$4,2,FALSE)</f>
        <v>The Commissioner &amp; Chief Constable are satisfied the spend represents VFM in accordance with the requirements of Category A</v>
      </c>
    </row>
    <row r="458" spans="1:9" x14ac:dyDescent="0.2">
      <c r="A458" s="56" t="s">
        <v>8</v>
      </c>
      <c r="B458" s="55" t="s">
        <v>9</v>
      </c>
      <c r="C458" s="81"/>
      <c r="D458" s="53"/>
      <c r="E458" s="52"/>
      <c r="F458" s="80"/>
      <c r="G458" s="79"/>
      <c r="H458" s="49" t="str">
        <f>IF(F458&gt;25000,"C",IF(F458&gt;1000,"B","A"))</f>
        <v>A</v>
      </c>
      <c r="I458" s="48" t="str">
        <f>VLOOKUP(H458,$L$2:$M$4,2,FALSE)</f>
        <v>The Commissioner &amp; Chief Constable are satisfied the spend represents VFM in accordance with the requirements of Category A</v>
      </c>
    </row>
    <row r="459" spans="1:9" x14ac:dyDescent="0.2">
      <c r="A459" s="56" t="s">
        <v>8</v>
      </c>
      <c r="B459" s="55" t="s">
        <v>9</v>
      </c>
      <c r="C459" s="81"/>
      <c r="D459" s="53"/>
      <c r="E459" s="52"/>
      <c r="F459" s="80"/>
      <c r="G459" s="79"/>
      <c r="H459" s="49" t="str">
        <f>IF(F459&gt;25000,"C",IF(F459&gt;1000,"B","A"))</f>
        <v>A</v>
      </c>
      <c r="I459" s="48" t="str">
        <f>VLOOKUP(H459,$L$2:$M$4,2,FALSE)</f>
        <v>The Commissioner &amp; Chief Constable are satisfied the spend represents VFM in accordance with the requirements of Category A</v>
      </c>
    </row>
    <row r="460" spans="1:9" x14ac:dyDescent="0.2">
      <c r="A460" s="56" t="s">
        <v>8</v>
      </c>
      <c r="B460" s="55" t="s">
        <v>9</v>
      </c>
      <c r="C460" s="81"/>
      <c r="D460" s="53"/>
      <c r="E460" s="52"/>
      <c r="F460" s="80"/>
      <c r="G460" s="79"/>
      <c r="H460" s="49" t="str">
        <f>IF(F460&gt;25000,"C",IF(F460&gt;1000,"B","A"))</f>
        <v>A</v>
      </c>
      <c r="I460" s="48" t="str">
        <f>VLOOKUP(H460,$L$2:$M$4,2,FALSE)</f>
        <v>The Commissioner &amp; Chief Constable are satisfied the spend represents VFM in accordance with the requirements of Category A</v>
      </c>
    </row>
    <row r="461" spans="1:9" x14ac:dyDescent="0.2">
      <c r="A461" s="56" t="s">
        <v>8</v>
      </c>
      <c r="B461" s="55" t="s">
        <v>9</v>
      </c>
      <c r="C461" s="81"/>
      <c r="D461" s="53"/>
      <c r="E461" s="52"/>
      <c r="F461" s="80"/>
      <c r="G461" s="79"/>
      <c r="H461" s="49" t="str">
        <f>IF(F461&gt;25000,"C",IF(F461&gt;1000,"B","A"))</f>
        <v>A</v>
      </c>
      <c r="I461" s="48" t="str">
        <f>VLOOKUP(H461,$L$2:$M$4,2,FALSE)</f>
        <v>The Commissioner &amp; Chief Constable are satisfied the spend represents VFM in accordance with the requirements of Category A</v>
      </c>
    </row>
    <row r="462" spans="1:9" x14ac:dyDescent="0.2">
      <c r="A462" s="56" t="s">
        <v>8</v>
      </c>
      <c r="B462" s="55" t="s">
        <v>9</v>
      </c>
      <c r="C462" s="81"/>
      <c r="D462" s="53"/>
      <c r="E462" s="52"/>
      <c r="F462" s="80"/>
      <c r="G462" s="79"/>
      <c r="H462" s="49" t="str">
        <f>IF(F462&gt;25000,"C",IF(F462&gt;1000,"B","A"))</f>
        <v>A</v>
      </c>
      <c r="I462" s="48" t="str">
        <f>VLOOKUP(H462,$L$2:$M$4,2,FALSE)</f>
        <v>The Commissioner &amp; Chief Constable are satisfied the spend represents VFM in accordance with the requirements of Category A</v>
      </c>
    </row>
    <row r="463" spans="1:9" x14ac:dyDescent="0.2">
      <c r="A463" s="56" t="s">
        <v>8</v>
      </c>
      <c r="B463" s="55" t="s">
        <v>9</v>
      </c>
      <c r="C463" s="81"/>
      <c r="D463" s="53"/>
      <c r="E463" s="52"/>
      <c r="F463" s="80"/>
      <c r="G463" s="79"/>
      <c r="H463" s="49" t="str">
        <f>IF(F463&gt;25000,"C",IF(F463&gt;1000,"B","A"))</f>
        <v>A</v>
      </c>
      <c r="I463" s="48" t="str">
        <f>VLOOKUP(H463,$L$2:$M$4,2,FALSE)</f>
        <v>The Commissioner &amp; Chief Constable are satisfied the spend represents VFM in accordance with the requirements of Category A</v>
      </c>
    </row>
    <row r="464" spans="1:9" x14ac:dyDescent="0.2">
      <c r="A464" s="56" t="s">
        <v>8</v>
      </c>
      <c r="B464" s="55" t="s">
        <v>9</v>
      </c>
      <c r="C464" s="81"/>
      <c r="D464" s="53"/>
      <c r="E464" s="52"/>
      <c r="F464" s="80"/>
      <c r="G464" s="79"/>
      <c r="H464" s="49" t="str">
        <f>IF(F464&gt;25000,"C",IF(F464&gt;1000,"B","A"))</f>
        <v>A</v>
      </c>
      <c r="I464" s="48" t="str">
        <f>VLOOKUP(H464,$L$2:$M$4,2,FALSE)</f>
        <v>The Commissioner &amp; Chief Constable are satisfied the spend represents VFM in accordance with the requirements of Category A</v>
      </c>
    </row>
    <row r="465" spans="1:9" x14ac:dyDescent="0.2">
      <c r="A465" s="56" t="s">
        <v>8</v>
      </c>
      <c r="B465" s="55" t="s">
        <v>9</v>
      </c>
      <c r="C465" s="81"/>
      <c r="D465" s="53"/>
      <c r="E465" s="52"/>
      <c r="F465" s="80"/>
      <c r="G465" s="79"/>
      <c r="H465" s="49" t="str">
        <f>IF(F465&gt;25000,"C",IF(F465&gt;1000,"B","A"))</f>
        <v>A</v>
      </c>
      <c r="I465" s="48" t="str">
        <f>VLOOKUP(H465,$L$2:$M$4,2,FALSE)</f>
        <v>The Commissioner &amp; Chief Constable are satisfied the spend represents VFM in accordance with the requirements of Category A</v>
      </c>
    </row>
    <row r="466" spans="1:9" x14ac:dyDescent="0.2">
      <c r="A466" s="56" t="s">
        <v>8</v>
      </c>
      <c r="B466" s="55" t="s">
        <v>9</v>
      </c>
      <c r="C466" s="81"/>
      <c r="D466" s="53"/>
      <c r="E466" s="52"/>
      <c r="F466" s="80"/>
      <c r="G466" s="79"/>
      <c r="H466" s="49" t="str">
        <f>IF(F466&gt;25000,"C",IF(F466&gt;1000,"B","A"))</f>
        <v>A</v>
      </c>
      <c r="I466" s="48" t="str">
        <f>VLOOKUP(H466,$L$2:$M$4,2,FALSE)</f>
        <v>The Commissioner &amp; Chief Constable are satisfied the spend represents VFM in accordance with the requirements of Category A</v>
      </c>
    </row>
    <row r="467" spans="1:9" x14ac:dyDescent="0.2">
      <c r="A467" s="56" t="s">
        <v>8</v>
      </c>
      <c r="B467" s="55" t="s">
        <v>9</v>
      </c>
      <c r="C467" s="81"/>
      <c r="D467" s="53"/>
      <c r="E467" s="52"/>
      <c r="F467" s="80"/>
      <c r="G467" s="79"/>
      <c r="H467" s="49" t="str">
        <f>IF(F467&gt;25000,"C",IF(F467&gt;1000,"B","A"))</f>
        <v>A</v>
      </c>
      <c r="I467" s="48" t="str">
        <f>VLOOKUP(H467,$L$2:$M$4,2,FALSE)</f>
        <v>The Commissioner &amp; Chief Constable are satisfied the spend represents VFM in accordance with the requirements of Category A</v>
      </c>
    </row>
    <row r="468" spans="1:9" x14ac:dyDescent="0.2">
      <c r="A468" s="56" t="s">
        <v>8</v>
      </c>
      <c r="B468" s="55" t="s">
        <v>9</v>
      </c>
      <c r="C468" s="81"/>
      <c r="D468" s="53"/>
      <c r="E468" s="52"/>
      <c r="F468" s="80"/>
      <c r="G468" s="79"/>
      <c r="H468" s="49" t="str">
        <f>IF(F468&gt;25000,"C",IF(F468&gt;1000,"B","A"))</f>
        <v>A</v>
      </c>
      <c r="I468" s="48" t="str">
        <f>VLOOKUP(H468,$L$2:$M$4,2,FALSE)</f>
        <v>The Commissioner &amp; Chief Constable are satisfied the spend represents VFM in accordance with the requirements of Category A</v>
      </c>
    </row>
    <row r="469" spans="1:9" x14ac:dyDescent="0.2">
      <c r="A469" s="56" t="s">
        <v>8</v>
      </c>
      <c r="B469" s="55" t="s">
        <v>9</v>
      </c>
      <c r="C469" s="81"/>
      <c r="D469" s="53"/>
      <c r="E469" s="52"/>
      <c r="F469" s="80"/>
      <c r="G469" s="79"/>
      <c r="H469" s="49" t="str">
        <f>IF(F469&gt;25000,"C",IF(F469&gt;1000,"B","A"))</f>
        <v>A</v>
      </c>
      <c r="I469" s="48" t="str">
        <f>VLOOKUP(H469,$L$2:$M$4,2,FALSE)</f>
        <v>The Commissioner &amp; Chief Constable are satisfied the spend represents VFM in accordance with the requirements of Category A</v>
      </c>
    </row>
    <row r="470" spans="1:9" x14ac:dyDescent="0.2">
      <c r="A470" s="56" t="s">
        <v>8</v>
      </c>
      <c r="B470" s="55" t="s">
        <v>9</v>
      </c>
      <c r="C470" s="81"/>
      <c r="D470" s="53"/>
      <c r="E470" s="52"/>
      <c r="F470" s="80"/>
      <c r="G470" s="79"/>
      <c r="H470" s="49" t="str">
        <f>IF(F470&gt;25000,"C",IF(F470&gt;1000,"B","A"))</f>
        <v>A</v>
      </c>
      <c r="I470" s="48" t="str">
        <f>VLOOKUP(H470,$L$2:$M$4,2,FALSE)</f>
        <v>The Commissioner &amp; Chief Constable are satisfied the spend represents VFM in accordance with the requirements of Category A</v>
      </c>
    </row>
    <row r="471" spans="1:9" x14ac:dyDescent="0.2">
      <c r="A471" s="56" t="s">
        <v>8</v>
      </c>
      <c r="B471" s="55" t="s">
        <v>9</v>
      </c>
      <c r="C471" s="81"/>
      <c r="D471" s="53"/>
      <c r="E471" s="52"/>
      <c r="F471" s="80"/>
      <c r="G471" s="79"/>
      <c r="H471" s="49" t="str">
        <f>IF(F471&gt;25000,"C",IF(F471&gt;1000,"B","A"))</f>
        <v>A</v>
      </c>
      <c r="I471" s="48" t="str">
        <f>VLOOKUP(H471,$L$2:$M$4,2,FALSE)</f>
        <v>The Commissioner &amp; Chief Constable are satisfied the spend represents VFM in accordance with the requirements of Category A</v>
      </c>
    </row>
    <row r="472" spans="1:9" x14ac:dyDescent="0.2">
      <c r="A472" s="56" t="s">
        <v>8</v>
      </c>
      <c r="B472" s="55" t="s">
        <v>9</v>
      </c>
      <c r="C472" s="81"/>
      <c r="D472" s="53"/>
      <c r="E472" s="52"/>
      <c r="F472" s="80"/>
      <c r="G472" s="79"/>
      <c r="H472" s="49" t="str">
        <f>IF(F472&gt;25000,"C",IF(F472&gt;1000,"B","A"))</f>
        <v>A</v>
      </c>
      <c r="I472" s="48" t="str">
        <f>VLOOKUP(H472,$L$2:$M$4,2,FALSE)</f>
        <v>The Commissioner &amp; Chief Constable are satisfied the spend represents VFM in accordance with the requirements of Category A</v>
      </c>
    </row>
  </sheetData>
  <autoFilter ref="A1:M472" xr:uid="{BE9E9534-A0E5-4AD3-828F-595631460A30}">
    <sortState xmlns:xlrd2="http://schemas.microsoft.com/office/spreadsheetml/2017/richdata2" ref="A472:M472">
      <sortCondition ref="C1:C472"/>
    </sortState>
  </autoFilter>
  <pageMargins left="0.39370078740157483" right="0.39370078740157483" top="0.47244094488188981" bottom="0.39370078740157483" header="0.23622047244094491" footer="0.23622047244094491"/>
  <pageSetup paperSize="9" scale="75" fitToHeight="0" orientation="landscape" r:id="rId1"/>
  <headerFooter alignWithMargins="0">
    <oddHeader>&amp;C&amp;"Arial,Bold Italic"&amp;11&amp;U&amp;A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Jan</vt:lpstr>
      <vt:lpstr>Feb</vt:lpstr>
      <vt:lpstr>Mar</vt:lpstr>
      <vt:lpstr>April</vt:lpstr>
      <vt:lpstr>May</vt:lpstr>
      <vt:lpstr>June</vt:lpstr>
      <vt:lpstr>Jul</vt:lpstr>
      <vt:lpstr>Aug</vt:lpstr>
      <vt:lpstr>Sept</vt:lpstr>
      <vt:lpstr>Oct</vt:lpstr>
      <vt:lpstr>Nov</vt:lpstr>
      <vt:lpstr>Dec</vt:lpstr>
      <vt:lpstr>April!Print_Area</vt:lpstr>
      <vt:lpstr>Dec!Print_Area</vt:lpstr>
      <vt:lpstr>Jul!Print_Area</vt:lpstr>
      <vt:lpstr>Nov!Print_Area</vt:lpstr>
      <vt:lpstr>April!Print_Titles</vt:lpstr>
      <vt:lpstr>Dec!Print_Titles</vt:lpstr>
      <vt:lpstr>Jul!Print_Titles</vt:lpstr>
      <vt:lpstr>Nov!Print_Titles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18425</dc:creator>
  <cp:lastModifiedBy>9216</cp:lastModifiedBy>
  <dcterms:created xsi:type="dcterms:W3CDTF">2024-04-01T12:57:08Z</dcterms:created>
  <dcterms:modified xsi:type="dcterms:W3CDTF">2025-02-19T11:44:15Z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3e9faa-a556-4117-b0fa-d55c05913a89_Enabled">
    <vt:lpwstr>true</vt:lpwstr>
  </property>
  <property fmtid="{D5CDD505-2E9C-101B-9397-08002B2CF9AE}" pid="3" name="MSIP_Label_073e9faa-a556-4117-b0fa-d55c05913a89_SetDate">
    <vt:lpwstr>2024-04-01T12:57:17Z</vt:lpwstr>
  </property>
  <property fmtid="{D5CDD505-2E9C-101B-9397-08002B2CF9AE}" pid="4" name="MSIP_Label_073e9faa-a556-4117-b0fa-d55c05913a89_Method">
    <vt:lpwstr>Standard</vt:lpwstr>
  </property>
  <property fmtid="{D5CDD505-2E9C-101B-9397-08002B2CF9AE}" pid="5" name="MSIP_Label_073e9faa-a556-4117-b0fa-d55c05913a89_Name">
    <vt:lpwstr>OFFICIAL</vt:lpwstr>
  </property>
  <property fmtid="{D5CDD505-2E9C-101B-9397-08002B2CF9AE}" pid="6" name="MSIP_Label_073e9faa-a556-4117-b0fa-d55c05913a89_SiteId">
    <vt:lpwstr>ae0a022d-630d-4396-b8fb-58db3061b91b</vt:lpwstr>
  </property>
  <property fmtid="{D5CDD505-2E9C-101B-9397-08002B2CF9AE}" pid="7" name="MSIP_Label_073e9faa-a556-4117-b0fa-d55c05913a89_ActionId">
    <vt:lpwstr>efeecbbb-dc59-4b8f-9f02-e76e23ff0e37</vt:lpwstr>
  </property>
  <property fmtid="{D5CDD505-2E9C-101B-9397-08002B2CF9AE}" pid="8" name="MSIP_Label_073e9faa-a556-4117-b0fa-d55c05913a89_ContentBits">
    <vt:lpwstr>0</vt:lpwstr>
  </property>
</Properties>
</file>