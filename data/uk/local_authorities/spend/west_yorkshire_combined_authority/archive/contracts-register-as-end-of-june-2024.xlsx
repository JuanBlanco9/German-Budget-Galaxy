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tables/table1.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westyorksca.sharepoint.com/sites/CommercialTeam/Shared Documents/Reporting and Transparency/Transparency/April - June 2024/"/>
    </mc:Choice>
  </mc:AlternateContent>
  <xr:revisionPtr revIDLastSave="0" documentId="8_{E07F2DFF-6F3F-4E8F-AE1C-850D46DF1FDD}" xr6:coauthVersionLast="47" xr6:coauthVersionMax="47" xr10:uidLastSave="{00000000-0000-0000-0000-000000000000}"/>
  <bookViews>
    <workbookView xWindow="28680" yWindow="-120" windowWidth="38640" windowHeight="21240" xr2:uid="{97F3F807-666B-4104-9659-F7298791608D}"/>
  </bookViews>
  <sheets>
    <sheet name="Live Contracts" sheetId="1" r:id="rId1"/>
  </sheets>
  <externalReferences>
    <externalReference r:id="rId2"/>
  </externalReferences>
  <definedNames>
    <definedName name="_xlnm._FilterDatabase" localSheetId="0" hidden="1">'Live Contracts'!$A$1:$AM$882</definedName>
    <definedName name="_Hlk40855962" localSheetId="0">'[1]Archive - Expired Contracts'!$R$1361</definedName>
    <definedName name="ADE">#REF!</definedName>
    <definedName name="Category">#REF!</definedName>
    <definedName name="Uploa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X3" i="1"/>
  <c r="W4" i="1"/>
  <c r="X4" i="1"/>
  <c r="W5" i="1"/>
  <c r="X5" i="1"/>
  <c r="I6" i="1"/>
  <c r="W6" i="1"/>
  <c r="X6" i="1"/>
  <c r="I7" i="1"/>
  <c r="W7" i="1"/>
  <c r="X7" i="1"/>
  <c r="I8" i="1"/>
  <c r="W8" i="1"/>
  <c r="X8" i="1"/>
  <c r="W9" i="1"/>
  <c r="X9" i="1"/>
  <c r="Q10" i="1"/>
  <c r="W10" i="1"/>
  <c r="X10" i="1"/>
  <c r="Q11" i="1"/>
  <c r="W11" i="1"/>
  <c r="X11" i="1"/>
  <c r="W12" i="1"/>
  <c r="X12" i="1"/>
  <c r="W13" i="1"/>
  <c r="X13" i="1"/>
  <c r="W14" i="1"/>
  <c r="X14" i="1"/>
  <c r="W15" i="1"/>
  <c r="X15" i="1"/>
  <c r="W16" i="1"/>
  <c r="X16" i="1"/>
  <c r="W17" i="1"/>
  <c r="X17" i="1"/>
  <c r="W18" i="1"/>
  <c r="X18" i="1"/>
  <c r="R19" i="1"/>
  <c r="W19" i="1"/>
  <c r="X19" i="1"/>
  <c r="W20" i="1"/>
  <c r="X20" i="1"/>
  <c r="W21" i="1"/>
  <c r="X21" i="1"/>
  <c r="W22" i="1"/>
  <c r="X22" i="1"/>
  <c r="R23" i="1"/>
  <c r="W23" i="1"/>
  <c r="X23" i="1"/>
  <c r="W24" i="1"/>
  <c r="X24" i="1"/>
  <c r="I25" i="1"/>
  <c r="Q26" i="1"/>
  <c r="W26" i="1"/>
  <c r="X26" i="1"/>
  <c r="I27" i="1"/>
  <c r="W27" i="1"/>
  <c r="X27" i="1"/>
  <c r="W28" i="1"/>
  <c r="X28" i="1"/>
  <c r="W29" i="1"/>
  <c r="X29" i="1"/>
  <c r="W30" i="1"/>
  <c r="X30" i="1"/>
  <c r="Q31" i="1"/>
  <c r="W31" i="1"/>
  <c r="X31" i="1"/>
  <c r="W33" i="1"/>
  <c r="X33" i="1"/>
  <c r="W34" i="1"/>
  <c r="X34" i="1"/>
  <c r="Q35" i="1"/>
  <c r="W35" i="1"/>
  <c r="X35" i="1"/>
  <c r="W36" i="1"/>
  <c r="X36" i="1"/>
  <c r="I38" i="1"/>
  <c r="W38" i="1"/>
  <c r="X38" i="1"/>
  <c r="I39" i="1"/>
  <c r="W39" i="1"/>
  <c r="X39" i="1"/>
  <c r="Q40" i="1"/>
  <c r="W40" i="1"/>
  <c r="X40" i="1"/>
  <c r="W41" i="1"/>
  <c r="X41" i="1"/>
  <c r="I42" i="1"/>
  <c r="W42" i="1"/>
  <c r="X42" i="1"/>
  <c r="W43" i="1"/>
  <c r="X43" i="1"/>
  <c r="W44" i="1"/>
  <c r="X44" i="1"/>
  <c r="W45" i="1"/>
  <c r="X45" i="1"/>
  <c r="W46" i="1"/>
  <c r="X46" i="1"/>
  <c r="W47" i="1"/>
  <c r="X47" i="1"/>
  <c r="W48" i="1"/>
  <c r="X48" i="1"/>
  <c r="W49" i="1"/>
  <c r="X49" i="1"/>
  <c r="W50" i="1"/>
  <c r="X50" i="1"/>
  <c r="W51" i="1"/>
  <c r="X51" i="1"/>
  <c r="W52" i="1"/>
  <c r="X52" i="1"/>
  <c r="W54" i="1"/>
  <c r="X54" i="1"/>
  <c r="W55" i="1"/>
  <c r="X55" i="1"/>
  <c r="W57" i="1"/>
  <c r="X57" i="1"/>
  <c r="W58" i="1"/>
  <c r="X58" i="1"/>
  <c r="Q60" i="1"/>
  <c r="W60" i="1"/>
  <c r="X60" i="1"/>
  <c r="W61" i="1"/>
  <c r="X61" i="1"/>
  <c r="W62" i="1"/>
  <c r="X62" i="1"/>
  <c r="W63" i="1"/>
  <c r="X63" i="1"/>
  <c r="W65" i="1"/>
  <c r="X65" i="1"/>
  <c r="W66" i="1"/>
  <c r="X66" i="1"/>
  <c r="W67" i="1"/>
  <c r="X67" i="1"/>
  <c r="Q68" i="1"/>
  <c r="W68" i="1"/>
  <c r="X68" i="1"/>
  <c r="Q69" i="1"/>
  <c r="W69" i="1"/>
  <c r="X69" i="1"/>
  <c r="W70" i="1"/>
  <c r="X70" i="1"/>
  <c r="W71" i="1"/>
  <c r="X71" i="1"/>
  <c r="W72" i="1"/>
  <c r="X72" i="1"/>
  <c r="W73" i="1"/>
  <c r="X73" i="1"/>
  <c r="W75" i="1"/>
  <c r="X75" i="1"/>
  <c r="W77" i="1"/>
  <c r="X77" i="1"/>
  <c r="W78" i="1"/>
  <c r="X78" i="1"/>
  <c r="W79" i="1"/>
  <c r="X79" i="1"/>
  <c r="W80" i="1"/>
  <c r="X80" i="1"/>
  <c r="W81" i="1"/>
  <c r="X81" i="1"/>
  <c r="W82" i="1"/>
  <c r="X82" i="1"/>
  <c r="W83" i="1"/>
  <c r="X83" i="1"/>
  <c r="W84" i="1"/>
  <c r="X84" i="1"/>
  <c r="W85" i="1"/>
  <c r="X85" i="1"/>
  <c r="W87" i="1"/>
  <c r="X87" i="1"/>
  <c r="W88" i="1"/>
  <c r="X88" i="1"/>
  <c r="W90" i="1"/>
  <c r="X90" i="1"/>
  <c r="W91" i="1"/>
  <c r="X91" i="1"/>
  <c r="W92" i="1"/>
  <c r="X92" i="1"/>
  <c r="W93" i="1"/>
  <c r="X93" i="1"/>
  <c r="W94" i="1"/>
  <c r="X94" i="1"/>
  <c r="W95" i="1"/>
  <c r="X95" i="1"/>
  <c r="X96" i="1"/>
  <c r="W97" i="1"/>
  <c r="X97" i="1"/>
  <c r="W98" i="1"/>
  <c r="X98" i="1"/>
  <c r="W99" i="1"/>
  <c r="X99" i="1"/>
  <c r="W100" i="1"/>
  <c r="X100" i="1"/>
  <c r="W102" i="1"/>
  <c r="W103" i="1"/>
  <c r="X103" i="1"/>
  <c r="W104" i="1"/>
  <c r="X104" i="1"/>
  <c r="W105" i="1"/>
  <c r="X105" i="1"/>
  <c r="W106" i="1"/>
  <c r="X106" i="1"/>
  <c r="W107" i="1"/>
  <c r="X107" i="1"/>
  <c r="W108" i="1"/>
  <c r="X108" i="1"/>
  <c r="W2" i="1"/>
  <c r="X2" i="1"/>
  <c r="W109" i="1"/>
  <c r="X109" i="1"/>
  <c r="W110" i="1"/>
  <c r="X110" i="1"/>
  <c r="W111" i="1"/>
  <c r="X111" i="1"/>
  <c r="W112" i="1"/>
  <c r="X112" i="1"/>
  <c r="W113" i="1"/>
  <c r="X113" i="1"/>
  <c r="W114" i="1"/>
  <c r="X114" i="1"/>
  <c r="W115" i="1"/>
  <c r="X115" i="1"/>
  <c r="W116" i="1"/>
  <c r="X116" i="1"/>
  <c r="W117" i="1"/>
  <c r="X117" i="1"/>
  <c r="W118" i="1"/>
  <c r="X118" i="1"/>
  <c r="W119" i="1"/>
  <c r="X119" i="1"/>
  <c r="W120" i="1"/>
  <c r="X120" i="1"/>
  <c r="W121" i="1"/>
  <c r="X121" i="1"/>
  <c r="W122" i="1"/>
  <c r="X122" i="1"/>
  <c r="W123" i="1"/>
  <c r="X123" i="1"/>
  <c r="W124" i="1"/>
  <c r="X124" i="1"/>
  <c r="W126" i="1"/>
  <c r="X126" i="1"/>
  <c r="W127" i="1"/>
  <c r="X127" i="1"/>
  <c r="W128" i="1"/>
  <c r="X128" i="1"/>
  <c r="W129" i="1"/>
  <c r="X129" i="1"/>
  <c r="W131" i="1"/>
  <c r="X131" i="1"/>
  <c r="W132" i="1"/>
  <c r="X132" i="1"/>
  <c r="W133" i="1"/>
  <c r="X133" i="1"/>
  <c r="W134" i="1"/>
  <c r="X134" i="1"/>
  <c r="W135" i="1"/>
  <c r="X135" i="1"/>
  <c r="W136" i="1"/>
  <c r="X136" i="1"/>
  <c r="W137" i="1"/>
  <c r="W138" i="1"/>
  <c r="X138" i="1"/>
  <c r="W139" i="1"/>
  <c r="X139" i="1"/>
  <c r="W140" i="1"/>
  <c r="X140" i="1"/>
  <c r="R141" i="1"/>
  <c r="W141" i="1"/>
  <c r="X141" i="1"/>
  <c r="W142" i="1"/>
  <c r="X142" i="1"/>
  <c r="W143" i="1"/>
  <c r="X143" i="1"/>
  <c r="W144" i="1"/>
  <c r="X144" i="1"/>
  <c r="W146" i="1"/>
  <c r="X146" i="1"/>
</calcChain>
</file>

<file path=xl/sharedStrings.xml><?xml version="1.0" encoding="utf-8"?>
<sst xmlns="http://schemas.openxmlformats.org/spreadsheetml/2006/main" count="10449" uniqueCount="1689">
  <si>
    <t>Reference</t>
  </si>
  <si>
    <t>Title</t>
  </si>
  <si>
    <t>Description</t>
  </si>
  <si>
    <t>Contract Start Date</t>
  </si>
  <si>
    <t>Current Contract End Date</t>
  </si>
  <si>
    <t xml:space="preserve">Extension Options If Applicable </t>
  </si>
  <si>
    <t>Ultimate Contract End Date</t>
  </si>
  <si>
    <t>To be Renewed Y/N</t>
  </si>
  <si>
    <t>Commercial Review Date</t>
  </si>
  <si>
    <t>Awarded Suppliers</t>
  </si>
  <si>
    <t>Supplier Type
SME or VCSE</t>
  </si>
  <si>
    <t>Company Registration No.</t>
  </si>
  <si>
    <t>Value Risk Matrix</t>
  </si>
  <si>
    <t>Contract Manager</t>
  </si>
  <si>
    <t>Service</t>
  </si>
  <si>
    <t>Directorate</t>
  </si>
  <si>
    <t xml:space="preserve">Annual Value </t>
  </si>
  <si>
    <t>Total Contract Value</t>
  </si>
  <si>
    <t>VAT that Cannot be Recovered</t>
  </si>
  <si>
    <t>Type ITQ/ITT or Waiver</t>
  </si>
  <si>
    <t>Where is the contract held?  Department or Legal?</t>
  </si>
  <si>
    <t>In Pipeline Y/N</t>
  </si>
  <si>
    <t xml:space="preserve">Unsuccessful Bidders Deleted From Folder </t>
  </si>
  <si>
    <t xml:space="preserve">Successful Bidders Deleted From Folder </t>
  </si>
  <si>
    <t xml:space="preserve">GDPR </t>
  </si>
  <si>
    <t>Living Wage - 
In scope? Relating to our contract</t>
  </si>
  <si>
    <t>Paying Living Wage</t>
  </si>
  <si>
    <t>Strategic Contract Manager</t>
  </si>
  <si>
    <t>AccessBus Service</t>
  </si>
  <si>
    <t>Delivery of the Access Bus service. Orginally in Calderdale and Kirklees and Bradford districts. Leeds and Wakefield included from 2022. Extended from 2024 to 2027.</t>
  </si>
  <si>
    <t>No</t>
  </si>
  <si>
    <t>Y</t>
  </si>
  <si>
    <t>TLC Travel Ltd</t>
  </si>
  <si>
    <t>SME</t>
  </si>
  <si>
    <t>Gold</t>
  </si>
  <si>
    <t>Fiona Whitehead</t>
  </si>
  <si>
    <t>PassengerExperience</t>
  </si>
  <si>
    <t>Transport Ops &amp; Passenger Experience</t>
  </si>
  <si>
    <t>ITT</t>
  </si>
  <si>
    <t>Legal</t>
  </si>
  <si>
    <t>N</t>
  </si>
  <si>
    <t>N/A</t>
  </si>
  <si>
    <t>HW</t>
  </si>
  <si>
    <t>Building Fabric Maintenance and Repair Contract</t>
  </si>
  <si>
    <t>Provision of  planned and reactive service relating to building fabric services across a range of WYCA properties and on-street assets located in the five districts of West Yorkshire.</t>
  </si>
  <si>
    <t>Yes</t>
  </si>
  <si>
    <t>JPB Facilities Management</t>
  </si>
  <si>
    <t>07654276</t>
  </si>
  <si>
    <t>Silver</t>
  </si>
  <si>
    <t>Jamie Butters</t>
  </si>
  <si>
    <t>Facilities &amp; Assets</t>
  </si>
  <si>
    <t>LR</t>
  </si>
  <si>
    <t>Property and Estates Management Contractor</t>
  </si>
  <si>
    <t>Estate management service relating to portfolio of properties, land and assets and located in the five districts of West Yorkshire.</t>
  </si>
  <si>
    <t xml:space="preserve">Y </t>
  </si>
  <si>
    <t>Lambert Smith Hampton Group Ltd</t>
  </si>
  <si>
    <t>02521225</t>
  </si>
  <si>
    <t>Jamie Butters / David Dufton</t>
  </si>
  <si>
    <t>DW</t>
  </si>
  <si>
    <t>Provision of Real-Time Passenger Information Battery Powered Displays for Bus Stop Pole and Shelters</t>
  </si>
  <si>
    <t>Vix Technology (UK) Ltd</t>
  </si>
  <si>
    <t>03039051</t>
  </si>
  <si>
    <t>Graham Davies</t>
  </si>
  <si>
    <t>Transport Policy</t>
  </si>
  <si>
    <t>Transport Policy &amp; Delivery</t>
  </si>
  <si>
    <t>RB</t>
  </si>
  <si>
    <t>Stourton Park and Ride</t>
  </si>
  <si>
    <t>Provision of Stourton Park and Ride Electric Bus service for 5 years with a possible extension of up to 2 years.</t>
  </si>
  <si>
    <t>First West Yorkshire Limited</t>
  </si>
  <si>
    <t>01990370</t>
  </si>
  <si>
    <t>Stuart Bear</t>
  </si>
  <si>
    <t>All categories</t>
  </si>
  <si>
    <t>JF</t>
  </si>
  <si>
    <t>RM3821 – Data and Application Solutions Framework (Crown Commercial Services)</t>
  </si>
  <si>
    <t>ONI data analysis and monitoring of existing solution across multiple sites, deploying Cisco Meraki dashboard. To include 24x7 proactive monitoring, quarterly service reviews with continuous improvement plans, proactive management, remote updates and remediations.</t>
  </si>
  <si>
    <t xml:space="preserve">2 x 12 months </t>
  </si>
  <si>
    <t>Bramble Hub Limited</t>
  </si>
  <si>
    <t>04136381</t>
  </si>
  <si>
    <t>Ian Johns</t>
  </si>
  <si>
    <t>ICT</t>
  </si>
  <si>
    <t>Corporate Centre</t>
  </si>
  <si>
    <t>CSM Assessor</t>
  </si>
  <si>
    <t xml:space="preserve"> Common Safety Method (CSM) support to develop and deliver proposals for a new rail station at Elland, in Calderdale</t>
  </si>
  <si>
    <t>SNC Lavalin Ltd</t>
  </si>
  <si>
    <t>03062722</t>
  </si>
  <si>
    <t>Thomas Murphy</t>
  </si>
  <si>
    <t>Transport Implementation</t>
  </si>
  <si>
    <t xml:space="preserve">No </t>
  </si>
  <si>
    <t>AM</t>
  </si>
  <si>
    <t>Economic Report 2</t>
  </si>
  <si>
    <t>Expert support to help further our understanding of how the relocation of the Channel 4 (C4) HQ into Leeds City Region (LCR) and their wider commitment to spend more outside of London has impacted key measures of growth in the economy, across specified geographies of interest.</t>
  </si>
  <si>
    <t>MARK SPILSBURY T/A SPILSBURY RESEARCH</t>
  </si>
  <si>
    <t>Bronze</t>
  </si>
  <si>
    <t>Becky Collier</t>
  </si>
  <si>
    <t>Business Innovation Skills &amp; Culture Policy</t>
  </si>
  <si>
    <t>Inclusive Economy, Skills &amp; Culture</t>
  </si>
  <si>
    <t>CL</t>
  </si>
  <si>
    <t>Strategic Rail Advisor</t>
  </si>
  <si>
    <t>Strategic Rail Advisor for the Combined Authority’s Rail Team  to help direct/steer our work programme around the development of a number of rail strategies.</t>
  </si>
  <si>
    <t>Steer Davies &amp; Gleave Limited</t>
  </si>
  <si>
    <t>01883830</t>
  </si>
  <si>
    <t>Lynne Triggs</t>
  </si>
  <si>
    <t>Technical Support and Consultancy for Customer Hub and Service Experience (CHASE)</t>
  </si>
  <si>
    <t xml:space="preserve"> ICT consultancy specialising in Microsoft Dynamics 365 CRM to provide specialist technical advice and support for a customer facing business critical system (CHASE).  CHASE is built on Microsoft Dynamics 365 CRM and integrates customer portals through a Web API. </t>
  </si>
  <si>
    <t>Softcat PLC</t>
  </si>
  <si>
    <t>02174990 / 12096627</t>
  </si>
  <si>
    <t>Haq Nawaz</t>
  </si>
  <si>
    <t>ITQ</t>
  </si>
  <si>
    <t>Property Services Cleaning, Customer Care and Posting of Bus Timetables</t>
  </si>
  <si>
    <t>3+1+1+1+1</t>
  </si>
  <si>
    <t>Carlisle Security Services Ltd</t>
  </si>
  <si>
    <t>02654100</t>
  </si>
  <si>
    <t>Kaern Buckroyd / Jamie Butters</t>
  </si>
  <si>
    <t>Software Licencing Partner</t>
  </si>
  <si>
    <t>Provision of a Software Partner with which to develop an open and collaborative working relationship to provide best value commercials, valuable insight into licencing practices and thought leadership in all aspects of Software.</t>
  </si>
  <si>
    <t>02174990</t>
  </si>
  <si>
    <t>Zubair Rasib</t>
  </si>
  <si>
    <t>PD</t>
  </si>
  <si>
    <t xml:space="preserve">Wide Area Network </t>
  </si>
  <si>
    <t>Wide Area Network</t>
  </si>
  <si>
    <t>Virgin Media Business Limited</t>
  </si>
  <si>
    <t>01785381</t>
  </si>
  <si>
    <t>DP1125 CA1230 Variation Form Virgin Media Business</t>
  </si>
  <si>
    <t>Creative Business Accelerator Programme</t>
  </si>
  <si>
    <t xml:space="preserve">Service Provider to deliver a Creative Accelerator Scheme for creative businesses across the Leeds City Region. This Scheme will be part of the £1.5m Creative Catalyst Programme delivering a suite of business support targeted at creative businesses across Leeds City Region. </t>
  </si>
  <si>
    <t>IndieLab LTD</t>
  </si>
  <si>
    <t>Support, Maintenance and upgrade costs for the G-Cloud Modern.Gov System.</t>
  </si>
  <si>
    <t>Audio visual webcasting for WYCA committee room</t>
  </si>
  <si>
    <t xml:space="preserve">Civica UK Limited </t>
  </si>
  <si>
    <t>01628868</t>
  </si>
  <si>
    <t>Angie Shearon</t>
  </si>
  <si>
    <t>Legal &amp; Governance Services​</t>
  </si>
  <si>
    <t>DP1096 CA1246 Consultancy Services Agreement Consultancy Services Agreement Local Footfall Tracker</t>
  </si>
  <si>
    <t>Hardware Partner</t>
  </si>
  <si>
    <t>WYCA Hardware Partner for all hardware related matters. The first requirement for this service is to provide services relating to the Corporate Technology Programme (CTP).</t>
  </si>
  <si>
    <t>Automatic Doors: Maintenance, Repair and Replacement</t>
  </si>
  <si>
    <t xml:space="preserve">Planned and reactive maintenance and repair of Automatic and Industrial Shutter Doors, including provision for the Supply and Installation of replacement doors at the end of unit life, along with new remote locking mechanisms. </t>
  </si>
  <si>
    <t>Dorma UK</t>
  </si>
  <si>
    <t>01361508</t>
  </si>
  <si>
    <t xml:space="preserve">Jamie Butters/David Dufton </t>
  </si>
  <si>
    <t>West Yorkshire Urban Transit Development Partner</t>
  </si>
  <si>
    <t>Development Partner to work in conjunction with the Combined Authority and local and regional partners to provide consultancy services for the identification and development of a West Yorkshire Urban Transit System.</t>
  </si>
  <si>
    <t>McBains Ltd, Jacobs &amp; Egis</t>
  </si>
  <si>
    <t>03094139</t>
  </si>
  <si>
    <t>Stacey White</t>
  </si>
  <si>
    <t>Economic Implementation</t>
  </si>
  <si>
    <t>Policing, Environment &amp; Place</t>
  </si>
  <si>
    <t>Urban Transport Group New Website Project including Support and Development</t>
  </si>
  <si>
    <t>Website Development and Support</t>
  </si>
  <si>
    <t>Creative Concern</t>
  </si>
  <si>
    <t>04582786</t>
  </si>
  <si>
    <t>James Kershaw</t>
  </si>
  <si>
    <t>Urban Transport Group</t>
  </si>
  <si>
    <t>Department</t>
  </si>
  <si>
    <t>Cycle to Work Scheme</t>
  </si>
  <si>
    <t>Arrangements for the WYCA Cycle to Work scheme</t>
  </si>
  <si>
    <t>Green Commute</t>
  </si>
  <si>
    <t>10315668</t>
  </si>
  <si>
    <t>Leonie Giles</t>
  </si>
  <si>
    <t xml:space="preserve">Finance </t>
  </si>
  <si>
    <t>Finance &amp; Commercial Services</t>
  </si>
  <si>
    <t>On Application</t>
  </si>
  <si>
    <t xml:space="preserve">Legal </t>
  </si>
  <si>
    <t>CS</t>
  </si>
  <si>
    <t>Further Education Training Providers for Adult Education</t>
  </si>
  <si>
    <t xml:space="preserve">Training provision for eligible West Yorkshire residents aged 19 plus in line with our AEB Strategy. This will cover a number of different learner groups and sectors through a Dynamic Purchasing System. </t>
  </si>
  <si>
    <t>Multiple</t>
  </si>
  <si>
    <t>Lindsey Daniels / Tammie Radcliffe</t>
  </si>
  <si>
    <t>Employment &amp; Skills​</t>
  </si>
  <si>
    <t>Printing and Distribution of Bus Timetables</t>
  </si>
  <si>
    <t>Printing and Distribution of Bus Timetables for every bus service in the county.</t>
  </si>
  <si>
    <t>T&amp;P Print Limited</t>
  </si>
  <si>
    <t>09908839</t>
  </si>
  <si>
    <t>Karla Wakefield</t>
  </si>
  <si>
    <t>Integrated Corporate Systems - Enterprise resource Programme (ERP) Technology Selection</t>
  </si>
  <si>
    <t>Technology One</t>
  </si>
  <si>
    <t>Habib Iqbal</t>
  </si>
  <si>
    <t>Halifax Bus Station Construction</t>
  </si>
  <si>
    <t>Refurbishment of Halifax Bus Station</t>
  </si>
  <si>
    <t>no</t>
  </si>
  <si>
    <t>31/09/2023</t>
  </si>
  <si>
    <t>Willmott Dixon Construction</t>
  </si>
  <si>
    <t xml:space="preserve">Private Limited Company </t>
  </si>
  <si>
    <t>Mark Auger</t>
  </si>
  <si>
    <t>n</t>
  </si>
  <si>
    <t>n/a</t>
  </si>
  <si>
    <t>PE</t>
  </si>
  <si>
    <t>West Yorkshire Local Cycling and Walking Infrastructure Plans – phase 2</t>
  </si>
  <si>
    <t xml:space="preserve">Provision of expert consultancy services to support the further development of Local Cycling and Walking Infrastructure Plans (LCWIPs) in West Yorkshire. </t>
  </si>
  <si>
    <t>Mott MacDonald Limited</t>
  </si>
  <si>
    <t>01243967</t>
  </si>
  <si>
    <t>Kate Gifford</t>
  </si>
  <si>
    <t>Brownfield Housing Fund &amp; Housing Pipeline Revenue Fund Consultant</t>
  </si>
  <si>
    <t>Multidisciplinary Technical Services Consultancy</t>
  </si>
  <si>
    <t xml:space="preserve">WSP UK Ltd
</t>
  </si>
  <si>
    <t>01383511</t>
  </si>
  <si>
    <t>Patricia Davey / Rebecca Greenwood</t>
  </si>
  <si>
    <t>Bradford Interchange Carriageway Works - PM, S &amp; QS</t>
  </si>
  <si>
    <t>Provision of ‘off-the-peg’ products that are in line with the specifications stated in this brief, however, we require a supplier that has a flexible approach and there will be occasions when a bespoke solution is required, and these must be agreed by the Combined Authority and our local authority partners.</t>
  </si>
  <si>
    <t>RPP Limited</t>
  </si>
  <si>
    <t>Gina Dickson</t>
  </si>
  <si>
    <t>Multi-disciplinary Legal Advice</t>
  </si>
  <si>
    <t>Provision of Legal Services Advice</t>
  </si>
  <si>
    <t>2+1</t>
  </si>
  <si>
    <t>Pinsent Masons LLP</t>
  </si>
  <si>
    <t>OC333653</t>
  </si>
  <si>
    <t>Morna Rajput</t>
  </si>
  <si>
    <t xml:space="preserve">Technology Forge - g-cloud call off </t>
  </si>
  <si>
    <t>Technology Forge Cloud Migration.</t>
  </si>
  <si>
    <t>The Technology Forge Limited</t>
  </si>
  <si>
    <t>02293004</t>
  </si>
  <si>
    <t>Phil Burton / Haq Nawaz</t>
  </si>
  <si>
    <t>Adult Skills Training Framework</t>
  </si>
  <si>
    <t xml:space="preserve">Adult training services across West Yorkshire for non-accredited training schemes for Digital, construction, redundancy prevention, social care and graduates. </t>
  </si>
  <si>
    <t>Aspire I-gen, West Yorkshire Consortium of Colleges, West Yorkshire Learning Providers, Leeds Trininty University.</t>
  </si>
  <si>
    <t>Aspire igen - 03037445, WYCoC 04165288, WYLP 04997683, Leeds Trinity Uni 06305220</t>
  </si>
  <si>
    <t>Carly Boden</t>
  </si>
  <si>
    <t>DP1084 CA1421-Adult Skills Training Framework Programme</t>
  </si>
  <si>
    <t>Health based cycle training</t>
  </si>
  <si>
    <t>We are looking to work with an organisation who can deliver a structured programme of cycle training to people referred with long term health conditions, to improving their health and well-being.</t>
  </si>
  <si>
    <t>+1yr</t>
  </si>
  <si>
    <t>Cycling UK</t>
  </si>
  <si>
    <t>Emma Parkin</t>
  </si>
  <si>
    <t>Marketing &amp; Campaigns</t>
  </si>
  <si>
    <t>Strategy, Comms. &amp; Intelligence</t>
  </si>
  <si>
    <t>Real Time Information System</t>
  </si>
  <si>
    <t xml:space="preserve"> Provision of an Advanced Yorkshire &amp; Humber Real Time Information System and associated services to the Combined Authority (the Services)</t>
  </si>
  <si>
    <t>Waste Disposal - Wellington House and Bus Stations</t>
  </si>
  <si>
    <t>Provision of waste management services.</t>
  </si>
  <si>
    <t>Yes 3+1+1</t>
  </si>
  <si>
    <t>Suez Recycling and Recovery UK Ltd</t>
  </si>
  <si>
    <t>02291198</t>
  </si>
  <si>
    <t>Business start up intelligence</t>
  </si>
  <si>
    <t>Provision of  data to enhance understanding of the business start up landscape in the Leeds City Region.</t>
  </si>
  <si>
    <t>BankSearch Information Consultancy Limited</t>
  </si>
  <si>
    <t>03955592</t>
  </si>
  <si>
    <t>James Hopton</t>
  </si>
  <si>
    <t>Research &amp; Intelligence</t>
  </si>
  <si>
    <t>Implementation Services for Technology Ones ERP Solution</t>
  </si>
  <si>
    <t xml:space="preserve">G cloud call off contract for the implementation services for Technology One's ERP solution One Council. </t>
  </si>
  <si>
    <t xml:space="preserve">Habib Iqbal </t>
  </si>
  <si>
    <t>Marketing and Skills Single Supplier Framework</t>
  </si>
  <si>
    <t>Delivering multiple mini projects across the Employment and Skills team around improving and creating content provisions for all-user career platforms and associated services. We are looking for a win/win collaborative approach with a provider to successfully deliver and bring innovation to this contract.</t>
  </si>
  <si>
    <t>Engaging Education Limited</t>
  </si>
  <si>
    <t>Kirsty Brobyn</t>
  </si>
  <si>
    <t>CoSA interim contract following VEAT notice</t>
  </si>
  <si>
    <t>Core bespoke transport system for managing bus services and on-street assets.</t>
  </si>
  <si>
    <t>SYSTRA Ltd</t>
  </si>
  <si>
    <t>03383212</t>
  </si>
  <si>
    <t>Graham Browne</t>
  </si>
  <si>
    <t xml:space="preserve">West Yorkshire Business Accelerator Fund </t>
  </si>
  <si>
    <t xml:space="preserve">Procurement of a fund management company to manage a c.£20M investment fund into West Yorkshire businesses taking equity stakes and offering debt products to high growth / high risk businesses. </t>
  </si>
  <si>
    <t xml:space="preserve">Foresight Group LLP </t>
  </si>
  <si>
    <t>OC300878</t>
  </si>
  <si>
    <t>James Briggs / Lorna Holroyd / Andrew Potterton</t>
  </si>
  <si>
    <t>FB</t>
  </si>
  <si>
    <t>Employee Assistance Programme 2021</t>
  </si>
  <si>
    <t>Provision of an online (including mobile phone app) and telephone based Employee Assistance Programme member support resource and specialist counselling service, providing access to information advice, support and interactive tools designed to address issues effecting an individuals’ personal life, work life and health and wellbeing and to assist them to prepare for future work and life changes.</t>
  </si>
  <si>
    <t>Health Assured Limited</t>
  </si>
  <si>
    <t>06314620</t>
  </si>
  <si>
    <t xml:space="preserve">Jenny Sharp </t>
  </si>
  <si>
    <t>HR</t>
  </si>
  <si>
    <t>DP 723 Consultancy Services Agreement Health Assured</t>
  </si>
  <si>
    <t>Smartcard Production 2021</t>
  </si>
  <si>
    <t xml:space="preserve">Single Supplier Framework Provider for the production of ENCTS and MCard Smartcards including letter production and direct customer mailing, and batch card production. </t>
  </si>
  <si>
    <t xml:space="preserve">Euclid Ltd </t>
  </si>
  <si>
    <t>Simon Smith</t>
  </si>
  <si>
    <t>New Business Start Up Programme</t>
  </si>
  <si>
    <t xml:space="preserve">Service to  provide practical help and support to people who have decided to start a new business in West Yorkshire, with a focus on businesses with lower initial growth aspiration and that do not expect to turnover more than £250k in their first 12 months of trading. The programme is expected to deliver both one-to-many support through events, workshops and seminars, and one-to-one mentoring/coaching. </t>
  </si>
  <si>
    <t>18 Months</t>
  </si>
  <si>
    <t>PeoplePlus Group Ltd</t>
  </si>
  <si>
    <t>05722765</t>
  </si>
  <si>
    <t>Jo Wilkinson / Lauren Trueman</t>
  </si>
  <si>
    <t>Business Support</t>
  </si>
  <si>
    <t>Office Supplies and Stationery</t>
  </si>
  <si>
    <t>YPO Framework call-off to procure new office supplies and stationery supplier.</t>
  </si>
  <si>
    <t>Yes - Extended</t>
  </si>
  <si>
    <t>Lyreco UK Limited</t>
  </si>
  <si>
    <t>00442696</t>
  </si>
  <si>
    <t>Diane Fell</t>
  </si>
  <si>
    <t>TS</t>
  </si>
  <si>
    <t>Leeds City Region Exploring Enterprise Programme</t>
  </si>
  <si>
    <t xml:space="preserve">Provision of a support package  for  individuals who are exploring business start-up as an employment / lifestyle option  to cover key areas to support participants to consider business start up and how to overcome any barriers that would prevent them exploring the opportunity further. </t>
  </si>
  <si>
    <t>Digital Remit Ltd</t>
  </si>
  <si>
    <t>08693334</t>
  </si>
  <si>
    <t xml:space="preserve">James Ghafoor </t>
  </si>
  <si>
    <t>High Level Street Design Feasibility Software</t>
  </si>
  <si>
    <t>Procurement of an intuitive, existing software tool that will enable policy staff and decision-makers as well as engineers to propose and explore different options for allocating roadspace.</t>
  </si>
  <si>
    <t>1+1</t>
  </si>
  <si>
    <t>Remix Technologies LLC</t>
  </si>
  <si>
    <t>86-1886934</t>
  </si>
  <si>
    <t>Kit Allwinter</t>
  </si>
  <si>
    <t>SignedUp Skills software G-Cloud call off</t>
  </si>
  <si>
    <t>An employment
and skills platform that will provide
the people of West Yorkshire an improved
understanding and awareness of
local jobs, apprenticeships, and courses.
This will sit on our FutureGoals website
and will enable visitors to the site a whole
experience of learning about the region,
the ability to sign up to our courses and
find jobs, apprenticeships and other
courses across the region.</t>
  </si>
  <si>
    <t>PDMS Ventures Limited</t>
  </si>
  <si>
    <t>128182C</t>
  </si>
  <si>
    <t>Evaluation Support Services Single Provider Framework</t>
  </si>
  <si>
    <t xml:space="preserve">West Yorkshire Combined Authority (the ‘Combined Authority/CA’) is seeking to appoint consultant/s to provide advice and support in the development and delivery of monitoring and evaluation across our projects and programmes. </t>
  </si>
  <si>
    <t>Thrive Economics (Formerley ADD specialists limited)</t>
  </si>
  <si>
    <t>Seamus McDonnell</t>
  </si>
  <si>
    <t>Software and Licensing For Travel and Transport Data and Analysis</t>
  </si>
  <si>
    <t>N/a</t>
  </si>
  <si>
    <t>Basemap Limited</t>
  </si>
  <si>
    <t>Richard Dale</t>
  </si>
  <si>
    <t>DP 811 CA49132 Basemap Ltd</t>
  </si>
  <si>
    <t>Call Centre Technology</t>
  </si>
  <si>
    <t>Redcentric will design, installation, configuration set up, handover and decommissioning, migration and decommissioning from the current Skype for business to the MCA's service desk with ongoing support and maintenance contract as described in the specification below.</t>
  </si>
  <si>
    <t>Redcentric Solutions Limited</t>
  </si>
  <si>
    <t>TCF Monitoring - AI mode Counter Procurement</t>
  </si>
  <si>
    <t>Supply and install 30 AI traffic counters across the five districts of West Yorkshire, with 5 years maintenance and support. Further counter may be procured within the 5 year period where required.</t>
  </si>
  <si>
    <t>Vivacity Labs Limited</t>
  </si>
  <si>
    <t>09924516</t>
  </si>
  <si>
    <t>Anna Woodhouse</t>
  </si>
  <si>
    <t>Mechanical &amp; Electrical Maintenance/Repair Contract</t>
  </si>
  <si>
    <t>Maintenance and reactive repairs to mechanical and electrical installations and assets across WYCA’s portfolio of properties and on-street assets.</t>
  </si>
  <si>
    <t>ECG Building Maintenance Ltd</t>
  </si>
  <si>
    <t>SC147376</t>
  </si>
  <si>
    <t>DP 533 ECG Building Maintenance Limited TAs ECG Facilities Services</t>
  </si>
  <si>
    <t>Bradford Interchange Carriageway - Construction</t>
  </si>
  <si>
    <t>The complete resurfacing of the carriageway at Bradford Interchange, included any repairs of the concrete deck that are needed.  Superceded CA1385, as this was a direct award based on first stage.</t>
  </si>
  <si>
    <t>Balfour Beaty Civil Engineering Ltd</t>
  </si>
  <si>
    <t xml:space="preserve">Digital Skills Framework </t>
  </si>
  <si>
    <t xml:space="preserve">Setting up a multiple supplier framework in order to train individuals in digital skills across West Yorkshire. </t>
  </si>
  <si>
    <t>The Skills Network; Backstage Academy (Training) Ltd; Generation: You Employed, UK; COGRAMMAR LTD; Apprentify Ltd</t>
  </si>
  <si>
    <t>06445363, GB117112067, 319334505, 10493520,10286725</t>
  </si>
  <si>
    <t>DP1091 CA53161 Digital Skills Framework Courses Agreememnts</t>
  </si>
  <si>
    <t>West Yorkshire Car Club</t>
  </si>
  <si>
    <t xml:space="preserve">The West Yorkshire Combined Authority along with its distrcit partners and York is seeking to appoint a West Yorkshire (and York) wider Car Club Provider for the provision of cross boundary car club operations. </t>
  </si>
  <si>
    <t xml:space="preserve">Enterpirse Rent-A-Car UK Limited </t>
  </si>
  <si>
    <t>Business Productivity Programme</t>
  </si>
  <si>
    <t>The supplier will be expected to provide support 125 businesses.</t>
  </si>
  <si>
    <t>Exemplas Limited</t>
  </si>
  <si>
    <t>Neill Fishman</t>
  </si>
  <si>
    <t>DP1132 CA53884-Business Productivity Contract</t>
  </si>
  <si>
    <t>Franchising Business Case Development</t>
  </si>
  <si>
    <t>Consultancy Support for Business Case Development for a Franchising Assessment</t>
  </si>
  <si>
    <t>PricewaterhouseCoopers LLP (PWC)</t>
  </si>
  <si>
    <t>OC303525</t>
  </si>
  <si>
    <t xml:space="preserve">Thomas Lock </t>
  </si>
  <si>
    <t>ATM Provision at WYCA Bus Stations</t>
  </si>
  <si>
    <t>ATMs at West Yorkshire Combined Authority Bus Stations</t>
  </si>
  <si>
    <t>NoteMachine UK Limited</t>
  </si>
  <si>
    <t>Veronika Askin</t>
  </si>
  <si>
    <t>CMS</t>
  </si>
  <si>
    <t>Evaluation of the Getting Building Fund</t>
  </si>
  <si>
    <t>The West Yorkshire Combined Authority’s (the CA) wish to commission an external
consultancy to conduct an initial interim, and later, a full evaluation of the Getting Building
Fund (GBF).</t>
  </si>
  <si>
    <t>Genecon Limited</t>
  </si>
  <si>
    <t>08840919 </t>
  </si>
  <si>
    <t>Kamila Nowicka</t>
  </si>
  <si>
    <t xml:space="preserve">West Yorkshire Young Poets Laureate   </t>
  </si>
  <si>
    <t>Programme to work with schools to deliver creative opportunities and appoint Young Poet Laureates for West Yorkshire</t>
  </si>
  <si>
    <t xml:space="preserve">National Literacy Trust </t>
  </si>
  <si>
    <t xml:space="preserve">05836486  </t>
  </si>
  <si>
    <t xml:space="preserve">Becky Collier </t>
  </si>
  <si>
    <t>DP 508 The National Literacy Trust</t>
  </si>
  <si>
    <t>Organisational Change Delivery Partner</t>
  </si>
  <si>
    <t>Consultancy to seek an organisational change partner to support the implementation of the recommended structure and operating model.</t>
  </si>
  <si>
    <t>31/09/2024</t>
  </si>
  <si>
    <t>Deloitte LLP</t>
  </si>
  <si>
    <t xml:space="preserve">OC303675 </t>
  </si>
  <si>
    <t xml:space="preserve">Silver </t>
  </si>
  <si>
    <t xml:space="preserve">Alice Padbury </t>
  </si>
  <si>
    <t>DP1082 CA57104 Call Off Framework Agreement</t>
  </si>
  <si>
    <t>Legal Support for Bus Reform Assessment Programme</t>
  </si>
  <si>
    <t>Legal council to support the CA in the development of the outline business cases.</t>
  </si>
  <si>
    <t>DLA Piper UK LLP</t>
  </si>
  <si>
    <t>OC307847</t>
  </si>
  <si>
    <t>Alex Clarke</t>
  </si>
  <si>
    <t>Bus Reform</t>
  </si>
  <si>
    <t>Multi Functional Devices</t>
  </si>
  <si>
    <t>Contractor to provide mutli functional devices to all CA sites and associated services.</t>
  </si>
  <si>
    <t>Canon (UK) Ltd</t>
  </si>
  <si>
    <t xml:space="preserve">Cloud Infrastructure Project </t>
  </si>
  <si>
    <t>A supplier to implement the migration of the servers, services and applications which are included within the scope of the High Level Design (“the HLD”) to the Microsoft Azure Cloud from the current on-premise facilities at the Rotherham data centre and WYCA’s premises at Wellington House in Leeds.</t>
  </si>
  <si>
    <t>UBDS IT Consulting Limited</t>
  </si>
  <si>
    <t xml:space="preserve">Zubair Rasib </t>
  </si>
  <si>
    <t>Renewable Electricity Supply</t>
  </si>
  <si>
    <t>The Combined Authority’s current call off contract with nPower via YPOs Electricity framework.</t>
  </si>
  <si>
    <t>Npower Commercial Gas Ltd</t>
  </si>
  <si>
    <t xml:space="preserve">Jess McNeil </t>
  </si>
  <si>
    <t>Executive Search for Director Appointments</t>
  </si>
  <si>
    <t>West Yorkshire Combined Authority is going through an exciting period of organisation evolution and will shortly be looking to secure an executive search provider to support us over the next 2-4 years.</t>
  </si>
  <si>
    <t>Gatenby Sanderson Limited</t>
  </si>
  <si>
    <t>Suzanne Garratt</t>
  </si>
  <si>
    <t>Quarterly Economic Survey - Leading Indicator Intelligence</t>
  </si>
  <si>
    <t xml:space="preserve">The West Yorkshire Combined Authority wishes to procure a quarterly indicator survey of business intelligence to provide timely insight on business confidence and performance across the Leeds City Region. </t>
  </si>
  <si>
    <t>As required</t>
  </si>
  <si>
    <t>West &amp; North Yorkshire Chamber of Commerce</t>
  </si>
  <si>
    <t>Thomas Purvis</t>
  </si>
  <si>
    <t>Environmental Impact Commission Partner (Mass Transit)</t>
  </si>
  <si>
    <t>To support the development of the Mass Transit programme by providing environmental impact assessments, modelling and evaluation, and providing strategic support on routes and options.</t>
  </si>
  <si>
    <t>Jacobs U.K. Limited</t>
  </si>
  <si>
    <t>Land and Property Partner (Mass Transit)</t>
  </si>
  <si>
    <t>To support the development of the Mass Transit programme by providing land and property advice, guidance, expert witness services, and similar land related specialist services.</t>
  </si>
  <si>
    <t>Arcadis Consulting (UK) Limited</t>
  </si>
  <si>
    <t>Dewsbury Bus Station Construction (Phase One)</t>
  </si>
  <si>
    <t>Construction partner to deliver the planned Dewsbury Bus Station redevelopment programme</t>
  </si>
  <si>
    <t>Steve Butcher</t>
  </si>
  <si>
    <t xml:space="preserve">West Yorkshire Transport &amp; Active Mode Count </t>
  </si>
  <si>
    <t>A snapshot count of road users across West Yorkshire</t>
  </si>
  <si>
    <t xml:space="preserve">Tracsis Traffic Data Ltd </t>
  </si>
  <si>
    <t>03896384</t>
  </si>
  <si>
    <t>Gas</t>
  </si>
  <si>
    <t>Supply of Gas</t>
  </si>
  <si>
    <t>Corona Energy Retail 4 Limited</t>
  </si>
  <si>
    <t>02798334</t>
  </si>
  <si>
    <t>Master Vendor Temp Labour and Perm Recruitment</t>
  </si>
  <si>
    <t>Master vendor and total talent management for permenant recruitment and temprorary labour.</t>
  </si>
  <si>
    <t xml:space="preserve">Reed Specialist Recruitment Limited </t>
  </si>
  <si>
    <t>Mobile Phone, Voice and Data</t>
  </si>
  <si>
    <t>This is a call off contract for the provision of voice and data via an agregation ran by CCS.</t>
  </si>
  <si>
    <t>British Telecommunications PLC</t>
  </si>
  <si>
    <t>Public Limited Company</t>
  </si>
  <si>
    <t>Development of Business Cases for Climate, Energy and Environment Programmes</t>
  </si>
  <si>
    <t>To support the development of programmes to address the West Yorkshire Climate and Environment Plan actions, and ultimately our ambitious climate emergency targets.</t>
  </si>
  <si>
    <t>WATERMAN INFRASTRUCTURE &amp; ENVIRONMENT LIMITED</t>
  </si>
  <si>
    <t>Sam Turner</t>
  </si>
  <si>
    <t>Violence Reduction Unit</t>
  </si>
  <si>
    <t>Regional Econometric Model</t>
  </si>
  <si>
    <t>Supplier to provide REM licence, maintenance and RPS subscription plus 2 models per year.</t>
  </si>
  <si>
    <t>Experian Limited</t>
  </si>
  <si>
    <t xml:space="preserve">Beyond Brontës: The Mayor's Screen Diversity Programme </t>
  </si>
  <si>
    <t xml:space="preserve">Beyond Brontes is a programme which has been designed and run by the CA for a number of years. This procurement is required to design and deliver a blended, bespoke and impactful TV &amp; film production training programme and work placements scheme to be delivered over 12 months, designed to meet the needs of targeted cohort from across West Yorkshire. Nurturing and retaining skills and talent within the region should be at the forefront of the scheme, with a focus on diversity to ensure diverse talent is given the opportunity to thrive in the industry. </t>
  </si>
  <si>
    <t>Screen Yorkshire Ltd</t>
  </si>
  <si>
    <t xml:space="preserve">Carly Boden </t>
  </si>
  <si>
    <t xml:space="preserve">West Yorkshire Annual Business Survey </t>
  </si>
  <si>
    <t>West Yorkshire Combined Authority has procured a contractor to provide a survey of 1,000-1,500 businesses across the West Yorkshire area.</t>
  </si>
  <si>
    <t xml:space="preserve">BMG RESEARCH LIMITED </t>
  </si>
  <si>
    <t>Water Utilities (Framework - YPO - Utilities Water – 1008)</t>
  </si>
  <si>
    <t>The Combined Authority’s current call off contract with Wave via YPOs Water Utilities framework</t>
  </si>
  <si>
    <t>Anglian Water Business (National) Limited Trading as Wave</t>
  </si>
  <si>
    <t>David Dufton</t>
  </si>
  <si>
    <t>Exploring Enterprise: Schools Activity</t>
  </si>
  <si>
    <t>A programme to raise awareness of entrepreneurship as a potential career option to School Students.</t>
  </si>
  <si>
    <t>Samantha Hodgson</t>
  </si>
  <si>
    <t>Brownfield Housing Fund: Programme Evaluation</t>
  </si>
  <si>
    <t>Consultant to provide an interim and full report of the brownfield housing programme.</t>
  </si>
  <si>
    <t>SEN Taxis Call Off June 2023</t>
  </si>
  <si>
    <t>Call off from Wakefield SEN Taxis and Minibus DPS for school runs based on requirement for next academic year</t>
  </si>
  <si>
    <t>Various (full batch)</t>
  </si>
  <si>
    <t>Sharon Chapman</t>
  </si>
  <si>
    <t>Mobility Services</t>
  </si>
  <si>
    <t xml:space="preserve">Sentinel SIEM and Security Operations Centre  </t>
  </si>
  <si>
    <t>The supplier will implement Microsoft's Sentinel System Incident Event Monitoring (SIEM) tool.</t>
  </si>
  <si>
    <t>Brightsolid Online Technology Limited</t>
  </si>
  <si>
    <t>SC161678</t>
  </si>
  <si>
    <t>Alpha Thiam (Change when Security Lead starts)</t>
  </si>
  <si>
    <t>Bus Reform Consultation – Engagement and Analysis Support</t>
  </si>
  <si>
    <t xml:space="preserve">Consultancy support for the Bus Franchising Public Consultation </t>
  </si>
  <si>
    <t xml:space="preserve">DJS Research Ltd </t>
  </si>
  <si>
    <t>Tom Lock</t>
  </si>
  <si>
    <t>Hydrogen Roadmap for the North East and Yorkshire</t>
  </si>
  <si>
    <t>We are seeking a supplier to carry out an assessment of hydrogen deployment and demand in the North East and Yorkshire region with the aim of developing a high-level, credible and region-specific pathway / action plan for hydrogen deployment within the region. This assessment should also lead to the formation of a high-level informed hydrogen working group equipped with an action plan and roadmap for hydrogen deployment.</t>
  </si>
  <si>
    <t xml:space="preserve">Ove Arup and Partners UK Limited
               </t>
  </si>
  <si>
    <t>Oluwafemi Omoniyi</t>
  </si>
  <si>
    <t>Place &amp; Environment Policy</t>
  </si>
  <si>
    <t>SK</t>
  </si>
  <si>
    <t>Stakeholder Management &amp; Consultation
System</t>
  </si>
  <si>
    <t>The software will help record all engagement with stakeholders from one to one engagements to mass communications such as email, newsletters, events and survey. Enabling the client to understand and share the sentiment of stakeholders and ensure the delivery of consistent and cohesive messaging at all times.</t>
  </si>
  <si>
    <t>Tractivity Limited</t>
  </si>
  <si>
    <t xml:space="preserve">Bronze </t>
  </si>
  <si>
    <t>Nicki Boothman</t>
  </si>
  <si>
    <t>Creative &amp; Cultural Skills Bootcamps</t>
  </si>
  <si>
    <t xml:space="preserve">The West Yorkshire Combined Authority have appointed a provider to deliver Skills Bootcamps that address regional skills needs within the creative and cultural sectors. The Skills Bootcamp(s) delivered in this area will ensure that individuals have the competence and confidence in specialist skills allowing them to access and / or progress their careers within the creative and cultural sectors. </t>
  </si>
  <si>
    <t>31/04/2024</t>
  </si>
  <si>
    <t>Mastered Studios Ltd</t>
  </si>
  <si>
    <t>Frances Burkinshaw</t>
  </si>
  <si>
    <t xml:space="preserve">Local Energy advice Demonstrators </t>
  </si>
  <si>
    <t>Groundwork Yorkshire Limited</t>
  </si>
  <si>
    <t>Sophie Brook</t>
  </si>
  <si>
    <t>You Can Make It Here - Accessibility support for the culture sector</t>
  </si>
  <si>
    <t>We Are Unlimited Arts</t>
  </si>
  <si>
    <t>Jim Hinks</t>
  </si>
  <si>
    <t>Convention of the North 2024</t>
  </si>
  <si>
    <t xml:space="preserve">Event partner to deliver Convention of the North 2024 </t>
  </si>
  <si>
    <t>Worldspan Limited</t>
  </si>
  <si>
    <t>Sonia Beebe</t>
  </si>
  <si>
    <t>AS</t>
  </si>
  <si>
    <t>Specialist Consultancy Support</t>
  </si>
  <si>
    <t>Provision of specialist support and advice to businesses to support recovery, become more resilient, and go from survival and sustainability into growth.</t>
  </si>
  <si>
    <t xml:space="preserve">Zeal Media Ltd </t>
  </si>
  <si>
    <t>Miki Vyse</t>
  </si>
  <si>
    <t>Create Growth Programme</t>
  </si>
  <si>
    <t>Tender to appoint an external delivery partner to help WYCA utilise Create Growth Grant if awarded</t>
  </si>
  <si>
    <t>Creative England Limited</t>
  </si>
  <si>
    <t>Fair Work Charter</t>
  </si>
  <si>
    <t xml:space="preserve">The CA wishes to commission the year one delivery of the WY FWC. </t>
  </si>
  <si>
    <t>Greenborough Management Limited</t>
  </si>
  <si>
    <t>Javinder Rooprai</t>
  </si>
  <si>
    <t>Employment &amp; Skills</t>
  </si>
  <si>
    <t>WYCA Gateway Review of West Yorkshire Plus Transport Fund and Gainshare Fund 2024</t>
  </si>
  <si>
    <t>Consultants are required to undertake the Gateway Review 2024 Final Term Evaluation of the West Yorkshire Transport Fund and Gainshare Fund</t>
  </si>
  <si>
    <t>Oscar Smith</t>
  </si>
  <si>
    <t xml:space="preserve">Funding and Financing Strategy – Consultancy Support </t>
  </si>
  <si>
    <t xml:space="preserve">Identification and securing of routes for additional funding for West Yorkshire Mass Transit </t>
  </si>
  <si>
    <t xml:space="preserve">Deloitte LLP </t>
  </si>
  <si>
    <t>Gary Dowson</t>
  </si>
  <si>
    <t>Mass Transit</t>
  </si>
  <si>
    <t xml:space="preserve">Strategic Transport – Your Voice promotion and media buying </t>
  </si>
  <si>
    <t>agency to plan, manage and execute a comprehensive out of home advertising schedule that promotes the West Yorkshire Combined Authority’s strategic transport plans, as well as deliver a campaign to promote our consultation platform</t>
  </si>
  <si>
    <t>Ark Marketing and Media Solutions Ltd</t>
  </si>
  <si>
    <t>Amy Cameron</t>
  </si>
  <si>
    <t>A campaign to encourage adults to start a business</t>
  </si>
  <si>
    <t>Marketing - Exploring Enterprise</t>
  </si>
  <si>
    <t>The Ark Marketing and Media</t>
  </si>
  <si>
    <t>Lauren Trueman</t>
  </si>
  <si>
    <t>1538a</t>
  </si>
  <si>
    <t>Mass Transit Business Case Development Partner Lot 1</t>
  </si>
  <si>
    <t>Lot 1 - Business Case Development; Funding Bid Development; Transport Modelling; Economic / Carbon Appraisal; Expert Witness</t>
  </si>
  <si>
    <t>1538b</t>
  </si>
  <si>
    <t>Mass Transit Business Case Development Partner Lot 2</t>
  </si>
  <si>
    <t>Lot 2 - Stakeholder Management, Consultation, Engagement and Objection Management</t>
  </si>
  <si>
    <t>1538c</t>
  </si>
  <si>
    <t>Mass Transit Business Case Development Partner Lot 3</t>
  </si>
  <si>
    <t>Lot 3 – Client Side Management</t>
  </si>
  <si>
    <t>Turner &amp; Townsend Project Management Ltd</t>
  </si>
  <si>
    <t>1549a</t>
  </si>
  <si>
    <t>Effective Transitions Fund - Procurement to appoint suppliers who can deliver high quality, creative and impactful careers and skills interventions with pupils and/or their influencers (parents and teachers).</t>
  </si>
  <si>
    <t xml:space="preserve">
Careers and skills interventions with pupils and/or their influencers (parents and teachers).
 Lot 1-  to focus on students.
</t>
  </si>
  <si>
    <t xml:space="preserve">Lot 1 - We Are Ive Ltd
</t>
  </si>
  <si>
    <t xml:space="preserve">03345236
</t>
  </si>
  <si>
    <t>Helen Illman</t>
  </si>
  <si>
    <t>1549b</t>
  </si>
  <si>
    <t xml:space="preserve">
Careers and skills interventions with pupils and/or their influencers (parents and teachers).
Lot 2 -  to focus on peers surporting students targeted through Lot 1.
</t>
  </si>
  <si>
    <t xml:space="preserve">
Lot 2 - C&amp;K Careers</t>
  </si>
  <si>
    <t xml:space="preserve">
3039360</t>
  </si>
  <si>
    <t>1550a</t>
  </si>
  <si>
    <t>Transforming Cities Fund and Other Funded Programmes Strategic Delivery Partner 3 - Lot 2 - Highways Schemes</t>
  </si>
  <si>
    <t>Multi-disciplinary support for the development of the West Yorkshire region Transforming Cities Fund Programme and associated packages of projects from this, and other, funded programme streams. Completetion of  Outline Business Cases, Full Business Cases and similar supportative consultancy work.</t>
  </si>
  <si>
    <t xml:space="preserve">2594504
</t>
  </si>
  <si>
    <t>Fiona Limb / Jude Wright-Wolfe</t>
  </si>
  <si>
    <t>Transforming Cities Fund</t>
  </si>
  <si>
    <t>DP 744 CA1550 Dewsbury Bus Station</t>
  </si>
  <si>
    <t>1550b</t>
  </si>
  <si>
    <t>Transforming Cities Fund and Other Funded Programmes Strategic Delivery Partner 3 - Lot 1 - Bus Stations</t>
  </si>
  <si>
    <t xml:space="preserve">01383511
</t>
  </si>
  <si>
    <t>1550c</t>
  </si>
  <si>
    <t>1550d</t>
  </si>
  <si>
    <t xml:space="preserve">
-
</t>
  </si>
  <si>
    <t>1550e</t>
  </si>
  <si>
    <t>1550i</t>
  </si>
  <si>
    <t>Call Off from CA 1550 - Consultancy Services for the Transformation of The Combined Authority's Asset, Dewsbury Bus Station</t>
  </si>
  <si>
    <t>Design consultancy to support the FBC development for Dewsbury Bus Station in line with the requirements issued at initial tender stage</t>
  </si>
  <si>
    <t>Nick Fairchild</t>
  </si>
  <si>
    <t>Glazing, Repair &amp; Maintenance Of On-Street Infrastructure</t>
  </si>
  <si>
    <t>Glazing and maintenance service to all WYCA's on-street infrastructure 24 hours a day, 365 days a year for the duration of the contract. WYCA has a stock of approximately 14,000 bus stops which include around 4000 shelters to be repaired and maintained.</t>
  </si>
  <si>
    <t>Bus Shelters Limited</t>
  </si>
  <si>
    <t>01822681</t>
  </si>
  <si>
    <t>51229</t>
  </si>
  <si>
    <t>Residents Perceptions of Transport</t>
  </si>
  <si>
    <t>Andrew Fitzpatrick</t>
  </si>
  <si>
    <t>56970a</t>
  </si>
  <si>
    <t>Marketing and Communications Services</t>
  </si>
  <si>
    <t>McCann Erickson Central Limited t/a McCann Leeds</t>
  </si>
  <si>
    <t>01983874</t>
  </si>
  <si>
    <t>Kate McRoy / Manon Jones</t>
  </si>
  <si>
    <t>Legal Services</t>
  </si>
  <si>
    <t>56970b</t>
  </si>
  <si>
    <t>Steffco Ltd t/a Resource</t>
  </si>
  <si>
    <t>03234103</t>
  </si>
  <si>
    <t>56970c</t>
  </si>
  <si>
    <t>The Ark Marketing &amp; Media Ltd</t>
  </si>
  <si>
    <t>56970d</t>
  </si>
  <si>
    <t>ThreeTenSeven</t>
  </si>
  <si>
    <t>03745303</t>
  </si>
  <si>
    <t>64885a</t>
  </si>
  <si>
    <t xml:space="preserve">Resource Efficiency Audits for SME Businesses </t>
  </si>
  <si>
    <t>Audits for SMEs to identify opportunities to improve operations in relation to energy, water and waste.</t>
  </si>
  <si>
    <t xml:space="preserve">Edge Efficiency Ltd </t>
  </si>
  <si>
    <t>Paul Collins</t>
  </si>
  <si>
    <t>64885b</t>
  </si>
  <si>
    <t xml:space="preserve">University of Central Lancashire </t>
  </si>
  <si>
    <t>Other (please specify in Notes)</t>
  </si>
  <si>
    <t>64885c</t>
  </si>
  <si>
    <t xml:space="preserve">GEP Environmental Ltd </t>
  </si>
  <si>
    <t>64885d</t>
  </si>
  <si>
    <t>Green Gain (Leeds) Ltd</t>
  </si>
  <si>
    <t>64885e</t>
  </si>
  <si>
    <t xml:space="preserve">Environmental Strategies Ltd </t>
  </si>
  <si>
    <t>65510a</t>
  </si>
  <si>
    <t xml:space="preserve">Digital Careers for the Unemployed </t>
  </si>
  <si>
    <t>Further competition via CA Digital Skills training Framework</t>
  </si>
  <si>
    <t xml:space="preserve">Academy of Live Technology Ltd </t>
  </si>
  <si>
    <t>07591694</t>
  </si>
  <si>
    <t>65510b</t>
  </si>
  <si>
    <t>Digital Careers for the Unemployed</t>
  </si>
  <si>
    <t xml:space="preserve">Apprentify Ltd </t>
  </si>
  <si>
    <t>65510c</t>
  </si>
  <si>
    <t>Generation You Employed</t>
  </si>
  <si>
    <t>Charity</t>
  </si>
  <si>
    <t>65510d</t>
  </si>
  <si>
    <t xml:space="preserve">Digital Careers for Graduates  </t>
  </si>
  <si>
    <t>65510e</t>
  </si>
  <si>
    <t xml:space="preserve">Skills Bootcamp in Computer Aided Design &amp; Computer Aided Manufacture (CAD/CAM) </t>
  </si>
  <si>
    <t>70405</t>
  </si>
  <si>
    <t>Huddersfield Bus Station Improvements: Design</t>
  </si>
  <si>
    <t>Design phase of Huddersfield Bus Station works - SCAPE call off</t>
  </si>
  <si>
    <t>00768173</t>
  </si>
  <si>
    <t>Duncan Wyche</t>
  </si>
  <si>
    <t>72922</t>
  </si>
  <si>
    <t>Provision of Portfolio Management &amp; Appraisal Services Framework</t>
  </si>
  <si>
    <t xml:space="preserve"> qualified and experienced consultant/s to provide advice and support in the appraisal and assurance of scheme project business cases that progress through its local Assurance Framework. Consultants seeking to be appointed to this commission will be expected to demonstrate a breadth of skills and expertise which reflects the broad range of projects that come forward to the Combined Authority for funding, including transport, housing, regeneration, economic development, and flood resilience.</t>
  </si>
  <si>
    <t>31/11/2025</t>
  </si>
  <si>
    <t>31/11/2027</t>
  </si>
  <si>
    <t>Andrew Norman</t>
  </si>
  <si>
    <t xml:space="preserve">Legal and Department </t>
  </si>
  <si>
    <t>73729</t>
  </si>
  <si>
    <t xml:space="preserve">Provision of Support Services for Regional Domestic Retrofit Programme </t>
  </si>
  <si>
    <t xml:space="preserve">The purpose of the commission was to appoint a consultant to work alongside the Combined Authority in developing the Better Homes Hub, a programme to scale-up domestic retrofit in the region that supports and adds value to the work of the five Local Authority’s, West Yorkshire Housing Partnership and other key stakeholders, building on existing activity and funding.  </t>
  </si>
  <si>
    <t xml:space="preserve">Energy Saving Trust </t>
  </si>
  <si>
    <t xml:space="preserve">Nadia Mcpherson </t>
  </si>
  <si>
    <t xml:space="preserve">Place &amp; Environment Policy </t>
  </si>
  <si>
    <t>DP 274 Energy Saving Trust</t>
  </si>
  <si>
    <t>75875</t>
  </si>
  <si>
    <t>Full Business case development and design support for Mobility Hubs across West Yorkshire</t>
  </si>
  <si>
    <t xml:space="preserve">Consultancy support for the Full Business case of  Mobility Hubs across West Yorkshire </t>
  </si>
  <si>
    <t>Amberside Advisors Ltd</t>
  </si>
  <si>
    <t>76751</t>
  </si>
  <si>
    <t>Employment Land Accelerator Revenue Fund Partner</t>
  </si>
  <si>
    <t>ELAF Programme to support employment development</t>
  </si>
  <si>
    <t>WSP</t>
  </si>
  <si>
    <t>Michael Long</t>
  </si>
  <si>
    <t>78134</t>
  </si>
  <si>
    <t>Bus Tendering Planning, Budgeting and Forecasting Model Development (CCS MCF3 - LOT 3)</t>
  </si>
  <si>
    <t xml:space="preserve">Development of new planning, budgeting and forecasting models for bus tendering </t>
  </si>
  <si>
    <t>Strategy &amp; Corporate Performance</t>
  </si>
  <si>
    <t>79054</t>
  </si>
  <si>
    <t>System Partner to Develop CRM Application</t>
  </si>
  <si>
    <t>79180</t>
  </si>
  <si>
    <t>Development Fund 2 - Call for Start Ups Across West Yorkshire</t>
  </si>
  <si>
    <t>Pilot projects aimed at removing barriers to enterprise for under represented groups</t>
  </si>
  <si>
    <t>Unity Enterprise Ltd</t>
  </si>
  <si>
    <t>79183</t>
  </si>
  <si>
    <t>Money Collections and Associated Services</t>
  </si>
  <si>
    <t>The collection, transport and delivery of money and other related goods within the Combined Authority’s districts.</t>
  </si>
  <si>
    <t>G4S Cash solutions UK Ltd</t>
  </si>
  <si>
    <t>00354883</t>
  </si>
  <si>
    <t>Olayemi Kasili</t>
  </si>
  <si>
    <t>79200</t>
  </si>
  <si>
    <t>Mass Transit Design Development Partner 2</t>
  </si>
  <si>
    <t>Mass Transit - Design Development Partner - Engineering &amp; Design, to support on the strategic development of the Mass Transit scheme</t>
  </si>
  <si>
    <t>Aidan Rayner</t>
  </si>
  <si>
    <t>Legal (TBC)</t>
  </si>
  <si>
    <t>79761</t>
  </si>
  <si>
    <t>Business support services for Freelancers and MSMEs</t>
  </si>
  <si>
    <t>Skills &amp; Business support services for Freelancers and MSMEs within the creative industries</t>
  </si>
  <si>
    <t>The Fifth Sector Ltd</t>
  </si>
  <si>
    <t>0753980</t>
  </si>
  <si>
    <t>Trade &amp; Investment</t>
  </si>
  <si>
    <t>82524</t>
  </si>
  <si>
    <t>Transport Brand Review</t>
  </si>
  <si>
    <t xml:space="preserve">Call off from Marketing framework. ​We wish to appoint an agency to work with us on establishing a new brand identity or identities for our transport network and related applications. </t>
  </si>
  <si>
    <t>ThreeTenSeven Limited</t>
  </si>
  <si>
    <t>Manon Jones</t>
  </si>
  <si>
    <t>85143</t>
  </si>
  <si>
    <t>Support and Maintenance for Real Time Displays</t>
  </si>
  <si>
    <t>R2P UK SYSTEMS LIMITED</t>
  </si>
  <si>
    <t>05803344</t>
  </si>
  <si>
    <t>CSO 147</t>
  </si>
  <si>
    <t>FMP Payrite Renewal</t>
  </si>
  <si>
    <t>annual renewal</t>
  </si>
  <si>
    <t>FMP Global</t>
  </si>
  <si>
    <t>CSO 277</t>
  </si>
  <si>
    <t>Membership of the Association of Police and Crime Commissioners 2022/23</t>
  </si>
  <si>
    <t>Membership of the Association of Police and Crime Commissioners 2022/23. </t>
  </si>
  <si>
    <t>No - Annual Renewal</t>
  </si>
  <si>
    <t>Association of Police and Crime Commissioners </t>
  </si>
  <si>
    <t>Carol Beanland </t>
  </si>
  <si>
    <t>Policing &amp; Crime</t>
  </si>
  <si>
    <t>Waiver</t>
  </si>
  <si>
    <t>CSO 280</t>
  </si>
  <si>
    <t>RTIG membership fees for 3 years</t>
  </si>
  <si>
    <t>This is for the payment of fee’s to continue membership of RTIG(Real Time information Group)</t>
  </si>
  <si>
    <t>RTIG</t>
  </si>
  <si>
    <t>CSO 286</t>
  </si>
  <si>
    <t>Approval for the Procurement of Apprenticeship Training Provider</t>
  </si>
  <si>
    <t>Transport Planning Technician Apprenticeshiptraining standard x 5</t>
  </si>
  <si>
    <t>Leeds College of Building</t>
  </si>
  <si>
    <t>Diane Forsyth</t>
  </si>
  <si>
    <t>CSO 293</t>
  </si>
  <si>
    <t>WYCA / Leedswatch Service Level Agreement </t>
  </si>
  <si>
    <t>Monitoring of bus stations across West Yorkshire Monitoring of bus stations across West Yorkshire </t>
  </si>
  <si>
    <t>Leeds City Council </t>
  </si>
  <si>
    <t>Karen Buckroyd</t>
  </si>
  <si>
    <t>CSO 296</t>
  </si>
  <si>
    <t>Verifone Inc. (via Haven Systems Ltd)</t>
  </si>
  <si>
    <t>Replacement of 13 Travel Centre Chip &amp; PIN card payment devices which are integrated into the tilling systems supplied by Haven Systems for the retailing of c. £7million of bus and rail travel tickets and travel passes</t>
  </si>
  <si>
    <t>CSO 297</t>
  </si>
  <si>
    <t>Waiver request to purchase annual maintenance and 
Extended Legacy Tiered Support for legacy systems until
CI Anywhere go-live</t>
  </si>
  <si>
    <t xml:space="preserve">Annual support and maintenance including essential 
upgrades for the following systems
• Dream - Financial ledger
• Payrite – Payroll system
• Firmstep – Online recruitment system integrated 
with Carval
</t>
  </si>
  <si>
    <t xml:space="preserve"> Firmstep</t>
  </si>
  <si>
    <t>CSO 298</t>
  </si>
  <si>
    <t>Haven Travel Centre Tilling Systems 2023/27 </t>
  </si>
  <si>
    <t xml:space="preserve">Annual support of 15 EPOS tilling systems (terminals, touchscreens, printers, card readers and associated software) at Travel Centres for the retailing of c. £7million of bus and rail travel tickets and travel passes. 
Includes helpdesk, remote and on-site support, repair/replace of faulty equipment, software upgrades and bug fixes. Covers 7 days per week, 8am to 10pm. </t>
  </si>
  <si>
    <t>Haven Systems Ltd</t>
  </si>
  <si>
    <t>CSO 312</t>
  </si>
  <si>
    <t>AVC Wise contract</t>
  </si>
  <si>
    <t>AVC Wise will provide the platform for staff to use to 
apply for a shared cost salary sacrifice AVC in 
conjunction with either Prudential or Scottish Widows in 
conjunction with the LGPS</t>
  </si>
  <si>
    <t xml:space="preserve">AVC Wise </t>
  </si>
  <si>
    <t xml:space="preserve">Leonie Giles </t>
  </si>
  <si>
    <t xml:space="preserve">Waiver </t>
  </si>
  <si>
    <t xml:space="preserve">Department </t>
  </si>
  <si>
    <t>CSO 313</t>
  </si>
  <si>
    <t>Convention of the North 2024 – venue hire</t>
  </si>
  <si>
    <t>Venue hire and services for hosting the Convention of the North 2024. Cost also includes room hire, catering, AV, public wifi, venue event management support.</t>
  </si>
  <si>
    <t>Royal Armouries</t>
  </si>
  <si>
    <t>Rachel Barnard</t>
  </si>
  <si>
    <t>CSO 314</t>
  </si>
  <si>
    <t>Request Title:	Your Bus Journey Survey (Transport Focus)</t>
  </si>
  <si>
    <t xml:space="preserve">Transport Focus, an independent watchdog for transport 
users, conducts an annual Bus Passenger Survey 
covering England and Scotland.
</t>
  </si>
  <si>
    <t>Transport Focus / BVA BDRC                                             (Transport Focus is an executive non-departmental public body, sponsored by the Department for Transport.)</t>
  </si>
  <si>
    <t>CSO 315</t>
  </si>
  <si>
    <t>Thorpe Park Rail Station</t>
  </si>
  <si>
    <t>Am Implementation Agreement is needed between the CA and Network Rail to complete GRIP4 and GRIP 5 works. The value of the Implementation Agreement is £7million being funded by New Stations Fund 3.</t>
  </si>
  <si>
    <t>Network Rail</t>
  </si>
  <si>
    <t>Alexandra Loftus</t>
  </si>
  <si>
    <t>CSO 317</t>
  </si>
  <si>
    <t>Waiver request for a category B procurement to produce an online mapping solution for the TCF West Yorkshire Network Navigation project</t>
  </si>
  <si>
    <t>The West Yorkshire Network Navigation project will 
include the creation of an online map that can used and 
accessed by the general public. This map will build on the 
work of the Leeds Core Bus Network map that was 
created through the Leeds Core Bus Network project.
This online map will include:
• West Yorkshire Map (top level)
• 4 District packs (Bradford, Calderdale, Kirklees 
and Wakefield)
• A number of detailed bus routes, showing stop 
information (e.g., Rothwell Line)
• ‘My Next Bus’ information for each bus line.
In order to achieve this, YorCard, who are already 
working on the Leeds Core Bus Network map, will 
produce the following:
• Create a method to allow the presentation of the 
Bus Network Map within a web browser, suitable 
for use on desktop browsers and mobile devices.
• Allow the user to Pan and Zoom the Core Network 
Map with standard navigation methods (e.g.: 
pinch, zoom, scroll).
• Allow the user to zoom into the next level of detail, 
showing line and stop information.
• Allow the user to zoom further to display ‘My Next 
Bus’ information for each stop.
• Develop the solution using standard software tools 
and methods, allowing WYCA to host the resultant 
solution within their website.
The intellectual property rights (IPR) will be retained by 
the West Yorkshire Combined Authority.</t>
  </si>
  <si>
    <t>YorCard</t>
  </si>
  <si>
    <t>Gillian Butcher</t>
  </si>
  <si>
    <t>waiver</t>
  </si>
  <si>
    <t>GJ</t>
  </si>
  <si>
    <t>PCC01</t>
  </si>
  <si>
    <t>Restorative Justice Service In West Yorkshire</t>
  </si>
  <si>
    <t>To provide a West Yorkshire wide victim-focused Restorative Justice service that empowers victims of crime by giving them the opportunity to communicate with the person responsible.</t>
  </si>
  <si>
    <t>utilised</t>
  </si>
  <si>
    <t> </t>
  </si>
  <si>
    <t>Restorative Solutions CIC</t>
  </si>
  <si>
    <t>CIC</t>
  </si>
  <si>
    <r>
      <t>Registered company number:</t>
    </r>
    <r>
      <rPr>
        <sz val="12"/>
        <rFont val="Arial"/>
        <family val="2"/>
      </rPr>
      <t xml:space="preserve"> 06110507</t>
    </r>
  </si>
  <si>
    <t xml:space="preserve">Jayne Davison </t>
  </si>
  <si>
    <t>PCC02</t>
  </si>
  <si>
    <t>West Yorkshire Victims Referral, Assessment and Local Support Services</t>
  </si>
  <si>
    <t>To provide a West Yorkshire wide multi-crime service to provide tailored, confidential trauma informed support to victims of all ages and crime types.</t>
  </si>
  <si>
    <t xml:space="preserve">Victim Support </t>
  </si>
  <si>
    <t>VCSE</t>
  </si>
  <si>
    <r>
      <t>Registered company number:</t>
    </r>
    <r>
      <rPr>
        <sz val="12"/>
        <color rgb="FF000000"/>
        <rFont val="Arial"/>
        <family val="2"/>
      </rPr>
      <t xml:space="preserve"> 02158780    </t>
    </r>
    <r>
      <rPr>
        <b/>
        <sz val="12"/>
        <color rgb="FF000000"/>
        <rFont val="Arial"/>
        <family val="2"/>
      </rPr>
      <t>Registered charity number:</t>
    </r>
    <r>
      <rPr>
        <sz val="12"/>
        <color rgb="FF000000"/>
        <rFont val="Arial"/>
        <family val="2"/>
      </rPr>
      <t xml:space="preserve"> 298028</t>
    </r>
  </si>
  <si>
    <t>PCC03</t>
  </si>
  <si>
    <t>West Yorkshire Independent Sexual Violence Adviser Service contract extension.</t>
  </si>
  <si>
    <t>To provide a West Yorkshire wide service that works with people who have experienced rape and sexual assault and provide a confidential service offering impartial and independent advice. ISVA support varies based on the individual needs of the victim/survivor. The support is primarily through the criminal justice process, offering emotional and practical support and acts as the main point of contact for a victim/survivor and can liaise with the police on their behalf if needed.</t>
  </si>
  <si>
    <r>
      <t xml:space="preserve">Registered company number: </t>
    </r>
    <r>
      <rPr>
        <sz val="12"/>
        <color rgb="FF000000"/>
        <rFont val="Arial"/>
        <family val="2"/>
      </rPr>
      <t xml:space="preserve">02158780    </t>
    </r>
    <r>
      <rPr>
        <b/>
        <sz val="12"/>
        <color rgb="FF000000"/>
        <rFont val="Arial"/>
        <family val="2"/>
      </rPr>
      <t>Registered charity number:</t>
    </r>
    <r>
      <rPr>
        <sz val="12"/>
        <color rgb="FF000000"/>
        <rFont val="Arial"/>
        <family val="2"/>
      </rPr>
      <t xml:space="preserve"> 298028</t>
    </r>
  </si>
  <si>
    <t>PCC04</t>
  </si>
  <si>
    <t>West Yorkshire Perpetrator Service</t>
  </si>
  <si>
    <t>To provide a West Yorkshire wide behaviour change to first time/standard risk perpetrators of domestic abuse who receive a conditional caution.</t>
  </si>
  <si>
    <t>tbc</t>
  </si>
  <si>
    <t>T0A1</t>
  </si>
  <si>
    <t>Tendered Bus Services</t>
  </si>
  <si>
    <t>Tendered Bus Services for route(s) serving: Wakefield - Normanton - Pontefract. Borough, route and schedule explained in Notes column.</t>
  </si>
  <si>
    <t>Arriva Yorkshire Limited</t>
  </si>
  <si>
    <t>Dave Keady</t>
  </si>
  <si>
    <t>T0A10</t>
  </si>
  <si>
    <t>Tendered Bus Services for route(s) serving: Huddersfield - Mirfield - Cleckheaton - Heckmondwike. Borough, route and schedule explained in Notes column.</t>
  </si>
  <si>
    <t>T0A11</t>
  </si>
  <si>
    <t>T0A12</t>
  </si>
  <si>
    <t>Tendered Bus Services for route(s) serving: Cleckheaton - Heckmondwike - Batley. Borough, route and schedule explained in Notes column.</t>
  </si>
  <si>
    <t>T0A13</t>
  </si>
  <si>
    <t>Tendered Bus Services for route(s) serving: Leeds - Morley - WRC - Heckmondwike. Borough, route and schedule explained in Notes column.</t>
  </si>
  <si>
    <t>T0A14</t>
  </si>
  <si>
    <t>T0A15</t>
  </si>
  <si>
    <t>T0A16</t>
  </si>
  <si>
    <t>T0A17</t>
  </si>
  <si>
    <t>Tendered Bus Services for route(s) serving: Halifax - Brighouse - Cleckheaton - Leeds. Borough, route and schedule explained in Notes column.</t>
  </si>
  <si>
    <t>T0A18</t>
  </si>
  <si>
    <t>Tendered Bus Services for route(s) serving: Wakefield - Batley - Dewsbury. Borough, route and schedule explained in Notes column.</t>
  </si>
  <si>
    <t>T0A19</t>
  </si>
  <si>
    <t>Tendered Bus Services for route(s) serving: Huddersfield - Flockton - Wakefield. Borough, route and schedule explained in Notes column.</t>
  </si>
  <si>
    <t>T0A2</t>
  </si>
  <si>
    <t>T0A20</t>
  </si>
  <si>
    <t>T0A21</t>
  </si>
  <si>
    <t>T0A22</t>
  </si>
  <si>
    <t>Tendered Bus Services for route(s) serving: Leeds - Garforth - Selby. Borough, route and schedule explained in Notes column.</t>
  </si>
  <si>
    <t>T0A23</t>
  </si>
  <si>
    <t>Tendered Bus Services for route(s) serving: Wakefield - Kettlethorpe/Whtie Rose/Dewsbury. Borough, route and schedule explained in Notes column.</t>
  </si>
  <si>
    <t>T0A24</t>
  </si>
  <si>
    <t>Tendered Bus Services for route(s) serving: Rothwell - Castleford. Borough, route and schedule explained in Notes column.</t>
  </si>
  <si>
    <t>T0A25</t>
  </si>
  <si>
    <t>Tendered Bus Services for route(s) serving: Leeds - Garforth - Castleford. Borough, route and schedule explained in Notes column.</t>
  </si>
  <si>
    <t>T0A26</t>
  </si>
  <si>
    <t>Tendered Bus Services for route(s) serving: Leeds - Allerton Bywater - Castleford. Borough, route and schedule explained in Notes column.</t>
  </si>
  <si>
    <t>T0A27</t>
  </si>
  <si>
    <t>Tendered Bus Services for route(s) serving: Wakefield - Garforth - Wetherby. Borough, route and schedule explained in Notes column.</t>
  </si>
  <si>
    <t>T0A28</t>
  </si>
  <si>
    <t>T0A29</t>
  </si>
  <si>
    <t>Tendered Bus Services for route(s) serving: Wakefield - Garforth - Castleford. Borough, route and schedule explained in Notes column.</t>
  </si>
  <si>
    <t>T0A3</t>
  </si>
  <si>
    <t>Tendered Bus Services for route(s) serving: Wakefield - Morley - Bradford. Borough, route and schedule explained in Notes column.</t>
  </si>
  <si>
    <t>T0A30</t>
  </si>
  <si>
    <t>T0A31</t>
  </si>
  <si>
    <t>Tendered Bus Services for route(s) serving: Leeds - Rothwell - Wakefield. Borough, route and schedule explained in Notes column.</t>
  </si>
  <si>
    <t>T0A32</t>
  </si>
  <si>
    <t>Tendered Bus Services for route(s) serving: Wakefield - Windhill/Clifford Avenue. Borough, route and schedule explained in Notes column.</t>
  </si>
  <si>
    <t>T0A33</t>
  </si>
  <si>
    <t>T0A34</t>
  </si>
  <si>
    <t>Tendered Bus Services for route(s) serving: Eastmoor - Wakefield. Borough, route and schedule explained in Notes column.</t>
  </si>
  <si>
    <t>T0A35</t>
  </si>
  <si>
    <t>Tendered Bus Services for route(s) serving: Wakefield - Pinderfields - City Fields. Borough, route and schedule explained in Notes column.</t>
  </si>
  <si>
    <t>T0A36</t>
  </si>
  <si>
    <t>T0A37</t>
  </si>
  <si>
    <t>T0A38</t>
  </si>
  <si>
    <t>T0A39</t>
  </si>
  <si>
    <t>T0A4</t>
  </si>
  <si>
    <t>Tendered Bus Services for route(s) serving: Leeds - Heckmondwike - Huddersfield. Borough, route and schedule explained in Notes column.</t>
  </si>
  <si>
    <t>T0A40</t>
  </si>
  <si>
    <t>T0A41</t>
  </si>
  <si>
    <t>Tendered Bus Services for route(s) serving: Alverthorpe - Wakefield. Borough, route and schedule explained in Notes column.</t>
  </si>
  <si>
    <t>T0A42</t>
  </si>
  <si>
    <t>Tendered Bus Services for route(s) serving: Hall Green - Wakefield. Borough, route and schedule explained in Notes column.</t>
  </si>
  <si>
    <t>T0A43</t>
  </si>
  <si>
    <t>Tendered Bus Services for route(s) serving: Wakefield - Durkar. Borough, route and schedule explained in Notes column.</t>
  </si>
  <si>
    <t>T0A44</t>
  </si>
  <si>
    <t>Tendered Bus Services for route(s) serving: Wakefield - Ossett - Gawthorpe. Borough, route and schedule explained in Notes column.</t>
  </si>
  <si>
    <t>T0A45</t>
  </si>
  <si>
    <t>Tendered Bus Services for route(s) serving: Pontefract - Chequerfield Circular. Borough, route and schedule explained in Notes column.</t>
  </si>
  <si>
    <t>T0A46</t>
  </si>
  <si>
    <t>T0A47</t>
  </si>
  <si>
    <t>Tendered Bus Services for route(s) serving: Leeds - Castleford - Pontefract. Borough, route and schedule explained in Notes column.</t>
  </si>
  <si>
    <t>T0A48</t>
  </si>
  <si>
    <t>T0A49</t>
  </si>
  <si>
    <t>Tendered Bus Services for route(s) serving: Wakefield - Normanton- Pontefract. Borough, route and schedule explained in Notes column.</t>
  </si>
  <si>
    <t>T0A5</t>
  </si>
  <si>
    <t>T0A50</t>
  </si>
  <si>
    <t>Tendered Bus Services for route(s) serving: Wakefield - Pontefract - Knottingley. Borough, route and schedule explained in Notes column.</t>
  </si>
  <si>
    <t>T0A51</t>
  </si>
  <si>
    <t>Tendered Bus Services for route(s) serving: Castleford - Ferry Fryston. Borough, route and schedule explained in Notes column.</t>
  </si>
  <si>
    <t>T0A52</t>
  </si>
  <si>
    <t>T0A53</t>
  </si>
  <si>
    <t>T0A54</t>
  </si>
  <si>
    <t>Tendered Bus Services for route(s) serving: Wakefield - Hemsworth - Upton. Borough, route and schedule explained in Notes column.</t>
  </si>
  <si>
    <t>T0A55</t>
  </si>
  <si>
    <t>Tendered Bus Services for route(s) serving: Pontefract - Thorpe Audlin/Darrington. Borough, route and schedule explained in Notes column.</t>
  </si>
  <si>
    <t>T0A56</t>
  </si>
  <si>
    <t>T0A6</t>
  </si>
  <si>
    <t>T0A7</t>
  </si>
  <si>
    <t>T0A8</t>
  </si>
  <si>
    <t>Tendered Bus Services for route(s) serving: Dewsbury - Grange Moor. Borough, route and schedule explained in Notes column.</t>
  </si>
  <si>
    <t>T0A9</t>
  </si>
  <si>
    <t>Tendered Bus Services for route(s) serving: Dewsbury - Heckmondwike. Borough, route and schedule explained in Notes column.</t>
  </si>
  <si>
    <t>T0B1</t>
  </si>
  <si>
    <t>Tendered Bus Services for route(s) serving: Bradford - Thornton. Borough, route and schedule explained in Notes column.</t>
  </si>
  <si>
    <t>Deminimis</t>
  </si>
  <si>
    <t>T0B10</t>
  </si>
  <si>
    <t>Tendered Bus Services for route(s) serving: Bradford -Eldwick. Borough, route and schedule explained in Notes column.</t>
  </si>
  <si>
    <t>T0B100</t>
  </si>
  <si>
    <t>Tendered Bus Services for route(s) serving: Leeds - Guiseley - Otley. Borough, route and schedule explained in Notes column.</t>
  </si>
  <si>
    <t>T0B101</t>
  </si>
  <si>
    <t>Tendered Bus Services for route(s) serving: Middleton - Leeds. Borough, route and schedule explained in Notes column.</t>
  </si>
  <si>
    <t>T0B102</t>
  </si>
  <si>
    <t>T0B103</t>
  </si>
  <si>
    <t>T0B104</t>
  </si>
  <si>
    <t>T0B105</t>
  </si>
  <si>
    <t>T0B106</t>
  </si>
  <si>
    <t>T0B107</t>
  </si>
  <si>
    <t>T0B108</t>
  </si>
  <si>
    <t>Tendered Bus Services for route(s) serving: Halton Moor - Headingley - Pudsey. Borough, route and schedule explained in Notes column.</t>
  </si>
  <si>
    <t>T0B109</t>
  </si>
  <si>
    <t>T0B11</t>
  </si>
  <si>
    <t>T0B110</t>
  </si>
  <si>
    <t>T0B111</t>
  </si>
  <si>
    <t>T0B112</t>
  </si>
  <si>
    <t>T0B113</t>
  </si>
  <si>
    <t>T0B114</t>
  </si>
  <si>
    <t>Tendered Bus Services for route(s) serving: Leeds - Otley - Skipton. Borough, route and schedule explained in Notes column.</t>
  </si>
  <si>
    <t>T0B115</t>
  </si>
  <si>
    <t>T0B116</t>
  </si>
  <si>
    <t>T0B12</t>
  </si>
  <si>
    <t>T0B13</t>
  </si>
  <si>
    <t>T0B14</t>
  </si>
  <si>
    <t>T0B15</t>
  </si>
  <si>
    <t>T0B16</t>
  </si>
  <si>
    <t>T0B17</t>
  </si>
  <si>
    <t>T0B18</t>
  </si>
  <si>
    <t>T0B19</t>
  </si>
  <si>
    <t>T0B2</t>
  </si>
  <si>
    <t>Tendered Bus Services for route(s) serving: Bradford - Holme Wood. Borough, route and schedule explained in Notes column.</t>
  </si>
  <si>
    <t>T0B20</t>
  </si>
  <si>
    <t>T0B21</t>
  </si>
  <si>
    <t>Tendered Bus Services for route(s) serving: Allerton - Holme Wood. Borough, route and schedule explained in Notes column.</t>
  </si>
  <si>
    <t>T0B22</t>
  </si>
  <si>
    <t>T0B23</t>
  </si>
  <si>
    <t>Tendered Bus Services for route(s) serving: Haworth Road - Bierley Circular. Borough, route and schedule explained in Notes column.</t>
  </si>
  <si>
    <t>T0B24</t>
  </si>
  <si>
    <t>T0B25</t>
  </si>
  <si>
    <t>T0B26</t>
  </si>
  <si>
    <t>Tendered Bus Services for route(s) serving: Bradford - Baildon. Borough, route and schedule explained in Notes column.</t>
  </si>
  <si>
    <t>T0B27</t>
  </si>
  <si>
    <t>Tendered Bus Services for route(s) serving: Bradford - Tyersal. Borough, route and schedule explained in Notes column.</t>
  </si>
  <si>
    <t>T0B28</t>
  </si>
  <si>
    <t>T0B29</t>
  </si>
  <si>
    <t>Tendered Bus Services for route(s) serving: Bradford - Shipley. Borough, route and schedule explained in Notes column.</t>
  </si>
  <si>
    <t>T0B3</t>
  </si>
  <si>
    <t>Tendered Bus Services for route(s) serving: Bradford - Queensbury. Borough, route and schedule explained in Notes column.</t>
  </si>
  <si>
    <t>T0B30</t>
  </si>
  <si>
    <t>T0B31</t>
  </si>
  <si>
    <t>Tendered Bus Services for route(s) serving: Bradford - Clayton. Borough, route and schedule explained in Notes column.</t>
  </si>
  <si>
    <t>T0B32</t>
  </si>
  <si>
    <t>Tendered Bus Services for route(s) serving: West Bowling - Bradford - Thorpe Edge. Borough, route and schedule explained in Notes column.</t>
  </si>
  <si>
    <t>T0B33</t>
  </si>
  <si>
    <t>T0B34</t>
  </si>
  <si>
    <t>T0B35</t>
  </si>
  <si>
    <t>Tendered Bus Services for route(s) serving: Bradford - BRI. Borough, route and schedule explained in Notes column.</t>
  </si>
  <si>
    <t>T0B36</t>
  </si>
  <si>
    <t>T0B37</t>
  </si>
  <si>
    <t>T0B38</t>
  </si>
  <si>
    <t>Tendered Bus Services for route(s) serving: Bradford - Halifax. Borough, route and schedule explained in Notes column.</t>
  </si>
  <si>
    <t>T0B39</t>
  </si>
  <si>
    <t>T0B4</t>
  </si>
  <si>
    <t>Tendered Bus Services for route(s) serving: Buttershaw - Shipley. Borough, route and schedule explained in Notes column.</t>
  </si>
  <si>
    <t>T0B40</t>
  </si>
  <si>
    <t>T0B41</t>
  </si>
  <si>
    <t>Tendered Bus Services for route(s) serving: Fagley - Brighouse. Borough, route and schedule explained in Notes column.</t>
  </si>
  <si>
    <t>T0B42</t>
  </si>
  <si>
    <t>T0B43</t>
  </si>
  <si>
    <t>Tendered Bus Services for route(s) serving: Fagley - Scholes. Borough, route and schedule explained in Notes column.</t>
  </si>
  <si>
    <t>T0B44</t>
  </si>
  <si>
    <t>T0B45</t>
  </si>
  <si>
    <t>T0B46</t>
  </si>
  <si>
    <t>Tendered Bus Services for route(s) serving: Bradford - Brighouse. Borough, route and schedule explained in Notes column.</t>
  </si>
  <si>
    <t>T0B47</t>
  </si>
  <si>
    <t>Tendered Bus Services for route(s) serving: Halifax - Leeds. Borough, route and schedule explained in Notes column.</t>
  </si>
  <si>
    <t>T0B48</t>
  </si>
  <si>
    <t>Tendered Bus Services for route(s) serving: Bradford - Pudsey. Borough, route and schedule explained in Notes column.</t>
  </si>
  <si>
    <t>T0B49</t>
  </si>
  <si>
    <t>Tendered Bus Services for route(s) serving: Halifax - Mixenden. Borough, route and schedule explained in Notes column.</t>
  </si>
  <si>
    <t>T0B5</t>
  </si>
  <si>
    <t>T0B50</t>
  </si>
  <si>
    <t>Tendered Bus Services for route(s) serving: Halifax - Sowerby. Borough, route and schedule explained in Notes column.</t>
  </si>
  <si>
    <t>T0B51</t>
  </si>
  <si>
    <t>T0B52</t>
  </si>
  <si>
    <t>T0B53</t>
  </si>
  <si>
    <t>T0B54</t>
  </si>
  <si>
    <t>T0B55</t>
  </si>
  <si>
    <t>T0B56</t>
  </si>
  <si>
    <t>Tendered Bus Services for route(s) serving: Norton Tower - Siddal. Borough, route and schedule explained in Notes column.</t>
  </si>
  <si>
    <t>T0B57</t>
  </si>
  <si>
    <t>T0B58</t>
  </si>
  <si>
    <t>T0B59</t>
  </si>
  <si>
    <t>T0B6</t>
  </si>
  <si>
    <t>T0B60</t>
  </si>
  <si>
    <t>Tendered Bus Services for route(s) serving: Halifax - Rastrick. Borough, route and schedule explained in Notes column.</t>
  </si>
  <si>
    <t>T0B61</t>
  </si>
  <si>
    <t>T0B62</t>
  </si>
  <si>
    <t>Tendered Bus Services for route(s) serving: Halifax - Huddersfield. Borough, route and schedule explained in Notes column.</t>
  </si>
  <si>
    <t>T0B63</t>
  </si>
  <si>
    <t>T0B64</t>
  </si>
  <si>
    <t>Tendered Bus Services for route(s) serving: Sowerby Bridge - Commons. Borough, route and schedule explained in Notes column.</t>
  </si>
  <si>
    <t>T0B65</t>
  </si>
  <si>
    <t>T0B66</t>
  </si>
  <si>
    <t>T0B67</t>
  </si>
  <si>
    <t>T0B68</t>
  </si>
  <si>
    <t>T0B69</t>
  </si>
  <si>
    <t>T0B7</t>
  </si>
  <si>
    <t>T0B70</t>
  </si>
  <si>
    <t>T0B71</t>
  </si>
  <si>
    <t>T0B72</t>
  </si>
  <si>
    <t>T0B73</t>
  </si>
  <si>
    <t>T0B74</t>
  </si>
  <si>
    <t>T0B75</t>
  </si>
  <si>
    <t>Tendered Bus Services for route(s) serving: Huddersfield - Holmfirth/Parkhead. Borough, route and schedule explained in Notes column.</t>
  </si>
  <si>
    <t>T0B76</t>
  </si>
  <si>
    <t>Tendered Bus Services for route(s) serving: Huddersfield - Holmfirth. Borough, route and schedule explained in Notes column.</t>
  </si>
  <si>
    <t>T0B77</t>
  </si>
  <si>
    <t>Tendered Bus Services for route(s) serving: Leeds - Pudsey. Borough, route and schedule explained in Notes column.</t>
  </si>
  <si>
    <t>T0B78</t>
  </si>
  <si>
    <t>T0B79</t>
  </si>
  <si>
    <t>T0B8</t>
  </si>
  <si>
    <t>T0B80</t>
  </si>
  <si>
    <t>T0B81</t>
  </si>
  <si>
    <t>Tendered Bus Services for route(s) serving: Old Farnley - Leeds - Logic Business Park. Borough, route and schedule explained in Notes column.</t>
  </si>
  <si>
    <t>T0B82</t>
  </si>
  <si>
    <t>T0B83</t>
  </si>
  <si>
    <t>T0B84</t>
  </si>
  <si>
    <t>T0B85</t>
  </si>
  <si>
    <t>Tendered Bus Services for route(s) serving: Ireland Wood - Leeds - Garforth. Borough, route and schedule explained in Notes column.</t>
  </si>
  <si>
    <t>T0B86</t>
  </si>
  <si>
    <t>T0B87</t>
  </si>
  <si>
    <t>T0B88</t>
  </si>
  <si>
    <t>T0B89</t>
  </si>
  <si>
    <t>T0B9</t>
  </si>
  <si>
    <t>T0B90</t>
  </si>
  <si>
    <t>T0B91</t>
  </si>
  <si>
    <t>T0B92</t>
  </si>
  <si>
    <t>T0B93</t>
  </si>
  <si>
    <t>T0B94</t>
  </si>
  <si>
    <t>T0B95</t>
  </si>
  <si>
    <t>T0B96</t>
  </si>
  <si>
    <t>T0B97</t>
  </si>
  <si>
    <t>T0B98</t>
  </si>
  <si>
    <t>T0B99</t>
  </si>
  <si>
    <t>T0C1</t>
  </si>
  <si>
    <t>Tendered Bus Services for route(s) serving: Stanley/Eastmoor - Wakefield/Ossett. Borough, route and schedule explained in Notes column.</t>
  </si>
  <si>
    <t>Globe Holidays Limited</t>
  </si>
  <si>
    <t>T0C10</t>
  </si>
  <si>
    <t>Tendered Bus Services for route(s) serving: Wakefield - Upton - South Elmsall. Borough, route and schedule explained in Notes column.</t>
  </si>
  <si>
    <t>T0C11</t>
  </si>
  <si>
    <t>T0C12</t>
  </si>
  <si>
    <t>Tendered Bus Services for route(s) serving: Barnsley - Newstead. Borough, route and schedule explained in Notes column.</t>
  </si>
  <si>
    <t>T0C13</t>
  </si>
  <si>
    <t>Tendered Bus Services for route(s) serving: Wakefield - Barnsley. Borough, route and schedule explained in Notes column.</t>
  </si>
  <si>
    <t>T0C2</t>
  </si>
  <si>
    <t>T0C3</t>
  </si>
  <si>
    <t>T0C4</t>
  </si>
  <si>
    <t>T0C5</t>
  </si>
  <si>
    <t>Tendered Bus Services for route(s) serving: Castleford - Pontefract. Borough, route and schedule explained in Notes column.</t>
  </si>
  <si>
    <t>T0C6</t>
  </si>
  <si>
    <t>Tendered Bus Services for route(s) serving: Ryhill - Hemsworth - South Elmsall. Borough, route and schedule explained in Notes column.</t>
  </si>
  <si>
    <t>T0C7</t>
  </si>
  <si>
    <t>Tendered Bus Services for route(s) serving: South Elmsall - Pontefract. Borough, route and schedule explained in Notes column.</t>
  </si>
  <si>
    <t>T0C8</t>
  </si>
  <si>
    <t>Tendered Bus Services for route(s) serving: South Hiendley - Pontefract. Borough, route and schedule explained in Notes column.</t>
  </si>
  <si>
    <t>T0C9</t>
  </si>
  <si>
    <t>T0D1</t>
  </si>
  <si>
    <t>Tendered Bus Services for route(s) serving: Wetherby - Leeds. Borough, route and schedule explained in Notes column.</t>
  </si>
  <si>
    <t>Transdev Blazefield Ltd</t>
  </si>
  <si>
    <t>Tendered Bus Services for route(s) serving: Keighley - Braithwaite. Borough, route and schedule explained in Notes column.</t>
  </si>
  <si>
    <t>Tendered Bus Services for route(s) serving: 60 - Shipley - Leeds. Borough, route and schedule explained in Notes column.</t>
  </si>
  <si>
    <t>T0D10</t>
  </si>
  <si>
    <t>Tendered Bus Services for route(s) serving: Keighley - Bracken Bank. Borough, route and schedule explained in Notes column.</t>
  </si>
  <si>
    <t>T0D11</t>
  </si>
  <si>
    <t>T0D12</t>
  </si>
  <si>
    <t>Tendered Bus Services for route(s) serving: Greengates - Keighley. Borough, route and schedule explained in Notes column.</t>
  </si>
  <si>
    <t>T0D13</t>
  </si>
  <si>
    <t>Tendered Bus Services for route(s) serving: Keighley - Ilkley. Borough, route and schedule explained in Notes column.</t>
  </si>
  <si>
    <t>T0D14</t>
  </si>
  <si>
    <t>T0D15</t>
  </si>
  <si>
    <t>T0D16</t>
  </si>
  <si>
    <t>Tendered Bus Services for route(s) serving: Haworth - Hebden Bridge. Borough, route and schedule explained in Notes column.</t>
  </si>
  <si>
    <t>T0D17</t>
  </si>
  <si>
    <t>Tendered Bus Services for route(s) serving: 0. Borough, route and schedule explained in Notes column.</t>
  </si>
  <si>
    <t>T0D18</t>
  </si>
  <si>
    <t>Tendered Bus Services for route(s) serving: Bradford - Airport - Otley. Borough, route and schedule explained in Notes column.</t>
  </si>
  <si>
    <t>T0D19</t>
  </si>
  <si>
    <t>T0D2</t>
  </si>
  <si>
    <t>Tendered Bus Services for route(s) serving: Keighley - K2/3, K12 - flat fare. Borough, route and schedule explained in Notes column.</t>
  </si>
  <si>
    <t>T0D20</t>
  </si>
  <si>
    <t>T0D21</t>
  </si>
  <si>
    <t>T0D22</t>
  </si>
  <si>
    <t>T0D3</t>
  </si>
  <si>
    <t>Tendered Bus Services for route(s) serving: Keighley- Thwaites Brow. Borough, route and schedule explained in Notes column.</t>
  </si>
  <si>
    <t>T0D4</t>
  </si>
  <si>
    <t>T0D5</t>
  </si>
  <si>
    <t>Tendered Bus Services for route(s) serving: Keighley - Fell Lane. Borough, route and schedule explained in Notes column.</t>
  </si>
  <si>
    <t>T0D6</t>
  </si>
  <si>
    <t>T0D7</t>
  </si>
  <si>
    <t>Tendered Bus Services for route(s) serving: Keighley- Laycock. Borough, route and schedule explained in Notes column.</t>
  </si>
  <si>
    <t>T0D8</t>
  </si>
  <si>
    <t>T0D9</t>
  </si>
  <si>
    <t>Tendered Bus Services for route(s) serving: Keighley- Oakworth. Borough, route and schedule explained in Notes column.</t>
  </si>
  <si>
    <t>T0E1</t>
  </si>
  <si>
    <t>Tendered Bus Services for route(s) serving: Leeds - Meanwood - Otley. Borough, route and schedule explained in Notes column.</t>
  </si>
  <si>
    <t xml:space="preserve">Harrogate Coach Travel Ltd </t>
  </si>
  <si>
    <t>T0E2</t>
  </si>
  <si>
    <t>T0E3</t>
  </si>
  <si>
    <t>Tendered Bus Services for route(s) serving: Otley local services. Borough, route and schedule explained in Notes column.</t>
  </si>
  <si>
    <t>T0E4</t>
  </si>
  <si>
    <t>T0E5</t>
  </si>
  <si>
    <t>Tendered Bus Services for route(s) serving: Otley - Ilkley. Borough, route and schedule explained in Notes column.</t>
  </si>
  <si>
    <t>T0E6</t>
  </si>
  <si>
    <t>T0F1</t>
  </si>
  <si>
    <t>Tendered Bus Services for route(s) serving: Sowerby Bridge DR. Borough, route and schedule explained in Notes column.</t>
  </si>
  <si>
    <t>DK Minibuses Ltd</t>
  </si>
  <si>
    <t>T0G1</t>
  </si>
  <si>
    <t>Tendered Bus Services for route(s) serving: Additional cost - estates extension. Borough, route and schedule explained in Notes column.</t>
  </si>
  <si>
    <t>Ross Travel Ltd</t>
  </si>
  <si>
    <t>T0G2</t>
  </si>
  <si>
    <t>T0G3</t>
  </si>
  <si>
    <t>T0G4</t>
  </si>
  <si>
    <t>Tendered Bus Services for route(s) serving: Castleford - Knottingley. Borough, route and schedule explained in Notes column.</t>
  </si>
  <si>
    <t>T0H1</t>
  </si>
  <si>
    <t>Tendered Bus Services for route(s) serving: Huddersfield - Middlestown. Borough, route and schedule explained in Notes column.</t>
  </si>
  <si>
    <t>South Pennine Community Transport CIC</t>
  </si>
  <si>
    <t>T0I1</t>
  </si>
  <si>
    <t>Tendered Bus Services for route(s) serving: Old Farnley - Pudsey Owlcotes. Borough, route and schedule explained in Notes column.</t>
  </si>
  <si>
    <t>Squarepeg Buses Ltd</t>
  </si>
  <si>
    <t>T0I2</t>
  </si>
  <si>
    <t>T0I3</t>
  </si>
  <si>
    <t>Tendered Bus Services for route(s) serving: Leeds - Leysholme - Pudsey. Borough, route and schedule explained in Notes column.</t>
  </si>
  <si>
    <t>T0I4</t>
  </si>
  <si>
    <t>T0I5</t>
  </si>
  <si>
    <t>Tendered Bus Services for route(s) serving: White Rose - Leeds - Pudsey. Borough, route and schedule explained in Notes column.</t>
  </si>
  <si>
    <t>T0I6</t>
  </si>
  <si>
    <t>T0I7</t>
  </si>
  <si>
    <t>T0I8</t>
  </si>
  <si>
    <t>Tendered Bus Services for route(s) serving: Seacroft - Swillington - White Rose. Borough, route and schedule explained in Notes column.</t>
  </si>
  <si>
    <t>T0J1</t>
  </si>
  <si>
    <t>Tendered Bus Services for route(s) serving: Barnsley - Pontefract. Borough, route and schedule explained in Notes column.</t>
  </si>
  <si>
    <t>Stagecoach</t>
  </si>
  <si>
    <t>T0J2</t>
  </si>
  <si>
    <t>T0K1</t>
  </si>
  <si>
    <t>Tendered Bus Services for route(s) serving: Leeds - Ossett - Wakefield. Borough, route and schedule explained in Notes column.</t>
  </si>
  <si>
    <t>Station Coaches Ltd</t>
  </si>
  <si>
    <t>T0K2</t>
  </si>
  <si>
    <t>T0L1</t>
  </si>
  <si>
    <t>Tendered Bus Services for route(s) serving: Pontefract - Knottingley. Borough, route and schedule explained in Notes column.</t>
  </si>
  <si>
    <t>Stevenson’s Travel Ltd</t>
  </si>
  <si>
    <t>T0L2</t>
  </si>
  <si>
    <t>T0M1</t>
  </si>
  <si>
    <t>Tendered Bus Services for route(s) serving: Colne Valley. Borough, route and schedule explained in Notes column.</t>
  </si>
  <si>
    <t>Stotts Coach Travel (E. Stott &amp; Sons Limited)</t>
  </si>
  <si>
    <t>T0N1</t>
  </si>
  <si>
    <t>Tendered Bus Services for route(s) serving: Wakefield City Bus . Borough, route and schedule explained in Notes column.</t>
  </si>
  <si>
    <t>Tetley's Motor Services</t>
  </si>
  <si>
    <t>T0N2</t>
  </si>
  <si>
    <t>Tendered Bus Services for route(s) serving: Wakefield City Bus. Borough, route and schedule explained in Notes column.</t>
  </si>
  <si>
    <t>T0O1</t>
  </si>
  <si>
    <t>Tendered Bus Services for route(s) serving: Bradford - Dewsbury. Borough, route and schedule explained in Notes column.</t>
  </si>
  <si>
    <t>TLC Travel Limited</t>
  </si>
  <si>
    <t>T0P1</t>
  </si>
  <si>
    <t>Tendered Bus Services for route(s) serving: Halifax - Claremount. Borough, route and schedule explained in Notes column.</t>
  </si>
  <si>
    <t>Team Pennine</t>
  </si>
  <si>
    <t>T0P2</t>
  </si>
  <si>
    <t>T0P3</t>
  </si>
  <si>
    <t>Tendered Bus Services for route(s) serving: Huddersfield - Denby Dale. Borough, route and schedule explained in Notes column.</t>
  </si>
  <si>
    <t>T0P4</t>
  </si>
  <si>
    <t>T0P5</t>
  </si>
  <si>
    <t>T0P6</t>
  </si>
  <si>
    <t>T0Q1</t>
  </si>
  <si>
    <t>Tendered Bus Services for route(s) serving: St James - East End - South Leeds Stadium. Borough, route and schedule explained in Notes column.</t>
  </si>
  <si>
    <t xml:space="preserve">Yorkshire Travel </t>
  </si>
  <si>
    <t>T0Q2</t>
  </si>
  <si>
    <t>T0Q3</t>
  </si>
  <si>
    <t>Tendered Bus Services for route(s) serving: White Rose - Pudsey - Horsforth. Borough, route and schedule explained in Notes column.</t>
  </si>
  <si>
    <t>T0T1</t>
  </si>
  <si>
    <t>Tendered Bus Services for route(s) serving: Hemsworth - Ryhil. Borough, route and schedule explained in Notes column.</t>
  </si>
  <si>
    <t>Falcon Travel (Wakefield) Ltd</t>
  </si>
  <si>
    <t>T0T2</t>
  </si>
  <si>
    <t>T1A1</t>
  </si>
  <si>
    <t>Tendered Bus Services for route(s) serving: Holmfirth - Penistone. Borough, route and schedule explained in Notes column.</t>
  </si>
  <si>
    <t>T606A1</t>
  </si>
  <si>
    <t>Tendered Bus Services for route(s) serving: Holmfirth - Wakefield. Borough, route and schedule explained in Notes column.</t>
  </si>
  <si>
    <t>T606A2</t>
  </si>
  <si>
    <t>Tendered Bus Services for route(s) serving: Wakefield - Denby Dale - Holmfirth. Borough, route and schedule explained in Notes column.</t>
  </si>
  <si>
    <t>T606A3</t>
  </si>
  <si>
    <t>T606A4</t>
  </si>
  <si>
    <t>T611A1</t>
  </si>
  <si>
    <t>Tendered Bus Services for route(s) serving: Marsden - Huddersfield. Borough, route and schedule explained in Notes column.</t>
  </si>
  <si>
    <t>T611A2</t>
  </si>
  <si>
    <t>T611A3</t>
  </si>
  <si>
    <t>Tendered Bus Services for route(s) serving: Huddersfield - Taylor Hill. Borough, route and schedule explained in Notes column.</t>
  </si>
  <si>
    <t>T611A4</t>
  </si>
  <si>
    <t>T611A5</t>
  </si>
  <si>
    <t>T611A6</t>
  </si>
  <si>
    <t>Tendered Bus Services for route(s) serving: Huddersfield - Beaumont Park. Borough, route and schedule explained in Notes column.</t>
  </si>
  <si>
    <t>T619A1</t>
  </si>
  <si>
    <t>Tendered Bus Services for route(s) serving: Marsden Local Services. Borough, route and schedule explained in Notes column.</t>
  </si>
  <si>
    <t>T642A1</t>
  </si>
  <si>
    <t>Tendered Bus Services for route(s) serving: Huddersfield Town Bus. Borough, route and schedule explained in Notes column.</t>
  </si>
  <si>
    <t>T654A1</t>
  </si>
  <si>
    <t>Tendered Bus Services for route(s) serving: Halifax - Norwood Green. Borough, route and schedule explained in Notes column.</t>
  </si>
  <si>
    <t>T658A1</t>
  </si>
  <si>
    <t>Tendered Bus Services for route(s) serving: Keighley - Oxenhope  . Borough, route and schedule explained in Notes column.</t>
  </si>
  <si>
    <t>T658A2</t>
  </si>
  <si>
    <t>Tendered Bus Services for route(s) serving: Keighley - Broomhill . Borough, route and schedule explained in Notes column.</t>
  </si>
  <si>
    <t>T658A3</t>
  </si>
  <si>
    <t>Tendered Bus Services for route(s) serving: Keighley - Blackhill . Borough, route and schedule explained in Notes column.</t>
  </si>
  <si>
    <t>T658A4</t>
  </si>
  <si>
    <t>Tendered Bus Services for route(s) serving: Keighley - Riddlesden. Borough, route and schedule explained in Notes column.</t>
  </si>
  <si>
    <t>T658A5</t>
  </si>
  <si>
    <t>Tendered Bus Services for route(s) serving: Keighley - Oxenhope/Stanbury. Borough, route and schedule explained in Notes column.</t>
  </si>
  <si>
    <t>T658A6</t>
  </si>
  <si>
    <t>Tendered Bus Services for route(s) serving: Keighley - Cullingworth. Borough, route and schedule explained in Notes column.</t>
  </si>
  <si>
    <t>T665A1</t>
  </si>
  <si>
    <t>Tendered Bus Services for route(s) serving: Denby Dale services. Borough, route and schedule explained in Notes column.</t>
  </si>
  <si>
    <t>T666A1</t>
  </si>
  <si>
    <t>Tendered Bus Services for route(s) serving: Firthcliffe Estate - Heckmondwike. Borough, route and schedule explained in Notes column.</t>
  </si>
  <si>
    <t>T666B1</t>
  </si>
  <si>
    <t>Tendered Bus Services for route(s) serving: Brighouse - East Bierley. Borough, route and schedule explained in Notes column.</t>
  </si>
  <si>
    <t>T666B2</t>
  </si>
  <si>
    <t>T666B3</t>
  </si>
  <si>
    <t>Tendered Bus Services for route(s) serving: Dewsbury Moor - Shaw Cross. Borough, route and schedule explained in Notes column.</t>
  </si>
  <si>
    <t>T669A1</t>
  </si>
  <si>
    <t>Tendered Bus Services for route(s) serving: Huddersfield - Scapegoat Hill. Borough, route and schedule explained in Notes column.</t>
  </si>
  <si>
    <t>T669A2</t>
  </si>
  <si>
    <t>T669A3</t>
  </si>
  <si>
    <t>T669B1</t>
  </si>
  <si>
    <t>Tendered Bus Services for route(s) serving: Bradford - Mayo Ave/Buttershaw. Borough, route and schedule explained in Notes column.</t>
  </si>
  <si>
    <t>T669B2</t>
  </si>
  <si>
    <t>Tendered Bus Services for route(s) serving: n/a. Borough, route and schedule explained in Notes column.</t>
  </si>
  <si>
    <t>T669B3</t>
  </si>
  <si>
    <t>Tendered Bus Services for route(s) serving: Bradford - Cottingley. Borough, route and schedule explained in Notes column.</t>
  </si>
  <si>
    <t>T669B4</t>
  </si>
  <si>
    <t>Tendered Bus Services for route(s) serving: Bradford - Pool. Borough, route and schedule explained in Notes column.</t>
  </si>
  <si>
    <t>T669B5</t>
  </si>
  <si>
    <t>Tendered Bus Services for route(s) serving: Huddersfield - Hebden Bridge/Rishworth. Borough, route and schedule explained in Notes column.</t>
  </si>
  <si>
    <t>T669B6</t>
  </si>
  <si>
    <t>Tendered Bus Services for route(s) serving: Huddersfield - Hebden Bridge. Borough, route and schedule explained in Notes column.</t>
  </si>
  <si>
    <t>T669B7</t>
  </si>
  <si>
    <t>T670A1</t>
  </si>
  <si>
    <t>Tendered Bus Services for route(s) serving: Honley - Meltham. Borough, route and schedule explained in Notes column.</t>
  </si>
  <si>
    <t>T670A2</t>
  </si>
  <si>
    <t>Tendered Bus Services for route(s) serving: Holme Valley services. Borough, route and schedule explained in Notes column.</t>
  </si>
  <si>
    <t>T677A1</t>
  </si>
  <si>
    <t>Tendered Bus Services for route(s) serving: Meltham Local services. Borough, route and schedule explained in Notes column.</t>
  </si>
  <si>
    <t>T677B1</t>
  </si>
  <si>
    <t>Tendered Bus Services for route(s) serving: Huddersfield - Meltham. Borough, route and schedule explained in Notes column.</t>
  </si>
  <si>
    <t>T677B2</t>
  </si>
  <si>
    <t>Tendered Bus Services for route(s) serving: Hudderfield - Meltham. Borough, route and schedule explained in Notes column.</t>
  </si>
  <si>
    <t>T677B3</t>
  </si>
  <si>
    <t>T677B4</t>
  </si>
  <si>
    <t>T677B5</t>
  </si>
  <si>
    <t>Tendered Bus Services for route(s) serving: Huddersfield - Brackenhall. Borough, route and schedule explained in Notes column.</t>
  </si>
  <si>
    <t>T677B6</t>
  </si>
  <si>
    <t>Tendered Bus Services for route(s) serving: Huddersfield - Longwood. Borough, route and schedule explained in Notes column.</t>
  </si>
  <si>
    <t>T677B7</t>
  </si>
  <si>
    <t>T677B8</t>
  </si>
  <si>
    <t>Tendered Bus Services for route(s) serving: Huddersfield - Ashenhurst. Borough, route and schedule explained in Notes column.</t>
  </si>
  <si>
    <t>T677B9</t>
  </si>
  <si>
    <t>T679A1</t>
  </si>
  <si>
    <t>T679A10</t>
  </si>
  <si>
    <t>Tendered Bus Services for route(s) serving: Halifax - Scarr Bottom. Borough, route and schedule explained in Notes column.</t>
  </si>
  <si>
    <t>T679A11</t>
  </si>
  <si>
    <t>Tendered Bus Services for route(s) serving: Halifax - Northowram/Wainstalls/Boulderclough. Borough, route and schedule explained in Notes column.</t>
  </si>
  <si>
    <t>T679A12</t>
  </si>
  <si>
    <t>Tendered Bus Services for route(s) serving: Halifax - Huddersfield/Brighouse. Borough, route and schedule explained in Notes column.</t>
  </si>
  <si>
    <t>T679A13</t>
  </si>
  <si>
    <t>T679A14</t>
  </si>
  <si>
    <t>Tendered Bus Services for route(s) serving: Halifax - Warley/Ripponden. Borough, route and schedule explained in Notes column.</t>
  </si>
  <si>
    <t>T679A15</t>
  </si>
  <si>
    <t>Tendered Bus Services for route(s) serving: Halifax - Ripponden. Borough, route and schedule explained in Notes column.</t>
  </si>
  <si>
    <t>T679A16</t>
  </si>
  <si>
    <t>Tendered Bus Services for route(s) serving: Halifax - Brighouse. Borough, route and schedule explained in Notes column.</t>
  </si>
  <si>
    <t>T679A17</t>
  </si>
  <si>
    <t>T679A18</t>
  </si>
  <si>
    <t>Tendered Bus Services for route(s) serving: Halifax - Boulderclough. Borough, route and schedule explained in Notes column.</t>
  </si>
  <si>
    <t>T679A19</t>
  </si>
  <si>
    <t>Tendered Bus Services for route(s) serving: Halifax - Rochdale. Borough, route and schedule explained in Notes column.</t>
  </si>
  <si>
    <t>T679A2</t>
  </si>
  <si>
    <t>T679A20</t>
  </si>
  <si>
    <t>Tendered Bus Services for route(s) serving: Halifax - Ripponden - Rochdale. Borough, route and schedule explained in Notes column.</t>
  </si>
  <si>
    <t>T679A3</t>
  </si>
  <si>
    <t>T679A4</t>
  </si>
  <si>
    <t>T679A5</t>
  </si>
  <si>
    <t>Tendered Bus Services for route(s) serving: Halifax - Northowram/Huddersfield. Borough, route and schedule explained in Notes column.</t>
  </si>
  <si>
    <t>T679A6</t>
  </si>
  <si>
    <t>Tendered Bus Services for route(s) serving: Halifax - Wainstalls. Borough, route and schedule explained in Notes column.</t>
  </si>
  <si>
    <t>T679A7</t>
  </si>
  <si>
    <t>Tendered Bus Services for route(s) serving: Halifax - Shelf/Midgley. Borough, route and schedule explained in Notes column.</t>
  </si>
  <si>
    <t>T679A8</t>
  </si>
  <si>
    <t>T679A9</t>
  </si>
  <si>
    <t>T682A1</t>
  </si>
  <si>
    <t>Tendered Bus Services for route(s) serving: Bradford - Airport. Borough, route and schedule explained in Notes column.</t>
  </si>
  <si>
    <t>T682A2</t>
  </si>
  <si>
    <t>Tendered Bus Services for route(s) serving: Bradford - Airport - Harrogate. Borough, route and schedule explained in Notes column.</t>
  </si>
  <si>
    <t>T684A1</t>
  </si>
  <si>
    <t>Tendered Bus Services for route(s) serving: Elland Local services. Borough, route and schedule explained in Notes column.</t>
  </si>
  <si>
    <t>T684A2</t>
  </si>
  <si>
    <t>T684A3</t>
  </si>
  <si>
    <t>T684B1</t>
  </si>
  <si>
    <t>Tendered Bus Services for route(s) serving: Halifax - Keighley. Borough, route and schedule explained in Notes column.</t>
  </si>
  <si>
    <t>T685A1</t>
  </si>
  <si>
    <t>Tendered Bus Services for route(s) serving: Bradford - Euroway/Shipley - Esholt. Borough, route and schedule explained in Notes column.</t>
  </si>
  <si>
    <t>T685A2</t>
  </si>
  <si>
    <t>Tendered Bus Services for route(s) serving: Shipley - Morrisons/Shipley Glen/Cottingley/Hirst Wood. Borough, route and schedule explained in Notes column.</t>
  </si>
  <si>
    <t>T685A3</t>
  </si>
  <si>
    <t>Tendered Bus Services for route(s) serving: Bradford - Tyersal/BRI/West Bowling. Borough, route and schedule explained in Notes column.</t>
  </si>
  <si>
    <t>T685A4</t>
  </si>
  <si>
    <t>T685A5</t>
  </si>
  <si>
    <t>Tendered Bus Services for route(s) serving: Bradford - Shipley Glenn/Shipley/Baildon. Borough, route and schedule explained in Notes column.</t>
  </si>
  <si>
    <t>T685A6</t>
  </si>
  <si>
    <t>T685A7</t>
  </si>
  <si>
    <t>Tendered Bus Services for route(s) serving: Bradford - Baildon Lucy Hall Drive/Shipley Glen. Borough, route and schedule explained in Notes column.</t>
  </si>
  <si>
    <t>T687A1</t>
  </si>
  <si>
    <t>Tendered Bus Services for route(s) serving: Dewsbury Free Town Bus. Borough, route and schedule explained in Notes column.</t>
  </si>
  <si>
    <t>T692A1</t>
  </si>
  <si>
    <t>Tendered Bus Services for route(s) serving: Keighley - Airedale Hosptial. Borough, route and schedule explained in Notes column.</t>
  </si>
  <si>
    <t>Jackson’s of Silsden (1988) Ltd</t>
  </si>
  <si>
    <t>T699A1</t>
  </si>
  <si>
    <t>Tendered Bus Services for route(s) serving: Huddersfield - Heckmondwike - Cleckheaton. Borough, route and schedule explained in Notes column.</t>
  </si>
  <si>
    <t>T700A1</t>
  </si>
  <si>
    <t>Tendered Bus Services for route(s) serving: Dewsbury - Morley - Pudsey - Owlcotes. Borough, route and schedule explained in Notes column.</t>
  </si>
  <si>
    <t>T700A2</t>
  </si>
  <si>
    <t>T701A1</t>
  </si>
  <si>
    <t>Tendered Bus Services for route(s) serving: Hebden Bridge local services. Borough, route and schedule explained in Notes column.</t>
  </si>
  <si>
    <t>T701A2</t>
  </si>
  <si>
    <t>T701A3</t>
  </si>
  <si>
    <t>T701A4</t>
  </si>
  <si>
    <t>T701A5</t>
  </si>
  <si>
    <t>Tendered Bus Services for route(s) serving: Todmorden local services. Borough, route and schedule explained in Notes column.</t>
  </si>
  <si>
    <t>T701A6</t>
  </si>
  <si>
    <t>T703A1</t>
  </si>
  <si>
    <t>Tendered Bus Services for route(s) serving: Seacroft - Halton. Borough, route and schedule explained in Notes column.</t>
  </si>
  <si>
    <t>T703B1</t>
  </si>
  <si>
    <t>Tendered Bus Services for route(s) serving: Holt Park - Tinshill - Horsforth. Borough, route and schedule explained in Notes column.</t>
  </si>
  <si>
    <t>T706A1</t>
  </si>
  <si>
    <t>T706A2</t>
  </si>
  <si>
    <t>Tendered Bus Services for route(s) serving: Ossett - Batley. Borough, route and schedule explained in Notes column.</t>
  </si>
  <si>
    <t>T706A3</t>
  </si>
  <si>
    <t>T706B1</t>
  </si>
  <si>
    <t>Tendered Bus Services for route(s) serving: Morley - Batley - Dewsbury. Borough, route and schedule explained in Notes column.</t>
  </si>
  <si>
    <t>T706B2</t>
  </si>
  <si>
    <t>T706B3</t>
  </si>
  <si>
    <t>T715A1</t>
  </si>
  <si>
    <t>Tendered Bus Services for route(s) serving: Horsforth - Clariant. Borough, route and schedule explained in Notes column.</t>
  </si>
  <si>
    <t xml:space="preserve">A&amp;A Coach Travel </t>
  </si>
  <si>
    <t>T719A1</t>
  </si>
  <si>
    <t>Tendered Bus Services for route(s) serving: Halifax - Shelf . Borough, route and schedule explained in Notes column.</t>
  </si>
  <si>
    <t>T719A2</t>
  </si>
  <si>
    <t>T719A3</t>
  </si>
  <si>
    <t>T719A4</t>
  </si>
  <si>
    <t>Tendered Bus Services for route(s) serving: Huddersfield - Mount Lindley. Borough, route and schedule explained in Notes column.</t>
  </si>
  <si>
    <t>T719A5</t>
  </si>
  <si>
    <t>T719B1</t>
  </si>
  <si>
    <t>Tendered Bus Services for route(s) serving: Leeds - Seacroft - Cross Gates. Borough, route and schedule explained in Notes column.</t>
  </si>
  <si>
    <t>T719B2</t>
  </si>
  <si>
    <t>T719C1</t>
  </si>
  <si>
    <t>Tendered Bus Services for route(s) serving: Huddersfield - South Crosland. Borough, route and schedule explained in Notes column.</t>
  </si>
  <si>
    <t>T719C2</t>
  </si>
  <si>
    <t>Tendered Bus Services for route(s) serving: Huddersfield - Stocksmoor. Borough, route and schedule explained in Notes column.</t>
  </si>
  <si>
    <t>T719C3</t>
  </si>
  <si>
    <t>T719C4</t>
  </si>
  <si>
    <t>T719C5</t>
  </si>
  <si>
    <t>Tendered Bus Services for route(s) serving: Huddersfield - Dalton. Borough, route and schedule explained in Notes column.</t>
  </si>
  <si>
    <t>T724A1</t>
  </si>
  <si>
    <t>Tendered Bus Services for route(s) serving: Huddersfield - Asda Circular. Borough, route and schedule explained in Notes column.</t>
  </si>
  <si>
    <t>TS0124A1</t>
  </si>
  <si>
    <t>School Bus Services</t>
  </si>
  <si>
    <t>Tendered Home-to-school Bus Service. Further explanation of route in Notes column.</t>
  </si>
  <si>
    <t xml:space="preserve">Steve Wainwright </t>
  </si>
  <si>
    <t xml:space="preserve">Transport Operations &amp; Passenger Experience </t>
  </si>
  <si>
    <t>TS0A1</t>
  </si>
  <si>
    <t>A Lyles &amp; Son</t>
  </si>
  <si>
    <t xml:space="preserve"> </t>
  </si>
  <si>
    <t>TS0A2</t>
  </si>
  <si>
    <t>TS0A3</t>
  </si>
  <si>
    <t>TS0A4</t>
  </si>
  <si>
    <t>TS0A5</t>
  </si>
  <si>
    <t>TS0A6</t>
  </si>
  <si>
    <t>TS0A7</t>
  </si>
  <si>
    <t>TS0A8</t>
  </si>
  <si>
    <t>TS0B1</t>
  </si>
  <si>
    <t>TS0B2</t>
  </si>
  <si>
    <t>TS0B3</t>
  </si>
  <si>
    <t>TS0C1</t>
  </si>
  <si>
    <t>TJs Travel</t>
  </si>
  <si>
    <t>TS1B1</t>
  </si>
  <si>
    <t>Tendered Swimming Bus Service. Further explanation of route in Notes column.</t>
  </si>
  <si>
    <t>Safeway Coaches</t>
  </si>
  <si>
    <t>TS1B2</t>
  </si>
  <si>
    <t>TS1C1</t>
  </si>
  <si>
    <t>TS1C2</t>
  </si>
  <si>
    <t>TS1C3</t>
  </si>
  <si>
    <t>TS612A1</t>
  </si>
  <si>
    <t>Blue Sky Coaches</t>
  </si>
  <si>
    <t>TS612B1</t>
  </si>
  <si>
    <t>DM Motor Services Ltd</t>
  </si>
  <si>
    <t>TS612C1</t>
  </si>
  <si>
    <t>TS612C10</t>
  </si>
  <si>
    <t>TS612C11</t>
  </si>
  <si>
    <t>TS612C12</t>
  </si>
  <si>
    <t>TS612C13</t>
  </si>
  <si>
    <t>TS612C14</t>
  </si>
  <si>
    <t>TS612C15</t>
  </si>
  <si>
    <t>TS612C16</t>
  </si>
  <si>
    <t>TS612C17</t>
  </si>
  <si>
    <t>TS612C2</t>
  </si>
  <si>
    <t>TS612C3</t>
  </si>
  <si>
    <t>TS612C4</t>
  </si>
  <si>
    <t>TS612C5</t>
  </si>
  <si>
    <t>TS612C6</t>
  </si>
  <si>
    <t>TS612C7</t>
  </si>
  <si>
    <t>TS612C8</t>
  </si>
  <si>
    <t>TS612C9</t>
  </si>
  <si>
    <t>TS612D1</t>
  </si>
  <si>
    <t>TS612D2</t>
  </si>
  <si>
    <t>TS612E1</t>
  </si>
  <si>
    <t>TS612E2</t>
  </si>
  <si>
    <t>TS612E3</t>
  </si>
  <si>
    <t>TS612E4</t>
  </si>
  <si>
    <t>TS612E5</t>
  </si>
  <si>
    <t>TS612E6</t>
  </si>
  <si>
    <t>TS612E7</t>
  </si>
  <si>
    <t>TS612F1</t>
  </si>
  <si>
    <t xml:space="preserve">Hunter Coaches </t>
  </si>
  <si>
    <t>TS612F10</t>
  </si>
  <si>
    <t>TS612F2</t>
  </si>
  <si>
    <t>TS612F3</t>
  </si>
  <si>
    <t>TS612F4</t>
  </si>
  <si>
    <t>TS612F5</t>
  </si>
  <si>
    <t>TS612F6</t>
  </si>
  <si>
    <t>TS612F7</t>
  </si>
  <si>
    <t>TS612F8</t>
  </si>
  <si>
    <t>TS612F9</t>
  </si>
  <si>
    <t>TS612G1</t>
  </si>
  <si>
    <t xml:space="preserve">J &amp; B Travel </t>
  </si>
  <si>
    <t>TS612G2</t>
  </si>
  <si>
    <t>TS612H1</t>
  </si>
  <si>
    <t>Kilvington of Leeds</t>
  </si>
  <si>
    <t>TS612H2</t>
  </si>
  <si>
    <t>TS612I1</t>
  </si>
  <si>
    <t>Lether's Travel Ltd</t>
  </si>
  <si>
    <t>TS612I2</t>
  </si>
  <si>
    <t>TS612J1</t>
  </si>
  <si>
    <t>TS612K1</t>
  </si>
  <si>
    <t>TS612K2</t>
  </si>
  <si>
    <t>TS612K3</t>
  </si>
  <si>
    <t>TS612K4</t>
  </si>
  <si>
    <t>TS612K5</t>
  </si>
  <si>
    <t>TS612K6</t>
  </si>
  <si>
    <t>TS612K7</t>
  </si>
  <si>
    <t>TS612L1</t>
  </si>
  <si>
    <t>TS612L10</t>
  </si>
  <si>
    <t>TS612L11</t>
  </si>
  <si>
    <t>TS612L12</t>
  </si>
  <si>
    <t>TS612L13</t>
  </si>
  <si>
    <t>TS612L14</t>
  </si>
  <si>
    <t>TS612L15</t>
  </si>
  <si>
    <t>TS612L16</t>
  </si>
  <si>
    <t>TS612L17</t>
  </si>
  <si>
    <t>TS612L18</t>
  </si>
  <si>
    <t>TS612L2</t>
  </si>
  <si>
    <t>TS612L3</t>
  </si>
  <si>
    <t>Tendered Passenger Assistant Bus Service. Further explanation of route in Notes column.</t>
  </si>
  <si>
    <t>TS612L4</t>
  </si>
  <si>
    <t>TS612L5</t>
  </si>
  <si>
    <t>TS612L6</t>
  </si>
  <si>
    <t>TS612L7</t>
  </si>
  <si>
    <t>TS612L8</t>
  </si>
  <si>
    <t>TS612L9</t>
  </si>
  <si>
    <t>TS612M1</t>
  </si>
  <si>
    <t>TS612M2</t>
  </si>
  <si>
    <t>TS612M3</t>
  </si>
  <si>
    <t>TS612N1</t>
  </si>
  <si>
    <t>Travel Express</t>
  </si>
  <si>
    <t>TS612N2</t>
  </si>
  <si>
    <t>TS612N3</t>
  </si>
  <si>
    <t>TS628A1</t>
  </si>
  <si>
    <t>TS628A10</t>
  </si>
  <si>
    <t>TS628A11</t>
  </si>
  <si>
    <t>TS628A12</t>
  </si>
  <si>
    <t>TS628A13</t>
  </si>
  <si>
    <t>TS628A14</t>
  </si>
  <si>
    <t>TS628A15</t>
  </si>
  <si>
    <t>TS628A16</t>
  </si>
  <si>
    <t>TS628A17</t>
  </si>
  <si>
    <t>TS628A18</t>
  </si>
  <si>
    <t>TS628A19</t>
  </si>
  <si>
    <t>TS628A2</t>
  </si>
  <si>
    <t>TS628A20</t>
  </si>
  <si>
    <t>TS628A21</t>
  </si>
  <si>
    <t>TS628A22</t>
  </si>
  <si>
    <t>TS628A23</t>
  </si>
  <si>
    <t>TS628A24</t>
  </si>
  <si>
    <t>TS628A25</t>
  </si>
  <si>
    <t>TS628A26</t>
  </si>
  <si>
    <t>TS628A27</t>
  </si>
  <si>
    <t>TS628A28</t>
  </si>
  <si>
    <t>TS628A29</t>
  </si>
  <si>
    <t>TS628A3</t>
  </si>
  <si>
    <t>TS628A30</t>
  </si>
  <si>
    <t>TS628A31</t>
  </si>
  <si>
    <t>TS628A32</t>
  </si>
  <si>
    <t>TS628A33</t>
  </si>
  <si>
    <t>TS628A34</t>
  </si>
  <si>
    <t>TS628A35</t>
  </si>
  <si>
    <t>TS628A36</t>
  </si>
  <si>
    <t>TS628A37</t>
  </si>
  <si>
    <t>TS628A38</t>
  </si>
  <si>
    <t>TS628A39</t>
  </si>
  <si>
    <t>TS628A4</t>
  </si>
  <si>
    <t>TS628A40</t>
  </si>
  <si>
    <t>TS628A41</t>
  </si>
  <si>
    <t>TS628A42</t>
  </si>
  <si>
    <t>TS628A43</t>
  </si>
  <si>
    <t>TS628A44</t>
  </si>
  <si>
    <t>TS628A45</t>
  </si>
  <si>
    <t>TS628A46</t>
  </si>
  <si>
    <t>TS628A47</t>
  </si>
  <si>
    <t>TS628A48</t>
  </si>
  <si>
    <t>TS628A49</t>
  </si>
  <si>
    <t>TS628A5</t>
  </si>
  <si>
    <t>TS628A50</t>
  </si>
  <si>
    <t>TS628A51</t>
  </si>
  <si>
    <t>TS628A52</t>
  </si>
  <si>
    <t>TS628A53</t>
  </si>
  <si>
    <t>TS628A54</t>
  </si>
  <si>
    <t>TS628A55</t>
  </si>
  <si>
    <t>TS628A56</t>
  </si>
  <si>
    <t>TS628A57</t>
  </si>
  <si>
    <t>TS628A58</t>
  </si>
  <si>
    <t>TS628A59</t>
  </si>
  <si>
    <t>TS628A6</t>
  </si>
  <si>
    <t>TS628A60</t>
  </si>
  <si>
    <t>TS628A61</t>
  </si>
  <si>
    <t>TS628A62</t>
  </si>
  <si>
    <t>TS628A63</t>
  </si>
  <si>
    <t>TS628A64</t>
  </si>
  <si>
    <t>TS628A65</t>
  </si>
  <si>
    <t>TS628A66</t>
  </si>
  <si>
    <t>TS628A67</t>
  </si>
  <si>
    <t>TS628A68</t>
  </si>
  <si>
    <t>TS628A69</t>
  </si>
  <si>
    <t>TS628A7</t>
  </si>
  <si>
    <t>TS628A70</t>
  </si>
  <si>
    <t>TS628A71</t>
  </si>
  <si>
    <t>TS628A72</t>
  </si>
  <si>
    <t>TS628A73</t>
  </si>
  <si>
    <t>TS628A74</t>
  </si>
  <si>
    <t>TS628A75</t>
  </si>
  <si>
    <t>TS628A76</t>
  </si>
  <si>
    <t>TS628A77</t>
  </si>
  <si>
    <t>TS628A78</t>
  </si>
  <si>
    <t>TS628A79</t>
  </si>
  <si>
    <t>TS628A8</t>
  </si>
  <si>
    <t>TS628A9</t>
  </si>
  <si>
    <t>TS628B1</t>
  </si>
  <si>
    <t>TS628B2</t>
  </si>
  <si>
    <t>TS628B3</t>
  </si>
  <si>
    <t>TS628B4</t>
  </si>
  <si>
    <t>TS628B5</t>
  </si>
  <si>
    <t>TS628B6</t>
  </si>
  <si>
    <t>TS628B7</t>
  </si>
  <si>
    <t>TS628B8</t>
  </si>
  <si>
    <t>TS628B9</t>
  </si>
  <si>
    <t>TS634A1</t>
  </si>
  <si>
    <t>TS634A2</t>
  </si>
  <si>
    <t>TS634A3</t>
  </si>
  <si>
    <t>TS634A4</t>
  </si>
  <si>
    <t>TS634A5</t>
  </si>
  <si>
    <t>TS634A6</t>
  </si>
  <si>
    <t>TS634A7</t>
  </si>
  <si>
    <t>TS639B1</t>
  </si>
  <si>
    <t>TS639B10</t>
  </si>
  <si>
    <t>TS639B11</t>
  </si>
  <si>
    <t>TS639B12</t>
  </si>
  <si>
    <t>TS639B13</t>
  </si>
  <si>
    <t>TS639B14</t>
  </si>
  <si>
    <t>TS639B15</t>
  </si>
  <si>
    <t>TS639B16</t>
  </si>
  <si>
    <t>TS639B17</t>
  </si>
  <si>
    <t>TS639B18</t>
  </si>
  <si>
    <t>TS639B19</t>
  </si>
  <si>
    <t>TS639B2</t>
  </si>
  <si>
    <t>TS639B20</t>
  </si>
  <si>
    <t>TS639B21</t>
  </si>
  <si>
    <t>TS639B22</t>
  </si>
  <si>
    <t>TS639B23</t>
  </si>
  <si>
    <t>TS639B24</t>
  </si>
  <si>
    <t>TS639B25</t>
  </si>
  <si>
    <t>TS639B26</t>
  </si>
  <si>
    <t>TS639B27</t>
  </si>
  <si>
    <t>TS639B28</t>
  </si>
  <si>
    <t>TS639B29</t>
  </si>
  <si>
    <t>TS639B3</t>
  </si>
  <si>
    <t>TS639B30</t>
  </si>
  <si>
    <t>TS639B31</t>
  </si>
  <si>
    <t>TS639B32</t>
  </si>
  <si>
    <t>TS639B33</t>
  </si>
  <si>
    <t>TS639B34</t>
  </si>
  <si>
    <t>TS639B35</t>
  </si>
  <si>
    <t>TS639B36</t>
  </si>
  <si>
    <t>TS639B37</t>
  </si>
  <si>
    <t>TS639B38</t>
  </si>
  <si>
    <t>TS639B39</t>
  </si>
  <si>
    <t>TS639B4</t>
  </si>
  <si>
    <t>TS639B5</t>
  </si>
  <si>
    <t>TS639B6</t>
  </si>
  <si>
    <t>TS639B7</t>
  </si>
  <si>
    <t>TS639B8</t>
  </si>
  <si>
    <t>TS639B9</t>
  </si>
  <si>
    <t>TS693A1</t>
  </si>
  <si>
    <t>TS693B1</t>
  </si>
  <si>
    <t>Team Pennine (now Transdev)</t>
  </si>
  <si>
    <t xml:space="preserve">Gold </t>
  </si>
  <si>
    <t>TS693B2</t>
  </si>
  <si>
    <t>TS693C1</t>
  </si>
  <si>
    <t>TS693C2</t>
  </si>
  <si>
    <t>TS694A1</t>
  </si>
  <si>
    <t> 00084167</t>
  </si>
  <si>
    <t>TS694A2</t>
  </si>
  <si>
    <t>TS694A3</t>
  </si>
  <si>
    <t>TS694B1</t>
  </si>
  <si>
    <t>TS694B2</t>
  </si>
  <si>
    <t>TS694B3</t>
  </si>
  <si>
    <t>TS694B4</t>
  </si>
  <si>
    <t>TS694C1</t>
  </si>
  <si>
    <t>TS694C2</t>
  </si>
  <si>
    <t>TS694C3</t>
  </si>
  <si>
    <t>TS694C4</t>
  </si>
  <si>
    <t>TS694C5</t>
  </si>
  <si>
    <t>TS694C6</t>
  </si>
  <si>
    <t>TS694C7</t>
  </si>
  <si>
    <t>TS694C8</t>
  </si>
  <si>
    <t>TS694D1</t>
  </si>
  <si>
    <t>TS694D2</t>
  </si>
  <si>
    <t>TS694D3</t>
  </si>
  <si>
    <t>TS695A1</t>
  </si>
  <si>
    <t>TS695A10</t>
  </si>
  <si>
    <t>TS695A11</t>
  </si>
  <si>
    <t>TS695A12</t>
  </si>
  <si>
    <t>TS695A13</t>
  </si>
  <si>
    <t>TS695A14</t>
  </si>
  <si>
    <t>TS695A15</t>
  </si>
  <si>
    <t>TS695A16</t>
  </si>
  <si>
    <t>TS695A17</t>
  </si>
  <si>
    <t>TS695A18</t>
  </si>
  <si>
    <t>TS695A19</t>
  </si>
  <si>
    <t>TS695A2</t>
  </si>
  <si>
    <t>TS695A20</t>
  </si>
  <si>
    <t>TS695A21</t>
  </si>
  <si>
    <t>TS695A22</t>
  </si>
  <si>
    <t>TS695A23</t>
  </si>
  <si>
    <t>TS695A24</t>
  </si>
  <si>
    <t>TS695A25</t>
  </si>
  <si>
    <t>TS695A26</t>
  </si>
  <si>
    <t>TS695A27</t>
  </si>
  <si>
    <t>TS695A28</t>
  </si>
  <si>
    <t>TS695A29</t>
  </si>
  <si>
    <t>TS695A3</t>
  </si>
  <si>
    <t>TS695A30</t>
  </si>
  <si>
    <t>TS695A4</t>
  </si>
  <si>
    <t>TS695A5</t>
  </si>
  <si>
    <t>TS695A6</t>
  </si>
  <si>
    <t>TS695A7</t>
  </si>
  <si>
    <t>TS695A8</t>
  </si>
  <si>
    <t>TS695A9</t>
  </si>
  <si>
    <t>TS695B1</t>
  </si>
  <si>
    <t>TS695B2</t>
  </si>
  <si>
    <t>TS695B3</t>
  </si>
  <si>
    <t>TS695B4</t>
  </si>
  <si>
    <t>TS696A1</t>
  </si>
  <si>
    <t>B&amp;H Travel</t>
  </si>
  <si>
    <t>TS696A2</t>
  </si>
  <si>
    <t>TS696A3</t>
  </si>
  <si>
    <t>TS696B1</t>
  </si>
  <si>
    <t>Coach Travel Services Ltd</t>
  </si>
  <si>
    <t>TS696B2</t>
  </si>
  <si>
    <t>TS696C1</t>
  </si>
  <si>
    <t>Star Coaches</t>
  </si>
  <si>
    <t>TS696D1</t>
  </si>
  <si>
    <t>TS696D2</t>
  </si>
  <si>
    <t>TS696E2</t>
  </si>
  <si>
    <t>TS Travels</t>
  </si>
  <si>
    <t>TS696E3</t>
  </si>
  <si>
    <t>TS704A1</t>
  </si>
  <si>
    <t>TS704A2</t>
  </si>
  <si>
    <t>TS704A3</t>
  </si>
  <si>
    <t>TS704A4</t>
  </si>
  <si>
    <t>TS704B1</t>
  </si>
  <si>
    <t>TS704C1</t>
  </si>
  <si>
    <t>TS704D1</t>
  </si>
  <si>
    <t>TS704D2</t>
  </si>
  <si>
    <t>TS704D3</t>
  </si>
  <si>
    <t>TS704E1</t>
  </si>
  <si>
    <t>TS704F1</t>
  </si>
  <si>
    <t>TS704G1</t>
  </si>
  <si>
    <t>TS704H1</t>
  </si>
  <si>
    <t>TS704H2</t>
  </si>
  <si>
    <t>TS704H3</t>
  </si>
  <si>
    <t>TS704H4</t>
  </si>
  <si>
    <t>TS704H5</t>
  </si>
  <si>
    <t>TS711A1</t>
  </si>
  <si>
    <t>TS711A2</t>
  </si>
  <si>
    <t>TS711A3</t>
  </si>
  <si>
    <t>TS711A4</t>
  </si>
  <si>
    <t>TS711B1</t>
  </si>
  <si>
    <t>W Cropper Ltd</t>
  </si>
  <si>
    <t>TS712A1</t>
  </si>
  <si>
    <t>TS713A1</t>
  </si>
  <si>
    <t>TS713A2</t>
  </si>
  <si>
    <t>TS713A3</t>
  </si>
  <si>
    <t>TS713B1</t>
  </si>
  <si>
    <t>TS716A1</t>
  </si>
  <si>
    <t>TS716A2</t>
  </si>
  <si>
    <t>TS716A3</t>
  </si>
  <si>
    <t>TS716B1</t>
  </si>
  <si>
    <t>TS716B2</t>
  </si>
  <si>
    <t>TS716B3</t>
  </si>
  <si>
    <t>TS716B4</t>
  </si>
  <si>
    <t>TS716C1</t>
  </si>
  <si>
    <t>TS716C2</t>
  </si>
  <si>
    <t>TS716C3</t>
  </si>
  <si>
    <t>TS716C4</t>
  </si>
  <si>
    <t>TS716E1</t>
  </si>
  <si>
    <t>TS716F1</t>
  </si>
  <si>
    <t>TS716F2</t>
  </si>
  <si>
    <t>TS716G1</t>
  </si>
  <si>
    <t>TS716G2</t>
  </si>
  <si>
    <t>TS716H1</t>
  </si>
  <si>
    <t>TS717A1</t>
  </si>
  <si>
    <t>TS721A1</t>
  </si>
  <si>
    <t>TS721A2</t>
  </si>
  <si>
    <t>TS721A3</t>
  </si>
  <si>
    <t>TS721A4</t>
  </si>
  <si>
    <t>TS721A5</t>
  </si>
  <si>
    <t>TS725A1</t>
  </si>
  <si>
    <t>TS734A1</t>
  </si>
  <si>
    <t>TS735A1</t>
  </si>
  <si>
    <t>TS735A2</t>
  </si>
  <si>
    <t>TS735A3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</si>
</sst>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00"/>
  </numFmts>
  <fonts count="6" x14ac:knownFonts="1">
    <font>
      <sz val="11"/>
      <color theme="1"/>
      <name val="Aptos Narrow"/>
      <family val="2"/>
      <scheme val="minor"/>
    </font>
    <font>
      <sz val="12"/>
      <color theme="1"/>
      <name val="Arial"/>
      <family val="2"/>
    </font>
    <font>
      <sz val="11"/>
      <color theme="1"/>
      <name val="Aptos Narrow"/>
      <family val="2"/>
      <scheme val="minor"/>
    </font>
    <font>
      <sz val="12"/>
      <color rgb="FF000000"/>
      <name val="Arial"/>
      <family val="2"/>
    </font>
    <font>
      <sz val="12"/>
      <name val="Arial"/>
      <family val="2"/>
    </font>
    <font>
      <b/>
      <sz val="12"/>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left" vertical="top" wrapText="1"/>
    </xf>
    <xf numFmtId="0" fontId="0" fillId="0" borderId="0" xfId="0" applyAlignment="1">
      <alignment wrapText="1"/>
    </xf>
    <xf numFmtId="165" fontId="1" fillId="0" borderId="0" xfId="0" applyNumberFormat="1" applyFont="1" applyAlignment="1">
      <alignment horizontal="left" vertical="top" wrapText="1"/>
    </xf>
    <xf numFmtId="14" fontId="1" fillId="0" borderId="0" xfId="0" applyNumberFormat="1" applyFont="1" applyAlignment="1">
      <alignment horizontal="left" vertical="top" wrapText="1"/>
    </xf>
    <xf numFmtId="1" fontId="1" fillId="0" borderId="0" xfId="0" applyNumberFormat="1" applyFont="1" applyAlignment="1">
      <alignment horizontal="left" vertical="top" wrapText="1"/>
    </xf>
  </cellXfs>
  <cellStyles count="2">
    <cellStyle name="Normal" xfId="0" builtinId="0"/>
    <cellStyle name="Normal 2" xfId="1" xr:uid="{F15DB310-67EF-4BF3-8F16-07F876465063}"/>
  </cellStyles>
  <dxfs count="30">
    <dxf>
      <font>
        <strike val="0"/>
        <outline val="0"/>
        <shadow val="0"/>
        <u val="none"/>
        <vertAlign val="baseline"/>
        <sz val="12"/>
        <name val="Arial"/>
        <family val="2"/>
        <scheme val="none"/>
      </font>
      <numFmt numFmtId="1" formatCode="0"/>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numFmt numFmtId="19" formatCode="dd/mm/yyyy"/>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numFmt numFmtId="19" formatCode="dd/mm/yyyy"/>
      <alignment horizontal="left" vertical="top" textRotation="0" wrapText="1" indent="0" justifyLastLine="0" shrinkToFit="0" readingOrder="0"/>
    </dxf>
    <dxf>
      <font>
        <strike val="0"/>
        <outline val="0"/>
        <shadow val="0"/>
        <u val="none"/>
        <vertAlign val="baseline"/>
        <sz val="12"/>
        <name val="Arial"/>
        <family val="2"/>
        <scheme val="none"/>
      </font>
      <numFmt numFmtId="19" formatCode="dd/mm/yyyy"/>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numFmt numFmtId="19" formatCode="dd/mm/yyyy"/>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numFmt numFmtId="19" formatCode="dd/mm/yyyy"/>
      <alignment horizontal="left" vertical="top" textRotation="0" wrapText="1" indent="0" justifyLastLine="0" shrinkToFit="0" readingOrder="0"/>
    </dxf>
    <dxf>
      <font>
        <strike val="0"/>
        <outline val="0"/>
        <shadow val="0"/>
        <u val="none"/>
        <vertAlign val="baseline"/>
        <sz val="12"/>
        <name val="Arial"/>
        <family val="2"/>
        <scheme val="none"/>
      </font>
      <numFmt numFmtId="19" formatCode="dd/mm/yyyy"/>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numFmt numFmtId="165" formatCode="&quot;£&quot;#,##0.00"/>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numFmt numFmtId="165" formatCode="&quot;£&quot;#,##0.00"/>
      <alignment horizontal="left" vertical="top" textRotation="0" wrapText="1" indent="0" justifyLastLine="0" shrinkToFit="0" readingOrder="0"/>
    </dxf>
    <dxf>
      <font>
        <strike val="0"/>
        <outline val="0"/>
        <shadow val="0"/>
        <u val="none"/>
        <vertAlign val="baseline"/>
        <sz val="12"/>
        <name val="Arial"/>
        <family val="2"/>
        <scheme val="none"/>
      </font>
      <numFmt numFmtId="165" formatCode="&quot;£&quot;#,##0.00"/>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center" vertical="center"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
      <font>
        <strike val="0"/>
        <outline val="0"/>
        <shadow val="0"/>
        <u val="none"/>
        <vertAlign val="baseline"/>
        <sz val="12"/>
        <name val="Arial"/>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45</xdr:col>
      <xdr:colOff>476250</xdr:colOff>
      <xdr:row>866</xdr:row>
      <xdr:rowOff>160110</xdr:rowOff>
    </xdr:from>
    <xdr:ext cx="184731" cy="264560"/>
    <xdr:sp macro="" textlink="">
      <xdr:nvSpPr>
        <xdr:cNvPr id="2" name="TextBox 1">
          <a:extLst>
            <a:ext uri="{FF2B5EF4-FFF2-40B4-BE49-F238E27FC236}">
              <a16:creationId xmlns:a16="http://schemas.microsoft.com/office/drawing/2014/main" id="{7E585EDA-5342-445D-BBA7-3A01B8B02FF8}"/>
            </a:ext>
          </a:extLst>
        </xdr:cNvPr>
        <xdr:cNvSpPr txBox="1"/>
      </xdr:nvSpPr>
      <xdr:spPr>
        <a:xfrm>
          <a:off x="75752325" y="46519918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45</xdr:col>
      <xdr:colOff>476250</xdr:colOff>
      <xdr:row>867</xdr:row>
      <xdr:rowOff>0</xdr:rowOff>
    </xdr:from>
    <xdr:ext cx="184731" cy="264560"/>
    <xdr:sp macro="" textlink="">
      <xdr:nvSpPr>
        <xdr:cNvPr id="3" name="TextBox 2">
          <a:extLst>
            <a:ext uri="{FF2B5EF4-FFF2-40B4-BE49-F238E27FC236}">
              <a16:creationId xmlns:a16="http://schemas.microsoft.com/office/drawing/2014/main" id="{5CAA8E86-643A-458E-8065-49B1AFCF8E9D}"/>
            </a:ext>
          </a:extLst>
        </xdr:cNvPr>
        <xdr:cNvSpPr txBox="1"/>
      </xdr:nvSpPr>
      <xdr:spPr>
        <a:xfrm>
          <a:off x="75752325" y="4654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estyorksca-my.sharepoint.com/personal/zayyan_steadman_westyorks-ca_gov_uk/Documents/Documents/Reports%20&amp;%20Guidance/Gold%20Reporting/April%20for%20May%202024/LATEST%20Master%20Contracts%20Register.xlsx" TargetMode="External"/><Relationship Id="rId1" Type="http://schemas.openxmlformats.org/officeDocument/2006/relationships/externalLinkPath" Target="https://westyorksca-my.sharepoint.com/personal/zayyan_steadman_westyorks-ca_gov_uk/Documents/Documents/Reports%20&amp;%20Guidance/Gold%20Reporting/April%20for%20May%202024/LATEST%20Master%20Contracts%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ey"/>
      <sheetName val="Updated 21.12.23 - School Bus"/>
      <sheetName val="Updated 21.12.23 - Tendered Bus"/>
      <sheetName val="Live Contracts"/>
      <sheetName val="Archive - Expired Contracts"/>
      <sheetName val="AEB"/>
      <sheetName val="Sub-Contracted Work"/>
      <sheetName val="Expired Contracts"/>
      <sheetName val="Dropdown Boxes"/>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70BDA54-62CE-43C8-8338-BF404E25CCD1}"/>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934558-4111-4335-B625-6EBD95698A37}" name="Table1" displayName="Table1" ref="A1:AB882" totalsRowShown="0" headerRowDxfId="19" dataDxfId="18">
  <autoFilter ref="A1:AB882" xr:uid="{EC934558-4111-4335-B625-6EBD95698A37}"/>
  <sortState xmlns:xlrd2="http://schemas.microsoft.com/office/spreadsheetml/2017/richdata2" ref="A2:AB882">
    <sortCondition ref="A1:A882"/>
  </sortState>
  <tableColumns count="28">
    <tableColumn id="1" xr3:uid="{8E8CA8E0-6DF5-460E-A2E9-8AA1B5AC7CCE}" name="Reference" dataDxfId="0"/>
    <tableColumn id="2" xr3:uid="{C76D4D9B-DF29-4611-90EA-5FB3D984EE8C}" name="Title" dataDxfId="1"/>
    <tableColumn id="3" xr3:uid="{5C019431-E7F6-4CD7-BFF1-85B326C8EC88}" name="Description" dataDxfId="12"/>
    <tableColumn id="4" xr3:uid="{587EC87E-99BB-48DF-BEBD-5CA1E5809F9D}" name="Contract Start Date" dataDxfId="11"/>
    <tableColumn id="5" xr3:uid="{BBA8F693-4F0C-41D3-958D-095FD68A1631}" name="Current Contract End Date" dataDxfId="10"/>
    <tableColumn id="6" xr3:uid="{D2677F2A-2954-4779-A1F4-4E275EBA1B5F}" name="Extension Options If Applicable " dataDxfId="9"/>
    <tableColumn id="7" xr3:uid="{52643E1F-761B-4E34-9B6A-2E953C8C2C1D}" name="Ultimate Contract End Date" dataDxfId="8"/>
    <tableColumn id="8" xr3:uid="{67FA5861-9256-4210-8CAE-FD2EC8F69FB2}" name="To be Renewed Y/N" dataDxfId="7"/>
    <tableColumn id="9" xr3:uid="{2942B4A8-4762-4A71-9E70-9BF5580A5C28}" name="Commercial Review Date" dataDxfId="5"/>
    <tableColumn id="10" xr3:uid="{D02D075C-8D67-4A46-8C3F-713E9CE62FE9}" name="Awarded Suppliers" dataDxfId="6"/>
    <tableColumn id="11" xr3:uid="{E8E92D5E-F308-4677-960C-0073C8008898}" name="Supplier Type_x000a_SME or VCSE" dataDxfId="29"/>
    <tableColumn id="12" xr3:uid="{B8A873E0-C1DA-408C-9A52-F96D84143629}" name="Company Registration No." dataDxfId="28"/>
    <tableColumn id="13" xr3:uid="{E7B234C1-8E4B-4907-A341-1A84C54A0818}" name="Value Risk Matrix" dataDxfId="27"/>
    <tableColumn id="14" xr3:uid="{498230C9-F163-46B8-BC71-14F0D7B57CF3}" name="Contract Manager" dataDxfId="26"/>
    <tableColumn id="15" xr3:uid="{7353407F-5127-4083-BA43-573F2E82B308}" name="Service" dataDxfId="25"/>
    <tableColumn id="16" xr3:uid="{2B938F80-6D0F-44BB-A86C-215292B4AD9A}" name="Directorate" dataDxfId="17"/>
    <tableColumn id="17" xr3:uid="{B70BBA09-B8FD-40A7-9941-9A075A6CCA23}" name="Annual Value " dataDxfId="16"/>
    <tableColumn id="18" xr3:uid="{7B838D1D-82F8-4AE2-96AD-079FDEECB00D}" name="Total Contract Value" dataDxfId="15"/>
    <tableColumn id="19" xr3:uid="{959CADC1-D719-4113-93E9-48000FD388DB}" name="VAT that Cannot be Recovered" dataDxfId="13"/>
    <tableColumn id="20" xr3:uid="{D8531188-EABC-46A4-ACFF-80765A1834F4}" name="Type ITQ/ITT or Waiver" dataDxfId="14"/>
    <tableColumn id="21" xr3:uid="{D950D038-6D46-48C3-94F5-0CB4B82237A2}" name="Where is the contract held?  Department or Legal?" dataDxfId="24"/>
    <tableColumn id="22" xr3:uid="{09975334-725E-4081-AFBA-25DD7D5ABBC6}" name="In Pipeline Y/N" dataDxfId="23"/>
    <tableColumn id="24" xr3:uid="{4899B33E-9CDF-4C47-96F9-A533BBDF09B3}" name="Unsuccessful Bidders Deleted From Folder " dataDxfId="4"/>
    <tableColumn id="25" xr3:uid="{17D5B280-74CD-469D-93DC-5BE0CD14B2BC}" name="Successful Bidders Deleted From Folder " dataDxfId="2"/>
    <tableColumn id="26" xr3:uid="{0ECE94EF-4365-4CF6-AAE6-4ADB1EE45FFA}" name="GDPR " dataDxfId="3"/>
    <tableColumn id="27" xr3:uid="{EE3F39D9-2A23-4267-ADB2-D104716E210C}" name="Living Wage - _x000a_In scope? Relating to our contract" dataDxfId="22"/>
    <tableColumn id="28" xr3:uid="{219FDC21-D208-4023-B9E2-7C2399615880}" name="Paying Living Wage" dataDxfId="21"/>
    <tableColumn id="29" xr3:uid="{1CF94AC8-A230-4A4C-BAD0-C48DC0ABA7EF}" name="Strategic Contract Manager" dataDxfId="2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f:/r/sites/LegalandGovernanceServicesTeam/Shared%20Documents/General/Deeds/Electronic%20Deed%20Index%20w.e.f.%20%2020.2.2018%20DO%20NOT%20DESTROY/DP1125%20CA1230%20Variation%20Form%20Virgin%20Media%20Business?csf=1&amp;web=1&amp;e=1cWtkJ" TargetMode="External"/><Relationship Id="rId13" Type="http://schemas.openxmlformats.org/officeDocument/2006/relationships/hyperlink" Target="../../../../../:f:/r/sites/LegalandGovernanceServicesTeam/Shared%20Documents/General/Deeds/Electronic%20Deed%20Index%20w.e.f.%20%2020.2.2018%20DO%20NOT%20DESTROY/DP%20533%20ECG%20Building%20Maintenance%20Limited%20TAs%20ECG%20Facilities%20Services?csf=1&amp;web=1&amp;e=NX5mZ1" TargetMode="External"/><Relationship Id="rId18" Type="http://schemas.openxmlformats.org/officeDocument/2006/relationships/printerSettings" Target="../printerSettings/printerSettings1.bin"/><Relationship Id="rId3" Type="http://schemas.openxmlformats.org/officeDocument/2006/relationships/hyperlink" Target="../../../../../../:f:/r/sites/LegalandGovernanceServicesTeam/Shared%20Documents/General/Deeds/Electronic%20Deed%20Index%20w.e.f.%20%2020.2.2018%20DO%20NOT%20DESTROY/DP%20744%20CA1550%20Dewsbury%20Bus%20Station?csf=1&amp;web=1&amp;e=1vynLM" TargetMode="External"/><Relationship Id="rId21" Type="http://schemas.microsoft.com/office/2019/04/relationships/namedSheetView" Target="../namedSheetViews/namedSheetView1.xml"/><Relationship Id="rId7" Type="http://schemas.openxmlformats.org/officeDocument/2006/relationships/hyperlink" Target="../../../../../../:f:/r/sites/LegalandGovernanceServicesTeam/Shared%20Documents/General/Deeds/Electronic%20Deed%20Index%20w.e.f.%20%2020.2.2018%20DO%20NOT%20DESTROY/DP1132%20CA53884-Business%20Productivity%20Contract?csf=1&amp;web=1&amp;e=jf0NpA" TargetMode="External"/><Relationship Id="rId12" Type="http://schemas.openxmlformats.org/officeDocument/2006/relationships/hyperlink" Target="../../../../../:f:/r/sites/LegalandGovernanceServicesTeam/Shared%20Documents/General/Deeds/Electronic%20Deed%20Index%20w.e.f.%20%2020.2.2018%20DO%20NOT%20DESTROY/DP%20723%20Consultancy%20Services%20Agreement%20Health%20Assured?csf=1&amp;web=1&amp;e=ORSS6H" TargetMode="External"/><Relationship Id="rId17" Type="http://schemas.openxmlformats.org/officeDocument/2006/relationships/hyperlink" Target="../../../../LegalandGovernanceServicesTeam/Shared%20Documents/Forms/AllItems.aspx?id=%2Fsites%2FLegalandGovernanceServicesTeam%2FShared%20Documents%2FGeneral%2FDeeds%2FElectronic%20Deed%20Index%20w%2Ee%2Ef%2E%20%2020%2E2%2E2018%20DO%20NOT%20DESTROY%2FDP%20547%20Educational%20Teaching%20Resources%20Tende%2FCA1483%20Marketing%20%26%20Skills%20Framework%20Agreement-Engaging%20Education%2EPDF&amp;parent=%2Fsites%2FLegalandGovernanceServicesTeam%2FShared%20Documents%2FGeneral%2FDeeds%2FElectronic%20Deed%20Index%20w%2Ee%2Ef%2E%20%2020%2E2%2E2018%20DO%20NOT%20DESTROY%2FDP%20547%20Educational%20Teaching%20Resources%20Tende" TargetMode="External"/><Relationship Id="rId2" Type="http://schemas.openxmlformats.org/officeDocument/2006/relationships/hyperlink" Target="../../../../../../:f:/r/sites/LegalandGovernanceServicesTeam/Shared%20Documents/General/Deeds/Electronic%20Deed%20Index%20w.e.f.%20%2020.2.2018%20DO%20NOT%20DESTROY/DP%20744%20CA1550%20Dewsbury%20Bus%20Station?csf=1&amp;web=1&amp;e=1vynLM" TargetMode="External"/><Relationship Id="rId16" Type="http://schemas.openxmlformats.org/officeDocument/2006/relationships/hyperlink" Target="../../../../../:f:/r/sites/LegalandGovernanceServicesTeam/Shared%20Documents/General/Deeds/Electronic%20Deed%20Index%20w.e.f.%20%2020.2.2018%20DO%20NOT%20DESTROY/DP%20508%20%20The%20National%20Literacy%20Trust?csf=1&amp;web=1&amp;e=64x13M" TargetMode="External"/><Relationship Id="rId20" Type="http://schemas.openxmlformats.org/officeDocument/2006/relationships/table" Target="../tables/table1.xml"/><Relationship Id="rId1" Type="http://schemas.openxmlformats.org/officeDocument/2006/relationships/hyperlink" Target="../../../../../../:f:/r/sites/LegalandGovernanceServicesTeam/Shared%20Documents/General/Deeds/Electronic%20Deed%20Index%20w.e.f.%20%2020.2.2018%20DO%20NOT%20DESTROY/DP%20744%20CA1550%20Dewsbury%20Bus%20Station?csf=1&amp;web=1&amp;e=IDygdZ" TargetMode="External"/><Relationship Id="rId6" Type="http://schemas.openxmlformats.org/officeDocument/2006/relationships/hyperlink" Target="../../../../../../:f:/r/sites/LegalandGovernanceServicesTeam/Shared%20Documents/General/Deeds/Electronic%20Deed%20Index%20w.e.f.%20%2020.2.2018%20DO%20NOT%20DESTROY/DP%20274%20Energy%20Saving%20Trust?csf=1&amp;web=1&amp;e=xNRQ4G" TargetMode="External"/><Relationship Id="rId11" Type="http://schemas.openxmlformats.org/officeDocument/2006/relationships/hyperlink" Target="../../../../../../:f:/r/sites/LegalandGovernanceServicesTeam/Shared%20Documents/General/Deeds/Electronic%20Deed%20Index%20w.e.f.%20%2020.2.2018%20DO%20NOT%20DESTROY/DP1091%20CA53161%20Digital%20Skills%20Framework%20Courses%20Agreememnts?csf=1&amp;web=1&amp;e=ryaJwB" TargetMode="External"/><Relationship Id="rId5" Type="http://schemas.openxmlformats.org/officeDocument/2006/relationships/hyperlink" Target="../../../../../../:f:/r/sites/LegalandGovernanceServicesTeam/Shared%20Documents/General/Deeds/Electronic%20Deed%20Index%20w.e.f.%20%2020.2.2018%20DO%20NOT%20DESTROY/DP%20744%20CA1550%20Dewsbury%20Bus%20Station?csf=1&amp;web=1&amp;e=1vynLM" TargetMode="External"/><Relationship Id="rId15" Type="http://schemas.openxmlformats.org/officeDocument/2006/relationships/hyperlink" Target="../../../../../:f:/r/sites/LegalandGovernanceServicesTeam/Shared%20Documents/General/Deeds/Electronic%20Deed%20Index%20w.e.f.%20%2020.2.2018%20DO%20NOT%20DESTROY/DP1082%20%20CA57104%20Call%20Off%20Framework%20Agreement?csf=1&amp;web=1&amp;e=2KHpE2" TargetMode="External"/><Relationship Id="rId10" Type="http://schemas.openxmlformats.org/officeDocument/2006/relationships/hyperlink" Target="../../../../../../:f:/r/sites/LegalandGovernanceServicesTeam/Shared%20Documents/General/Deeds/Electronic%20Deed%20Index%20w.e.f.%20%2020.2.2018%20DO%20NOT%20DESTROY/DP1084%20CA1421-Adult%20Skills%20Training%20Framework%20Programme?csf=1&amp;web=1&amp;e=45Bjov" TargetMode="External"/><Relationship Id="rId19" Type="http://schemas.openxmlformats.org/officeDocument/2006/relationships/drawing" Target="../drawings/drawing1.xml"/><Relationship Id="rId4" Type="http://schemas.openxmlformats.org/officeDocument/2006/relationships/hyperlink" Target="../../../../../../:f:/r/sites/LegalandGovernanceServicesTeam/Shared%20Documents/General/Deeds/Electronic%20Deed%20Index%20w.e.f.%20%2020.2.2018%20DO%20NOT%20DESTROY/DP%20744%20CA1550%20Dewsbury%20Bus%20Station?csf=1&amp;web=1&amp;e=1vynLM" TargetMode="External"/><Relationship Id="rId9" Type="http://schemas.openxmlformats.org/officeDocument/2006/relationships/hyperlink" Target="../../../../../../:f:/r/sites/LegalandGovernanceServicesTeam/Shared%20Documents/General/Deeds/Electronic%20Deed%20Index%20w.e.f.%20%2020.2.2018%20DO%20NOT%20DESTROY/DP1096%20CA1246%20Consultancy%20Services%20Agreement%20Consultancy%20Services%20Agreement%20%20Local%20Footfall%20Tracker?csf=1&amp;web=1&amp;e=L0qd7M" TargetMode="External"/><Relationship Id="rId14" Type="http://schemas.openxmlformats.org/officeDocument/2006/relationships/hyperlink" Target="../../../../../:f:/r/sites/LegalandGovernanceServicesTeam/Shared%20Documents/General/Deeds/Electronic%20Deed%20Index%20w.e.f.%20%2020.2.2018%20DO%20NOT%20DESTROY/DP%20811%20%20CA49132%20%20Basemap%20Ltd?csf=1&amp;web=1&amp;e=1oL3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0C592-F1F1-4893-9D3E-B34986D12F79}">
  <dimension ref="A1:AB882"/>
  <sheetViews>
    <sheetView tabSelected="1" zoomScaleNormal="100" workbookViewId="0">
      <selection activeCell="E130" sqref="E130"/>
    </sheetView>
  </sheetViews>
  <sheetFormatPr defaultColWidth="9.42578125" defaultRowHeight="33" customHeight="1" x14ac:dyDescent="0.25"/>
  <cols>
    <col min="1" max="1" width="26.5703125" style="4" customWidth="1"/>
    <col min="2" max="2" width="60.28515625" style="4" customWidth="1"/>
    <col min="3" max="3" width="56.42578125" style="4" customWidth="1"/>
    <col min="4" max="4" width="24.28515625" style="4" customWidth="1"/>
    <col min="5" max="5" width="25.5703125" style="4" customWidth="1"/>
    <col min="6" max="6" width="30.85546875" style="4" customWidth="1"/>
    <col min="7" max="7" width="26.5703125" style="4" customWidth="1"/>
    <col min="8" max="8" width="29.5703125" style="4" customWidth="1"/>
    <col min="9" max="9" width="26.5703125" style="4" customWidth="1"/>
    <col min="10" max="10" width="64.42578125" style="4" customWidth="1"/>
    <col min="11" max="11" width="31.5703125" style="4" customWidth="1"/>
    <col min="12" max="12" width="42.42578125" style="4" customWidth="1"/>
    <col min="13" max="13" width="31.42578125" style="4" customWidth="1"/>
    <col min="14" max="14" width="32.5703125" style="4" customWidth="1"/>
    <col min="15" max="15" width="39.42578125" style="4" customWidth="1"/>
    <col min="16" max="16" width="37.7109375" style="4" customWidth="1"/>
    <col min="17" max="17" width="26.42578125" style="4" customWidth="1"/>
    <col min="18" max="18" width="36" style="4" customWidth="1"/>
    <col min="19" max="19" width="35.42578125" style="4" customWidth="1"/>
    <col min="20" max="20" width="29.5703125" style="4" customWidth="1"/>
    <col min="21" max="21" width="46.28515625" style="4" customWidth="1"/>
    <col min="22" max="22" width="23.42578125" style="4" customWidth="1"/>
    <col min="23" max="23" width="40.5703125" style="4" customWidth="1"/>
    <col min="24" max="24" width="38.140625" style="4" customWidth="1"/>
    <col min="25" max="25" width="14.5703125" style="4" customWidth="1"/>
    <col min="26" max="26" width="19.42578125" style="4" customWidth="1"/>
    <col min="27" max="27" width="19.7109375" style="4" customWidth="1"/>
    <col min="28" max="28" width="26.7109375" style="4" customWidth="1"/>
    <col min="29" max="29" width="15" style="4" bestFit="1" customWidth="1"/>
    <col min="30" max="31" width="9.42578125" style="4"/>
    <col min="32" max="33" width="15" style="4" bestFit="1" customWidth="1"/>
    <col min="34" max="34" width="14" style="4" bestFit="1" customWidth="1"/>
    <col min="35" max="35" width="14.42578125" style="4" bestFit="1" customWidth="1"/>
    <col min="36" max="36" width="15.5703125" style="4" bestFit="1" customWidth="1"/>
    <col min="37" max="37" width="9.42578125" style="4"/>
    <col min="38" max="39" width="12.5703125" style="4" bestFit="1" customWidth="1"/>
    <col min="40" max="16384" width="9.42578125" style="4"/>
  </cols>
  <sheetData>
    <row r="1" spans="1:28" s="2" customFormat="1" ht="6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33" customHeight="1" x14ac:dyDescent="0.25">
      <c r="A2" s="7">
        <v>239</v>
      </c>
      <c r="B2" s="3" t="s">
        <v>544</v>
      </c>
      <c r="C2" s="3" t="s">
        <v>545</v>
      </c>
      <c r="D2" s="6">
        <v>42769</v>
      </c>
      <c r="E2" s="6">
        <v>44713</v>
      </c>
      <c r="F2" s="3" t="s">
        <v>30</v>
      </c>
      <c r="G2" s="6">
        <v>44713</v>
      </c>
      <c r="H2" s="3" t="s">
        <v>31</v>
      </c>
      <c r="I2" s="6" t="s">
        <v>41</v>
      </c>
      <c r="J2" s="3" t="s">
        <v>546</v>
      </c>
      <c r="K2" s="3" t="s">
        <v>33</v>
      </c>
      <c r="L2" s="3" t="s">
        <v>547</v>
      </c>
      <c r="M2" s="3" t="s">
        <v>34</v>
      </c>
      <c r="N2" s="3" t="s">
        <v>49</v>
      </c>
      <c r="O2" s="3" t="s">
        <v>50</v>
      </c>
      <c r="P2" s="3" t="s">
        <v>37</v>
      </c>
      <c r="Q2" s="5">
        <v>4000000</v>
      </c>
      <c r="R2" s="5">
        <v>4000000</v>
      </c>
      <c r="S2" s="5">
        <v>0</v>
      </c>
      <c r="T2" s="3" t="s">
        <v>38</v>
      </c>
      <c r="U2" s="3" t="s">
        <v>39</v>
      </c>
      <c r="V2" s="3" t="s">
        <v>31</v>
      </c>
      <c r="W2" s="6">
        <f>DATE(YEAR(D2) + 3, MONTH(D2), DAY(D2))</f>
        <v>43864</v>
      </c>
      <c r="X2" s="6">
        <f>(DATE(YEAR(E2) +6, MONTH(E2), DAY(E2)))</f>
        <v>46905</v>
      </c>
      <c r="Y2" s="3" t="s">
        <v>41</v>
      </c>
      <c r="Z2" s="3" t="s">
        <v>30</v>
      </c>
      <c r="AA2" s="3" t="s">
        <v>41</v>
      </c>
      <c r="AB2" s="3" t="s">
        <v>51</v>
      </c>
    </row>
    <row r="3" spans="1:28" ht="33" customHeight="1" x14ac:dyDescent="0.25">
      <c r="A3" s="7">
        <v>266</v>
      </c>
      <c r="B3" s="3" t="s">
        <v>28</v>
      </c>
      <c r="C3" s="3" t="s">
        <v>29</v>
      </c>
      <c r="D3" s="6">
        <v>42832</v>
      </c>
      <c r="E3" s="6">
        <v>45559</v>
      </c>
      <c r="F3" s="3" t="s">
        <v>30</v>
      </c>
      <c r="G3" s="6">
        <v>46477</v>
      </c>
      <c r="H3" s="3" t="s">
        <v>31</v>
      </c>
      <c r="I3" s="6"/>
      <c r="J3" s="3" t="s">
        <v>32</v>
      </c>
      <c r="K3" s="3" t="s">
        <v>33</v>
      </c>
      <c r="L3" s="3"/>
      <c r="M3" s="3" t="s">
        <v>34</v>
      </c>
      <c r="N3" s="3" t="s">
        <v>35</v>
      </c>
      <c r="O3" s="3" t="s">
        <v>36</v>
      </c>
      <c r="P3" s="3" t="s">
        <v>37</v>
      </c>
      <c r="Q3" s="5">
        <v>0</v>
      </c>
      <c r="R3" s="5">
        <v>0</v>
      </c>
      <c r="S3" s="5">
        <v>0</v>
      </c>
      <c r="T3" s="3" t="s">
        <v>38</v>
      </c>
      <c r="U3" s="3" t="s">
        <v>39</v>
      </c>
      <c r="V3" s="3" t="s">
        <v>31</v>
      </c>
      <c r="W3" s="6">
        <f>DATE(YEAR(D3) + 3, MONTH(D3), DAY(D3))</f>
        <v>43928</v>
      </c>
      <c r="X3" s="6">
        <f>DATE(YEAR(E3) + 6, MONTH(E3), DAY(E3))</f>
        <v>47750</v>
      </c>
      <c r="Y3" s="3" t="s">
        <v>41</v>
      </c>
      <c r="Z3" s="3" t="s">
        <v>30</v>
      </c>
      <c r="AA3" s="3" t="s">
        <v>41</v>
      </c>
      <c r="AB3" s="3" t="s">
        <v>42</v>
      </c>
    </row>
    <row r="4" spans="1:28" ht="33" customHeight="1" x14ac:dyDescent="0.25">
      <c r="A4" s="7">
        <v>343</v>
      </c>
      <c r="B4" s="3" t="s">
        <v>43</v>
      </c>
      <c r="C4" s="3" t="s">
        <v>44</v>
      </c>
      <c r="D4" s="6">
        <v>43385</v>
      </c>
      <c r="E4" s="6">
        <v>43384</v>
      </c>
      <c r="F4" s="3" t="s">
        <v>45</v>
      </c>
      <c r="G4" s="6">
        <v>45210</v>
      </c>
      <c r="H4" s="3" t="s">
        <v>31</v>
      </c>
      <c r="I4" s="6" t="s">
        <v>41</v>
      </c>
      <c r="J4" s="3" t="s">
        <v>46</v>
      </c>
      <c r="K4" s="3" t="s">
        <v>33</v>
      </c>
      <c r="L4" s="3" t="s">
        <v>47</v>
      </c>
      <c r="M4" s="3" t="s">
        <v>48</v>
      </c>
      <c r="N4" s="3" t="s">
        <v>49</v>
      </c>
      <c r="O4" s="3" t="s">
        <v>50</v>
      </c>
      <c r="P4" s="3" t="s">
        <v>37</v>
      </c>
      <c r="Q4" s="5">
        <v>50000</v>
      </c>
      <c r="R4" s="5">
        <v>241577.60000000001</v>
      </c>
      <c r="S4" s="5">
        <v>0</v>
      </c>
      <c r="T4" s="3" t="s">
        <v>38</v>
      </c>
      <c r="U4" s="3" t="s">
        <v>39</v>
      </c>
      <c r="V4" s="3" t="s">
        <v>31</v>
      </c>
      <c r="W4" s="6">
        <f>DATE(YEAR(D4) + 3, MONTH(D4), DAY(D4))</f>
        <v>44481</v>
      </c>
      <c r="X4" s="6">
        <f>DATE(YEAR(E4) + 6, MONTH(E4), DAY(E4))</f>
        <v>45576</v>
      </c>
      <c r="Y4" s="3" t="s">
        <v>41</v>
      </c>
      <c r="Z4" s="3" t="s">
        <v>30</v>
      </c>
      <c r="AA4" s="3" t="s">
        <v>41</v>
      </c>
      <c r="AB4" s="3" t="s">
        <v>51</v>
      </c>
    </row>
    <row r="5" spans="1:28" ht="33" customHeight="1" x14ac:dyDescent="0.25">
      <c r="A5" s="7">
        <v>924</v>
      </c>
      <c r="B5" s="3" t="s">
        <v>52</v>
      </c>
      <c r="C5" s="3" t="s">
        <v>53</v>
      </c>
      <c r="D5" s="6">
        <v>43647</v>
      </c>
      <c r="E5" s="6">
        <v>45439</v>
      </c>
      <c r="F5" s="3" t="s">
        <v>45</v>
      </c>
      <c r="G5" s="6">
        <v>45439</v>
      </c>
      <c r="H5" s="3" t="s">
        <v>54</v>
      </c>
      <c r="I5" s="6"/>
      <c r="J5" s="3" t="s">
        <v>55</v>
      </c>
      <c r="K5" s="3" t="s">
        <v>30</v>
      </c>
      <c r="L5" s="3" t="s">
        <v>56</v>
      </c>
      <c r="M5" s="3" t="s">
        <v>34</v>
      </c>
      <c r="N5" s="3" t="s">
        <v>57</v>
      </c>
      <c r="O5" s="3" t="s">
        <v>50</v>
      </c>
      <c r="P5" s="3" t="s">
        <v>37</v>
      </c>
      <c r="Q5" s="5">
        <v>33000</v>
      </c>
      <c r="R5" s="5">
        <v>216160</v>
      </c>
      <c r="S5" s="5">
        <v>0</v>
      </c>
      <c r="T5" s="3" t="s">
        <v>38</v>
      </c>
      <c r="U5" s="3" t="s">
        <v>39</v>
      </c>
      <c r="V5" s="3" t="s">
        <v>31</v>
      </c>
      <c r="W5" s="6">
        <f>DATE(YEAR(D5) + 3, MONTH(D5), DAY(D5))</f>
        <v>44743</v>
      </c>
      <c r="X5" s="6">
        <f>DATE(YEAR(E5) + 3, MONTH(E5), DAY(E5))</f>
        <v>46534</v>
      </c>
      <c r="Y5" s="3" t="s">
        <v>41</v>
      </c>
      <c r="Z5" s="3" t="s">
        <v>30</v>
      </c>
      <c r="AA5" s="3" t="s">
        <v>41</v>
      </c>
      <c r="AB5" s="3" t="s">
        <v>58</v>
      </c>
    </row>
    <row r="6" spans="1:28" ht="33" customHeight="1" x14ac:dyDescent="0.25">
      <c r="A6" s="7">
        <v>1088</v>
      </c>
      <c r="B6" s="3" t="s">
        <v>59</v>
      </c>
      <c r="C6" s="3" t="s">
        <v>59</v>
      </c>
      <c r="D6" s="6">
        <v>43882</v>
      </c>
      <c r="E6" s="6">
        <v>45709</v>
      </c>
      <c r="F6" s="3" t="s">
        <v>30</v>
      </c>
      <c r="G6" s="6">
        <v>45709</v>
      </c>
      <c r="H6" s="3" t="s">
        <v>31</v>
      </c>
      <c r="I6" s="6">
        <f>D6+730</f>
        <v>44612</v>
      </c>
      <c r="J6" s="3" t="s">
        <v>60</v>
      </c>
      <c r="K6" s="3" t="s">
        <v>33</v>
      </c>
      <c r="L6" s="3" t="s">
        <v>61</v>
      </c>
      <c r="M6" s="3" t="s">
        <v>34</v>
      </c>
      <c r="N6" s="3" t="s">
        <v>62</v>
      </c>
      <c r="O6" s="3" t="s">
        <v>63</v>
      </c>
      <c r="P6" s="3" t="s">
        <v>64</v>
      </c>
      <c r="Q6" s="5">
        <v>2500000</v>
      </c>
      <c r="R6" s="5">
        <v>10000000</v>
      </c>
      <c r="S6" s="5">
        <v>0</v>
      </c>
      <c r="T6" s="3" t="s">
        <v>38</v>
      </c>
      <c r="U6" s="3" t="s">
        <v>39</v>
      </c>
      <c r="V6" s="3" t="s">
        <v>31</v>
      </c>
      <c r="W6" s="6">
        <f>DATE(YEAR(D7) + 3, MONTH(D7), DAY(D7))</f>
        <v>44911</v>
      </c>
      <c r="X6" s="6">
        <f>DATE(YEAR(E6) + 3, MONTH(E6), DAY(E6))</f>
        <v>46804</v>
      </c>
      <c r="Y6" s="3" t="s">
        <v>41</v>
      </c>
      <c r="Z6" s="3" t="s">
        <v>30</v>
      </c>
      <c r="AA6" s="3" t="s">
        <v>41</v>
      </c>
      <c r="AB6" s="3" t="s">
        <v>65</v>
      </c>
    </row>
    <row r="7" spans="1:28" ht="33" customHeight="1" x14ac:dyDescent="0.25">
      <c r="A7" s="7">
        <v>1146</v>
      </c>
      <c r="B7" s="3" t="s">
        <v>66</v>
      </c>
      <c r="C7" s="3" t="s">
        <v>67</v>
      </c>
      <c r="D7" s="6">
        <v>43815</v>
      </c>
      <c r="E7" s="6">
        <v>46372</v>
      </c>
      <c r="F7" s="3" t="s">
        <v>30</v>
      </c>
      <c r="G7" s="6">
        <v>46372</v>
      </c>
      <c r="H7" s="3" t="s">
        <v>40</v>
      </c>
      <c r="I7" s="6">
        <f>D7+730</f>
        <v>44545</v>
      </c>
      <c r="J7" s="3" t="s">
        <v>68</v>
      </c>
      <c r="K7" s="3" t="s">
        <v>30</v>
      </c>
      <c r="L7" s="3" t="s">
        <v>69</v>
      </c>
      <c r="M7" s="3" t="s">
        <v>48</v>
      </c>
      <c r="N7" s="3" t="s">
        <v>70</v>
      </c>
      <c r="O7" s="3" t="s">
        <v>63</v>
      </c>
      <c r="P7" s="3" t="s">
        <v>64</v>
      </c>
      <c r="Q7" s="5">
        <v>688655</v>
      </c>
      <c r="R7" s="5" t="s">
        <v>71</v>
      </c>
      <c r="S7" s="5">
        <v>0</v>
      </c>
      <c r="T7" s="3" t="s">
        <v>38</v>
      </c>
      <c r="U7" s="3" t="s">
        <v>39</v>
      </c>
      <c r="V7" s="3" t="s">
        <v>40</v>
      </c>
      <c r="W7" s="6">
        <f>DATE(YEAR(D7) + 3, MONTH(D7), DAY(D7))</f>
        <v>44911</v>
      </c>
      <c r="X7" s="6">
        <f>DATE(YEAR(E7) + 3, MONTH(E7), DAY(E7))</f>
        <v>47468</v>
      </c>
      <c r="Y7" s="3" t="s">
        <v>41</v>
      </c>
      <c r="Z7" s="3" t="s">
        <v>30</v>
      </c>
      <c r="AA7" s="3" t="s">
        <v>41</v>
      </c>
      <c r="AB7" s="3" t="s">
        <v>72</v>
      </c>
    </row>
    <row r="8" spans="1:28" ht="33" customHeight="1" x14ac:dyDescent="0.25">
      <c r="A8" s="7">
        <v>1168</v>
      </c>
      <c r="B8" s="3" t="s">
        <v>73</v>
      </c>
      <c r="C8" s="3" t="s">
        <v>74</v>
      </c>
      <c r="D8" s="6">
        <v>44075</v>
      </c>
      <c r="E8" s="6">
        <v>45535</v>
      </c>
      <c r="F8" s="3" t="s">
        <v>75</v>
      </c>
      <c r="G8" s="6">
        <v>46265</v>
      </c>
      <c r="H8" s="3" t="s">
        <v>40</v>
      </c>
      <c r="I8" s="6">
        <f>D8+730</f>
        <v>44805</v>
      </c>
      <c r="J8" s="3" t="s">
        <v>76</v>
      </c>
      <c r="K8" s="3" t="s">
        <v>33</v>
      </c>
      <c r="L8" s="3" t="s">
        <v>77</v>
      </c>
      <c r="M8" s="3" t="s">
        <v>48</v>
      </c>
      <c r="N8" s="3" t="s">
        <v>78</v>
      </c>
      <c r="O8" s="3" t="s">
        <v>79</v>
      </c>
      <c r="P8" s="3" t="s">
        <v>80</v>
      </c>
      <c r="Q8" s="5">
        <v>37658.33</v>
      </c>
      <c r="R8" s="5">
        <v>203698.95</v>
      </c>
      <c r="S8" s="5">
        <v>0</v>
      </c>
      <c r="T8" s="3" t="s">
        <v>38</v>
      </c>
      <c r="U8" s="3" t="s">
        <v>39</v>
      </c>
      <c r="V8" s="3" t="s">
        <v>40</v>
      </c>
      <c r="W8" s="6">
        <f>DATE(YEAR(D8) + 3, MONTH(D8), DAY(D8))</f>
        <v>45170</v>
      </c>
      <c r="X8" s="6">
        <f>DATE(YEAR(E8) + 3, MONTH(E8), DAY(E8))</f>
        <v>46630</v>
      </c>
      <c r="Y8" s="3" t="s">
        <v>30</v>
      </c>
      <c r="Z8" s="3" t="s">
        <v>30</v>
      </c>
      <c r="AA8" s="3" t="s">
        <v>41</v>
      </c>
      <c r="AB8" s="3" t="s">
        <v>72</v>
      </c>
    </row>
    <row r="9" spans="1:28" ht="33" customHeight="1" x14ac:dyDescent="0.25">
      <c r="A9" s="7">
        <v>1181</v>
      </c>
      <c r="B9" s="3" t="s">
        <v>81</v>
      </c>
      <c r="C9" s="3" t="s">
        <v>82</v>
      </c>
      <c r="D9" s="6">
        <v>43843</v>
      </c>
      <c r="E9" s="6">
        <v>45303</v>
      </c>
      <c r="F9" s="3" t="s">
        <v>30</v>
      </c>
      <c r="G9" s="6">
        <v>45303</v>
      </c>
      <c r="H9" s="3" t="s">
        <v>31</v>
      </c>
      <c r="I9" s="6">
        <v>45107</v>
      </c>
      <c r="J9" s="3" t="s">
        <v>83</v>
      </c>
      <c r="K9" s="3" t="s">
        <v>30</v>
      </c>
      <c r="L9" s="3" t="s">
        <v>84</v>
      </c>
      <c r="M9" s="3" t="s">
        <v>34</v>
      </c>
      <c r="N9" s="3" t="s">
        <v>85</v>
      </c>
      <c r="O9" s="3" t="s">
        <v>86</v>
      </c>
      <c r="P9" s="3" t="s">
        <v>64</v>
      </c>
      <c r="Q9" s="5">
        <v>100000</v>
      </c>
      <c r="R9" s="5">
        <v>552503.66</v>
      </c>
      <c r="S9" s="5" t="s">
        <v>41</v>
      </c>
      <c r="T9" s="3" t="s">
        <v>38</v>
      </c>
      <c r="U9" s="3" t="s">
        <v>39</v>
      </c>
      <c r="V9" s="3" t="s">
        <v>40</v>
      </c>
      <c r="W9" s="6">
        <f>DATE(YEAR(D9) + 3, MONTH(D9), DAY(D9))</f>
        <v>44939</v>
      </c>
      <c r="X9" s="6">
        <f>DATE(YEAR(E9) + 3, MONTH(E9), DAY(E9))</f>
        <v>46399</v>
      </c>
      <c r="Y9" s="3" t="s">
        <v>41</v>
      </c>
      <c r="Z9" s="3" t="s">
        <v>87</v>
      </c>
      <c r="AA9" s="3" t="s">
        <v>41</v>
      </c>
      <c r="AB9" s="3" t="s">
        <v>88</v>
      </c>
    </row>
    <row r="10" spans="1:28" ht="33" customHeight="1" x14ac:dyDescent="0.25">
      <c r="A10" s="7">
        <v>1205</v>
      </c>
      <c r="B10" s="3" t="s">
        <v>89</v>
      </c>
      <c r="C10" s="3" t="s">
        <v>90</v>
      </c>
      <c r="D10" s="6">
        <v>43862</v>
      </c>
      <c r="E10" s="6">
        <v>45808</v>
      </c>
      <c r="F10" s="3" t="s">
        <v>30</v>
      </c>
      <c r="G10" s="6">
        <v>45808</v>
      </c>
      <c r="H10" s="3" t="s">
        <v>40</v>
      </c>
      <c r="I10" s="6" t="s">
        <v>41</v>
      </c>
      <c r="J10" s="3" t="s">
        <v>91</v>
      </c>
      <c r="K10" s="3" t="s">
        <v>33</v>
      </c>
      <c r="L10" s="3" t="s">
        <v>41</v>
      </c>
      <c r="M10" s="3" t="s">
        <v>92</v>
      </c>
      <c r="N10" s="3" t="s">
        <v>93</v>
      </c>
      <c r="O10" s="3" t="s">
        <v>94</v>
      </c>
      <c r="P10" s="3" t="s">
        <v>95</v>
      </c>
      <c r="Q10" s="5">
        <f>R10/5</f>
        <v>21560</v>
      </c>
      <c r="R10" s="5">
        <v>107800</v>
      </c>
      <c r="S10" s="5">
        <v>0</v>
      </c>
      <c r="T10" s="3" t="s">
        <v>38</v>
      </c>
      <c r="U10" s="3" t="s">
        <v>39</v>
      </c>
      <c r="V10" s="3" t="s">
        <v>40</v>
      </c>
      <c r="W10" s="6">
        <f>DATE(YEAR(D10) + 3, MONTH(D10), DAY(D10))</f>
        <v>44958</v>
      </c>
      <c r="X10" s="6">
        <f>DATE(YEAR(E10) + 6, MONTH(E10), DAY(E10))</f>
        <v>47999</v>
      </c>
      <c r="Y10" s="3" t="s">
        <v>41</v>
      </c>
      <c r="Z10" s="3" t="s">
        <v>45</v>
      </c>
      <c r="AA10" s="3" t="s">
        <v>45</v>
      </c>
      <c r="AB10" s="3" t="s">
        <v>96</v>
      </c>
    </row>
    <row r="11" spans="1:28" ht="33" customHeight="1" x14ac:dyDescent="0.25">
      <c r="A11" s="7">
        <v>1218</v>
      </c>
      <c r="B11" s="3" t="s">
        <v>97</v>
      </c>
      <c r="C11" s="3" t="s">
        <v>98</v>
      </c>
      <c r="D11" s="6">
        <v>44137</v>
      </c>
      <c r="E11" s="6">
        <v>45597</v>
      </c>
      <c r="F11" s="3" t="s">
        <v>45</v>
      </c>
      <c r="G11" s="6">
        <v>45597</v>
      </c>
      <c r="H11" s="3" t="s">
        <v>31</v>
      </c>
      <c r="I11" s="6">
        <v>44576</v>
      </c>
      <c r="J11" s="3" t="s">
        <v>99</v>
      </c>
      <c r="K11" s="3" t="s">
        <v>30</v>
      </c>
      <c r="L11" s="3" t="s">
        <v>100</v>
      </c>
      <c r="M11" s="3" t="s">
        <v>48</v>
      </c>
      <c r="N11" s="3" t="s">
        <v>101</v>
      </c>
      <c r="O11" s="3" t="s">
        <v>63</v>
      </c>
      <c r="P11" s="3" t="s">
        <v>64</v>
      </c>
      <c r="Q11" s="5">
        <f>R11/4</f>
        <v>175000</v>
      </c>
      <c r="R11" s="5">
        <v>700000</v>
      </c>
      <c r="S11" s="5">
        <v>0</v>
      </c>
      <c r="T11" s="3" t="s">
        <v>38</v>
      </c>
      <c r="U11" s="3" t="s">
        <v>39</v>
      </c>
      <c r="V11" s="3" t="s">
        <v>31</v>
      </c>
      <c r="W11" s="6">
        <f>DATE(YEAR(D12) + 3, MONTH(D12), DAY(D12))</f>
        <v>45115</v>
      </c>
      <c r="X11" s="6">
        <f>DATE(YEAR(E11) + 3, MONTH(E11), DAY(E11))</f>
        <v>46692</v>
      </c>
      <c r="Y11" s="3" t="s">
        <v>41</v>
      </c>
      <c r="Z11" s="3" t="s">
        <v>30</v>
      </c>
      <c r="AA11" s="3" t="s">
        <v>41</v>
      </c>
      <c r="AB11" s="3" t="s">
        <v>96</v>
      </c>
    </row>
    <row r="12" spans="1:28" ht="33" customHeight="1" x14ac:dyDescent="0.25">
      <c r="A12" s="7">
        <v>1221</v>
      </c>
      <c r="B12" s="3" t="s">
        <v>102</v>
      </c>
      <c r="C12" s="3" t="s">
        <v>103</v>
      </c>
      <c r="D12" s="6">
        <v>44020</v>
      </c>
      <c r="E12" s="6">
        <v>44749</v>
      </c>
      <c r="F12" s="3" t="s">
        <v>45</v>
      </c>
      <c r="G12" s="6">
        <v>45845</v>
      </c>
      <c r="H12" s="3" t="s">
        <v>40</v>
      </c>
      <c r="I12" s="6" t="s">
        <v>41</v>
      </c>
      <c r="J12" s="3" t="s">
        <v>104</v>
      </c>
      <c r="K12" s="3" t="s">
        <v>30</v>
      </c>
      <c r="L12" s="3" t="s">
        <v>105</v>
      </c>
      <c r="M12" s="3" t="s">
        <v>92</v>
      </c>
      <c r="N12" s="3" t="s">
        <v>106</v>
      </c>
      <c r="O12" s="3" t="s">
        <v>79</v>
      </c>
      <c r="P12" s="3" t="s">
        <v>80</v>
      </c>
      <c r="Q12" s="5">
        <v>17000</v>
      </c>
      <c r="R12" s="5">
        <v>85000</v>
      </c>
      <c r="S12" s="5">
        <v>0</v>
      </c>
      <c r="T12" s="3" t="s">
        <v>107</v>
      </c>
      <c r="U12" s="3" t="s">
        <v>39</v>
      </c>
      <c r="V12" s="3" t="s">
        <v>40</v>
      </c>
      <c r="W12" s="6">
        <f>DATE(YEAR(D12) + 3, MONTH(D12), DAY(D12))</f>
        <v>45115</v>
      </c>
      <c r="X12" s="6">
        <f>DATE(YEAR(E12) + 3, MONTH(E12), DAY(E12))</f>
        <v>45845</v>
      </c>
      <c r="Y12" s="3" t="s">
        <v>30</v>
      </c>
      <c r="Z12" s="3" t="s">
        <v>30</v>
      </c>
      <c r="AA12" s="3" t="s">
        <v>41</v>
      </c>
      <c r="AB12" s="3" t="s">
        <v>72</v>
      </c>
    </row>
    <row r="13" spans="1:28" ht="33" customHeight="1" x14ac:dyDescent="0.25">
      <c r="A13" s="7">
        <v>1226</v>
      </c>
      <c r="B13" s="3" t="s">
        <v>108</v>
      </c>
      <c r="C13" s="3" t="s">
        <v>108</v>
      </c>
      <c r="D13" s="6">
        <v>44287</v>
      </c>
      <c r="E13" s="6">
        <v>45382</v>
      </c>
      <c r="F13" s="3" t="s">
        <v>109</v>
      </c>
      <c r="G13" s="6">
        <v>46843</v>
      </c>
      <c r="H13" s="3" t="s">
        <v>31</v>
      </c>
      <c r="I13" s="6">
        <v>45202</v>
      </c>
      <c r="J13" s="3" t="s">
        <v>110</v>
      </c>
      <c r="K13" s="3" t="s">
        <v>30</v>
      </c>
      <c r="L13" s="3" t="s">
        <v>111</v>
      </c>
      <c r="M13" s="3" t="s">
        <v>34</v>
      </c>
      <c r="N13" s="3" t="s">
        <v>112</v>
      </c>
      <c r="O13" s="3" t="s">
        <v>50</v>
      </c>
      <c r="P13" s="3" t="s">
        <v>37</v>
      </c>
      <c r="Q13" s="5">
        <v>2075000.34</v>
      </c>
      <c r="R13" s="5">
        <v>14525002.380000001</v>
      </c>
      <c r="S13" s="5">
        <v>0</v>
      </c>
      <c r="T13" s="3" t="s">
        <v>38</v>
      </c>
      <c r="U13" s="3" t="s">
        <v>39</v>
      </c>
      <c r="V13" s="3" t="s">
        <v>31</v>
      </c>
      <c r="W13" s="6">
        <f>DATE(YEAR(D13) + 3, MONTH(D13), DAY(D13))</f>
        <v>45383</v>
      </c>
      <c r="X13" s="6">
        <f>DATE(YEAR(E13) + 3, MONTH(E13), DAY(E13))</f>
        <v>46477</v>
      </c>
      <c r="Y13" s="3" t="s">
        <v>41</v>
      </c>
      <c r="Z13" s="3" t="s">
        <v>45</v>
      </c>
      <c r="AA13" s="3" t="s">
        <v>45</v>
      </c>
      <c r="AB13" s="3" t="s">
        <v>51</v>
      </c>
    </row>
    <row r="14" spans="1:28" ht="33" customHeight="1" x14ac:dyDescent="0.25">
      <c r="A14" s="7">
        <v>1229</v>
      </c>
      <c r="B14" s="3" t="s">
        <v>113</v>
      </c>
      <c r="C14" s="3" t="s">
        <v>114</v>
      </c>
      <c r="D14" s="6">
        <v>43922</v>
      </c>
      <c r="E14" s="6">
        <v>45443</v>
      </c>
      <c r="F14" s="3" t="s">
        <v>30</v>
      </c>
      <c r="G14" s="6">
        <v>45443</v>
      </c>
      <c r="H14" s="3" t="s">
        <v>31</v>
      </c>
      <c r="I14" s="6">
        <v>44501</v>
      </c>
      <c r="J14" s="3" t="s">
        <v>104</v>
      </c>
      <c r="K14" s="3" t="s">
        <v>30</v>
      </c>
      <c r="L14" s="3" t="s">
        <v>115</v>
      </c>
      <c r="M14" s="3" t="s">
        <v>34</v>
      </c>
      <c r="N14" s="3" t="s">
        <v>116</v>
      </c>
      <c r="O14" s="3" t="s">
        <v>79</v>
      </c>
      <c r="P14" s="3" t="s">
        <v>80</v>
      </c>
      <c r="Q14" s="5">
        <v>1000000</v>
      </c>
      <c r="R14" s="5">
        <v>3000000</v>
      </c>
      <c r="S14" s="5">
        <v>0</v>
      </c>
      <c r="T14" s="3" t="s">
        <v>38</v>
      </c>
      <c r="U14" s="3" t="s">
        <v>39</v>
      </c>
      <c r="V14" s="3" t="s">
        <v>31</v>
      </c>
      <c r="W14" s="6">
        <f>DATE(YEAR(D14) + 3, MONTH(D14), DAY(D14))</f>
        <v>45017</v>
      </c>
      <c r="X14" s="6">
        <f>DATE(YEAR(E14) + 3, MONTH(E14), DAY(E14))</f>
        <v>46538</v>
      </c>
      <c r="Y14" s="3"/>
      <c r="Z14" s="3" t="s">
        <v>30</v>
      </c>
      <c r="AA14" s="3" t="s">
        <v>41</v>
      </c>
      <c r="AB14" s="3" t="s">
        <v>117</v>
      </c>
    </row>
    <row r="15" spans="1:28" ht="33" customHeight="1" x14ac:dyDescent="0.25">
      <c r="A15" s="7">
        <v>1230</v>
      </c>
      <c r="B15" s="3" t="s">
        <v>118</v>
      </c>
      <c r="C15" s="3" t="s">
        <v>119</v>
      </c>
      <c r="D15" s="6">
        <v>43983</v>
      </c>
      <c r="E15" s="6">
        <v>45077</v>
      </c>
      <c r="F15" s="3" t="s">
        <v>45</v>
      </c>
      <c r="G15" s="6">
        <v>45777</v>
      </c>
      <c r="H15" s="3" t="s">
        <v>31</v>
      </c>
      <c r="I15" s="6">
        <v>45231</v>
      </c>
      <c r="J15" s="3" t="s">
        <v>120</v>
      </c>
      <c r="K15" s="3" t="s">
        <v>30</v>
      </c>
      <c r="L15" s="3" t="s">
        <v>121</v>
      </c>
      <c r="M15" s="3" t="s">
        <v>34</v>
      </c>
      <c r="N15" s="3" t="s">
        <v>116</v>
      </c>
      <c r="O15" s="3" t="s">
        <v>79</v>
      </c>
      <c r="P15" s="3" t="s">
        <v>80</v>
      </c>
      <c r="Q15" s="5">
        <v>49846.8</v>
      </c>
      <c r="R15" s="5">
        <v>249234</v>
      </c>
      <c r="S15" s="5">
        <v>0</v>
      </c>
      <c r="T15" s="3" t="s">
        <v>38</v>
      </c>
      <c r="U15" s="3" t="s">
        <v>122</v>
      </c>
      <c r="V15" s="3" t="s">
        <v>31</v>
      </c>
      <c r="W15" s="6">
        <f>DATE(YEAR(D15) + 3, MONTH(D15), DAY(D15))</f>
        <v>45078</v>
      </c>
      <c r="X15" s="6">
        <f>DATE(YEAR(E15) + 3, MONTH(E15), DAY(E15))</f>
        <v>46173</v>
      </c>
      <c r="Y15" s="3"/>
      <c r="Z15" s="3" t="s">
        <v>30</v>
      </c>
      <c r="AA15" s="3" t="s">
        <v>41</v>
      </c>
      <c r="AB15" s="3" t="s">
        <v>117</v>
      </c>
    </row>
    <row r="16" spans="1:28" ht="33" customHeight="1" x14ac:dyDescent="0.25">
      <c r="A16" s="7">
        <v>1231</v>
      </c>
      <c r="B16" s="3" t="s">
        <v>123</v>
      </c>
      <c r="C16" s="3" t="s">
        <v>124</v>
      </c>
      <c r="D16" s="6">
        <v>44389</v>
      </c>
      <c r="E16" s="6">
        <v>45118</v>
      </c>
      <c r="F16" s="3" t="s">
        <v>45</v>
      </c>
      <c r="G16" s="6">
        <v>45849</v>
      </c>
      <c r="H16" s="3" t="s">
        <v>40</v>
      </c>
      <c r="I16" s="6">
        <v>44722</v>
      </c>
      <c r="J16" s="3" t="s">
        <v>125</v>
      </c>
      <c r="K16" s="3" t="s">
        <v>33</v>
      </c>
      <c r="L16" s="3">
        <v>9577300</v>
      </c>
      <c r="M16" s="3" t="s">
        <v>34</v>
      </c>
      <c r="N16" s="3" t="s">
        <v>93</v>
      </c>
      <c r="O16" s="3" t="s">
        <v>94</v>
      </c>
      <c r="P16" s="3" t="s">
        <v>95</v>
      </c>
      <c r="Q16" s="5">
        <v>125000</v>
      </c>
      <c r="R16" s="5">
        <v>500000</v>
      </c>
      <c r="S16" s="5">
        <v>0</v>
      </c>
      <c r="T16" s="3" t="s">
        <v>38</v>
      </c>
      <c r="U16" s="3" t="s">
        <v>39</v>
      </c>
      <c r="V16" s="3" t="s">
        <v>40</v>
      </c>
      <c r="W16" s="6">
        <f>DATE(YEAR(D16) + 3, MONTH(D16), DAY(D16))</f>
        <v>45485</v>
      </c>
      <c r="X16" s="6">
        <f>DATE(YEAR(E16) + 6, MONTH(E16), DAY(E16))</f>
        <v>47310</v>
      </c>
      <c r="Y16" s="3"/>
      <c r="Z16" s="3" t="s">
        <v>30</v>
      </c>
      <c r="AA16" s="3" t="s">
        <v>41</v>
      </c>
      <c r="AB16" s="3" t="s">
        <v>96</v>
      </c>
    </row>
    <row r="17" spans="1:28" ht="33" customHeight="1" x14ac:dyDescent="0.25">
      <c r="A17" s="7">
        <v>1246</v>
      </c>
      <c r="B17" s="3" t="s">
        <v>126</v>
      </c>
      <c r="C17" s="3" t="s">
        <v>127</v>
      </c>
      <c r="D17" s="6">
        <v>43983</v>
      </c>
      <c r="E17" s="6">
        <v>44712</v>
      </c>
      <c r="F17" s="3" t="s">
        <v>45</v>
      </c>
      <c r="G17" s="6">
        <v>45443</v>
      </c>
      <c r="H17" s="3" t="s">
        <v>31</v>
      </c>
      <c r="I17" s="6" t="s">
        <v>41</v>
      </c>
      <c r="J17" s="3" t="s">
        <v>128</v>
      </c>
      <c r="K17" s="3" t="s">
        <v>30</v>
      </c>
      <c r="L17" s="3" t="s">
        <v>129</v>
      </c>
      <c r="M17" s="3" t="s">
        <v>92</v>
      </c>
      <c r="N17" s="3" t="s">
        <v>130</v>
      </c>
      <c r="O17" s="3" t="s">
        <v>131</v>
      </c>
      <c r="P17" s="3" t="s">
        <v>80</v>
      </c>
      <c r="Q17" s="5">
        <v>10500</v>
      </c>
      <c r="R17" s="5">
        <v>42000</v>
      </c>
      <c r="S17" s="5">
        <v>0</v>
      </c>
      <c r="T17" s="3" t="s">
        <v>38</v>
      </c>
      <c r="U17" s="3" t="s">
        <v>132</v>
      </c>
      <c r="V17" s="3" t="s">
        <v>40</v>
      </c>
      <c r="W17" s="6">
        <f>DATE(YEAR(D19) + 3, MONTH(D19), DAY(D19))</f>
        <v>45200</v>
      </c>
      <c r="X17" s="6">
        <f>DATE(YEAR(E17) + 3, MONTH(E17), DAY(E17))</f>
        <v>45808</v>
      </c>
      <c r="Y17" s="3" t="s">
        <v>41</v>
      </c>
      <c r="Z17" s="3" t="s">
        <v>30</v>
      </c>
      <c r="AA17" s="3" t="s">
        <v>41</v>
      </c>
      <c r="AB17" s="3" t="s">
        <v>72</v>
      </c>
    </row>
    <row r="18" spans="1:28" ht="33" customHeight="1" x14ac:dyDescent="0.25">
      <c r="A18" s="7">
        <v>1252</v>
      </c>
      <c r="B18" s="3" t="s">
        <v>133</v>
      </c>
      <c r="C18" s="3" t="s">
        <v>134</v>
      </c>
      <c r="D18" s="6">
        <v>44022</v>
      </c>
      <c r="E18" s="6">
        <v>45443</v>
      </c>
      <c r="F18" s="3" t="s">
        <v>30</v>
      </c>
      <c r="G18" s="6">
        <v>45443</v>
      </c>
      <c r="H18" s="3" t="s">
        <v>31</v>
      </c>
      <c r="I18" s="6">
        <v>45017</v>
      </c>
      <c r="J18" s="3" t="s">
        <v>104</v>
      </c>
      <c r="K18" s="3" t="s">
        <v>30</v>
      </c>
      <c r="L18" s="3" t="s">
        <v>115</v>
      </c>
      <c r="M18" s="3" t="s">
        <v>34</v>
      </c>
      <c r="N18" s="3" t="s">
        <v>116</v>
      </c>
      <c r="O18" s="3" t="s">
        <v>79</v>
      </c>
      <c r="P18" s="3" t="s">
        <v>80</v>
      </c>
      <c r="Q18" s="5">
        <v>950000</v>
      </c>
      <c r="R18" s="5">
        <v>950000</v>
      </c>
      <c r="S18" s="5">
        <v>0</v>
      </c>
      <c r="T18" s="3" t="s">
        <v>38</v>
      </c>
      <c r="U18" s="3" t="s">
        <v>39</v>
      </c>
      <c r="V18" s="3" t="s">
        <v>31</v>
      </c>
      <c r="W18" s="6">
        <f>DATE(YEAR(D18) + 3, MONTH(D18), DAY(D18))</f>
        <v>45117</v>
      </c>
      <c r="X18" s="6">
        <f>DATE(YEAR(E18) + 3, MONTH(E18), DAY(E18))</f>
        <v>46538</v>
      </c>
      <c r="Y18" s="3" t="s">
        <v>41</v>
      </c>
      <c r="Z18" s="3" t="s">
        <v>30</v>
      </c>
      <c r="AA18" s="3" t="s">
        <v>41</v>
      </c>
      <c r="AB18" s="3" t="s">
        <v>117</v>
      </c>
    </row>
    <row r="19" spans="1:28" ht="33" customHeight="1" x14ac:dyDescent="0.25">
      <c r="A19" s="7">
        <v>1259</v>
      </c>
      <c r="B19" s="3" t="s">
        <v>135</v>
      </c>
      <c r="C19" s="3" t="s">
        <v>136</v>
      </c>
      <c r="D19" s="6">
        <v>44105</v>
      </c>
      <c r="E19" s="6">
        <v>45199</v>
      </c>
      <c r="F19" s="3" t="s">
        <v>45</v>
      </c>
      <c r="G19" s="6">
        <v>45930</v>
      </c>
      <c r="H19" s="3" t="s">
        <v>31</v>
      </c>
      <c r="I19" s="6">
        <v>45016</v>
      </c>
      <c r="J19" s="3" t="s">
        <v>137</v>
      </c>
      <c r="K19" s="3" t="s">
        <v>30</v>
      </c>
      <c r="L19" s="3" t="s">
        <v>138</v>
      </c>
      <c r="M19" s="3" t="s">
        <v>34</v>
      </c>
      <c r="N19" s="3" t="s">
        <v>139</v>
      </c>
      <c r="O19" s="3" t="s">
        <v>50</v>
      </c>
      <c r="P19" s="3" t="s">
        <v>37</v>
      </c>
      <c r="Q19" s="5">
        <v>140000</v>
      </c>
      <c r="R19" s="5">
        <f>Q19*5</f>
        <v>700000</v>
      </c>
      <c r="S19" s="5">
        <v>0</v>
      </c>
      <c r="T19" s="3" t="s">
        <v>38</v>
      </c>
      <c r="U19" s="3" t="s">
        <v>39</v>
      </c>
      <c r="V19" s="3" t="s">
        <v>31</v>
      </c>
      <c r="W19" s="6">
        <f>DATE(YEAR(D19) + 3, MONTH(D19), DAY(D19))</f>
        <v>45200</v>
      </c>
      <c r="X19" s="6">
        <f>DATE(YEAR(E19) + 3, MONTH(E19), DAY(E19))</f>
        <v>46295</v>
      </c>
      <c r="Y19" s="3" t="s">
        <v>41</v>
      </c>
      <c r="Z19" s="3" t="s">
        <v>30</v>
      </c>
      <c r="AA19" s="3" t="s">
        <v>41</v>
      </c>
      <c r="AB19" s="3" t="s">
        <v>51</v>
      </c>
    </row>
    <row r="20" spans="1:28" ht="33" customHeight="1" x14ac:dyDescent="0.25">
      <c r="A20" s="7">
        <v>1288</v>
      </c>
      <c r="B20" s="3" t="s">
        <v>140</v>
      </c>
      <c r="C20" s="3" t="s">
        <v>141</v>
      </c>
      <c r="D20" s="6">
        <v>44144</v>
      </c>
      <c r="E20" s="6">
        <v>45961</v>
      </c>
      <c r="F20" s="3" t="s">
        <v>30</v>
      </c>
      <c r="G20" s="6">
        <v>45961</v>
      </c>
      <c r="H20" s="3" t="s">
        <v>40</v>
      </c>
      <c r="I20" s="6">
        <v>45383</v>
      </c>
      <c r="J20" s="3" t="s">
        <v>142</v>
      </c>
      <c r="K20" s="3" t="s">
        <v>30</v>
      </c>
      <c r="L20" s="3" t="s">
        <v>143</v>
      </c>
      <c r="M20" s="3" t="s">
        <v>34</v>
      </c>
      <c r="N20" s="3" t="s">
        <v>144</v>
      </c>
      <c r="O20" s="3" t="s">
        <v>145</v>
      </c>
      <c r="P20" s="3" t="s">
        <v>146</v>
      </c>
      <c r="Q20" s="5">
        <v>1800000</v>
      </c>
      <c r="R20" s="5">
        <v>9000000</v>
      </c>
      <c r="S20" s="5">
        <v>0</v>
      </c>
      <c r="T20" s="3" t="s">
        <v>38</v>
      </c>
      <c r="U20" s="3" t="s">
        <v>39</v>
      </c>
      <c r="V20" s="3" t="s">
        <v>40</v>
      </c>
      <c r="W20" s="6">
        <f>DATE(YEAR(D20) + 3, MONTH(D20), DAY(D20))</f>
        <v>45239</v>
      </c>
      <c r="X20" s="6">
        <f>DATE(YEAR(E20) + 3, MONTH(E20), DAY(E20))</f>
        <v>47057</v>
      </c>
      <c r="Y20" s="3" t="s">
        <v>41</v>
      </c>
      <c r="Z20" s="3" t="s">
        <v>45</v>
      </c>
      <c r="AA20" s="3" t="s">
        <v>45</v>
      </c>
      <c r="AB20" s="3" t="s">
        <v>58</v>
      </c>
    </row>
    <row r="21" spans="1:28" ht="33" customHeight="1" x14ac:dyDescent="0.25">
      <c r="A21" s="7">
        <v>1304</v>
      </c>
      <c r="B21" s="3" t="s">
        <v>147</v>
      </c>
      <c r="C21" s="3" t="s">
        <v>148</v>
      </c>
      <c r="D21" s="6">
        <v>44004</v>
      </c>
      <c r="E21" s="6">
        <v>44227</v>
      </c>
      <c r="F21" s="3" t="s">
        <v>45</v>
      </c>
      <c r="G21" s="6">
        <v>45822</v>
      </c>
      <c r="H21" s="3" t="s">
        <v>31</v>
      </c>
      <c r="I21" s="6" t="s">
        <v>41</v>
      </c>
      <c r="J21" s="3" t="s">
        <v>149</v>
      </c>
      <c r="K21" s="3" t="s">
        <v>33</v>
      </c>
      <c r="L21" s="3" t="s">
        <v>150</v>
      </c>
      <c r="M21" s="3" t="s">
        <v>92</v>
      </c>
      <c r="N21" s="3" t="s">
        <v>151</v>
      </c>
      <c r="O21" s="3" t="s">
        <v>152</v>
      </c>
      <c r="P21" s="3" t="s">
        <v>152</v>
      </c>
      <c r="Q21" s="5">
        <v>10781</v>
      </c>
      <c r="R21" s="5">
        <v>53905</v>
      </c>
      <c r="S21" s="5">
        <v>0</v>
      </c>
      <c r="T21" s="3" t="s">
        <v>38</v>
      </c>
      <c r="U21" s="3" t="s">
        <v>153</v>
      </c>
      <c r="V21" s="3" t="s">
        <v>31</v>
      </c>
      <c r="W21" s="6">
        <f>DATE(YEAR(D22) + 3, MONTH(D22), DAY(D22))</f>
        <v>45082</v>
      </c>
      <c r="X21" s="6">
        <f>DATE(YEAR(E21) + 3, MONTH(E21), DAY(E21))</f>
        <v>45322</v>
      </c>
      <c r="Y21" s="3" t="s">
        <v>41</v>
      </c>
      <c r="Z21" s="3" t="s">
        <v>30</v>
      </c>
      <c r="AA21" s="3" t="s">
        <v>41</v>
      </c>
      <c r="AB21" s="3" t="s">
        <v>72</v>
      </c>
    </row>
    <row r="22" spans="1:28" ht="33" customHeight="1" x14ac:dyDescent="0.25">
      <c r="A22" s="7">
        <v>1307</v>
      </c>
      <c r="B22" s="3" t="s">
        <v>154</v>
      </c>
      <c r="C22" s="3" t="s">
        <v>155</v>
      </c>
      <c r="D22" s="6">
        <v>43987</v>
      </c>
      <c r="E22" s="6">
        <v>46178</v>
      </c>
      <c r="F22" s="3" t="s">
        <v>30</v>
      </c>
      <c r="G22" s="6">
        <v>46178</v>
      </c>
      <c r="H22" s="3" t="s">
        <v>40</v>
      </c>
      <c r="I22" s="6" t="s">
        <v>41</v>
      </c>
      <c r="J22" s="3" t="s">
        <v>156</v>
      </c>
      <c r="K22" s="3" t="s">
        <v>33</v>
      </c>
      <c r="L22" s="3" t="s">
        <v>157</v>
      </c>
      <c r="M22" s="3" t="s">
        <v>92</v>
      </c>
      <c r="N22" s="3" t="s">
        <v>158</v>
      </c>
      <c r="O22" s="3" t="s">
        <v>159</v>
      </c>
      <c r="P22" s="3" t="s">
        <v>160</v>
      </c>
      <c r="Q22" s="5" t="s">
        <v>161</v>
      </c>
      <c r="R22" s="5" t="s">
        <v>161</v>
      </c>
      <c r="S22" s="5">
        <v>0</v>
      </c>
      <c r="T22" s="3" t="s">
        <v>38</v>
      </c>
      <c r="U22" s="3" t="s">
        <v>162</v>
      </c>
      <c r="V22" s="3" t="s">
        <v>40</v>
      </c>
      <c r="W22" s="6">
        <f>DATE(YEAR(D22) + 3, MONTH(D22), DAY(D22))</f>
        <v>45082</v>
      </c>
      <c r="X22" s="6">
        <f>DATE(YEAR(E22) + 3, MONTH(E22), DAY(E22))</f>
        <v>47274</v>
      </c>
      <c r="Y22" s="3" t="s">
        <v>41</v>
      </c>
      <c r="Z22" s="3" t="s">
        <v>30</v>
      </c>
      <c r="AA22" s="3" t="s">
        <v>41</v>
      </c>
      <c r="AB22" s="3" t="s">
        <v>163</v>
      </c>
    </row>
    <row r="23" spans="1:28" ht="33" customHeight="1" x14ac:dyDescent="0.25">
      <c r="A23" s="7">
        <v>1310</v>
      </c>
      <c r="B23" s="3" t="s">
        <v>164</v>
      </c>
      <c r="C23" s="3" t="s">
        <v>165</v>
      </c>
      <c r="D23" s="6">
        <v>44204</v>
      </c>
      <c r="E23" s="6">
        <v>47490</v>
      </c>
      <c r="F23" s="3" t="s">
        <v>31</v>
      </c>
      <c r="G23" s="6">
        <v>47490</v>
      </c>
      <c r="H23" s="3" t="s">
        <v>40</v>
      </c>
      <c r="I23" s="6">
        <v>44750</v>
      </c>
      <c r="J23" s="3" t="s">
        <v>166</v>
      </c>
      <c r="K23" s="3"/>
      <c r="L23" s="3"/>
      <c r="M23" s="3" t="s">
        <v>34</v>
      </c>
      <c r="N23" s="3" t="s">
        <v>167</v>
      </c>
      <c r="O23" s="3" t="s">
        <v>168</v>
      </c>
      <c r="P23" s="3" t="s">
        <v>95</v>
      </c>
      <c r="Q23" s="5">
        <v>10500000</v>
      </c>
      <c r="R23" s="5">
        <f>Q23*9</f>
        <v>94500000</v>
      </c>
      <c r="S23" s="5">
        <v>0</v>
      </c>
      <c r="T23" s="3" t="s">
        <v>38</v>
      </c>
      <c r="U23" s="3" t="s">
        <v>39</v>
      </c>
      <c r="V23" s="3" t="s">
        <v>40</v>
      </c>
      <c r="W23" s="6">
        <f>DATE(YEAR(D23) + 3, MONTH(D23), DAY(D23))</f>
        <v>45299</v>
      </c>
      <c r="X23" s="6">
        <f>DATE(YEAR(E23) + 3, MONTH(E23), DAY(E23))</f>
        <v>48586</v>
      </c>
      <c r="Y23" s="3" t="s">
        <v>41</v>
      </c>
      <c r="Z23" s="3" t="s">
        <v>45</v>
      </c>
      <c r="AA23" s="3" t="s">
        <v>45</v>
      </c>
      <c r="AB23" s="3" t="s">
        <v>96</v>
      </c>
    </row>
    <row r="24" spans="1:28" ht="33" customHeight="1" x14ac:dyDescent="0.25">
      <c r="A24" s="7">
        <v>1322</v>
      </c>
      <c r="B24" s="3" t="s">
        <v>169</v>
      </c>
      <c r="C24" s="3" t="s">
        <v>170</v>
      </c>
      <c r="D24" s="6">
        <v>44105</v>
      </c>
      <c r="E24" s="6">
        <v>45930</v>
      </c>
      <c r="F24" s="3" t="s">
        <v>45</v>
      </c>
      <c r="G24" s="6">
        <v>45930</v>
      </c>
      <c r="H24" s="3" t="s">
        <v>31</v>
      </c>
      <c r="I24" s="6" t="s">
        <v>41</v>
      </c>
      <c r="J24" s="3" t="s">
        <v>171</v>
      </c>
      <c r="K24" s="3" t="s">
        <v>33</v>
      </c>
      <c r="L24" s="3" t="s">
        <v>172</v>
      </c>
      <c r="M24" s="3" t="s">
        <v>48</v>
      </c>
      <c r="N24" s="3" t="s">
        <v>173</v>
      </c>
      <c r="O24" s="3" t="s">
        <v>36</v>
      </c>
      <c r="P24" s="3" t="s">
        <v>37</v>
      </c>
      <c r="Q24" s="5">
        <v>70000</v>
      </c>
      <c r="R24" s="5">
        <v>210000</v>
      </c>
      <c r="S24" s="5">
        <v>0</v>
      </c>
      <c r="T24" s="3" t="s">
        <v>38</v>
      </c>
      <c r="U24" s="3" t="s">
        <v>39</v>
      </c>
      <c r="V24" s="3" t="s">
        <v>31</v>
      </c>
      <c r="W24" s="6">
        <f>DATE(YEAR(D24) + 3, MONTH(D24), DAY(D24))</f>
        <v>45200</v>
      </c>
      <c r="X24" s="6">
        <f>DATE(YEAR(E24) + 3, MONTH(E24), DAY(E24))</f>
        <v>47026</v>
      </c>
      <c r="Y24" s="3" t="s">
        <v>41</v>
      </c>
      <c r="Z24" s="3" t="s">
        <v>30</v>
      </c>
      <c r="AA24" s="3" t="s">
        <v>41</v>
      </c>
      <c r="AB24" s="3" t="s">
        <v>163</v>
      </c>
    </row>
    <row r="25" spans="1:28" ht="33" customHeight="1" x14ac:dyDescent="0.25">
      <c r="A25" s="7">
        <v>1345</v>
      </c>
      <c r="B25" s="3" t="s">
        <v>174</v>
      </c>
      <c r="C25" s="3" t="s">
        <v>174</v>
      </c>
      <c r="D25" s="6">
        <v>44440</v>
      </c>
      <c r="E25" s="6">
        <v>45535</v>
      </c>
      <c r="F25" s="3" t="s">
        <v>31</v>
      </c>
      <c r="G25" s="6">
        <v>48457</v>
      </c>
      <c r="H25" s="3" t="s">
        <v>31</v>
      </c>
      <c r="I25" s="6">
        <f>D25+365</f>
        <v>44805</v>
      </c>
      <c r="J25" s="3" t="s">
        <v>175</v>
      </c>
      <c r="K25" s="3" t="s">
        <v>30</v>
      </c>
      <c r="L25" s="3">
        <v>5234413</v>
      </c>
      <c r="M25" s="3" t="s">
        <v>34</v>
      </c>
      <c r="N25" s="3" t="s">
        <v>176</v>
      </c>
      <c r="O25" s="3" t="s">
        <v>79</v>
      </c>
      <c r="P25" s="3" t="s">
        <v>80</v>
      </c>
      <c r="Q25" s="5">
        <v>87329</v>
      </c>
      <c r="R25" s="5">
        <v>960629</v>
      </c>
      <c r="S25" s="5">
        <v>0</v>
      </c>
      <c r="T25" s="3" t="s">
        <v>38</v>
      </c>
      <c r="U25" s="3" t="s">
        <v>39</v>
      </c>
      <c r="V25" s="3" t="s">
        <v>31</v>
      </c>
      <c r="W25" s="6">
        <v>45200</v>
      </c>
      <c r="X25" s="6">
        <v>49583</v>
      </c>
      <c r="Y25" s="3" t="s">
        <v>41</v>
      </c>
      <c r="Z25" s="3" t="s">
        <v>30</v>
      </c>
      <c r="AA25" s="3" t="s">
        <v>41</v>
      </c>
      <c r="AB25" s="3" t="s">
        <v>117</v>
      </c>
    </row>
    <row r="26" spans="1:28" ht="33" customHeight="1" x14ac:dyDescent="0.25">
      <c r="A26" s="7">
        <v>1357</v>
      </c>
      <c r="B26" s="3" t="s">
        <v>177</v>
      </c>
      <c r="C26" s="3" t="s">
        <v>178</v>
      </c>
      <c r="D26" s="6">
        <v>44440</v>
      </c>
      <c r="E26" s="6">
        <v>45138</v>
      </c>
      <c r="F26" s="3" t="s">
        <v>179</v>
      </c>
      <c r="G26" s="6">
        <v>45138</v>
      </c>
      <c r="H26" s="3" t="s">
        <v>40</v>
      </c>
      <c r="I26" s="6" t="s">
        <v>180</v>
      </c>
      <c r="J26" s="3" t="s">
        <v>181</v>
      </c>
      <c r="K26" s="3" t="s">
        <v>182</v>
      </c>
      <c r="L26" s="3"/>
      <c r="M26" s="3" t="s">
        <v>34</v>
      </c>
      <c r="N26" s="3" t="s">
        <v>183</v>
      </c>
      <c r="O26" s="3" t="s">
        <v>86</v>
      </c>
      <c r="P26" s="3" t="s">
        <v>64</v>
      </c>
      <c r="Q26" s="5">
        <f>R26/3</f>
        <v>4858000</v>
      </c>
      <c r="R26" s="5">
        <v>14574000</v>
      </c>
      <c r="S26" s="5">
        <v>0</v>
      </c>
      <c r="T26" s="3" t="s">
        <v>38</v>
      </c>
      <c r="U26" s="3" t="s">
        <v>39</v>
      </c>
      <c r="V26" s="3" t="s">
        <v>184</v>
      </c>
      <c r="W26" s="6">
        <f>DATE(YEAR(D26) + 3, MONTH(D26), DAY(D26))</f>
        <v>45536</v>
      </c>
      <c r="X26" s="6">
        <f>DATE(YEAR(E26) + 3, MONTH(E26), DAY(E26))</f>
        <v>46234</v>
      </c>
      <c r="Y26" s="3" t="s">
        <v>185</v>
      </c>
      <c r="Z26" s="3" t="s">
        <v>30</v>
      </c>
      <c r="AA26" s="3" t="s">
        <v>41</v>
      </c>
      <c r="AB26" s="3" t="s">
        <v>186</v>
      </c>
    </row>
    <row r="27" spans="1:28" ht="33" customHeight="1" x14ac:dyDescent="0.25">
      <c r="A27" s="7">
        <v>1367</v>
      </c>
      <c r="B27" s="3" t="s">
        <v>187</v>
      </c>
      <c r="C27" s="3" t="s">
        <v>188</v>
      </c>
      <c r="D27" s="6">
        <v>44235</v>
      </c>
      <c r="E27" s="6">
        <v>45695</v>
      </c>
      <c r="F27" s="3" t="s">
        <v>30</v>
      </c>
      <c r="G27" s="6">
        <v>45695</v>
      </c>
      <c r="H27" s="3" t="s">
        <v>40</v>
      </c>
      <c r="I27" s="6">
        <f>D27+365</f>
        <v>44600</v>
      </c>
      <c r="J27" s="3" t="s">
        <v>189</v>
      </c>
      <c r="K27" s="3" t="s">
        <v>30</v>
      </c>
      <c r="L27" s="3" t="s">
        <v>190</v>
      </c>
      <c r="M27" s="3" t="s">
        <v>48</v>
      </c>
      <c r="N27" s="3" t="s">
        <v>191</v>
      </c>
      <c r="O27" s="3" t="s">
        <v>145</v>
      </c>
      <c r="P27" s="3" t="s">
        <v>146</v>
      </c>
      <c r="Q27" s="5">
        <v>187500</v>
      </c>
      <c r="R27" s="5">
        <v>750000</v>
      </c>
      <c r="S27" s="5">
        <v>0</v>
      </c>
      <c r="T27" s="3" t="s">
        <v>38</v>
      </c>
      <c r="U27" s="3"/>
      <c r="V27" s="3" t="s">
        <v>40</v>
      </c>
      <c r="W27" s="6">
        <f>DATE(YEAR(D27) + 3, MONTH(D27), DAY(D27))</f>
        <v>45330</v>
      </c>
      <c r="X27" s="6">
        <f>DATE(YEAR(E27) + 3, MONTH(E27), DAY(E27))</f>
        <v>46790</v>
      </c>
      <c r="Y27" s="3" t="s">
        <v>41</v>
      </c>
      <c r="Z27" s="3" t="s">
        <v>45</v>
      </c>
      <c r="AA27" s="3" t="s">
        <v>45</v>
      </c>
      <c r="AB27" s="3" t="s">
        <v>96</v>
      </c>
    </row>
    <row r="28" spans="1:28" ht="33" customHeight="1" x14ac:dyDescent="0.25">
      <c r="A28" s="7">
        <v>1369</v>
      </c>
      <c r="B28" s="3" t="s">
        <v>192</v>
      </c>
      <c r="C28" s="3" t="s">
        <v>193</v>
      </c>
      <c r="D28" s="6">
        <v>44249</v>
      </c>
      <c r="E28" s="6">
        <v>45343</v>
      </c>
      <c r="F28" s="3" t="s">
        <v>75</v>
      </c>
      <c r="G28" s="6">
        <v>45709</v>
      </c>
      <c r="H28" s="3" t="s">
        <v>40</v>
      </c>
      <c r="I28" s="6">
        <v>45413</v>
      </c>
      <c r="J28" s="3" t="s">
        <v>194</v>
      </c>
      <c r="K28" s="3" t="s">
        <v>30</v>
      </c>
      <c r="L28" s="3" t="s">
        <v>195</v>
      </c>
      <c r="M28" s="3" t="s">
        <v>34</v>
      </c>
      <c r="N28" s="3" t="s">
        <v>196</v>
      </c>
      <c r="O28" s="3" t="s">
        <v>145</v>
      </c>
      <c r="P28" s="3" t="s">
        <v>146</v>
      </c>
      <c r="Q28" s="5">
        <v>750000</v>
      </c>
      <c r="R28" s="5">
        <v>3000000</v>
      </c>
      <c r="S28" s="5">
        <v>0</v>
      </c>
      <c r="T28" s="3" t="s">
        <v>38</v>
      </c>
      <c r="U28" s="3" t="s">
        <v>39</v>
      </c>
      <c r="V28" s="3" t="s">
        <v>40</v>
      </c>
      <c r="W28" s="6">
        <f>DATE(YEAR(D28) + 3, MONTH(D28), DAY(D28))</f>
        <v>45344</v>
      </c>
      <c r="X28" s="6">
        <f>DATE(YEAR(E28) + 3, MONTH(E28), DAY(E28))</f>
        <v>46439</v>
      </c>
      <c r="Y28" s="3" t="s">
        <v>41</v>
      </c>
      <c r="Z28" s="3" t="s">
        <v>45</v>
      </c>
      <c r="AA28" s="3" t="s">
        <v>45</v>
      </c>
      <c r="AB28" s="3" t="s">
        <v>58</v>
      </c>
    </row>
    <row r="29" spans="1:28" ht="33" customHeight="1" x14ac:dyDescent="0.25">
      <c r="A29" s="7">
        <v>1385</v>
      </c>
      <c r="B29" s="3" t="s">
        <v>197</v>
      </c>
      <c r="C29" s="3" t="s">
        <v>198</v>
      </c>
      <c r="D29" s="6">
        <v>44322</v>
      </c>
      <c r="E29" s="6">
        <v>45473</v>
      </c>
      <c r="F29" s="3" t="s">
        <v>30</v>
      </c>
      <c r="G29" s="6">
        <v>45473</v>
      </c>
      <c r="H29" s="3" t="s">
        <v>40</v>
      </c>
      <c r="I29" s="6">
        <v>45442</v>
      </c>
      <c r="J29" s="3" t="s">
        <v>199</v>
      </c>
      <c r="K29" s="3" t="s">
        <v>33</v>
      </c>
      <c r="L29" s="3">
        <v>7159352</v>
      </c>
      <c r="M29" s="3" t="s">
        <v>48</v>
      </c>
      <c r="N29" s="3" t="s">
        <v>200</v>
      </c>
      <c r="O29" s="3" t="s">
        <v>50</v>
      </c>
      <c r="P29" s="3" t="s">
        <v>37</v>
      </c>
      <c r="Q29" s="5">
        <v>133080</v>
      </c>
      <c r="R29" s="5">
        <v>133080</v>
      </c>
      <c r="S29" s="5">
        <v>0</v>
      </c>
      <c r="T29" s="3" t="s">
        <v>38</v>
      </c>
      <c r="U29" s="3" t="s">
        <v>39</v>
      </c>
      <c r="V29" s="3" t="s">
        <v>40</v>
      </c>
      <c r="W29" s="6">
        <f>DATE(YEAR(D29) + 3, MONTH(D29), DAY(D29))</f>
        <v>45418</v>
      </c>
      <c r="X29" s="6">
        <f>DATE(YEAR(E29) + 3, MONTH(E29), DAY(E29))</f>
        <v>46568</v>
      </c>
      <c r="Y29" s="3" t="s">
        <v>41</v>
      </c>
      <c r="Z29" s="3" t="s">
        <v>30</v>
      </c>
      <c r="AA29" s="3" t="s">
        <v>41</v>
      </c>
      <c r="AB29" s="3" t="s">
        <v>163</v>
      </c>
    </row>
    <row r="30" spans="1:28" ht="33" customHeight="1" x14ac:dyDescent="0.25">
      <c r="A30" s="7">
        <v>1390</v>
      </c>
      <c r="B30" s="3" t="s">
        <v>201</v>
      </c>
      <c r="C30" s="3" t="s">
        <v>202</v>
      </c>
      <c r="D30" s="6">
        <v>44307</v>
      </c>
      <c r="E30" s="6">
        <v>45402</v>
      </c>
      <c r="F30" s="3" t="s">
        <v>203</v>
      </c>
      <c r="G30" s="6">
        <v>45402</v>
      </c>
      <c r="H30" s="3" t="s">
        <v>31</v>
      </c>
      <c r="I30" s="6"/>
      <c r="J30" s="3" t="s">
        <v>204</v>
      </c>
      <c r="K30" s="3" t="s">
        <v>30</v>
      </c>
      <c r="L30" s="3" t="s">
        <v>205</v>
      </c>
      <c r="M30" s="3" t="s">
        <v>34</v>
      </c>
      <c r="N30" s="3" t="s">
        <v>206</v>
      </c>
      <c r="O30" s="3" t="s">
        <v>131</v>
      </c>
      <c r="P30" s="3" t="s">
        <v>80</v>
      </c>
      <c r="Q30" s="5">
        <v>1300000</v>
      </c>
      <c r="R30" s="5">
        <v>4000000</v>
      </c>
      <c r="S30" s="5">
        <v>0</v>
      </c>
      <c r="T30" s="3" t="s">
        <v>38</v>
      </c>
      <c r="U30" s="3" t="s">
        <v>39</v>
      </c>
      <c r="V30" s="3" t="s">
        <v>31</v>
      </c>
      <c r="W30" s="6">
        <f>DATE(YEAR(D30) + 3, MONTH(D30), DAY(D30))</f>
        <v>45403</v>
      </c>
      <c r="X30" s="6">
        <f>DATE(YEAR(E30) + 3, MONTH(E30), DAY(E30))</f>
        <v>46497</v>
      </c>
      <c r="Y30" s="3" t="s">
        <v>41</v>
      </c>
      <c r="Z30" s="3" t="s">
        <v>30</v>
      </c>
      <c r="AA30" s="3" t="s">
        <v>41</v>
      </c>
      <c r="AB30" s="3" t="s">
        <v>58</v>
      </c>
    </row>
    <row r="31" spans="1:28" ht="33" customHeight="1" x14ac:dyDescent="0.25">
      <c r="A31" s="7">
        <v>1416</v>
      </c>
      <c r="B31" s="3" t="s">
        <v>207</v>
      </c>
      <c r="C31" s="3" t="s">
        <v>208</v>
      </c>
      <c r="D31" s="6">
        <v>44287</v>
      </c>
      <c r="E31" s="6">
        <v>45016</v>
      </c>
      <c r="F31" s="3" t="s">
        <v>45</v>
      </c>
      <c r="G31" s="6">
        <v>45382</v>
      </c>
      <c r="H31" s="3" t="s">
        <v>40</v>
      </c>
      <c r="I31" s="6" t="s">
        <v>41</v>
      </c>
      <c r="J31" s="3" t="s">
        <v>209</v>
      </c>
      <c r="K31" s="3" t="s">
        <v>30</v>
      </c>
      <c r="L31" s="3" t="s">
        <v>210</v>
      </c>
      <c r="M31" s="3" t="s">
        <v>92</v>
      </c>
      <c r="N31" s="3" t="s">
        <v>211</v>
      </c>
      <c r="O31" s="3" t="s">
        <v>79</v>
      </c>
      <c r="P31" s="3" t="s">
        <v>80</v>
      </c>
      <c r="Q31" s="5">
        <f>R31/2</f>
        <v>14415</v>
      </c>
      <c r="R31" s="5">
        <v>28830</v>
      </c>
      <c r="S31" s="5">
        <v>0</v>
      </c>
      <c r="T31" s="3" t="s">
        <v>107</v>
      </c>
      <c r="U31" s="3" t="s">
        <v>39</v>
      </c>
      <c r="V31" s="3" t="s">
        <v>40</v>
      </c>
      <c r="W31" s="6">
        <f>DATE(YEAR(D31) + 3, MONTH(D31), DAY(D31))</f>
        <v>45383</v>
      </c>
      <c r="X31" s="6">
        <f>DATE(YEAR(E31) + 3, MONTH(E31), DAY(E31))</f>
        <v>46112</v>
      </c>
      <c r="Y31" s="3"/>
      <c r="Z31" s="3" t="s">
        <v>30</v>
      </c>
      <c r="AA31" s="3" t="s">
        <v>41</v>
      </c>
      <c r="AB31" s="3" t="s">
        <v>72</v>
      </c>
    </row>
    <row r="32" spans="1:28" ht="33" customHeight="1" x14ac:dyDescent="0.25">
      <c r="A32" s="7">
        <v>1421</v>
      </c>
      <c r="B32" s="3" t="s">
        <v>212</v>
      </c>
      <c r="C32" s="3" t="s">
        <v>213</v>
      </c>
      <c r="D32" s="6">
        <v>44470</v>
      </c>
      <c r="E32" s="6">
        <v>45200</v>
      </c>
      <c r="F32" s="3" t="s">
        <v>31</v>
      </c>
      <c r="G32" s="6">
        <v>45931</v>
      </c>
      <c r="H32" s="3" t="s">
        <v>31</v>
      </c>
      <c r="I32" s="6">
        <v>44743</v>
      </c>
      <c r="J32" s="3" t="s">
        <v>214</v>
      </c>
      <c r="K32" s="3"/>
      <c r="L32" s="3" t="s">
        <v>215</v>
      </c>
      <c r="M32" s="3" t="s">
        <v>34</v>
      </c>
      <c r="N32" s="3" t="s">
        <v>216</v>
      </c>
      <c r="O32" s="3" t="s">
        <v>168</v>
      </c>
      <c r="P32" s="3" t="s">
        <v>95</v>
      </c>
      <c r="Q32" s="5">
        <v>7500000</v>
      </c>
      <c r="R32" s="5">
        <v>30000000</v>
      </c>
      <c r="S32" s="5">
        <v>0</v>
      </c>
      <c r="T32" s="3" t="s">
        <v>38</v>
      </c>
      <c r="U32" s="3" t="s">
        <v>217</v>
      </c>
      <c r="V32" s="3" t="s">
        <v>31</v>
      </c>
      <c r="W32" s="6">
        <v>45200</v>
      </c>
      <c r="X32" s="6">
        <v>47027</v>
      </c>
      <c r="Y32" s="3" t="s">
        <v>41</v>
      </c>
      <c r="Z32" s="3" t="s">
        <v>45</v>
      </c>
      <c r="AA32" s="3" t="s">
        <v>45</v>
      </c>
      <c r="AB32" s="3" t="s">
        <v>96</v>
      </c>
    </row>
    <row r="33" spans="1:28" ht="33" customHeight="1" x14ac:dyDescent="0.25">
      <c r="A33" s="7">
        <v>1423</v>
      </c>
      <c r="B33" s="3" t="s">
        <v>218</v>
      </c>
      <c r="C33" s="3" t="s">
        <v>219</v>
      </c>
      <c r="D33" s="6">
        <v>44277</v>
      </c>
      <c r="E33" s="6">
        <v>44957</v>
      </c>
      <c r="F33" s="3" t="s">
        <v>220</v>
      </c>
      <c r="G33" s="6">
        <v>45322</v>
      </c>
      <c r="H33" s="3" t="s">
        <v>40</v>
      </c>
      <c r="I33" s="6">
        <v>44642</v>
      </c>
      <c r="J33" s="3" t="s">
        <v>221</v>
      </c>
      <c r="K33" s="3" t="s">
        <v>30</v>
      </c>
      <c r="L33" s="3">
        <v>25185</v>
      </c>
      <c r="M33" s="3" t="s">
        <v>92</v>
      </c>
      <c r="N33" s="3" t="s">
        <v>222</v>
      </c>
      <c r="O33" s="3" t="s">
        <v>223</v>
      </c>
      <c r="P33" s="3" t="s">
        <v>224</v>
      </c>
      <c r="Q33" s="5">
        <v>83987.02</v>
      </c>
      <c r="R33" s="5">
        <v>158608.67000000001</v>
      </c>
      <c r="S33" s="5">
        <v>0</v>
      </c>
      <c r="T33" s="3" t="s">
        <v>38</v>
      </c>
      <c r="U33" s="3" t="s">
        <v>39</v>
      </c>
      <c r="V33" s="3" t="s">
        <v>40</v>
      </c>
      <c r="W33" s="6">
        <f>DATE(YEAR(D33) + 3, MONTH(D33), DAY(D33))</f>
        <v>45373</v>
      </c>
      <c r="X33" s="6">
        <f>DATE(YEAR(E33) + 3, MONTH(E33), DAY(E33))</f>
        <v>46053</v>
      </c>
      <c r="Y33" s="3" t="s">
        <v>31</v>
      </c>
      <c r="Z33" s="3" t="s">
        <v>30</v>
      </c>
      <c r="AA33" s="3" t="s">
        <v>41</v>
      </c>
      <c r="AB33" s="3" t="s">
        <v>96</v>
      </c>
    </row>
    <row r="34" spans="1:28" ht="33" customHeight="1" x14ac:dyDescent="0.25">
      <c r="A34" s="7">
        <v>1429</v>
      </c>
      <c r="B34" s="3" t="s">
        <v>225</v>
      </c>
      <c r="C34" s="3" t="s">
        <v>226</v>
      </c>
      <c r="D34" s="6">
        <v>44621</v>
      </c>
      <c r="E34" s="6">
        <v>46081</v>
      </c>
      <c r="F34" s="3" t="s">
        <v>45</v>
      </c>
      <c r="G34" s="6">
        <v>48301</v>
      </c>
      <c r="H34" s="3" t="s">
        <v>31</v>
      </c>
      <c r="I34" s="6">
        <v>45168</v>
      </c>
      <c r="J34" s="3" t="s">
        <v>60</v>
      </c>
      <c r="K34" s="3" t="s">
        <v>33</v>
      </c>
      <c r="L34" s="3">
        <v>3039051</v>
      </c>
      <c r="M34" s="3" t="s">
        <v>34</v>
      </c>
      <c r="N34" s="3" t="s">
        <v>62</v>
      </c>
      <c r="O34" s="3" t="s">
        <v>79</v>
      </c>
      <c r="P34" s="3" t="s">
        <v>80</v>
      </c>
      <c r="Q34" s="5">
        <v>170351</v>
      </c>
      <c r="R34" s="5">
        <v>830456.8</v>
      </c>
      <c r="S34" s="5">
        <v>0</v>
      </c>
      <c r="T34" s="3" t="s">
        <v>38</v>
      </c>
      <c r="U34" s="3" t="s">
        <v>39</v>
      </c>
      <c r="V34" s="3" t="s">
        <v>31</v>
      </c>
      <c r="W34" s="6">
        <f>DATE(YEAR(D34) + 3, MONTH(D34), DAY(D34))</f>
        <v>45717</v>
      </c>
      <c r="X34" s="6">
        <f>(DATE(YEAR(E34) +6, MONTH(E34), DAY(E34)))</f>
        <v>48272</v>
      </c>
      <c r="Y34" s="3" t="s">
        <v>45</v>
      </c>
      <c r="Z34" s="3" t="s">
        <v>30</v>
      </c>
      <c r="AA34" s="3" t="s">
        <v>41</v>
      </c>
      <c r="AB34" s="3" t="s">
        <v>117</v>
      </c>
    </row>
    <row r="35" spans="1:28" ht="33" customHeight="1" x14ac:dyDescent="0.25">
      <c r="A35" s="7">
        <v>1459</v>
      </c>
      <c r="B35" s="3" t="s">
        <v>227</v>
      </c>
      <c r="C35" s="3" t="s">
        <v>228</v>
      </c>
      <c r="D35" s="6">
        <v>44329</v>
      </c>
      <c r="E35" s="6">
        <v>45789</v>
      </c>
      <c r="F35" s="3" t="s">
        <v>229</v>
      </c>
      <c r="G35" s="6">
        <v>46154</v>
      </c>
      <c r="H35" s="3" t="s">
        <v>31</v>
      </c>
      <c r="I35" s="6" t="s">
        <v>41</v>
      </c>
      <c r="J35" s="3" t="s">
        <v>230</v>
      </c>
      <c r="K35" s="3" t="s">
        <v>30</v>
      </c>
      <c r="L35" s="3" t="s">
        <v>231</v>
      </c>
      <c r="M35" s="3" t="s">
        <v>92</v>
      </c>
      <c r="N35" s="3" t="s">
        <v>57</v>
      </c>
      <c r="O35" s="3" t="s">
        <v>50</v>
      </c>
      <c r="P35" s="3" t="s">
        <v>37</v>
      </c>
      <c r="Q35" s="5">
        <f>R35/5</f>
        <v>33610.259999999995</v>
      </c>
      <c r="R35" s="5">
        <v>168051.3</v>
      </c>
      <c r="S35" s="5">
        <v>0</v>
      </c>
      <c r="T35" s="3" t="s">
        <v>38</v>
      </c>
      <c r="U35" s="3" t="s">
        <v>39</v>
      </c>
      <c r="V35" s="3" t="s">
        <v>31</v>
      </c>
      <c r="W35" s="6">
        <f>DATE(YEAR(D35) + 3, MONTH(D35), DAY(D35))</f>
        <v>45425</v>
      </c>
      <c r="X35" s="6">
        <f>DATE(YEAR(E35) + 3, MONTH(E35), DAY(E35))</f>
        <v>46885</v>
      </c>
      <c r="Y35" s="3" t="s">
        <v>41</v>
      </c>
      <c r="Z35" s="3" t="s">
        <v>30</v>
      </c>
      <c r="AA35" s="3" t="s">
        <v>41</v>
      </c>
      <c r="AB35" s="3" t="s">
        <v>163</v>
      </c>
    </row>
    <row r="36" spans="1:28" ht="33" customHeight="1" x14ac:dyDescent="0.25">
      <c r="A36" s="7">
        <v>1470</v>
      </c>
      <c r="B36" s="3" t="s">
        <v>232</v>
      </c>
      <c r="C36" s="3" t="s">
        <v>233</v>
      </c>
      <c r="D36" s="6">
        <v>44287</v>
      </c>
      <c r="E36" s="6">
        <v>45382</v>
      </c>
      <c r="F36" s="3" t="s">
        <v>30</v>
      </c>
      <c r="G36" s="6">
        <v>45382</v>
      </c>
      <c r="H36" s="3" t="s">
        <v>40</v>
      </c>
      <c r="I36" s="6" t="s">
        <v>41</v>
      </c>
      <c r="J36" s="3" t="s">
        <v>234</v>
      </c>
      <c r="K36" s="3" t="s">
        <v>33</v>
      </c>
      <c r="L36" s="3" t="s">
        <v>235</v>
      </c>
      <c r="M36" s="3" t="s">
        <v>92</v>
      </c>
      <c r="N36" s="3" t="s">
        <v>236</v>
      </c>
      <c r="O36" s="3" t="s">
        <v>237</v>
      </c>
      <c r="P36" s="3" t="s">
        <v>224</v>
      </c>
      <c r="Q36" s="5">
        <v>10000</v>
      </c>
      <c r="R36" s="5">
        <v>30000</v>
      </c>
      <c r="S36" s="5">
        <v>0</v>
      </c>
      <c r="T36" s="3" t="s">
        <v>107</v>
      </c>
      <c r="U36" s="3" t="s">
        <v>39</v>
      </c>
      <c r="V36" s="3" t="s">
        <v>40</v>
      </c>
      <c r="W36" s="6">
        <f>DATE(YEAR(D36) + 3, MONTH(D36), DAY(D36))</f>
        <v>45383</v>
      </c>
      <c r="X36" s="6">
        <f>DATE(YEAR(E36) + 3, MONTH(E36), DAY(E36))</f>
        <v>46477</v>
      </c>
      <c r="Y36" s="3" t="s">
        <v>41</v>
      </c>
      <c r="Z36" s="3" t="s">
        <v>30</v>
      </c>
      <c r="AA36" s="3" t="s">
        <v>41</v>
      </c>
      <c r="AB36" s="3"/>
    </row>
    <row r="37" spans="1:28" ht="33" customHeight="1" x14ac:dyDescent="0.25">
      <c r="A37" s="7">
        <v>1479</v>
      </c>
      <c r="B37" s="3" t="s">
        <v>238</v>
      </c>
      <c r="C37" s="3" t="s">
        <v>239</v>
      </c>
      <c r="D37" s="6">
        <v>44440</v>
      </c>
      <c r="E37" s="6">
        <v>45169</v>
      </c>
      <c r="F37" s="3" t="s">
        <v>40</v>
      </c>
      <c r="G37" s="6">
        <v>45169</v>
      </c>
      <c r="H37" s="3" t="s">
        <v>40</v>
      </c>
      <c r="I37" s="6">
        <v>45047</v>
      </c>
      <c r="J37" s="3" t="s">
        <v>175</v>
      </c>
      <c r="K37" s="3" t="s">
        <v>30</v>
      </c>
      <c r="L37" s="3">
        <v>5234413</v>
      </c>
      <c r="M37" s="3" t="s">
        <v>34</v>
      </c>
      <c r="N37" s="3" t="s">
        <v>240</v>
      </c>
      <c r="O37" s="3" t="s">
        <v>79</v>
      </c>
      <c r="P37" s="3" t="s">
        <v>80</v>
      </c>
      <c r="Q37" s="5">
        <v>444014</v>
      </c>
      <c r="R37" s="5">
        <v>444014</v>
      </c>
      <c r="S37" s="5">
        <v>0</v>
      </c>
      <c r="T37" s="3" t="s">
        <v>38</v>
      </c>
      <c r="U37" s="3" t="s">
        <v>39</v>
      </c>
      <c r="V37" s="3" t="s">
        <v>40</v>
      </c>
      <c r="W37" s="6" t="s">
        <v>41</v>
      </c>
      <c r="X37" s="6">
        <v>46266</v>
      </c>
      <c r="Y37" s="3" t="s">
        <v>41</v>
      </c>
      <c r="Z37" s="3" t="s">
        <v>45</v>
      </c>
      <c r="AA37" s="3" t="s">
        <v>45</v>
      </c>
      <c r="AB37" s="3" t="s">
        <v>117</v>
      </c>
    </row>
    <row r="38" spans="1:28" ht="33" customHeight="1" x14ac:dyDescent="0.25">
      <c r="A38" s="7">
        <v>1483</v>
      </c>
      <c r="B38" s="3" t="s">
        <v>241</v>
      </c>
      <c r="C38" s="3" t="s">
        <v>242</v>
      </c>
      <c r="D38" s="6">
        <v>44393</v>
      </c>
      <c r="E38" s="6">
        <v>45488</v>
      </c>
      <c r="F38" s="3" t="s">
        <v>45</v>
      </c>
      <c r="G38" s="6">
        <v>45853</v>
      </c>
      <c r="H38" s="3" t="s">
        <v>31</v>
      </c>
      <c r="I38" s="6">
        <f>D38+730</f>
        <v>45123</v>
      </c>
      <c r="J38" s="3" t="s">
        <v>243</v>
      </c>
      <c r="K38" s="3" t="s">
        <v>33</v>
      </c>
      <c r="L38" s="3">
        <v>7769023</v>
      </c>
      <c r="M38" s="3" t="s">
        <v>48</v>
      </c>
      <c r="N38" s="3" t="s">
        <v>244</v>
      </c>
      <c r="O38" s="3" t="s">
        <v>223</v>
      </c>
      <c r="P38" s="3" t="s">
        <v>224</v>
      </c>
      <c r="Q38" s="5">
        <v>112500</v>
      </c>
      <c r="R38" s="5">
        <v>450000</v>
      </c>
      <c r="S38" s="5">
        <v>0</v>
      </c>
      <c r="T38" s="3" t="s">
        <v>38</v>
      </c>
      <c r="U38" s="3" t="s">
        <v>162</v>
      </c>
      <c r="V38" s="3" t="s">
        <v>40</v>
      </c>
      <c r="W38" s="6">
        <f>DATE(YEAR(D38) + 3, MONTH(D38), DAY(D38))</f>
        <v>45489</v>
      </c>
      <c r="X38" s="6">
        <f>DATE(YEAR(E38) + 3, MONTH(E38), DAY(E38))</f>
        <v>46583</v>
      </c>
      <c r="Y38" s="3" t="s">
        <v>41</v>
      </c>
      <c r="Z38" s="3" t="s">
        <v>30</v>
      </c>
      <c r="AA38" s="3" t="s">
        <v>41</v>
      </c>
      <c r="AB38" s="3" t="s">
        <v>96</v>
      </c>
    </row>
    <row r="39" spans="1:28" ht="33" customHeight="1" x14ac:dyDescent="0.25">
      <c r="A39" s="7">
        <v>1487</v>
      </c>
      <c r="B39" s="3" t="s">
        <v>245</v>
      </c>
      <c r="C39" s="3" t="s">
        <v>246</v>
      </c>
      <c r="D39" s="6">
        <v>44287</v>
      </c>
      <c r="E39" s="6">
        <v>45381</v>
      </c>
      <c r="F39" s="3" t="s">
        <v>40</v>
      </c>
      <c r="G39" s="6">
        <v>45381</v>
      </c>
      <c r="H39" s="3" t="s">
        <v>40</v>
      </c>
      <c r="I39" s="6">
        <f>D39+365</f>
        <v>44652</v>
      </c>
      <c r="J39" s="3" t="s">
        <v>247</v>
      </c>
      <c r="K39" s="3" t="s">
        <v>30</v>
      </c>
      <c r="L39" s="3" t="s">
        <v>248</v>
      </c>
      <c r="M39" s="3" t="s">
        <v>34</v>
      </c>
      <c r="N39" s="3" t="s">
        <v>249</v>
      </c>
      <c r="O39" s="3" t="s">
        <v>79</v>
      </c>
      <c r="P39" s="3" t="s">
        <v>80</v>
      </c>
      <c r="Q39" s="5">
        <v>990000</v>
      </c>
      <c r="R39" s="5">
        <v>1980000</v>
      </c>
      <c r="S39" s="5">
        <v>0</v>
      </c>
      <c r="T39" s="3" t="s">
        <v>107</v>
      </c>
      <c r="U39" s="3" t="s">
        <v>39</v>
      </c>
      <c r="V39" s="3" t="s">
        <v>40</v>
      </c>
      <c r="W39" s="6">
        <f>DATE(YEAR(D39) + 3, MONTH(D39), DAY(D39))</f>
        <v>45383</v>
      </c>
      <c r="X39" s="6">
        <f>DATE(YEAR(E39) + 3, MONTH(E39), DAY(E39))</f>
        <v>46476</v>
      </c>
      <c r="Y39" s="3"/>
      <c r="Z39" s="3" t="s">
        <v>30</v>
      </c>
      <c r="AA39" s="3" t="s">
        <v>41</v>
      </c>
      <c r="AB39" s="3" t="s">
        <v>117</v>
      </c>
    </row>
    <row r="40" spans="1:28" ht="33" customHeight="1" x14ac:dyDescent="0.25">
      <c r="A40" s="7">
        <v>1489</v>
      </c>
      <c r="B40" s="3" t="s">
        <v>250</v>
      </c>
      <c r="C40" s="3" t="s">
        <v>251</v>
      </c>
      <c r="D40" s="6">
        <v>44713</v>
      </c>
      <c r="E40" s="6">
        <v>48365</v>
      </c>
      <c r="F40" s="3" t="s">
        <v>30</v>
      </c>
      <c r="G40" s="6">
        <v>48365</v>
      </c>
      <c r="H40" s="3" t="s">
        <v>40</v>
      </c>
      <c r="I40" s="6">
        <v>44999</v>
      </c>
      <c r="J40" s="3" t="s">
        <v>252</v>
      </c>
      <c r="K40" s="3" t="s">
        <v>30</v>
      </c>
      <c r="L40" s="3" t="s">
        <v>253</v>
      </c>
      <c r="M40" s="3" t="s">
        <v>34</v>
      </c>
      <c r="N40" s="3" t="s">
        <v>254</v>
      </c>
      <c r="O40" s="3" t="s">
        <v>237</v>
      </c>
      <c r="P40" s="3" t="s">
        <v>224</v>
      </c>
      <c r="Q40" s="5">
        <f>SUM(R40/10)</f>
        <v>400024.6</v>
      </c>
      <c r="R40" s="5">
        <v>4000246</v>
      </c>
      <c r="S40" s="5">
        <v>0</v>
      </c>
      <c r="T40" s="3" t="s">
        <v>38</v>
      </c>
      <c r="U40" s="3" t="s">
        <v>39</v>
      </c>
      <c r="V40" s="3" t="s">
        <v>40</v>
      </c>
      <c r="W40" s="6">
        <f>DATE(YEAR(D40) + 3, MONTH(D40), DAY(D40))</f>
        <v>45809</v>
      </c>
      <c r="X40" s="6">
        <f>DATE(YEAR(E40) + 3, MONTH(E40), DAY(E40))</f>
        <v>49460</v>
      </c>
      <c r="Y40" s="3" t="s">
        <v>45</v>
      </c>
      <c r="Z40" s="3" t="s">
        <v>30</v>
      </c>
      <c r="AA40" s="3" t="s">
        <v>41</v>
      </c>
      <c r="AB40" s="3" t="s">
        <v>255</v>
      </c>
    </row>
    <row r="41" spans="1:28" ht="33" customHeight="1" x14ac:dyDescent="0.25">
      <c r="A41" s="7">
        <v>1493</v>
      </c>
      <c r="B41" s="3" t="s">
        <v>256</v>
      </c>
      <c r="C41" s="3" t="s">
        <v>257</v>
      </c>
      <c r="D41" s="6">
        <v>44341</v>
      </c>
      <c r="E41" s="6">
        <v>45436</v>
      </c>
      <c r="F41" s="3" t="s">
        <v>30</v>
      </c>
      <c r="G41" s="6">
        <v>45436</v>
      </c>
      <c r="H41" s="3" t="s">
        <v>40</v>
      </c>
      <c r="I41" s="6" t="s">
        <v>41</v>
      </c>
      <c r="J41" s="3" t="s">
        <v>258</v>
      </c>
      <c r="K41" s="3" t="s">
        <v>30</v>
      </c>
      <c r="L41" s="3" t="s">
        <v>259</v>
      </c>
      <c r="M41" s="3" t="s">
        <v>92</v>
      </c>
      <c r="N41" s="3" t="s">
        <v>260</v>
      </c>
      <c r="O41" s="3" t="s">
        <v>261</v>
      </c>
      <c r="P41" s="3" t="s">
        <v>80</v>
      </c>
      <c r="Q41" s="5">
        <v>6643.2</v>
      </c>
      <c r="R41" s="5">
        <v>19929.599999999999</v>
      </c>
      <c r="S41" s="5">
        <v>0</v>
      </c>
      <c r="T41" s="3" t="s">
        <v>107</v>
      </c>
      <c r="U41" s="3" t="s">
        <v>262</v>
      </c>
      <c r="V41" s="3" t="s">
        <v>40</v>
      </c>
      <c r="W41" s="6">
        <f>DATE(YEAR(D41) + 3, MONTH(D41), DAY(D41))</f>
        <v>45437</v>
      </c>
      <c r="X41" s="6">
        <f>DATE(YEAR(E41) + 6, MONTH(E41), DAY(E41))</f>
        <v>47627</v>
      </c>
      <c r="Y41" s="3" t="s">
        <v>41</v>
      </c>
      <c r="Z41" s="3" t="s">
        <v>30</v>
      </c>
      <c r="AA41" s="3" t="s">
        <v>41</v>
      </c>
      <c r="AB41" s="3"/>
    </row>
    <row r="42" spans="1:28" ht="33" customHeight="1" x14ac:dyDescent="0.25">
      <c r="A42" s="7">
        <v>1498</v>
      </c>
      <c r="B42" s="3" t="s">
        <v>263</v>
      </c>
      <c r="C42" s="3" t="s">
        <v>264</v>
      </c>
      <c r="D42" s="6">
        <v>44470</v>
      </c>
      <c r="E42" s="6">
        <v>45930</v>
      </c>
      <c r="F42" s="3" t="s">
        <v>30</v>
      </c>
      <c r="G42" s="6">
        <v>45930</v>
      </c>
      <c r="H42" s="3" t="s">
        <v>31</v>
      </c>
      <c r="I42" s="6">
        <f>D42+365</f>
        <v>44835</v>
      </c>
      <c r="J42" s="3" t="s">
        <v>265</v>
      </c>
      <c r="K42" s="3" t="s">
        <v>33</v>
      </c>
      <c r="L42" s="3">
        <v>2248713</v>
      </c>
      <c r="M42" s="3" t="s">
        <v>48</v>
      </c>
      <c r="N42" s="3" t="s">
        <v>266</v>
      </c>
      <c r="O42" s="3" t="s">
        <v>36</v>
      </c>
      <c r="P42" s="3" t="s">
        <v>37</v>
      </c>
      <c r="Q42" s="5">
        <v>223237</v>
      </c>
      <c r="R42" s="5">
        <v>892948</v>
      </c>
      <c r="S42" s="5">
        <v>0</v>
      </c>
      <c r="T42" s="3" t="s">
        <v>38</v>
      </c>
      <c r="U42" s="3" t="s">
        <v>39</v>
      </c>
      <c r="V42" s="3" t="s">
        <v>31</v>
      </c>
      <c r="W42" s="6">
        <f>DATE(YEAR(D42) + 3, MONTH(D42), DAY(D42))</f>
        <v>45566</v>
      </c>
      <c r="X42" s="6">
        <f>DATE(YEAR(E42) + 6, MONTH(E42), DAY(E42))</f>
        <v>48121</v>
      </c>
      <c r="Y42" s="3" t="s">
        <v>41</v>
      </c>
      <c r="Z42" s="3" t="s">
        <v>30</v>
      </c>
      <c r="AA42" s="3" t="s">
        <v>41</v>
      </c>
      <c r="AB42" s="3" t="s">
        <v>72</v>
      </c>
    </row>
    <row r="43" spans="1:28" ht="33" customHeight="1" x14ac:dyDescent="0.25">
      <c r="A43" s="7">
        <v>1504</v>
      </c>
      <c r="B43" s="3" t="s">
        <v>267</v>
      </c>
      <c r="C43" s="3" t="s">
        <v>268</v>
      </c>
      <c r="D43" s="6">
        <v>44459</v>
      </c>
      <c r="E43" s="6">
        <v>45554</v>
      </c>
      <c r="F43" s="3" t="s">
        <v>269</v>
      </c>
      <c r="G43" s="6">
        <v>45555</v>
      </c>
      <c r="H43" s="3" t="s">
        <v>40</v>
      </c>
      <c r="I43" s="6">
        <v>45444</v>
      </c>
      <c r="J43" s="3" t="s">
        <v>270</v>
      </c>
      <c r="K43" s="3" t="s">
        <v>30</v>
      </c>
      <c r="L43" s="3" t="s">
        <v>271</v>
      </c>
      <c r="M43" s="3" t="s">
        <v>34</v>
      </c>
      <c r="N43" s="3" t="s">
        <v>272</v>
      </c>
      <c r="O43" s="3" t="s">
        <v>273</v>
      </c>
      <c r="P43" s="3" t="s">
        <v>95</v>
      </c>
      <c r="Q43" s="5">
        <v>666666</v>
      </c>
      <c r="R43" s="5">
        <v>2000000</v>
      </c>
      <c r="S43" s="5">
        <v>0</v>
      </c>
      <c r="T43" s="3" t="s">
        <v>38</v>
      </c>
      <c r="U43" s="3" t="s">
        <v>39</v>
      </c>
      <c r="V43" s="3" t="s">
        <v>40</v>
      </c>
      <c r="W43" s="6">
        <f>DATE(YEAR(D43) + 3, MONTH(D43), DAY(D43))</f>
        <v>45555</v>
      </c>
      <c r="X43" s="6">
        <f>DATE(YEAR(E43) + 6, MONTH(E43), DAY(E43))</f>
        <v>47745</v>
      </c>
      <c r="Y43" s="3" t="s">
        <v>41</v>
      </c>
      <c r="Z43" s="3" t="s">
        <v>30</v>
      </c>
      <c r="AA43" s="3" t="s">
        <v>41</v>
      </c>
      <c r="AB43" s="3" t="s">
        <v>58</v>
      </c>
    </row>
    <row r="44" spans="1:28" ht="33" customHeight="1" x14ac:dyDescent="0.25">
      <c r="A44" s="7">
        <v>1505</v>
      </c>
      <c r="B44" s="3" t="s">
        <v>274</v>
      </c>
      <c r="C44" s="3" t="s">
        <v>275</v>
      </c>
      <c r="D44" s="6">
        <v>44333</v>
      </c>
      <c r="E44" s="6">
        <v>45793</v>
      </c>
      <c r="F44" s="3" t="s">
        <v>276</v>
      </c>
      <c r="G44" s="6">
        <v>45793</v>
      </c>
      <c r="H44" s="3" t="s">
        <v>31</v>
      </c>
      <c r="I44" s="6" t="s">
        <v>41</v>
      </c>
      <c r="J44" s="3" t="s">
        <v>277</v>
      </c>
      <c r="K44" s="3" t="s">
        <v>30</v>
      </c>
      <c r="L44" s="3" t="s">
        <v>278</v>
      </c>
      <c r="M44" s="3" t="s">
        <v>92</v>
      </c>
      <c r="N44" s="3" t="s">
        <v>279</v>
      </c>
      <c r="O44" s="3" t="s">
        <v>36</v>
      </c>
      <c r="P44" s="3" t="s">
        <v>37</v>
      </c>
      <c r="Q44" s="5">
        <v>15000</v>
      </c>
      <c r="R44" s="5">
        <v>60000</v>
      </c>
      <c r="S44" s="5">
        <v>0</v>
      </c>
      <c r="T44" s="3" t="s">
        <v>38</v>
      </c>
      <c r="U44" s="3" t="s">
        <v>153</v>
      </c>
      <c r="V44" s="3" t="s">
        <v>40</v>
      </c>
      <c r="W44" s="6">
        <f>DATE(YEAR(D44) + 3, MONTH(D44), DAY(D44))</f>
        <v>45429</v>
      </c>
      <c r="X44" s="6">
        <f>DATE(YEAR(E44) + 3, MONTH(E44), DAY(E44))</f>
        <v>46889</v>
      </c>
      <c r="Y44" s="3" t="s">
        <v>41</v>
      </c>
      <c r="Z44" s="3" t="s">
        <v>30</v>
      </c>
      <c r="AA44" s="3" t="s">
        <v>41</v>
      </c>
      <c r="AB44" s="3" t="s">
        <v>280</v>
      </c>
    </row>
    <row r="45" spans="1:28" ht="33" customHeight="1" x14ac:dyDescent="0.25">
      <c r="A45" s="7">
        <v>1526</v>
      </c>
      <c r="B45" s="3" t="s">
        <v>281</v>
      </c>
      <c r="C45" s="3" t="s">
        <v>282</v>
      </c>
      <c r="D45" s="6">
        <v>44452</v>
      </c>
      <c r="E45" s="6">
        <v>44998</v>
      </c>
      <c r="F45" s="3" t="s">
        <v>269</v>
      </c>
      <c r="G45" s="6">
        <v>45548</v>
      </c>
      <c r="H45" s="3" t="s">
        <v>40</v>
      </c>
      <c r="I45" s="6" t="s">
        <v>41</v>
      </c>
      <c r="J45" s="3" t="s">
        <v>283</v>
      </c>
      <c r="K45" s="3" t="s">
        <v>33</v>
      </c>
      <c r="L45" s="3" t="s">
        <v>284</v>
      </c>
      <c r="M45" s="3" t="s">
        <v>48</v>
      </c>
      <c r="N45" s="3" t="s">
        <v>285</v>
      </c>
      <c r="O45" s="3" t="s">
        <v>168</v>
      </c>
      <c r="P45" s="3" t="s">
        <v>95</v>
      </c>
      <c r="Q45" s="5">
        <v>350000</v>
      </c>
      <c r="R45" s="5">
        <v>700000</v>
      </c>
      <c r="S45" s="5">
        <v>0</v>
      </c>
      <c r="T45" s="3" t="s">
        <v>38</v>
      </c>
      <c r="U45" s="3" t="s">
        <v>39</v>
      </c>
      <c r="V45" s="3" t="s">
        <v>40</v>
      </c>
      <c r="W45" s="6">
        <f>DATE(YEAR(D45) + 3, MONTH(D45), DAY(D45))</f>
        <v>45548</v>
      </c>
      <c r="X45" s="6">
        <f>DATE(YEAR(E45) + 6, MONTH(E45), DAY(E45))</f>
        <v>47190</v>
      </c>
      <c r="Y45" s="3" t="s">
        <v>41</v>
      </c>
      <c r="Z45" s="3" t="s">
        <v>30</v>
      </c>
      <c r="AA45" s="3" t="s">
        <v>41</v>
      </c>
      <c r="AB45" s="3" t="s">
        <v>163</v>
      </c>
    </row>
    <row r="46" spans="1:28" ht="33" customHeight="1" x14ac:dyDescent="0.25">
      <c r="A46" s="7">
        <v>1559</v>
      </c>
      <c r="B46" s="3" t="s">
        <v>286</v>
      </c>
      <c r="C46" s="3" t="s">
        <v>287</v>
      </c>
      <c r="D46" s="6">
        <v>44589</v>
      </c>
      <c r="E46" s="6">
        <v>45016</v>
      </c>
      <c r="F46" s="3" t="s">
        <v>288</v>
      </c>
      <c r="G46" s="6">
        <v>45747</v>
      </c>
      <c r="H46" s="3" t="s">
        <v>31</v>
      </c>
      <c r="I46" s="6">
        <v>44954</v>
      </c>
      <c r="J46" s="3" t="s">
        <v>289</v>
      </c>
      <c r="K46" s="3" t="s">
        <v>30</v>
      </c>
      <c r="L46" s="3" t="s">
        <v>290</v>
      </c>
      <c r="M46" s="3" t="s">
        <v>92</v>
      </c>
      <c r="N46" s="3" t="s">
        <v>291</v>
      </c>
      <c r="O46" s="3" t="s">
        <v>63</v>
      </c>
      <c r="P46" s="3" t="s">
        <v>64</v>
      </c>
      <c r="Q46" s="5">
        <v>72500</v>
      </c>
      <c r="R46" s="5">
        <v>72500</v>
      </c>
      <c r="S46" s="5">
        <v>0</v>
      </c>
      <c r="T46" s="3" t="s">
        <v>38</v>
      </c>
      <c r="U46" s="3" t="s">
        <v>39</v>
      </c>
      <c r="V46" s="3" t="s">
        <v>31</v>
      </c>
      <c r="W46" s="6">
        <f>DATE(YEAR(D46) + 3, MONTH(D46), DAY(D46))</f>
        <v>45685</v>
      </c>
      <c r="X46" s="6">
        <f>DATE(YEAR(E46) + 3, MONTH(E46), DAY(E46))</f>
        <v>46112</v>
      </c>
      <c r="Y46" s="3" t="s">
        <v>41</v>
      </c>
      <c r="Z46" s="3" t="s">
        <v>30</v>
      </c>
      <c r="AA46" s="3" t="s">
        <v>41</v>
      </c>
      <c r="AB46" s="3" t="s">
        <v>72</v>
      </c>
    </row>
    <row r="47" spans="1:28" ht="33" customHeight="1" x14ac:dyDescent="0.25">
      <c r="A47" s="7">
        <v>1591</v>
      </c>
      <c r="B47" s="3" t="s">
        <v>292</v>
      </c>
      <c r="C47" s="3" t="s">
        <v>293</v>
      </c>
      <c r="D47" s="6">
        <v>44621</v>
      </c>
      <c r="E47" s="6">
        <v>44985</v>
      </c>
      <c r="F47" s="3" t="s">
        <v>45</v>
      </c>
      <c r="G47" s="6">
        <v>45350</v>
      </c>
      <c r="H47" s="3" t="s">
        <v>40</v>
      </c>
      <c r="I47" s="6" t="s">
        <v>41</v>
      </c>
      <c r="J47" s="3" t="s">
        <v>294</v>
      </c>
      <c r="K47" s="3"/>
      <c r="L47" s="3" t="s">
        <v>295</v>
      </c>
      <c r="M47" s="3" t="s">
        <v>92</v>
      </c>
      <c r="N47" s="3" t="s">
        <v>244</v>
      </c>
      <c r="O47" s="3" t="s">
        <v>223</v>
      </c>
      <c r="P47" s="3" t="s">
        <v>224</v>
      </c>
      <c r="Q47" s="5">
        <v>33600</v>
      </c>
      <c r="R47" s="5">
        <v>33600</v>
      </c>
      <c r="S47" s="5">
        <v>0</v>
      </c>
      <c r="T47" s="3" t="s">
        <v>107</v>
      </c>
      <c r="U47" s="3" t="s">
        <v>39</v>
      </c>
      <c r="V47" s="3" t="s">
        <v>40</v>
      </c>
      <c r="W47" s="6">
        <f>DATE(YEAR(D47) + 3, MONTH(D47), DAY(D47))</f>
        <v>45717</v>
      </c>
      <c r="X47" s="6">
        <f>DATE(YEAR(E47) + 3, MONTH(E47), DAY(E47))</f>
        <v>46081</v>
      </c>
      <c r="Y47" s="3" t="s">
        <v>41</v>
      </c>
      <c r="Z47" s="3" t="s">
        <v>30</v>
      </c>
      <c r="AA47" s="3" t="s">
        <v>41</v>
      </c>
      <c r="AB47" s="3" t="s">
        <v>72</v>
      </c>
    </row>
    <row r="48" spans="1:28" ht="33" customHeight="1" x14ac:dyDescent="0.25">
      <c r="A48" s="7">
        <v>48058</v>
      </c>
      <c r="B48" s="3" t="s">
        <v>296</v>
      </c>
      <c r="C48" s="3" t="s">
        <v>297</v>
      </c>
      <c r="D48" s="6">
        <v>44627</v>
      </c>
      <c r="E48" s="6">
        <v>45449</v>
      </c>
      <c r="F48" s="3" t="s">
        <v>30</v>
      </c>
      <c r="G48" s="6">
        <v>45449</v>
      </c>
      <c r="H48" s="3" t="s">
        <v>40</v>
      </c>
      <c r="I48" s="6" t="s">
        <v>41</v>
      </c>
      <c r="J48" s="3" t="s">
        <v>298</v>
      </c>
      <c r="K48" s="3" t="s">
        <v>33</v>
      </c>
      <c r="L48" s="3">
        <v>7424081</v>
      </c>
      <c r="M48" s="3" t="s">
        <v>92</v>
      </c>
      <c r="N48" s="3" t="s">
        <v>299</v>
      </c>
      <c r="O48" s="3" t="s">
        <v>237</v>
      </c>
      <c r="P48" s="3" t="s">
        <v>224</v>
      </c>
      <c r="Q48" s="5">
        <v>80000</v>
      </c>
      <c r="R48" s="5">
        <v>160000</v>
      </c>
      <c r="S48" s="5">
        <v>0</v>
      </c>
      <c r="T48" s="3" t="s">
        <v>38</v>
      </c>
      <c r="U48" s="3" t="s">
        <v>39</v>
      </c>
      <c r="V48" s="3" t="s">
        <v>40</v>
      </c>
      <c r="W48" s="6">
        <f>DATE(YEAR(D48) + 3, MONTH(D48), DAY(D48))</f>
        <v>45723</v>
      </c>
      <c r="X48" s="6">
        <f>DATE(YEAR(E48) + 3, MONTH(E48), DAY(E48))</f>
        <v>46544</v>
      </c>
      <c r="Y48" s="3" t="s">
        <v>41</v>
      </c>
      <c r="Z48" s="3" t="s">
        <v>30</v>
      </c>
      <c r="AA48" s="3" t="s">
        <v>41</v>
      </c>
      <c r="AB48" s="3" t="s">
        <v>96</v>
      </c>
    </row>
    <row r="49" spans="1:28" ht="33" customHeight="1" x14ac:dyDescent="0.25">
      <c r="A49" s="7">
        <v>49132</v>
      </c>
      <c r="B49" s="3" t="s">
        <v>300</v>
      </c>
      <c r="C49" s="3" t="s">
        <v>300</v>
      </c>
      <c r="D49" s="6">
        <v>44713</v>
      </c>
      <c r="E49" s="6">
        <v>45814</v>
      </c>
      <c r="F49" s="3" t="s">
        <v>30</v>
      </c>
      <c r="G49" s="6">
        <v>45814</v>
      </c>
      <c r="H49" s="3" t="s">
        <v>40</v>
      </c>
      <c r="I49" s="6" t="s">
        <v>301</v>
      </c>
      <c r="J49" s="3" t="s">
        <v>302</v>
      </c>
      <c r="K49" s="3" t="s">
        <v>30</v>
      </c>
      <c r="L49" s="3">
        <v>4121166</v>
      </c>
      <c r="M49" s="3" t="s">
        <v>92</v>
      </c>
      <c r="N49" s="3" t="s">
        <v>303</v>
      </c>
      <c r="O49" s="3" t="s">
        <v>237</v>
      </c>
      <c r="P49" s="3" t="s">
        <v>224</v>
      </c>
      <c r="Q49" s="5">
        <v>43566.66</v>
      </c>
      <c r="R49" s="5">
        <v>130700</v>
      </c>
      <c r="S49" s="5">
        <v>0</v>
      </c>
      <c r="T49" s="3" t="s">
        <v>38</v>
      </c>
      <c r="U49" s="3" t="s">
        <v>304</v>
      </c>
      <c r="V49" s="3" t="s">
        <v>40</v>
      </c>
      <c r="W49" s="6">
        <f>DATE(YEAR(D49) + 3, MONTH(D49), DAY(D49))</f>
        <v>45809</v>
      </c>
      <c r="X49" s="6">
        <f>DATE(YEAR(E49) + 3, MONTH(E49), DAY(E49))</f>
        <v>46910</v>
      </c>
      <c r="Y49" s="3" t="s">
        <v>41</v>
      </c>
      <c r="Z49" s="3" t="s">
        <v>30</v>
      </c>
      <c r="AA49" s="3" t="s">
        <v>41</v>
      </c>
      <c r="AB49" s="3" t="s">
        <v>72</v>
      </c>
    </row>
    <row r="50" spans="1:28" ht="33" customHeight="1" x14ac:dyDescent="0.25">
      <c r="A50" s="7">
        <v>49137</v>
      </c>
      <c r="B50" s="3" t="s">
        <v>305</v>
      </c>
      <c r="C50" s="3" t="s">
        <v>306</v>
      </c>
      <c r="D50" s="6">
        <v>44873</v>
      </c>
      <c r="E50" s="6">
        <v>45968</v>
      </c>
      <c r="F50" s="3" t="s">
        <v>45</v>
      </c>
      <c r="G50" s="6">
        <v>46698</v>
      </c>
      <c r="H50" s="3" t="s">
        <v>31</v>
      </c>
      <c r="I50" s="6">
        <v>45231</v>
      </c>
      <c r="J50" s="3" t="s">
        <v>307</v>
      </c>
      <c r="K50" s="3" t="s">
        <v>182</v>
      </c>
      <c r="L50" s="3">
        <v>8322856</v>
      </c>
      <c r="M50" s="3" t="s">
        <v>48</v>
      </c>
      <c r="N50" s="3" t="s">
        <v>116</v>
      </c>
      <c r="O50" s="3" t="s">
        <v>79</v>
      </c>
      <c r="P50" s="3" t="s">
        <v>80</v>
      </c>
      <c r="Q50" s="5">
        <v>49076.4</v>
      </c>
      <c r="R50" s="5">
        <v>256524.78</v>
      </c>
      <c r="S50" s="5">
        <v>0</v>
      </c>
      <c r="T50" s="3" t="s">
        <v>38</v>
      </c>
      <c r="U50" s="3" t="s">
        <v>39</v>
      </c>
      <c r="V50" s="3" t="s">
        <v>40</v>
      </c>
      <c r="W50" s="6">
        <f>DATE(YEAR(D50) + 3, MONTH(D50), DAY(D50))</f>
        <v>45969</v>
      </c>
      <c r="X50" s="6">
        <f>DATE(YEAR(E50) + 6, MONTH(E50), DAY(E50))</f>
        <v>48159</v>
      </c>
      <c r="Y50" s="3" t="s">
        <v>45</v>
      </c>
      <c r="Z50" s="3" t="s">
        <v>30</v>
      </c>
      <c r="AA50" s="3" t="s">
        <v>41</v>
      </c>
      <c r="AB50" s="3" t="s">
        <v>72</v>
      </c>
    </row>
    <row r="51" spans="1:28" ht="33" customHeight="1" x14ac:dyDescent="0.25">
      <c r="A51" s="7">
        <v>51317</v>
      </c>
      <c r="B51" s="3" t="s">
        <v>308</v>
      </c>
      <c r="C51" s="3" t="s">
        <v>309</v>
      </c>
      <c r="D51" s="6">
        <v>44778</v>
      </c>
      <c r="E51" s="6">
        <v>46603</v>
      </c>
      <c r="F51" s="3" t="s">
        <v>30</v>
      </c>
      <c r="G51" s="6">
        <v>46603</v>
      </c>
      <c r="H51" s="3" t="s">
        <v>40</v>
      </c>
      <c r="I51" s="6" t="s">
        <v>41</v>
      </c>
      <c r="J51" s="3" t="s">
        <v>310</v>
      </c>
      <c r="K51" s="3" t="s">
        <v>33</v>
      </c>
      <c r="L51" s="3" t="s">
        <v>311</v>
      </c>
      <c r="M51" s="3" t="s">
        <v>92</v>
      </c>
      <c r="N51" s="3" t="s">
        <v>312</v>
      </c>
      <c r="O51" s="3" t="s">
        <v>237</v>
      </c>
      <c r="P51" s="3" t="s">
        <v>224</v>
      </c>
      <c r="Q51" s="5">
        <v>10300</v>
      </c>
      <c r="R51" s="5">
        <v>300000</v>
      </c>
      <c r="S51" s="5">
        <v>0</v>
      </c>
      <c r="T51" s="3" t="s">
        <v>38</v>
      </c>
      <c r="U51" s="3" t="s">
        <v>39</v>
      </c>
      <c r="V51" s="3" t="s">
        <v>40</v>
      </c>
      <c r="W51" s="6">
        <f>DATE(YEAR(D51) + 3, MONTH(D51), DAY(D51))</f>
        <v>45874</v>
      </c>
      <c r="X51" s="6">
        <f>DATE(YEAR(E51) + 3, MONTH(E51), DAY(E51))</f>
        <v>47699</v>
      </c>
      <c r="Y51" s="3" t="s">
        <v>41</v>
      </c>
      <c r="Z51" s="3" t="s">
        <v>30</v>
      </c>
      <c r="AA51" s="3" t="s">
        <v>41</v>
      </c>
      <c r="AB51" s="3" t="s">
        <v>163</v>
      </c>
    </row>
    <row r="52" spans="1:28" ht="33" customHeight="1" x14ac:dyDescent="0.25">
      <c r="A52" s="7">
        <v>51855</v>
      </c>
      <c r="B52" s="3" t="s">
        <v>313</v>
      </c>
      <c r="C52" s="3" t="s">
        <v>314</v>
      </c>
      <c r="D52" s="6">
        <v>44835</v>
      </c>
      <c r="E52" s="6">
        <v>45565</v>
      </c>
      <c r="F52" s="3" t="s">
        <v>45</v>
      </c>
      <c r="G52" s="6">
        <v>46660</v>
      </c>
      <c r="H52" s="3" t="s">
        <v>31</v>
      </c>
      <c r="I52" s="6">
        <v>45139</v>
      </c>
      <c r="J52" s="3" t="s">
        <v>315</v>
      </c>
      <c r="K52" s="3" t="s">
        <v>30</v>
      </c>
      <c r="L52" s="3" t="s">
        <v>316</v>
      </c>
      <c r="M52" s="3" t="s">
        <v>34</v>
      </c>
      <c r="N52" s="3" t="s">
        <v>49</v>
      </c>
      <c r="O52" s="3" t="s">
        <v>50</v>
      </c>
      <c r="P52" s="3" t="s">
        <v>37</v>
      </c>
      <c r="Q52" s="5">
        <v>444213</v>
      </c>
      <c r="R52" s="5">
        <v>2221065</v>
      </c>
      <c r="S52" s="5">
        <v>0</v>
      </c>
      <c r="T52" s="3" t="s">
        <v>38</v>
      </c>
      <c r="U52" s="3" t="s">
        <v>317</v>
      </c>
      <c r="V52" s="3" t="s">
        <v>31</v>
      </c>
      <c r="W52" s="6">
        <f>DATE(YEAR(D52) + 3, MONTH(D52), DAY(D52))</f>
        <v>45931</v>
      </c>
      <c r="X52" s="6">
        <f>DATE(YEAR(E52) + 3, MONTH(E52), DAY(E52))</f>
        <v>46660</v>
      </c>
      <c r="Y52" s="3" t="s">
        <v>41</v>
      </c>
      <c r="Z52" s="3" t="s">
        <v>30</v>
      </c>
      <c r="AA52" s="3" t="s">
        <v>41</v>
      </c>
      <c r="AB52" s="3" t="s">
        <v>51</v>
      </c>
    </row>
    <row r="53" spans="1:28" ht="33" customHeight="1" x14ac:dyDescent="0.25">
      <c r="A53" s="7">
        <v>52896</v>
      </c>
      <c r="B53" s="3" t="s">
        <v>318</v>
      </c>
      <c r="C53" s="3" t="s">
        <v>319</v>
      </c>
      <c r="D53" s="6">
        <v>44793</v>
      </c>
      <c r="E53" s="6">
        <v>45450</v>
      </c>
      <c r="F53" s="3" t="s">
        <v>30</v>
      </c>
      <c r="G53" s="6">
        <v>45450</v>
      </c>
      <c r="H53" s="3" t="s">
        <v>40</v>
      </c>
      <c r="I53" s="6">
        <v>45158</v>
      </c>
      <c r="J53" s="3" t="s">
        <v>320</v>
      </c>
      <c r="K53" s="3" t="s">
        <v>30</v>
      </c>
      <c r="L53" s="3">
        <v>482405</v>
      </c>
      <c r="M53" s="3" t="s">
        <v>34</v>
      </c>
      <c r="N53" s="3" t="s">
        <v>200</v>
      </c>
      <c r="O53" s="3" t="s">
        <v>50</v>
      </c>
      <c r="P53" s="3" t="s">
        <v>37</v>
      </c>
      <c r="Q53" s="5">
        <v>7193233</v>
      </c>
      <c r="R53" s="5">
        <v>7193233</v>
      </c>
      <c r="S53" s="5">
        <v>0</v>
      </c>
      <c r="T53" s="3" t="s">
        <v>38</v>
      </c>
      <c r="U53" s="3" t="s">
        <v>39</v>
      </c>
      <c r="V53" s="3" t="s">
        <v>40</v>
      </c>
      <c r="W53" s="6" t="s">
        <v>41</v>
      </c>
      <c r="X53" s="6" t="s">
        <v>41</v>
      </c>
      <c r="Y53" s="3" t="s">
        <v>41</v>
      </c>
      <c r="Z53" s="3" t="s">
        <v>45</v>
      </c>
      <c r="AA53" s="3" t="s">
        <v>45</v>
      </c>
      <c r="AB53" s="3" t="s">
        <v>88</v>
      </c>
    </row>
    <row r="54" spans="1:28" ht="33" customHeight="1" x14ac:dyDescent="0.25">
      <c r="A54" s="7">
        <v>53161</v>
      </c>
      <c r="B54" s="3" t="s">
        <v>321</v>
      </c>
      <c r="C54" s="3" t="s">
        <v>322</v>
      </c>
      <c r="D54" s="6">
        <v>44837</v>
      </c>
      <c r="E54" s="6">
        <v>46297</v>
      </c>
      <c r="F54" s="3" t="s">
        <v>30</v>
      </c>
      <c r="G54" s="6">
        <v>46297</v>
      </c>
      <c r="H54" s="3" t="s">
        <v>31</v>
      </c>
      <c r="I54" s="6">
        <v>44986</v>
      </c>
      <c r="J54" s="3" t="s">
        <v>323</v>
      </c>
      <c r="K54" s="3" t="s">
        <v>33</v>
      </c>
      <c r="L54" s="3" t="s">
        <v>324</v>
      </c>
      <c r="M54" s="3" t="s">
        <v>34</v>
      </c>
      <c r="N54" s="3" t="s">
        <v>216</v>
      </c>
      <c r="O54" s="3" t="s">
        <v>168</v>
      </c>
      <c r="P54" s="3" t="s">
        <v>95</v>
      </c>
      <c r="Q54" s="5">
        <v>7500000</v>
      </c>
      <c r="R54" s="5">
        <v>30000000</v>
      </c>
      <c r="S54" s="5">
        <v>0</v>
      </c>
      <c r="T54" s="3" t="s">
        <v>38</v>
      </c>
      <c r="U54" s="3" t="s">
        <v>325</v>
      </c>
      <c r="V54" s="3" t="s">
        <v>31</v>
      </c>
      <c r="W54" s="6">
        <f>DATE(YEAR(D54) + 3, MONTH(D54), DAY(D54))</f>
        <v>45933</v>
      </c>
      <c r="X54" s="6">
        <f>DATE(YEAR(E54) + 3, MONTH(E54), DAY(E54))</f>
        <v>47393</v>
      </c>
      <c r="Y54" s="3"/>
      <c r="Z54" s="3" t="s">
        <v>30</v>
      </c>
      <c r="AA54" s="3" t="s">
        <v>41</v>
      </c>
      <c r="AB54" s="3" t="s">
        <v>96</v>
      </c>
    </row>
    <row r="55" spans="1:28" ht="33" customHeight="1" x14ac:dyDescent="0.25">
      <c r="A55" s="7">
        <v>53568</v>
      </c>
      <c r="B55" s="3" t="s">
        <v>326</v>
      </c>
      <c r="C55" s="3" t="s">
        <v>327</v>
      </c>
      <c r="D55" s="6">
        <v>44770</v>
      </c>
      <c r="E55" s="6">
        <v>45501</v>
      </c>
      <c r="F55" s="3" t="s">
        <v>45</v>
      </c>
      <c r="G55" s="6">
        <v>46231</v>
      </c>
      <c r="H55" s="3" t="s">
        <v>31</v>
      </c>
      <c r="I55" s="6">
        <v>45143</v>
      </c>
      <c r="J55" s="3" t="s">
        <v>328</v>
      </c>
      <c r="K55" s="3" t="s">
        <v>30</v>
      </c>
      <c r="L55" s="3">
        <v>2946689</v>
      </c>
      <c r="M55" s="3" t="s">
        <v>34</v>
      </c>
      <c r="N55" s="3" t="s">
        <v>191</v>
      </c>
      <c r="O55" s="3" t="s">
        <v>63</v>
      </c>
      <c r="P55" s="3" t="s">
        <v>64</v>
      </c>
      <c r="Q55" s="5">
        <v>625000</v>
      </c>
      <c r="R55" s="5">
        <v>2500000</v>
      </c>
      <c r="S55" s="5">
        <v>0</v>
      </c>
      <c r="T55" s="3" t="s">
        <v>38</v>
      </c>
      <c r="U55" s="3" t="s">
        <v>39</v>
      </c>
      <c r="V55" s="3" t="s">
        <v>31</v>
      </c>
      <c r="W55" s="6">
        <f>DATE(YEAR(D55) + 3, MONTH(D55), DAY(D55))</f>
        <v>45866</v>
      </c>
      <c r="X55" s="6">
        <f>DATE(YEAR(E55) + 3, MONTH(E55), DAY(E55))</f>
        <v>46596</v>
      </c>
      <c r="Y55" s="3" t="s">
        <v>45</v>
      </c>
      <c r="Z55" s="3" t="s">
        <v>30</v>
      </c>
      <c r="AA55" s="3" t="s">
        <v>41</v>
      </c>
      <c r="AB55" s="3" t="s">
        <v>88</v>
      </c>
    </row>
    <row r="56" spans="1:28" ht="33" customHeight="1" x14ac:dyDescent="0.25">
      <c r="A56" s="7">
        <v>53884</v>
      </c>
      <c r="B56" s="3" t="s">
        <v>329</v>
      </c>
      <c r="C56" s="3" t="s">
        <v>330</v>
      </c>
      <c r="D56" s="6">
        <v>44958</v>
      </c>
      <c r="E56" s="6">
        <v>45504</v>
      </c>
      <c r="F56" s="3" t="s">
        <v>31</v>
      </c>
      <c r="G56" s="6">
        <v>46054</v>
      </c>
      <c r="H56" s="3" t="s">
        <v>31</v>
      </c>
      <c r="I56" s="6">
        <v>45322</v>
      </c>
      <c r="J56" s="3" t="s">
        <v>331</v>
      </c>
      <c r="K56" s="3" t="s">
        <v>182</v>
      </c>
      <c r="L56" s="3">
        <v>4106751</v>
      </c>
      <c r="M56" s="3" t="s">
        <v>34</v>
      </c>
      <c r="N56" s="3" t="s">
        <v>332</v>
      </c>
      <c r="O56" s="3" t="s">
        <v>273</v>
      </c>
      <c r="P56" s="3" t="s">
        <v>95</v>
      </c>
      <c r="Q56" s="5">
        <v>300000</v>
      </c>
      <c r="R56" s="5">
        <v>900000</v>
      </c>
      <c r="S56" s="5">
        <v>0</v>
      </c>
      <c r="T56" s="3" t="s">
        <v>38</v>
      </c>
      <c r="U56" s="3" t="s">
        <v>333</v>
      </c>
      <c r="V56" s="3" t="s">
        <v>40</v>
      </c>
      <c r="W56" s="6" t="s">
        <v>41</v>
      </c>
      <c r="X56" s="6"/>
      <c r="Y56" s="3"/>
      <c r="Z56" s="3" t="s">
        <v>30</v>
      </c>
      <c r="AA56" s="3" t="s">
        <v>41</v>
      </c>
      <c r="AB56" s="3" t="s">
        <v>72</v>
      </c>
    </row>
    <row r="57" spans="1:28" ht="33" customHeight="1" x14ac:dyDescent="0.25">
      <c r="A57" s="7">
        <v>54215</v>
      </c>
      <c r="B57" s="3" t="s">
        <v>334</v>
      </c>
      <c r="C57" s="3" t="s">
        <v>335</v>
      </c>
      <c r="D57" s="6">
        <v>44839</v>
      </c>
      <c r="E57" s="6">
        <v>45569</v>
      </c>
      <c r="F57" s="3" t="s">
        <v>30</v>
      </c>
      <c r="G57" s="6">
        <v>45569</v>
      </c>
      <c r="H57" s="3" t="s">
        <v>40</v>
      </c>
      <c r="I57" s="6">
        <v>45170</v>
      </c>
      <c r="J57" s="3" t="s">
        <v>336</v>
      </c>
      <c r="K57" s="3" t="s">
        <v>30</v>
      </c>
      <c r="L57" s="3" t="s">
        <v>337</v>
      </c>
      <c r="M57" s="3" t="s">
        <v>34</v>
      </c>
      <c r="N57" s="3" t="s">
        <v>338</v>
      </c>
      <c r="O57" s="3" t="s">
        <v>63</v>
      </c>
      <c r="P57" s="3" t="s">
        <v>64</v>
      </c>
      <c r="Q57" s="5">
        <v>639785</v>
      </c>
      <c r="R57" s="5">
        <v>639785</v>
      </c>
      <c r="S57" s="5">
        <v>0</v>
      </c>
      <c r="T57" s="3" t="s">
        <v>38</v>
      </c>
      <c r="U57" s="3" t="s">
        <v>162</v>
      </c>
      <c r="V57" s="3" t="s">
        <v>31</v>
      </c>
      <c r="W57" s="6">
        <f>DATE(YEAR(D57) + 3, MONTH(D57), DAY(D57))</f>
        <v>45935</v>
      </c>
      <c r="X57" s="6">
        <f>DATE(YEAR(E57) + 6, MONTH(E57), DAY(E57))</f>
        <v>47760</v>
      </c>
      <c r="Y57" s="3" t="s">
        <v>41</v>
      </c>
      <c r="Z57" s="3" t="s">
        <v>45</v>
      </c>
      <c r="AA57" s="3" t="s">
        <v>45</v>
      </c>
      <c r="AB57" s="3" t="s">
        <v>96</v>
      </c>
    </row>
    <row r="58" spans="1:28" ht="33" customHeight="1" x14ac:dyDescent="0.25">
      <c r="A58" s="7">
        <v>55831</v>
      </c>
      <c r="B58" s="3" t="s">
        <v>339</v>
      </c>
      <c r="C58" s="3" t="s">
        <v>340</v>
      </c>
      <c r="D58" s="6">
        <v>44805</v>
      </c>
      <c r="E58" s="6">
        <v>46630</v>
      </c>
      <c r="F58" s="3" t="s">
        <v>31</v>
      </c>
      <c r="G58" s="6">
        <v>46996</v>
      </c>
      <c r="H58" s="3" t="s">
        <v>54</v>
      </c>
      <c r="I58" s="6">
        <v>46265</v>
      </c>
      <c r="J58" s="3" t="s">
        <v>341</v>
      </c>
      <c r="K58" s="3" t="s">
        <v>30</v>
      </c>
      <c r="L58" s="3">
        <v>1359357</v>
      </c>
      <c r="M58" s="3" t="s">
        <v>92</v>
      </c>
      <c r="N58" s="3" t="s">
        <v>342</v>
      </c>
      <c r="O58" s="3" t="s">
        <v>50</v>
      </c>
      <c r="P58" s="3" t="s">
        <v>37</v>
      </c>
      <c r="Q58" s="5">
        <v>0</v>
      </c>
      <c r="R58" s="5">
        <v>0</v>
      </c>
      <c r="S58" s="5">
        <v>0</v>
      </c>
      <c r="T58" s="3" t="s">
        <v>38</v>
      </c>
      <c r="U58" s="3" t="s">
        <v>39</v>
      </c>
      <c r="V58" s="3" t="s">
        <v>31</v>
      </c>
      <c r="W58" s="6">
        <f>DATE(YEAR(D58) + 3, MONTH(D58), DAY(D58))</f>
        <v>45901</v>
      </c>
      <c r="X58" s="6">
        <f>DATE(YEAR(E58) + 6, MONTH(E58), DAY(E58))</f>
        <v>48822</v>
      </c>
      <c r="Y58" s="3" t="s">
        <v>41</v>
      </c>
      <c r="Z58" s="3" t="s">
        <v>30</v>
      </c>
      <c r="AA58" s="3" t="s">
        <v>41</v>
      </c>
      <c r="AB58" s="3" t="s">
        <v>343</v>
      </c>
    </row>
    <row r="59" spans="1:28" ht="33" customHeight="1" x14ac:dyDescent="0.25">
      <c r="A59" s="7">
        <v>56921</v>
      </c>
      <c r="B59" s="3" t="s">
        <v>344</v>
      </c>
      <c r="C59" s="3" t="s">
        <v>345</v>
      </c>
      <c r="D59" s="6">
        <v>44816</v>
      </c>
      <c r="E59" s="6">
        <v>45747</v>
      </c>
      <c r="F59" s="3" t="s">
        <v>41</v>
      </c>
      <c r="G59" s="6">
        <v>45747</v>
      </c>
      <c r="H59" s="3" t="s">
        <v>40</v>
      </c>
      <c r="I59" s="6"/>
      <c r="J59" s="3" t="s">
        <v>346</v>
      </c>
      <c r="K59" s="3" t="s">
        <v>33</v>
      </c>
      <c r="L59" s="3" t="s">
        <v>347</v>
      </c>
      <c r="M59" s="3" t="s">
        <v>92</v>
      </c>
      <c r="N59" s="3" t="s">
        <v>348</v>
      </c>
      <c r="O59" s="3" t="s">
        <v>237</v>
      </c>
      <c r="P59" s="3" t="s">
        <v>224</v>
      </c>
      <c r="Q59" s="5">
        <v>22258</v>
      </c>
      <c r="R59" s="5">
        <v>57500</v>
      </c>
      <c r="S59" s="5"/>
      <c r="T59" s="3" t="s">
        <v>38</v>
      </c>
      <c r="U59" s="3" t="s">
        <v>39</v>
      </c>
      <c r="V59" s="3" t="s">
        <v>40</v>
      </c>
      <c r="W59" s="6"/>
      <c r="X59" s="6"/>
      <c r="Y59" s="3"/>
      <c r="Z59" s="3" t="s">
        <v>30</v>
      </c>
      <c r="AA59" s="3" t="s">
        <v>41</v>
      </c>
      <c r="AB59" s="3"/>
    </row>
    <row r="60" spans="1:28" ht="33" customHeight="1" x14ac:dyDescent="0.25">
      <c r="A60" s="7">
        <v>57005</v>
      </c>
      <c r="B60" s="3" t="s">
        <v>349</v>
      </c>
      <c r="C60" s="3" t="s">
        <v>350</v>
      </c>
      <c r="D60" s="6">
        <v>44852</v>
      </c>
      <c r="E60" s="6">
        <v>45504</v>
      </c>
      <c r="F60" s="3" t="s">
        <v>30</v>
      </c>
      <c r="G60" s="6">
        <v>45504</v>
      </c>
      <c r="H60" s="3" t="s">
        <v>40</v>
      </c>
      <c r="I60" s="6">
        <v>45399</v>
      </c>
      <c r="J60" s="3" t="s">
        <v>351</v>
      </c>
      <c r="K60" s="3" t="s">
        <v>30</v>
      </c>
      <c r="L60" s="3" t="s">
        <v>352</v>
      </c>
      <c r="M60" s="3" t="s">
        <v>48</v>
      </c>
      <c r="N60" s="3" t="s">
        <v>353</v>
      </c>
      <c r="O60" s="3" t="s">
        <v>168</v>
      </c>
      <c r="P60" s="3" t="s">
        <v>95</v>
      </c>
      <c r="Q60" s="5">
        <f>SUM(R60/2)</f>
        <v>46842.5</v>
      </c>
      <c r="R60" s="5">
        <v>93685</v>
      </c>
      <c r="S60" s="5">
        <v>0</v>
      </c>
      <c r="T60" s="3" t="s">
        <v>38</v>
      </c>
      <c r="U60" s="3" t="s">
        <v>354</v>
      </c>
      <c r="V60" s="3" t="s">
        <v>40</v>
      </c>
      <c r="W60" s="6">
        <f>DATE(YEAR(D60) + 3, MONTH(D60), DAY(D60))</f>
        <v>45948</v>
      </c>
      <c r="X60" s="6">
        <f>DATE(YEAR(E60) + 3, MONTH(E60), DAY(E60))</f>
        <v>46599</v>
      </c>
      <c r="Y60" s="3" t="s">
        <v>45</v>
      </c>
      <c r="Z60" s="3" t="s">
        <v>30</v>
      </c>
      <c r="AA60" s="3" t="s">
        <v>41</v>
      </c>
      <c r="AB60" s="3" t="s">
        <v>163</v>
      </c>
    </row>
    <row r="61" spans="1:28" ht="33" customHeight="1" x14ac:dyDescent="0.25">
      <c r="A61" s="7">
        <v>57104</v>
      </c>
      <c r="B61" s="3" t="s">
        <v>355</v>
      </c>
      <c r="C61" s="3" t="s">
        <v>356</v>
      </c>
      <c r="D61" s="6">
        <v>44869</v>
      </c>
      <c r="E61" s="6">
        <v>45230</v>
      </c>
      <c r="F61" s="3" t="s">
        <v>45</v>
      </c>
      <c r="G61" s="6">
        <v>45596</v>
      </c>
      <c r="H61" s="3" t="s">
        <v>40</v>
      </c>
      <c r="I61" s="6" t="s">
        <v>357</v>
      </c>
      <c r="J61" s="3" t="s">
        <v>358</v>
      </c>
      <c r="K61" s="3" t="s">
        <v>30</v>
      </c>
      <c r="L61" s="3" t="s">
        <v>359</v>
      </c>
      <c r="M61" s="3" t="s">
        <v>360</v>
      </c>
      <c r="N61" s="3" t="s">
        <v>361</v>
      </c>
      <c r="O61" s="3" t="s">
        <v>273</v>
      </c>
      <c r="P61" s="3" t="s">
        <v>95</v>
      </c>
      <c r="Q61" s="5">
        <v>250000</v>
      </c>
      <c r="R61" s="5">
        <v>250000</v>
      </c>
      <c r="S61" s="5">
        <v>0</v>
      </c>
      <c r="T61" s="3" t="s">
        <v>38</v>
      </c>
      <c r="U61" s="3" t="s">
        <v>362</v>
      </c>
      <c r="V61" s="3" t="s">
        <v>40</v>
      </c>
      <c r="W61" s="6">
        <f>DATE(YEAR(D61) + 3, MONTH(D61), DAY(D61))</f>
        <v>45965</v>
      </c>
      <c r="X61" s="6">
        <f>DATE(YEAR(E61) + 3, MONTH(E61), DAY(E61))</f>
        <v>46326</v>
      </c>
      <c r="Y61" s="3" t="s">
        <v>45</v>
      </c>
      <c r="Z61" s="3" t="s">
        <v>30</v>
      </c>
      <c r="AA61" s="3" t="s">
        <v>41</v>
      </c>
      <c r="AB61" s="3" t="s">
        <v>163</v>
      </c>
    </row>
    <row r="62" spans="1:28" ht="33" customHeight="1" x14ac:dyDescent="0.25">
      <c r="A62" s="7">
        <v>57641</v>
      </c>
      <c r="B62" s="3" t="s">
        <v>363</v>
      </c>
      <c r="C62" s="3" t="s">
        <v>364</v>
      </c>
      <c r="D62" s="6">
        <v>44942</v>
      </c>
      <c r="E62" s="6">
        <v>45672</v>
      </c>
      <c r="F62" s="3" t="s">
        <v>45</v>
      </c>
      <c r="G62" s="6">
        <v>46402</v>
      </c>
      <c r="H62" s="3" t="s">
        <v>40</v>
      </c>
      <c r="I62" s="6">
        <v>45123</v>
      </c>
      <c r="J62" s="3" t="s">
        <v>365</v>
      </c>
      <c r="K62" s="3" t="s">
        <v>30</v>
      </c>
      <c r="L62" s="3" t="s">
        <v>366</v>
      </c>
      <c r="M62" s="3" t="s">
        <v>34</v>
      </c>
      <c r="N62" s="3" t="s">
        <v>367</v>
      </c>
      <c r="O62" s="3" t="s">
        <v>368</v>
      </c>
      <c r="P62" s="3" t="s">
        <v>64</v>
      </c>
      <c r="Q62" s="5">
        <v>500000</v>
      </c>
      <c r="R62" s="5">
        <v>2000000</v>
      </c>
      <c r="S62" s="5">
        <v>0</v>
      </c>
      <c r="T62" s="3" t="s">
        <v>38</v>
      </c>
      <c r="U62" s="3" t="s">
        <v>39</v>
      </c>
      <c r="V62" s="3" t="s">
        <v>40</v>
      </c>
      <c r="W62" s="6">
        <f>DATE(YEAR(D62) + 3, MONTH(D62), DAY(D62))</f>
        <v>46038</v>
      </c>
      <c r="X62" s="6">
        <f>DATE(YEAR(E62) + 3, MONTH(E62), DAY(E62))</f>
        <v>46767</v>
      </c>
      <c r="Y62" s="3" t="s">
        <v>41</v>
      </c>
      <c r="Z62" s="3" t="s">
        <v>30</v>
      </c>
      <c r="AA62" s="3" t="s">
        <v>41</v>
      </c>
      <c r="AB62" s="3" t="s">
        <v>88</v>
      </c>
    </row>
    <row r="63" spans="1:28" ht="33" customHeight="1" x14ac:dyDescent="0.25">
      <c r="A63" s="7">
        <v>57683</v>
      </c>
      <c r="B63" s="3" t="s">
        <v>369</v>
      </c>
      <c r="C63" s="3" t="s">
        <v>370</v>
      </c>
      <c r="D63" s="6">
        <v>44992</v>
      </c>
      <c r="E63" s="6">
        <v>46087</v>
      </c>
      <c r="F63" s="3" t="s">
        <v>31</v>
      </c>
      <c r="G63" s="6">
        <v>46818</v>
      </c>
      <c r="H63" s="3" t="s">
        <v>54</v>
      </c>
      <c r="I63" s="6">
        <v>45997</v>
      </c>
      <c r="J63" s="3" t="s">
        <v>371</v>
      </c>
      <c r="K63" s="3" t="s">
        <v>182</v>
      </c>
      <c r="L63" s="3">
        <v>1264300</v>
      </c>
      <c r="M63" s="3" t="s">
        <v>48</v>
      </c>
      <c r="N63" s="3" t="s">
        <v>116</v>
      </c>
      <c r="O63" s="3" t="s">
        <v>79</v>
      </c>
      <c r="P63" s="3" t="s">
        <v>80</v>
      </c>
      <c r="Q63" s="5">
        <v>17501.2</v>
      </c>
      <c r="R63" s="5">
        <v>87506</v>
      </c>
      <c r="S63" s="5">
        <v>0</v>
      </c>
      <c r="T63" s="3" t="s">
        <v>38</v>
      </c>
      <c r="U63" s="3" t="s">
        <v>39</v>
      </c>
      <c r="V63" s="3" t="s">
        <v>40</v>
      </c>
      <c r="W63" s="6">
        <f>DATE(YEAR(D63) + 3, MONTH(D63), DAY(D63))</f>
        <v>46088</v>
      </c>
      <c r="X63" s="6">
        <f>DATE(YEAR(E63) + 3, MONTH(E63), DAY(E63))</f>
        <v>47183</v>
      </c>
      <c r="Y63" s="3" t="s">
        <v>30</v>
      </c>
      <c r="Z63" s="3" t="s">
        <v>41</v>
      </c>
      <c r="AA63" s="3" t="s">
        <v>45</v>
      </c>
      <c r="AB63" s="3" t="s">
        <v>72</v>
      </c>
    </row>
    <row r="64" spans="1:28" ht="33" customHeight="1" x14ac:dyDescent="0.25">
      <c r="A64" s="7">
        <v>57731</v>
      </c>
      <c r="B64" s="3" t="s">
        <v>372</v>
      </c>
      <c r="C64" s="3" t="s">
        <v>373</v>
      </c>
      <c r="D64" s="6">
        <v>44936</v>
      </c>
      <c r="E64" s="6">
        <v>45169</v>
      </c>
      <c r="F64" s="3"/>
      <c r="G64" s="6"/>
      <c r="H64" s="3"/>
      <c r="I64" s="6"/>
      <c r="J64" s="3" t="s">
        <v>374</v>
      </c>
      <c r="K64" s="3" t="s">
        <v>33</v>
      </c>
      <c r="L64" s="3">
        <v>4330005</v>
      </c>
      <c r="M64" s="3" t="s">
        <v>48</v>
      </c>
      <c r="N64" s="3" t="s">
        <v>375</v>
      </c>
      <c r="O64" s="3" t="s">
        <v>79</v>
      </c>
      <c r="P64" s="3" t="s">
        <v>80</v>
      </c>
      <c r="Q64" s="5">
        <v>55725</v>
      </c>
      <c r="R64" s="5">
        <v>65000</v>
      </c>
      <c r="S64" s="5"/>
      <c r="T64" s="3" t="s">
        <v>38</v>
      </c>
      <c r="U64" s="3" t="s">
        <v>39</v>
      </c>
      <c r="V64" s="3" t="s">
        <v>40</v>
      </c>
      <c r="W64" s="6"/>
      <c r="X64" s="6"/>
      <c r="Y64" s="3"/>
      <c r="Z64" s="3" t="s">
        <v>30</v>
      </c>
      <c r="AA64" s="3" t="s">
        <v>41</v>
      </c>
      <c r="AB64" s="3" t="s">
        <v>72</v>
      </c>
    </row>
    <row r="65" spans="1:28" ht="33" customHeight="1" x14ac:dyDescent="0.25">
      <c r="A65" s="7">
        <v>58650</v>
      </c>
      <c r="B65" s="3" t="s">
        <v>376</v>
      </c>
      <c r="C65" s="3" t="s">
        <v>377</v>
      </c>
      <c r="D65" s="6">
        <v>45017</v>
      </c>
      <c r="E65" s="6">
        <v>46477</v>
      </c>
      <c r="F65" s="3" t="s">
        <v>45</v>
      </c>
      <c r="G65" s="6">
        <v>47938</v>
      </c>
      <c r="H65" s="3" t="s">
        <v>31</v>
      </c>
      <c r="I65" s="6">
        <v>45383</v>
      </c>
      <c r="J65" s="3" t="s">
        <v>378</v>
      </c>
      <c r="K65" s="3" t="s">
        <v>30</v>
      </c>
      <c r="L65" s="3">
        <v>3768856</v>
      </c>
      <c r="M65" s="3" t="s">
        <v>34</v>
      </c>
      <c r="N65" s="3" t="s">
        <v>379</v>
      </c>
      <c r="O65" s="3" t="s">
        <v>50</v>
      </c>
      <c r="P65" s="3" t="s">
        <v>37</v>
      </c>
      <c r="Q65" s="5">
        <v>1250000</v>
      </c>
      <c r="R65" s="5">
        <v>10000000</v>
      </c>
      <c r="S65" s="5">
        <v>0</v>
      </c>
      <c r="T65" s="3" t="s">
        <v>38</v>
      </c>
      <c r="U65" s="3" t="s">
        <v>39</v>
      </c>
      <c r="V65" s="3" t="s">
        <v>31</v>
      </c>
      <c r="W65" s="6">
        <f>DATE(YEAR(D65) + 3, MONTH(D65), DAY(D65))</f>
        <v>46113</v>
      </c>
      <c r="X65" s="6">
        <f>DATE(YEAR(E65) + 3, MONTH(E65), DAY(E65))</f>
        <v>47573</v>
      </c>
      <c r="Y65" s="3" t="s">
        <v>41</v>
      </c>
      <c r="Z65" s="3" t="s">
        <v>30</v>
      </c>
      <c r="AA65" s="3" t="s">
        <v>41</v>
      </c>
      <c r="AB65" s="3" t="s">
        <v>58</v>
      </c>
    </row>
    <row r="66" spans="1:28" ht="33" customHeight="1" x14ac:dyDescent="0.25">
      <c r="A66" s="7">
        <v>58916</v>
      </c>
      <c r="B66" s="3" t="s">
        <v>380</v>
      </c>
      <c r="C66" s="3" t="s">
        <v>381</v>
      </c>
      <c r="D66" s="6">
        <v>44901</v>
      </c>
      <c r="E66" s="6">
        <v>45625</v>
      </c>
      <c r="F66" s="3" t="s">
        <v>45</v>
      </c>
      <c r="G66" s="6">
        <v>46355</v>
      </c>
      <c r="H66" s="3" t="s">
        <v>31</v>
      </c>
      <c r="I66" s="6" t="s">
        <v>41</v>
      </c>
      <c r="J66" s="3" t="s">
        <v>382</v>
      </c>
      <c r="K66" s="3" t="s">
        <v>33</v>
      </c>
      <c r="L66" s="3">
        <v>4451141</v>
      </c>
      <c r="M66" s="3" t="s">
        <v>360</v>
      </c>
      <c r="N66" s="3" t="s">
        <v>383</v>
      </c>
      <c r="O66" s="3" t="s">
        <v>261</v>
      </c>
      <c r="P66" s="3" t="s">
        <v>80</v>
      </c>
      <c r="Q66" s="5">
        <v>88500</v>
      </c>
      <c r="R66" s="5">
        <v>177000</v>
      </c>
      <c r="S66" s="5">
        <v>0</v>
      </c>
      <c r="T66" s="3" t="s">
        <v>38</v>
      </c>
      <c r="U66" s="3" t="s">
        <v>39</v>
      </c>
      <c r="V66" s="3" t="s">
        <v>40</v>
      </c>
      <c r="W66" s="6">
        <f>DATE(YEAR(D66) + 3, MONTH(D66), DAY(D66))</f>
        <v>45997</v>
      </c>
      <c r="X66" s="6">
        <f>DATE(YEAR(E66) + 3, MONTH(E66), DAY(E66))</f>
        <v>46720</v>
      </c>
      <c r="Y66" s="3" t="s">
        <v>45</v>
      </c>
      <c r="Z66" s="3" t="s">
        <v>45</v>
      </c>
      <c r="AA66" s="3" t="s">
        <v>45</v>
      </c>
      <c r="AB66" s="3" t="s">
        <v>163</v>
      </c>
    </row>
    <row r="67" spans="1:28" ht="33" customHeight="1" x14ac:dyDescent="0.25">
      <c r="A67" s="7">
        <v>58982</v>
      </c>
      <c r="B67" s="3" t="s">
        <v>384</v>
      </c>
      <c r="C67" s="3" t="s">
        <v>385</v>
      </c>
      <c r="D67" s="6">
        <v>44927</v>
      </c>
      <c r="E67" s="6">
        <v>46387</v>
      </c>
      <c r="F67" s="3" t="s">
        <v>31</v>
      </c>
      <c r="G67" s="6">
        <v>46752</v>
      </c>
      <c r="H67" s="3" t="s">
        <v>31</v>
      </c>
      <c r="I67" s="6" t="s">
        <v>386</v>
      </c>
      <c r="J67" s="3" t="s">
        <v>387</v>
      </c>
      <c r="K67" s="3" t="s">
        <v>33</v>
      </c>
      <c r="L67" s="3">
        <v>54940</v>
      </c>
      <c r="M67" s="3" t="s">
        <v>92</v>
      </c>
      <c r="N67" s="3" t="s">
        <v>388</v>
      </c>
      <c r="O67" s="3" t="s">
        <v>237</v>
      </c>
      <c r="P67" s="3" t="s">
        <v>224</v>
      </c>
      <c r="Q67" s="5">
        <v>28000</v>
      </c>
      <c r="R67" s="5">
        <v>112000</v>
      </c>
      <c r="S67" s="5">
        <v>0</v>
      </c>
      <c r="T67" s="3" t="s">
        <v>38</v>
      </c>
      <c r="U67" s="3" t="s">
        <v>162</v>
      </c>
      <c r="V67" s="3" t="s">
        <v>40</v>
      </c>
      <c r="W67" s="6">
        <f>DATE(YEAR(D67) + 3, MONTH(D67), DAY(D67))</f>
        <v>46023</v>
      </c>
      <c r="X67" s="6">
        <f>DATE(YEAR(E67) + 3, MONTH(E67), DAY(E67))</f>
        <v>47483</v>
      </c>
      <c r="Y67" s="3" t="s">
        <v>45</v>
      </c>
      <c r="Z67" s="3" t="s">
        <v>30</v>
      </c>
      <c r="AA67" s="3" t="s">
        <v>41</v>
      </c>
      <c r="AB67" s="3" t="s">
        <v>163</v>
      </c>
    </row>
    <row r="68" spans="1:28" ht="33" customHeight="1" x14ac:dyDescent="0.25">
      <c r="A68" s="7">
        <v>59386</v>
      </c>
      <c r="B68" s="3" t="s">
        <v>389</v>
      </c>
      <c r="C68" s="3" t="s">
        <v>390</v>
      </c>
      <c r="D68" s="6">
        <v>44959</v>
      </c>
      <c r="E68" s="6">
        <v>46053</v>
      </c>
      <c r="F68" s="3" t="s">
        <v>31</v>
      </c>
      <c r="G68" s="6">
        <v>46418</v>
      </c>
      <c r="H68" s="3" t="s">
        <v>40</v>
      </c>
      <c r="I68" s="6">
        <v>45013</v>
      </c>
      <c r="J68" s="3" t="s">
        <v>391</v>
      </c>
      <c r="K68" s="3" t="s">
        <v>182</v>
      </c>
      <c r="L68" s="3">
        <v>2594504</v>
      </c>
      <c r="M68" s="3" t="s">
        <v>34</v>
      </c>
      <c r="N68" s="3" t="s">
        <v>144</v>
      </c>
      <c r="O68" s="3" t="s">
        <v>63</v>
      </c>
      <c r="P68" s="3" t="s">
        <v>64</v>
      </c>
      <c r="Q68" s="5">
        <f>R68/4</f>
        <v>2500000</v>
      </c>
      <c r="R68" s="5">
        <v>10000000</v>
      </c>
      <c r="S68" s="5">
        <v>0</v>
      </c>
      <c r="T68" s="3" t="s">
        <v>38</v>
      </c>
      <c r="U68" s="3" t="s">
        <v>39</v>
      </c>
      <c r="V68" s="3" t="s">
        <v>40</v>
      </c>
      <c r="W68" s="6">
        <f>DATE(YEAR(D68) + 3, MONTH(D68), DAY(D68))</f>
        <v>46055</v>
      </c>
      <c r="X68" s="6">
        <f>DATE(YEAR(E68) + 3, MONTH(E68), DAY(E68))</f>
        <v>47149</v>
      </c>
      <c r="Y68" s="3" t="s">
        <v>30</v>
      </c>
      <c r="Z68" s="3" t="s">
        <v>45</v>
      </c>
      <c r="AA68" s="3" t="s">
        <v>45</v>
      </c>
      <c r="AB68" s="3" t="s">
        <v>186</v>
      </c>
    </row>
    <row r="69" spans="1:28" ht="33" customHeight="1" x14ac:dyDescent="0.25">
      <c r="A69" s="7">
        <v>59935</v>
      </c>
      <c r="B69" s="3" t="s">
        <v>392</v>
      </c>
      <c r="C69" s="3" t="s">
        <v>393</v>
      </c>
      <c r="D69" s="6">
        <v>45078</v>
      </c>
      <c r="E69" s="6">
        <v>46172</v>
      </c>
      <c r="F69" s="3" t="s">
        <v>31</v>
      </c>
      <c r="G69" s="6">
        <v>46537</v>
      </c>
      <c r="H69" s="3" t="s">
        <v>40</v>
      </c>
      <c r="I69" s="6">
        <v>45013</v>
      </c>
      <c r="J69" s="3" t="s">
        <v>394</v>
      </c>
      <c r="K69" s="3" t="s">
        <v>182</v>
      </c>
      <c r="L69" s="3">
        <v>2212959</v>
      </c>
      <c r="M69" s="3" t="s">
        <v>34</v>
      </c>
      <c r="N69" s="3" t="s">
        <v>144</v>
      </c>
      <c r="O69" s="3" t="s">
        <v>63</v>
      </c>
      <c r="P69" s="3" t="s">
        <v>64</v>
      </c>
      <c r="Q69" s="5">
        <f>R69/4</f>
        <v>1250000</v>
      </c>
      <c r="R69" s="5">
        <v>5000000</v>
      </c>
      <c r="S69" s="5">
        <v>0</v>
      </c>
      <c r="T69" s="3" t="s">
        <v>38</v>
      </c>
      <c r="U69" s="3" t="s">
        <v>39</v>
      </c>
      <c r="V69" s="3" t="s">
        <v>40</v>
      </c>
      <c r="W69" s="6">
        <f>DATE(YEAR(D69) + 3, MONTH(D69), DAY(D69))</f>
        <v>46174</v>
      </c>
      <c r="X69" s="6">
        <f>DATE(YEAR(E69) + 3, MONTH(E69), DAY(E69))</f>
        <v>47268</v>
      </c>
      <c r="Y69" s="3" t="s">
        <v>30</v>
      </c>
      <c r="Z69" s="3" t="s">
        <v>45</v>
      </c>
      <c r="AA69" s="3" t="s">
        <v>45</v>
      </c>
      <c r="AB69" s="3" t="s">
        <v>186</v>
      </c>
    </row>
    <row r="70" spans="1:28" ht="33" customHeight="1" x14ac:dyDescent="0.25">
      <c r="A70" s="7">
        <v>60193</v>
      </c>
      <c r="B70" s="3" t="s">
        <v>395</v>
      </c>
      <c r="C70" s="3" t="s">
        <v>396</v>
      </c>
      <c r="D70" s="6">
        <v>45229</v>
      </c>
      <c r="E70" s="6">
        <v>45077</v>
      </c>
      <c r="F70" s="3" t="s">
        <v>31</v>
      </c>
      <c r="G70" s="6">
        <v>45077</v>
      </c>
      <c r="H70" s="3" t="s">
        <v>40</v>
      </c>
      <c r="I70" s="6">
        <v>45412</v>
      </c>
      <c r="J70" s="3" t="s">
        <v>391</v>
      </c>
      <c r="K70" s="3" t="s">
        <v>182</v>
      </c>
      <c r="L70" s="3">
        <v>2594504</v>
      </c>
      <c r="M70" s="3" t="s">
        <v>34</v>
      </c>
      <c r="N70" s="3" t="s">
        <v>397</v>
      </c>
      <c r="O70" s="3" t="s">
        <v>50</v>
      </c>
      <c r="P70" s="3" t="s">
        <v>37</v>
      </c>
      <c r="Q70" s="5">
        <v>599132.07999999996</v>
      </c>
      <c r="R70" s="5">
        <v>599132.07999999996</v>
      </c>
      <c r="S70" s="5">
        <v>0</v>
      </c>
      <c r="T70" s="3" t="s">
        <v>38</v>
      </c>
      <c r="U70" s="3" t="s">
        <v>39</v>
      </c>
      <c r="V70" s="3" t="s">
        <v>31</v>
      </c>
      <c r="W70" s="6">
        <f>DATE(YEAR(D70) + 3, MONTH(D70), DAY(D70))</f>
        <v>46325</v>
      </c>
      <c r="X70" s="6">
        <f>DATE(YEAR(E70) + 3, MONTH(E70), DAY(E70))</f>
        <v>46173</v>
      </c>
      <c r="Y70" s="3" t="s">
        <v>30</v>
      </c>
      <c r="Z70" s="3" t="s">
        <v>30</v>
      </c>
      <c r="AA70" s="3" t="s">
        <v>41</v>
      </c>
      <c r="AB70" s="3" t="s">
        <v>186</v>
      </c>
    </row>
    <row r="71" spans="1:28" ht="33" customHeight="1" x14ac:dyDescent="0.25">
      <c r="A71" s="7">
        <v>60331</v>
      </c>
      <c r="B71" s="3" t="s">
        <v>398</v>
      </c>
      <c r="C71" s="3" t="s">
        <v>399</v>
      </c>
      <c r="D71" s="6">
        <v>45019</v>
      </c>
      <c r="E71" s="6">
        <v>46114</v>
      </c>
      <c r="F71" s="3" t="s">
        <v>30</v>
      </c>
      <c r="G71" s="6">
        <v>46114</v>
      </c>
      <c r="H71" s="3" t="s">
        <v>40</v>
      </c>
      <c r="I71" s="6">
        <v>45749</v>
      </c>
      <c r="J71" s="3" t="s">
        <v>400</v>
      </c>
      <c r="K71" s="3" t="s">
        <v>33</v>
      </c>
      <c r="L71" s="3" t="s">
        <v>401</v>
      </c>
      <c r="M71" s="3" t="s">
        <v>360</v>
      </c>
      <c r="N71" s="3" t="s">
        <v>303</v>
      </c>
      <c r="O71" s="3" t="s">
        <v>237</v>
      </c>
      <c r="P71" s="3" t="s">
        <v>224</v>
      </c>
      <c r="Q71" s="5">
        <v>160000</v>
      </c>
      <c r="R71" s="5">
        <v>480000</v>
      </c>
      <c r="S71" s="5">
        <v>0</v>
      </c>
      <c r="T71" s="3" t="s">
        <v>38</v>
      </c>
      <c r="U71" s="3" t="s">
        <v>162</v>
      </c>
      <c r="V71" s="3" t="s">
        <v>40</v>
      </c>
      <c r="W71" s="6">
        <f>DATE(YEAR(D71) + 3, MONTH(D71), DAY(D71))</f>
        <v>46115</v>
      </c>
      <c r="X71" s="6">
        <f>DATE(YEAR(E71) + 3, MONTH(E71), DAY(E71))</f>
        <v>47210</v>
      </c>
      <c r="Y71" s="3" t="s">
        <v>41</v>
      </c>
      <c r="Z71" s="3" t="s">
        <v>30</v>
      </c>
      <c r="AA71" s="3" t="s">
        <v>41</v>
      </c>
      <c r="AB71" s="3" t="s">
        <v>343</v>
      </c>
    </row>
    <row r="72" spans="1:28" ht="33" customHeight="1" x14ac:dyDescent="0.25">
      <c r="A72" s="7">
        <v>61774</v>
      </c>
      <c r="B72" s="3" t="s">
        <v>402</v>
      </c>
      <c r="C72" s="3" t="s">
        <v>403</v>
      </c>
      <c r="D72" s="6">
        <v>44682</v>
      </c>
      <c r="E72" s="6">
        <v>45748</v>
      </c>
      <c r="F72" s="3" t="s">
        <v>30</v>
      </c>
      <c r="G72" s="6">
        <v>45748</v>
      </c>
      <c r="H72" s="3" t="s">
        <v>31</v>
      </c>
      <c r="I72" s="6" t="s">
        <v>41</v>
      </c>
      <c r="J72" s="3" t="s">
        <v>404</v>
      </c>
      <c r="K72" s="3" t="s">
        <v>30</v>
      </c>
      <c r="L72" s="3" t="s">
        <v>405</v>
      </c>
      <c r="M72" s="3" t="s">
        <v>92</v>
      </c>
      <c r="N72" s="3" t="s">
        <v>57</v>
      </c>
      <c r="O72" s="3" t="s">
        <v>50</v>
      </c>
      <c r="P72" s="3" t="s">
        <v>37</v>
      </c>
      <c r="Q72" s="5">
        <v>100000</v>
      </c>
      <c r="R72" s="5">
        <v>300000</v>
      </c>
      <c r="S72" s="5">
        <v>0</v>
      </c>
      <c r="T72" s="3" t="s">
        <v>38</v>
      </c>
      <c r="U72" s="3" t="s">
        <v>39</v>
      </c>
      <c r="V72" s="3" t="s">
        <v>31</v>
      </c>
      <c r="W72" s="6">
        <f>DATE(YEAR(D72) + 3, MONTH(D72), DAY(D72))</f>
        <v>45778</v>
      </c>
      <c r="X72" s="6">
        <f>DATE(YEAR(E72) + 3, MONTH(E72), DAY(E72))</f>
        <v>46844</v>
      </c>
      <c r="Y72" s="3" t="s">
        <v>41</v>
      </c>
      <c r="Z72" s="3" t="s">
        <v>30</v>
      </c>
      <c r="AA72" s="3" t="s">
        <v>41</v>
      </c>
      <c r="AB72" s="3" t="s">
        <v>58</v>
      </c>
    </row>
    <row r="73" spans="1:28" ht="33" customHeight="1" x14ac:dyDescent="0.25">
      <c r="A73" s="7">
        <v>61882</v>
      </c>
      <c r="B73" s="3" t="s">
        <v>406</v>
      </c>
      <c r="C73" s="3" t="s">
        <v>407</v>
      </c>
      <c r="D73" s="6">
        <v>44958</v>
      </c>
      <c r="E73" s="6">
        <v>45688</v>
      </c>
      <c r="F73" s="3" t="s">
        <v>31</v>
      </c>
      <c r="G73" s="6">
        <v>46418</v>
      </c>
      <c r="H73" s="3" t="s">
        <v>31</v>
      </c>
      <c r="I73" s="6">
        <v>45078</v>
      </c>
      <c r="J73" s="3" t="s">
        <v>408</v>
      </c>
      <c r="K73" s="3" t="s">
        <v>182</v>
      </c>
      <c r="L73" s="3">
        <v>6903140</v>
      </c>
      <c r="M73" s="3" t="s">
        <v>34</v>
      </c>
      <c r="N73" s="3" t="s">
        <v>260</v>
      </c>
      <c r="O73" s="3" t="s">
        <v>261</v>
      </c>
      <c r="P73" s="3" t="s">
        <v>80</v>
      </c>
      <c r="Q73" s="5">
        <v>750000</v>
      </c>
      <c r="R73" s="5">
        <v>3000000</v>
      </c>
      <c r="S73" s="5">
        <v>0</v>
      </c>
      <c r="T73" s="3" t="s">
        <v>38</v>
      </c>
      <c r="U73" s="3" t="s">
        <v>39</v>
      </c>
      <c r="V73" s="3" t="s">
        <v>31</v>
      </c>
      <c r="W73" s="6">
        <f>DATE(YEAR(D73) + 3, MONTH(D73), DAY(D73))</f>
        <v>46054</v>
      </c>
      <c r="X73" s="6">
        <f>DATE(YEAR(E73) + 6, MONTH(E73), DAY(E73))</f>
        <v>47879</v>
      </c>
      <c r="Y73" s="3" t="s">
        <v>45</v>
      </c>
      <c r="Z73" s="3" t="s">
        <v>45</v>
      </c>
      <c r="AA73" s="3" t="s">
        <v>45</v>
      </c>
      <c r="AB73" s="3" t="s">
        <v>51</v>
      </c>
    </row>
    <row r="74" spans="1:28" ht="33" customHeight="1" x14ac:dyDescent="0.25">
      <c r="A74" s="7">
        <v>62579</v>
      </c>
      <c r="B74" s="3" t="s">
        <v>409</v>
      </c>
      <c r="C74" s="3" t="s">
        <v>410</v>
      </c>
      <c r="D74" s="6">
        <v>45170</v>
      </c>
      <c r="E74" s="6">
        <v>45900</v>
      </c>
      <c r="F74" s="3" t="s">
        <v>31</v>
      </c>
      <c r="G74" s="6">
        <v>46630</v>
      </c>
      <c r="H74" s="3" t="s">
        <v>31</v>
      </c>
      <c r="I74" s="6">
        <v>46446</v>
      </c>
      <c r="J74" s="3" t="s">
        <v>411</v>
      </c>
      <c r="K74" s="3" t="s">
        <v>412</v>
      </c>
      <c r="L74" s="3">
        <v>1800000</v>
      </c>
      <c r="M74" s="3" t="s">
        <v>48</v>
      </c>
      <c r="N74" s="3" t="s">
        <v>116</v>
      </c>
      <c r="O74" s="3" t="s">
        <v>79</v>
      </c>
      <c r="P74" s="3" t="s">
        <v>80</v>
      </c>
      <c r="Q74" s="5">
        <v>6430.36</v>
      </c>
      <c r="R74" s="5">
        <v>12860.72</v>
      </c>
      <c r="S74" s="5">
        <v>0</v>
      </c>
      <c r="T74" s="3" t="s">
        <v>107</v>
      </c>
      <c r="U74" s="3" t="s">
        <v>39</v>
      </c>
      <c r="V74" s="3" t="s">
        <v>40</v>
      </c>
      <c r="W74" s="6" t="s">
        <v>41</v>
      </c>
      <c r="X74" s="6" t="s">
        <v>41</v>
      </c>
      <c r="Y74" s="3" t="s">
        <v>41</v>
      </c>
      <c r="Z74" s="3" t="s">
        <v>30</v>
      </c>
      <c r="AA74" s="3" t="s">
        <v>41</v>
      </c>
      <c r="AB74" s="3" t="s">
        <v>72</v>
      </c>
    </row>
    <row r="75" spans="1:28" ht="33" customHeight="1" x14ac:dyDescent="0.25">
      <c r="A75" s="7">
        <v>63840</v>
      </c>
      <c r="B75" s="3" t="s">
        <v>413</v>
      </c>
      <c r="C75" s="3" t="s">
        <v>414</v>
      </c>
      <c r="D75" s="6">
        <v>45131</v>
      </c>
      <c r="E75" s="6">
        <v>45869</v>
      </c>
      <c r="F75" s="3" t="s">
        <v>87</v>
      </c>
      <c r="G75" s="6">
        <v>45869</v>
      </c>
      <c r="H75" s="3" t="s">
        <v>40</v>
      </c>
      <c r="I75" s="6">
        <v>45497</v>
      </c>
      <c r="J75" s="3" t="s">
        <v>415</v>
      </c>
      <c r="K75" s="3" t="s">
        <v>182</v>
      </c>
      <c r="L75" s="3">
        <v>3269195</v>
      </c>
      <c r="M75" s="3" t="s">
        <v>48</v>
      </c>
      <c r="N75" s="3" t="s">
        <v>416</v>
      </c>
      <c r="O75" s="3" t="s">
        <v>417</v>
      </c>
      <c r="P75" s="3" t="s">
        <v>146</v>
      </c>
      <c r="Q75" s="5">
        <v>87500</v>
      </c>
      <c r="R75" s="5">
        <v>175000</v>
      </c>
      <c r="S75" s="5">
        <v>0</v>
      </c>
      <c r="T75" s="3" t="s">
        <v>38</v>
      </c>
      <c r="U75" s="3" t="s">
        <v>39</v>
      </c>
      <c r="V75" s="3" t="s">
        <v>40</v>
      </c>
      <c r="W75" s="6">
        <f>DATE(YEAR(D75) + 3, MONTH(D75), DAY(D75))</f>
        <v>46227</v>
      </c>
      <c r="X75" s="6">
        <f>DATE(YEAR(E75) + 3, MONTH(E75), DAY(E75))</f>
        <v>46965</v>
      </c>
      <c r="Y75" s="3" t="s">
        <v>45</v>
      </c>
      <c r="Z75" s="3" t="s">
        <v>30</v>
      </c>
      <c r="AA75" s="3" t="s">
        <v>41</v>
      </c>
      <c r="AB75" s="3" t="s">
        <v>163</v>
      </c>
    </row>
    <row r="76" spans="1:28" ht="33" customHeight="1" x14ac:dyDescent="0.25">
      <c r="A76" s="7">
        <v>64200</v>
      </c>
      <c r="B76" s="3" t="s">
        <v>418</v>
      </c>
      <c r="C76" s="3" t="s">
        <v>419</v>
      </c>
      <c r="D76" s="6">
        <v>45047</v>
      </c>
      <c r="E76" s="6">
        <v>45689</v>
      </c>
      <c r="F76" s="3" t="s">
        <v>40</v>
      </c>
      <c r="G76" s="6">
        <v>45689</v>
      </c>
      <c r="H76" s="3" t="s">
        <v>40</v>
      </c>
      <c r="I76" s="6">
        <v>45473</v>
      </c>
      <c r="J76" s="3" t="s">
        <v>420</v>
      </c>
      <c r="K76" s="3" t="s">
        <v>182</v>
      </c>
      <c r="L76" s="3">
        <v>653331</v>
      </c>
      <c r="M76" s="3" t="s">
        <v>92</v>
      </c>
      <c r="N76" s="3" t="s">
        <v>388</v>
      </c>
      <c r="O76" s="3" t="s">
        <v>237</v>
      </c>
      <c r="P76" s="3" t="s">
        <v>224</v>
      </c>
      <c r="Q76" s="5">
        <v>75000</v>
      </c>
      <c r="R76" s="5">
        <v>150000</v>
      </c>
      <c r="S76" s="5">
        <v>0</v>
      </c>
      <c r="T76" s="3" t="s">
        <v>38</v>
      </c>
      <c r="U76" s="3" t="s">
        <v>39</v>
      </c>
      <c r="V76" s="3" t="s">
        <v>40</v>
      </c>
      <c r="W76" s="6" t="s">
        <v>41</v>
      </c>
      <c r="X76" s="6"/>
      <c r="Y76" s="3"/>
      <c r="Z76" s="3" t="s">
        <v>30</v>
      </c>
      <c r="AA76" s="3" t="s">
        <v>41</v>
      </c>
      <c r="AB76" s="3" t="s">
        <v>72</v>
      </c>
    </row>
    <row r="77" spans="1:28" ht="33" customHeight="1" x14ac:dyDescent="0.25">
      <c r="A77" s="7">
        <v>65210</v>
      </c>
      <c r="B77" s="3" t="s">
        <v>421</v>
      </c>
      <c r="C77" s="3" t="s">
        <v>422</v>
      </c>
      <c r="D77" s="6">
        <v>45092</v>
      </c>
      <c r="E77" s="6">
        <v>45565</v>
      </c>
      <c r="F77" s="3" t="s">
        <v>87</v>
      </c>
      <c r="G77" s="6">
        <v>45565</v>
      </c>
      <c r="H77" s="3" t="s">
        <v>40</v>
      </c>
      <c r="I77" s="6">
        <v>45376</v>
      </c>
      <c r="J77" s="3" t="s">
        <v>423</v>
      </c>
      <c r="K77" s="3" t="s">
        <v>33</v>
      </c>
      <c r="L77" s="3">
        <v>4490352</v>
      </c>
      <c r="M77" s="3" t="s">
        <v>92</v>
      </c>
      <c r="N77" s="3" t="s">
        <v>424</v>
      </c>
      <c r="O77" s="3" t="s">
        <v>168</v>
      </c>
      <c r="P77" s="3" t="s">
        <v>95</v>
      </c>
      <c r="Q77" s="5">
        <v>100000</v>
      </c>
      <c r="R77" s="5">
        <v>100000</v>
      </c>
      <c r="S77" s="5">
        <v>0</v>
      </c>
      <c r="T77" s="3" t="s">
        <v>38</v>
      </c>
      <c r="U77" s="3" t="s">
        <v>39</v>
      </c>
      <c r="V77" s="3" t="s">
        <v>40</v>
      </c>
      <c r="W77" s="6">
        <f>DATE(YEAR(D77) + 3, MONTH(D77), DAY(D77))</f>
        <v>46188</v>
      </c>
      <c r="X77" s="6">
        <f>DATE(YEAR(E77) + 3, MONTH(E77), DAY(E77))</f>
        <v>46660</v>
      </c>
      <c r="Y77" s="3" t="s">
        <v>45</v>
      </c>
      <c r="Z77" s="3" t="s">
        <v>30</v>
      </c>
      <c r="AA77" s="3" t="s">
        <v>41</v>
      </c>
      <c r="AB77" s="3" t="s">
        <v>163</v>
      </c>
    </row>
    <row r="78" spans="1:28" ht="33" customHeight="1" x14ac:dyDescent="0.25">
      <c r="A78" s="7">
        <v>66535</v>
      </c>
      <c r="B78" s="3" t="s">
        <v>425</v>
      </c>
      <c r="C78" s="3" t="s">
        <v>426</v>
      </c>
      <c r="D78" s="6">
        <v>45112</v>
      </c>
      <c r="E78" s="6">
        <v>46295</v>
      </c>
      <c r="F78" s="3" t="s">
        <v>40</v>
      </c>
      <c r="G78" s="6">
        <v>46295</v>
      </c>
      <c r="H78" s="3" t="s">
        <v>40</v>
      </c>
      <c r="I78" s="6">
        <v>45478</v>
      </c>
      <c r="J78" s="3" t="s">
        <v>427</v>
      </c>
      <c r="K78" s="3" t="s">
        <v>182</v>
      </c>
      <c r="L78" s="3">
        <v>2841970</v>
      </c>
      <c r="M78" s="3" t="s">
        <v>48</v>
      </c>
      <c r="N78" s="3" t="s">
        <v>388</v>
      </c>
      <c r="O78" s="3" t="s">
        <v>237</v>
      </c>
      <c r="P78" s="3" t="s">
        <v>224</v>
      </c>
      <c r="Q78" s="5">
        <v>72939</v>
      </c>
      <c r="R78" s="5">
        <v>218819</v>
      </c>
      <c r="S78" s="5">
        <v>0</v>
      </c>
      <c r="T78" s="3" t="s">
        <v>38</v>
      </c>
      <c r="U78" s="3" t="s">
        <v>39</v>
      </c>
      <c r="V78" s="3" t="s">
        <v>40</v>
      </c>
      <c r="W78" s="6">
        <f>DATE(YEAR(D78) + 3, MONTH(D78), DAY(D78))</f>
        <v>46208</v>
      </c>
      <c r="X78" s="6">
        <f>DATE(YEAR(E78) + 3, MONTH(E78), DAY(E78))</f>
        <v>47391</v>
      </c>
      <c r="Y78" s="3" t="s">
        <v>41</v>
      </c>
      <c r="Z78" s="3" t="s">
        <v>30</v>
      </c>
      <c r="AA78" s="3" t="s">
        <v>41</v>
      </c>
      <c r="AB78" s="3" t="s">
        <v>163</v>
      </c>
    </row>
    <row r="79" spans="1:28" ht="33" customHeight="1" x14ac:dyDescent="0.25">
      <c r="A79" s="7">
        <v>68204</v>
      </c>
      <c r="B79" s="3" t="s">
        <v>428</v>
      </c>
      <c r="C79" s="3" t="s">
        <v>429</v>
      </c>
      <c r="D79" s="6">
        <v>45016</v>
      </c>
      <c r="E79" s="6">
        <v>45594</v>
      </c>
      <c r="F79" s="3" t="s">
        <v>45</v>
      </c>
      <c r="G79" s="6">
        <v>46324</v>
      </c>
      <c r="H79" s="3" t="s">
        <v>31</v>
      </c>
      <c r="I79" s="6">
        <v>45441</v>
      </c>
      <c r="J79" s="3" t="s">
        <v>430</v>
      </c>
      <c r="K79" s="3" t="s">
        <v>182</v>
      </c>
      <c r="L79" s="3">
        <v>3017251</v>
      </c>
      <c r="M79" s="3" t="s">
        <v>92</v>
      </c>
      <c r="N79" s="3" t="s">
        <v>431</v>
      </c>
      <c r="O79" s="3" t="s">
        <v>50</v>
      </c>
      <c r="P79" s="3" t="s">
        <v>37</v>
      </c>
      <c r="Q79" s="5">
        <v>55593</v>
      </c>
      <c r="R79" s="5">
        <v>166779</v>
      </c>
      <c r="S79" s="5">
        <v>0</v>
      </c>
      <c r="T79" s="3" t="s">
        <v>38</v>
      </c>
      <c r="U79" s="3" t="s">
        <v>39</v>
      </c>
      <c r="V79" s="3" t="s">
        <v>40</v>
      </c>
      <c r="W79" s="6">
        <f>DATE(YEAR(D79) + 3, MONTH(D79), DAY(D79))</f>
        <v>46112</v>
      </c>
      <c r="X79" s="6">
        <f>DATE(YEAR(E79) + 3, MONTH(E79), DAY(E79))</f>
        <v>46689</v>
      </c>
      <c r="Y79" s="3" t="s">
        <v>41</v>
      </c>
      <c r="Z79" s="3" t="s">
        <v>30</v>
      </c>
      <c r="AA79" s="3" t="s">
        <v>41</v>
      </c>
      <c r="AB79" s="3" t="s">
        <v>163</v>
      </c>
    </row>
    <row r="80" spans="1:28" ht="33" customHeight="1" x14ac:dyDescent="0.25">
      <c r="A80" s="7">
        <v>74203</v>
      </c>
      <c r="B80" s="3" t="s">
        <v>432</v>
      </c>
      <c r="C80" s="3" t="s">
        <v>433</v>
      </c>
      <c r="D80" s="6">
        <v>45219</v>
      </c>
      <c r="E80" s="6">
        <v>45565</v>
      </c>
      <c r="F80" s="3" t="s">
        <v>40</v>
      </c>
      <c r="G80" s="6">
        <v>45565</v>
      </c>
      <c r="H80" s="3" t="s">
        <v>40</v>
      </c>
      <c r="I80" s="6" t="s">
        <v>41</v>
      </c>
      <c r="J80" s="3" t="s">
        <v>270</v>
      </c>
      <c r="K80" s="3" t="s">
        <v>182</v>
      </c>
      <c r="L80" s="3">
        <v>5722765</v>
      </c>
      <c r="M80" s="3" t="s">
        <v>92</v>
      </c>
      <c r="N80" s="3" t="s">
        <v>434</v>
      </c>
      <c r="O80" s="3" t="s">
        <v>168</v>
      </c>
      <c r="P80" s="3" t="s">
        <v>95</v>
      </c>
      <c r="Q80" s="5">
        <v>119000</v>
      </c>
      <c r="R80" s="5">
        <v>119000</v>
      </c>
      <c r="S80" s="5">
        <v>0</v>
      </c>
      <c r="T80" s="3" t="s">
        <v>38</v>
      </c>
      <c r="U80" s="3" t="s">
        <v>39</v>
      </c>
      <c r="V80" s="3" t="s">
        <v>40</v>
      </c>
      <c r="W80" s="6">
        <f>DATE(YEAR(D80) + 3, MONTH(D80), DAY(D80))</f>
        <v>46315</v>
      </c>
      <c r="X80" s="6">
        <f>DATE(YEAR(E80) + 3, MONTH(E80), DAY(E80))</f>
        <v>46660</v>
      </c>
      <c r="Y80" s="3" t="s">
        <v>45</v>
      </c>
      <c r="Z80" s="3" t="s">
        <v>30</v>
      </c>
      <c r="AA80" s="3" t="s">
        <v>41</v>
      </c>
      <c r="AB80" s="3" t="s">
        <v>343</v>
      </c>
    </row>
    <row r="81" spans="1:28" ht="33" customHeight="1" x14ac:dyDescent="0.25">
      <c r="A81" s="7">
        <v>75199</v>
      </c>
      <c r="B81" s="3" t="s">
        <v>435</v>
      </c>
      <c r="C81" s="3" t="s">
        <v>436</v>
      </c>
      <c r="D81" s="6">
        <v>45271</v>
      </c>
      <c r="E81" s="6">
        <v>45868</v>
      </c>
      <c r="F81" s="3" t="s">
        <v>40</v>
      </c>
      <c r="G81" s="6">
        <v>45868</v>
      </c>
      <c r="H81" s="3" t="s">
        <v>40</v>
      </c>
      <c r="I81" s="6" t="s">
        <v>41</v>
      </c>
      <c r="J81" s="3" t="s">
        <v>298</v>
      </c>
      <c r="K81" s="3" t="s">
        <v>33</v>
      </c>
      <c r="L81" s="3">
        <v>7424081</v>
      </c>
      <c r="M81" s="3" t="s">
        <v>92</v>
      </c>
      <c r="N81" s="3" t="s">
        <v>348</v>
      </c>
      <c r="O81" s="3" t="s">
        <v>237</v>
      </c>
      <c r="P81" s="3" t="s">
        <v>224</v>
      </c>
      <c r="Q81" s="5">
        <v>32775</v>
      </c>
      <c r="R81" s="5">
        <v>73837.5</v>
      </c>
      <c r="S81" s="5">
        <v>0</v>
      </c>
      <c r="T81" s="3" t="s">
        <v>38</v>
      </c>
      <c r="U81" s="3" t="s">
        <v>39</v>
      </c>
      <c r="V81" s="3" t="s">
        <v>40</v>
      </c>
      <c r="W81" s="6">
        <f>DATE(YEAR(D813) + 3, MONTH(D813), DAY(D813))</f>
        <v>1096</v>
      </c>
      <c r="X81" s="6">
        <f>DATE(YEAR(E81) + 3, MONTH(E81), DAY(E81))</f>
        <v>46964</v>
      </c>
      <c r="Y81" s="3" t="s">
        <v>41</v>
      </c>
      <c r="Z81" s="3" t="s">
        <v>45</v>
      </c>
      <c r="AA81" s="3" t="s">
        <v>45</v>
      </c>
      <c r="AB81" s="3" t="s">
        <v>72</v>
      </c>
    </row>
    <row r="82" spans="1:28" ht="33" customHeight="1" x14ac:dyDescent="0.25">
      <c r="A82" s="7">
        <v>75446</v>
      </c>
      <c r="B82" s="3" t="s">
        <v>437</v>
      </c>
      <c r="C82" s="3" t="s">
        <v>438</v>
      </c>
      <c r="D82" s="6">
        <v>45134</v>
      </c>
      <c r="E82" s="6">
        <v>45504</v>
      </c>
      <c r="F82" s="3" t="s">
        <v>40</v>
      </c>
      <c r="G82" s="6">
        <v>45504</v>
      </c>
      <c r="H82" s="3" t="s">
        <v>40</v>
      </c>
      <c r="I82" s="6">
        <v>45322</v>
      </c>
      <c r="J82" s="3" t="s">
        <v>439</v>
      </c>
      <c r="K82" s="3" t="s">
        <v>33</v>
      </c>
      <c r="L82" s="3" t="s">
        <v>41</v>
      </c>
      <c r="M82" s="3" t="s">
        <v>34</v>
      </c>
      <c r="N82" s="3" t="s">
        <v>440</v>
      </c>
      <c r="O82" s="3" t="s">
        <v>441</v>
      </c>
      <c r="P82" s="3" t="s">
        <v>37</v>
      </c>
      <c r="Q82" s="5">
        <v>3628027.2</v>
      </c>
      <c r="R82" s="5">
        <v>3628027.2</v>
      </c>
      <c r="S82" s="5">
        <v>0</v>
      </c>
      <c r="T82" s="3" t="s">
        <v>38</v>
      </c>
      <c r="U82" s="3" t="s">
        <v>39</v>
      </c>
      <c r="V82" s="3" t="s">
        <v>31</v>
      </c>
      <c r="W82" s="6">
        <f>DATE(YEAR(D82) + 3, MONTH(D82), DAY(D82))</f>
        <v>46230</v>
      </c>
      <c r="X82" s="6">
        <f>DATE(YEAR(E82) + 3, MONTH(E82), DAY(E82))</f>
        <v>46599</v>
      </c>
      <c r="Y82" s="3" t="s">
        <v>45</v>
      </c>
      <c r="Z82" s="3" t="s">
        <v>30</v>
      </c>
      <c r="AA82" s="3" t="s">
        <v>41</v>
      </c>
      <c r="AB82" s="3" t="s">
        <v>42</v>
      </c>
    </row>
    <row r="83" spans="1:28" ht="33" customHeight="1" x14ac:dyDescent="0.25">
      <c r="A83" s="7">
        <v>75768</v>
      </c>
      <c r="B83" s="3" t="s">
        <v>442</v>
      </c>
      <c r="C83" s="3" t="s">
        <v>443</v>
      </c>
      <c r="D83" s="6">
        <v>45313</v>
      </c>
      <c r="E83" s="6">
        <v>46408</v>
      </c>
      <c r="F83" s="3" t="s">
        <v>31</v>
      </c>
      <c r="G83" s="6">
        <v>47139</v>
      </c>
      <c r="H83" s="3" t="s">
        <v>31</v>
      </c>
      <c r="I83" s="6">
        <v>46934</v>
      </c>
      <c r="J83" s="3" t="s">
        <v>444</v>
      </c>
      <c r="K83" s="3" t="s">
        <v>33</v>
      </c>
      <c r="L83" s="3" t="s">
        <v>445</v>
      </c>
      <c r="M83" s="3" t="s">
        <v>34</v>
      </c>
      <c r="N83" s="3" t="s">
        <v>446</v>
      </c>
      <c r="O83" s="3"/>
      <c r="P83" s="3"/>
      <c r="Q83" s="5">
        <v>85000</v>
      </c>
      <c r="R83" s="5">
        <v>598600</v>
      </c>
      <c r="S83" s="5">
        <v>0</v>
      </c>
      <c r="T83" s="3" t="s">
        <v>38</v>
      </c>
      <c r="U83" s="3" t="s">
        <v>39</v>
      </c>
      <c r="V83" s="3" t="s">
        <v>40</v>
      </c>
      <c r="W83" s="6">
        <f>DATE(YEAR(D83) + 3, MONTH(D83), DAY(D83))</f>
        <v>46409</v>
      </c>
      <c r="X83" s="6">
        <f>DATE(YEAR(E83) + 3, MONTH(E83), DAY(E83))</f>
        <v>47504</v>
      </c>
      <c r="Y83" s="3" t="s">
        <v>45</v>
      </c>
      <c r="Z83" s="3" t="s">
        <v>30</v>
      </c>
      <c r="AA83" s="3" t="s">
        <v>41</v>
      </c>
      <c r="AB83" s="3" t="s">
        <v>72</v>
      </c>
    </row>
    <row r="84" spans="1:28" ht="33" customHeight="1" x14ac:dyDescent="0.25">
      <c r="A84" s="7">
        <v>76221</v>
      </c>
      <c r="B84" s="3" t="s">
        <v>447</v>
      </c>
      <c r="C84" s="3" t="s">
        <v>448</v>
      </c>
      <c r="D84" s="6">
        <v>45180</v>
      </c>
      <c r="E84" s="6">
        <v>45412</v>
      </c>
      <c r="F84" s="3" t="s">
        <v>40</v>
      </c>
      <c r="G84" s="6">
        <v>45412</v>
      </c>
      <c r="H84" s="3" t="s">
        <v>40</v>
      </c>
      <c r="I84" s="6" t="s">
        <v>41</v>
      </c>
      <c r="J84" s="3" t="s">
        <v>449</v>
      </c>
      <c r="K84" s="3" t="s">
        <v>182</v>
      </c>
      <c r="L84" s="3">
        <v>5494158</v>
      </c>
      <c r="M84" s="3" t="s">
        <v>360</v>
      </c>
      <c r="N84" s="3" t="s">
        <v>450</v>
      </c>
      <c r="O84" s="3" t="s">
        <v>63</v>
      </c>
      <c r="P84" s="3" t="s">
        <v>64</v>
      </c>
      <c r="Q84" s="5">
        <v>170000</v>
      </c>
      <c r="R84" s="5">
        <v>170000</v>
      </c>
      <c r="S84" s="5">
        <v>0</v>
      </c>
      <c r="T84" s="3" t="s">
        <v>38</v>
      </c>
      <c r="U84" s="3" t="s">
        <v>39</v>
      </c>
      <c r="V84" s="3" t="s">
        <v>40</v>
      </c>
      <c r="W84" s="6">
        <f>DATE(YEAR(D84) + 3, MONTH(D84), DAY(D84))</f>
        <v>46276</v>
      </c>
      <c r="X84" s="6">
        <f>DATE(YEAR(E84) + 3, MONTH(E84), DAY(E84))</f>
        <v>46507</v>
      </c>
      <c r="Y84" s="3" t="s">
        <v>45</v>
      </c>
      <c r="Z84" s="3" t="s">
        <v>30</v>
      </c>
      <c r="AA84" s="3" t="s">
        <v>41</v>
      </c>
      <c r="AB84" s="3" t="s">
        <v>343</v>
      </c>
    </row>
    <row r="85" spans="1:28" ht="33" customHeight="1" x14ac:dyDescent="0.25">
      <c r="A85" s="7">
        <v>76513</v>
      </c>
      <c r="B85" s="3" t="s">
        <v>451</v>
      </c>
      <c r="C85" s="3" t="s">
        <v>452</v>
      </c>
      <c r="D85" s="6">
        <v>45257</v>
      </c>
      <c r="E85" s="6">
        <v>45382</v>
      </c>
      <c r="F85" s="3" t="s">
        <v>41</v>
      </c>
      <c r="G85" s="6">
        <v>45382</v>
      </c>
      <c r="H85" s="3" t="s">
        <v>40</v>
      </c>
      <c r="I85" s="6" t="s">
        <v>41</v>
      </c>
      <c r="J85" s="3" t="s">
        <v>453</v>
      </c>
      <c r="K85" s="3" t="s">
        <v>30</v>
      </c>
      <c r="L85" s="3">
        <v>1312453</v>
      </c>
      <c r="M85" s="3" t="s">
        <v>92</v>
      </c>
      <c r="N85" s="3" t="s">
        <v>454</v>
      </c>
      <c r="O85" s="3" t="s">
        <v>455</v>
      </c>
      <c r="P85" s="3" t="s">
        <v>146</v>
      </c>
      <c r="Q85" s="5">
        <v>104449</v>
      </c>
      <c r="R85" s="5">
        <v>104449</v>
      </c>
      <c r="S85" s="5">
        <v>0</v>
      </c>
      <c r="T85" s="3" t="s">
        <v>38</v>
      </c>
      <c r="U85" s="3" t="s">
        <v>153</v>
      </c>
      <c r="V85" s="3" t="s">
        <v>40</v>
      </c>
      <c r="W85" s="6">
        <f>DATE(YEAR(D85) + 3, MONTH(D85), DAY(D85))</f>
        <v>46353</v>
      </c>
      <c r="X85" s="6">
        <f>DATE(YEAR(E85) + 3, MONTH(E85), DAY(E85))</f>
        <v>46477</v>
      </c>
      <c r="Y85" s="3" t="s">
        <v>41</v>
      </c>
      <c r="Z85" s="3" t="s">
        <v>30</v>
      </c>
      <c r="AA85" s="3" t="s">
        <v>45</v>
      </c>
      <c r="AB85" s="3" t="s">
        <v>456</v>
      </c>
    </row>
    <row r="86" spans="1:28" ht="33" customHeight="1" x14ac:dyDescent="0.25">
      <c r="A86" s="7">
        <v>76812</v>
      </c>
      <c r="B86" s="3" t="s">
        <v>457</v>
      </c>
      <c r="C86" s="3" t="s">
        <v>458</v>
      </c>
      <c r="D86" s="6">
        <v>45208</v>
      </c>
      <c r="E86" s="6">
        <v>46303</v>
      </c>
      <c r="F86" s="3" t="s">
        <v>31</v>
      </c>
      <c r="G86" s="6">
        <v>46668</v>
      </c>
      <c r="H86" s="3" t="s">
        <v>31</v>
      </c>
      <c r="I86" s="6">
        <v>46054</v>
      </c>
      <c r="J86" s="3" t="s">
        <v>459</v>
      </c>
      <c r="K86" s="3" t="s">
        <v>182</v>
      </c>
      <c r="L86" s="3">
        <v>4207789</v>
      </c>
      <c r="M86" s="3" t="s">
        <v>460</v>
      </c>
      <c r="N86" s="3" t="s">
        <v>461</v>
      </c>
      <c r="O86" s="3" t="s">
        <v>223</v>
      </c>
      <c r="P86" s="3" t="s">
        <v>224</v>
      </c>
      <c r="Q86" s="5">
        <v>49495</v>
      </c>
      <c r="R86" s="5">
        <v>148485</v>
      </c>
      <c r="S86" s="5">
        <v>0</v>
      </c>
      <c r="T86" s="3" t="s">
        <v>38</v>
      </c>
      <c r="U86" s="3" t="s">
        <v>39</v>
      </c>
      <c r="V86" s="3" t="s">
        <v>40</v>
      </c>
      <c r="W86" s="6" t="s">
        <v>41</v>
      </c>
      <c r="X86" s="6">
        <v>46699</v>
      </c>
      <c r="Y86" s="3" t="s">
        <v>41</v>
      </c>
      <c r="Z86" s="3" t="s">
        <v>30</v>
      </c>
      <c r="AA86" s="3" t="s">
        <v>41</v>
      </c>
      <c r="AB86" s="3" t="s">
        <v>72</v>
      </c>
    </row>
    <row r="87" spans="1:28" ht="33" customHeight="1" x14ac:dyDescent="0.25">
      <c r="A87" s="7">
        <v>77160</v>
      </c>
      <c r="B87" s="3" t="s">
        <v>462</v>
      </c>
      <c r="C87" s="3" t="s">
        <v>463</v>
      </c>
      <c r="D87" s="6">
        <v>45231</v>
      </c>
      <c r="E87" s="6">
        <v>45596</v>
      </c>
      <c r="F87" s="3" t="s">
        <v>40</v>
      </c>
      <c r="G87" s="6">
        <v>45596</v>
      </c>
      <c r="H87" s="3" t="s">
        <v>40</v>
      </c>
      <c r="I87" s="6" t="s">
        <v>464</v>
      </c>
      <c r="J87" s="3" t="s">
        <v>465</v>
      </c>
      <c r="K87" s="3" t="s">
        <v>33</v>
      </c>
      <c r="L87" s="3">
        <v>11585221</v>
      </c>
      <c r="M87" s="3" t="s">
        <v>48</v>
      </c>
      <c r="N87" s="3" t="s">
        <v>466</v>
      </c>
      <c r="O87" s="3" t="s">
        <v>168</v>
      </c>
      <c r="P87" s="3" t="s">
        <v>95</v>
      </c>
      <c r="Q87" s="5">
        <v>612500</v>
      </c>
      <c r="R87" s="5">
        <v>612500</v>
      </c>
      <c r="S87" s="5">
        <v>0</v>
      </c>
      <c r="T87" s="3" t="s">
        <v>38</v>
      </c>
      <c r="U87" s="3" t="s">
        <v>39</v>
      </c>
      <c r="V87" s="3" t="s">
        <v>40</v>
      </c>
      <c r="W87" s="6">
        <f>DATE(YEAR(D87) + 3, MONTH(D87), DAY(D87))</f>
        <v>46327</v>
      </c>
      <c r="X87" s="6">
        <f>DATE(YEAR(E87) + 3, MONTH(E87), DAY(E87))</f>
        <v>46691</v>
      </c>
      <c r="Y87" s="3" t="s">
        <v>45</v>
      </c>
      <c r="Z87" s="3" t="s">
        <v>30</v>
      </c>
      <c r="AA87" s="3" t="s">
        <v>41</v>
      </c>
      <c r="AB87" s="3" t="s">
        <v>163</v>
      </c>
    </row>
    <row r="88" spans="1:28" ht="33" customHeight="1" x14ac:dyDescent="0.25">
      <c r="A88" s="7">
        <v>77731</v>
      </c>
      <c r="B88" s="3" t="s">
        <v>467</v>
      </c>
      <c r="C88" s="3"/>
      <c r="D88" s="6">
        <v>45323</v>
      </c>
      <c r="E88" s="6">
        <v>45747</v>
      </c>
      <c r="F88" s="3"/>
      <c r="G88" s="6"/>
      <c r="H88" s="3" t="s">
        <v>40</v>
      </c>
      <c r="I88" s="6">
        <v>45689</v>
      </c>
      <c r="J88" s="3" t="s">
        <v>468</v>
      </c>
      <c r="K88" s="3" t="s">
        <v>30</v>
      </c>
      <c r="L88" s="3">
        <v>220268</v>
      </c>
      <c r="M88" s="3" t="s">
        <v>92</v>
      </c>
      <c r="N88" s="3" t="s">
        <v>469</v>
      </c>
      <c r="O88" s="3" t="s">
        <v>455</v>
      </c>
      <c r="P88" s="3" t="s">
        <v>146</v>
      </c>
      <c r="Q88" s="5">
        <v>439377.75</v>
      </c>
      <c r="R88" s="5">
        <v>585837</v>
      </c>
      <c r="S88" s="5">
        <v>0</v>
      </c>
      <c r="T88" s="3" t="s">
        <v>38</v>
      </c>
      <c r="U88" s="3" t="s">
        <v>153</v>
      </c>
      <c r="V88" s="3" t="s">
        <v>40</v>
      </c>
      <c r="W88" s="6">
        <f>DATE(YEAR(D88) + 3, MONTH(D88), DAY(D88))</f>
        <v>46419</v>
      </c>
      <c r="X88" s="6">
        <f>DATE(YEAR(E88) + 3, MONTH(E88), DAY(E88))</f>
        <v>46843</v>
      </c>
      <c r="Y88" s="3" t="s">
        <v>41</v>
      </c>
      <c r="Z88" s="3" t="s">
        <v>30</v>
      </c>
      <c r="AA88" s="3" t="s">
        <v>41</v>
      </c>
      <c r="AB88" s="3" t="s">
        <v>456</v>
      </c>
    </row>
    <row r="89" spans="1:28" ht="33" customHeight="1" x14ac:dyDescent="0.25">
      <c r="A89" s="7">
        <v>77740</v>
      </c>
      <c r="B89" s="3" t="s">
        <v>470</v>
      </c>
      <c r="C89" s="3"/>
      <c r="D89" s="6">
        <v>45288</v>
      </c>
      <c r="E89" s="6">
        <v>45777</v>
      </c>
      <c r="F89" s="3" t="s">
        <v>41</v>
      </c>
      <c r="G89" s="6">
        <v>45777</v>
      </c>
      <c r="H89" s="3" t="s">
        <v>40</v>
      </c>
      <c r="I89" s="6" t="s">
        <v>41</v>
      </c>
      <c r="J89" s="3" t="s">
        <v>471</v>
      </c>
      <c r="K89" s="3" t="s">
        <v>33</v>
      </c>
      <c r="L89" s="3">
        <v>1196665</v>
      </c>
      <c r="M89" s="3" t="s">
        <v>92</v>
      </c>
      <c r="N89" s="3" t="s">
        <v>472</v>
      </c>
      <c r="O89" s="3" t="s">
        <v>94</v>
      </c>
      <c r="P89" s="3" t="s">
        <v>95</v>
      </c>
      <c r="Q89" s="5">
        <v>90000</v>
      </c>
      <c r="R89" s="5">
        <v>90000</v>
      </c>
      <c r="S89" s="5">
        <v>0</v>
      </c>
      <c r="T89" s="3" t="s">
        <v>38</v>
      </c>
      <c r="U89" s="3" t="s">
        <v>153</v>
      </c>
      <c r="V89" s="3" t="s">
        <v>40</v>
      </c>
      <c r="W89" s="6"/>
      <c r="X89" s="6"/>
      <c r="Y89" s="3"/>
      <c r="Z89" s="3"/>
      <c r="AA89" s="3"/>
      <c r="AB89" s="3" t="s">
        <v>456</v>
      </c>
    </row>
    <row r="90" spans="1:28" ht="33" customHeight="1" x14ac:dyDescent="0.25">
      <c r="A90" s="7">
        <v>78082</v>
      </c>
      <c r="B90" s="3" t="s">
        <v>473</v>
      </c>
      <c r="C90" s="3" t="s">
        <v>474</v>
      </c>
      <c r="D90" s="6">
        <v>45245</v>
      </c>
      <c r="E90" s="6">
        <v>45412</v>
      </c>
      <c r="F90" s="3" t="s">
        <v>40</v>
      </c>
      <c r="G90" s="6">
        <v>45412</v>
      </c>
      <c r="H90" s="3" t="s">
        <v>40</v>
      </c>
      <c r="I90" s="6" t="s">
        <v>41</v>
      </c>
      <c r="J90" s="3" t="s">
        <v>475</v>
      </c>
      <c r="K90" s="3" t="s">
        <v>182</v>
      </c>
      <c r="L90" s="3">
        <v>1058932</v>
      </c>
      <c r="M90" s="3" t="s">
        <v>92</v>
      </c>
      <c r="N90" s="3" t="s">
        <v>476</v>
      </c>
      <c r="O90" s="3" t="s">
        <v>223</v>
      </c>
      <c r="P90" s="3" t="s">
        <v>224</v>
      </c>
      <c r="Q90" s="5">
        <v>99288.99</v>
      </c>
      <c r="R90" s="5">
        <v>99288.99</v>
      </c>
      <c r="S90" s="5">
        <v>0</v>
      </c>
      <c r="T90" s="3" t="s">
        <v>38</v>
      </c>
      <c r="U90" s="3" t="s">
        <v>39</v>
      </c>
      <c r="V90" s="3" t="s">
        <v>40</v>
      </c>
      <c r="W90" s="6">
        <f>DATE(YEAR(D90) + 3, MONTH(D90), DAY(D90))</f>
        <v>46341</v>
      </c>
      <c r="X90" s="6">
        <f>DATE(YEAR(E90) + 3, MONTH(E90), DAY(E90))</f>
        <v>46507</v>
      </c>
      <c r="Y90" s="3" t="s">
        <v>41</v>
      </c>
      <c r="Z90" s="3" t="s">
        <v>30</v>
      </c>
      <c r="AA90" s="3" t="s">
        <v>41</v>
      </c>
      <c r="AB90" s="3" t="s">
        <v>477</v>
      </c>
    </row>
    <row r="91" spans="1:28" ht="33" customHeight="1" x14ac:dyDescent="0.25">
      <c r="A91" s="7">
        <v>78217</v>
      </c>
      <c r="B91" s="3" t="s">
        <v>478</v>
      </c>
      <c r="C91" s="3" t="s">
        <v>479</v>
      </c>
      <c r="D91" s="6">
        <v>45274</v>
      </c>
      <c r="E91" s="6">
        <v>45747</v>
      </c>
      <c r="F91" s="3" t="s">
        <v>45</v>
      </c>
      <c r="G91" s="6">
        <v>46112</v>
      </c>
      <c r="H91" s="3" t="s">
        <v>40</v>
      </c>
      <c r="I91" s="6" t="s">
        <v>41</v>
      </c>
      <c r="J91" s="3" t="s">
        <v>480</v>
      </c>
      <c r="K91" s="3" t="s">
        <v>33</v>
      </c>
      <c r="L91" s="3">
        <v>7201193</v>
      </c>
      <c r="M91" s="3" t="s">
        <v>92</v>
      </c>
      <c r="N91" s="3" t="s">
        <v>481</v>
      </c>
      <c r="O91" s="3" t="s">
        <v>273</v>
      </c>
      <c r="P91" s="3" t="s">
        <v>95</v>
      </c>
      <c r="Q91" s="5">
        <v>105000</v>
      </c>
      <c r="R91" s="5">
        <v>210000</v>
      </c>
      <c r="S91" s="5">
        <v>0</v>
      </c>
      <c r="T91" s="3" t="s">
        <v>38</v>
      </c>
      <c r="U91" s="3" t="s">
        <v>39</v>
      </c>
      <c r="V91" s="3" t="s">
        <v>40</v>
      </c>
      <c r="W91" s="6">
        <f>DATE(YEAR(D91) + 3, MONTH(D91), DAY(D91))</f>
        <v>46370</v>
      </c>
      <c r="X91" s="6">
        <f>DATE(YEAR(E91) + 3, MONTH(E91), DAY(E91))</f>
        <v>46843</v>
      </c>
      <c r="Y91" s="3" t="s">
        <v>41</v>
      </c>
      <c r="Z91" s="3" t="s">
        <v>30</v>
      </c>
      <c r="AA91" s="3" t="s">
        <v>41</v>
      </c>
      <c r="AB91" s="3" t="s">
        <v>343</v>
      </c>
    </row>
    <row r="92" spans="1:28" ht="33" customHeight="1" x14ac:dyDescent="0.25">
      <c r="A92" s="7">
        <v>78219</v>
      </c>
      <c r="B92" s="3" t="s">
        <v>482</v>
      </c>
      <c r="C92" s="3" t="s">
        <v>483</v>
      </c>
      <c r="D92" s="6">
        <v>45306</v>
      </c>
      <c r="E92" s="6">
        <v>45747</v>
      </c>
      <c r="F92" s="3" t="s">
        <v>41</v>
      </c>
      <c r="G92" s="6">
        <v>45747</v>
      </c>
      <c r="H92" s="3" t="s">
        <v>40</v>
      </c>
      <c r="I92" s="6">
        <v>45672</v>
      </c>
      <c r="J92" s="3" t="s">
        <v>484</v>
      </c>
      <c r="K92" s="3" t="s">
        <v>33</v>
      </c>
      <c r="L92" s="3">
        <v>7432947</v>
      </c>
      <c r="M92" s="3" t="s">
        <v>92</v>
      </c>
      <c r="N92" s="3" t="s">
        <v>93</v>
      </c>
      <c r="O92" s="3" t="s">
        <v>94</v>
      </c>
      <c r="P92" s="3" t="s">
        <v>95</v>
      </c>
      <c r="Q92" s="5">
        <v>334119.56</v>
      </c>
      <c r="R92" s="5">
        <v>445492.75</v>
      </c>
      <c r="S92" s="5">
        <v>0</v>
      </c>
      <c r="T92" s="3" t="s">
        <v>38</v>
      </c>
      <c r="U92" s="3" t="s">
        <v>153</v>
      </c>
      <c r="V92" s="3" t="s">
        <v>40</v>
      </c>
      <c r="W92" s="6">
        <f>DATE(YEAR(D92) + 3, MONTH(D92), DAY(D92))</f>
        <v>46402</v>
      </c>
      <c r="X92" s="6">
        <f>DATE(YEAR(E92) + 3, MONTH(E92), DAY(E92))</f>
        <v>46843</v>
      </c>
      <c r="Y92" s="3" t="s">
        <v>41</v>
      </c>
      <c r="Z92" s="3" t="s">
        <v>30</v>
      </c>
      <c r="AA92" s="3" t="s">
        <v>41</v>
      </c>
      <c r="AB92" s="3" t="s">
        <v>456</v>
      </c>
    </row>
    <row r="93" spans="1:28" ht="33" customHeight="1" x14ac:dyDescent="0.25">
      <c r="A93" s="7">
        <v>78377</v>
      </c>
      <c r="B93" s="3" t="s">
        <v>485</v>
      </c>
      <c r="C93" s="3" t="s">
        <v>486</v>
      </c>
      <c r="D93" s="6">
        <v>45293</v>
      </c>
      <c r="E93" s="6">
        <v>45657</v>
      </c>
      <c r="F93" s="3" t="s">
        <v>41</v>
      </c>
      <c r="G93" s="6">
        <v>45657</v>
      </c>
      <c r="H93" s="3" t="s">
        <v>40</v>
      </c>
      <c r="I93" s="6" t="s">
        <v>41</v>
      </c>
      <c r="J93" s="3" t="s">
        <v>487</v>
      </c>
      <c r="K93" s="3" t="s">
        <v>33</v>
      </c>
      <c r="L93" s="3">
        <v>4726302</v>
      </c>
      <c r="M93" s="3" t="s">
        <v>92</v>
      </c>
      <c r="N93" s="3" t="s">
        <v>488</v>
      </c>
      <c r="O93" s="3" t="s">
        <v>489</v>
      </c>
      <c r="P93" s="3" t="s">
        <v>95</v>
      </c>
      <c r="Q93" s="5">
        <v>188750</v>
      </c>
      <c r="R93" s="5">
        <v>188750</v>
      </c>
      <c r="S93" s="5">
        <v>0</v>
      </c>
      <c r="T93" s="3" t="s">
        <v>38</v>
      </c>
      <c r="U93" s="3" t="s">
        <v>153</v>
      </c>
      <c r="V93" s="3" t="s">
        <v>40</v>
      </c>
      <c r="W93" s="6">
        <f>DATE(YEAR(D93) + 3, MONTH(D93), DAY(D93))</f>
        <v>46389</v>
      </c>
      <c r="X93" s="6">
        <f>DATE(YEAR(E93) + 3, MONTH(E93), DAY(E93))</f>
        <v>46752</v>
      </c>
      <c r="Y93" s="3" t="s">
        <v>41</v>
      </c>
      <c r="Z93" s="3" t="s">
        <v>30</v>
      </c>
      <c r="AA93" s="3" t="s">
        <v>41</v>
      </c>
      <c r="AB93" s="3" t="s">
        <v>456</v>
      </c>
    </row>
    <row r="94" spans="1:28" ht="33" customHeight="1" x14ac:dyDescent="0.25">
      <c r="A94" s="7">
        <v>78671</v>
      </c>
      <c r="B94" s="3" t="s">
        <v>490</v>
      </c>
      <c r="C94" s="3" t="s">
        <v>491</v>
      </c>
      <c r="D94" s="6">
        <v>45295</v>
      </c>
      <c r="E94" s="6">
        <v>45519</v>
      </c>
      <c r="F94" s="3" t="s">
        <v>40</v>
      </c>
      <c r="G94" s="6">
        <v>45519</v>
      </c>
      <c r="H94" s="3" t="s">
        <v>40</v>
      </c>
      <c r="I94" s="6" t="s">
        <v>41</v>
      </c>
      <c r="J94" s="3" t="s">
        <v>391</v>
      </c>
      <c r="K94" s="3" t="s">
        <v>30</v>
      </c>
      <c r="L94" s="3">
        <v>2594504</v>
      </c>
      <c r="M94" s="3" t="s">
        <v>48</v>
      </c>
      <c r="N94" s="3" t="s">
        <v>492</v>
      </c>
      <c r="O94" s="3" t="s">
        <v>237</v>
      </c>
      <c r="P94" s="3" t="s">
        <v>224</v>
      </c>
      <c r="Q94" s="5">
        <v>475892.2</v>
      </c>
      <c r="R94" s="5">
        <v>475892.2</v>
      </c>
      <c r="S94" s="5">
        <v>0</v>
      </c>
      <c r="T94" s="3" t="s">
        <v>38</v>
      </c>
      <c r="U94" s="3" t="s">
        <v>39</v>
      </c>
      <c r="V94" s="3" t="s">
        <v>40</v>
      </c>
      <c r="W94" s="6">
        <f>DATE(YEAR(D94) + 3, MONTH(D94), DAY(D94))</f>
        <v>46391</v>
      </c>
      <c r="X94" s="6">
        <f>DATE(YEAR(E94) + 3, MONTH(E94), DAY(E94))</f>
        <v>46614</v>
      </c>
      <c r="Y94" s="3" t="s">
        <v>41</v>
      </c>
      <c r="Z94" s="3" t="s">
        <v>30</v>
      </c>
      <c r="AA94" s="3" t="s">
        <v>41</v>
      </c>
      <c r="AB94" s="3" t="s">
        <v>343</v>
      </c>
    </row>
    <row r="95" spans="1:28" ht="33" customHeight="1" x14ac:dyDescent="0.25">
      <c r="A95" s="7">
        <v>79222</v>
      </c>
      <c r="B95" s="3" t="s">
        <v>493</v>
      </c>
      <c r="C95" s="3" t="s">
        <v>494</v>
      </c>
      <c r="D95" s="6">
        <v>45299</v>
      </c>
      <c r="E95" s="6">
        <v>45419</v>
      </c>
      <c r="F95" s="3" t="s">
        <v>30</v>
      </c>
      <c r="G95" s="6">
        <v>45419</v>
      </c>
      <c r="H95" s="3" t="s">
        <v>40</v>
      </c>
      <c r="I95" s="6" t="s">
        <v>41</v>
      </c>
      <c r="J95" s="3" t="s">
        <v>495</v>
      </c>
      <c r="K95" s="3" t="s">
        <v>30</v>
      </c>
      <c r="L95" s="3" t="s">
        <v>359</v>
      </c>
      <c r="M95" s="3" t="s">
        <v>92</v>
      </c>
      <c r="N95" s="3" t="s">
        <v>496</v>
      </c>
      <c r="O95" s="3" t="s">
        <v>497</v>
      </c>
      <c r="P95" s="3" t="s">
        <v>497</v>
      </c>
      <c r="Q95" s="5">
        <v>90000</v>
      </c>
      <c r="R95" s="5">
        <v>90000</v>
      </c>
      <c r="S95" s="5">
        <v>0</v>
      </c>
      <c r="T95" s="3" t="s">
        <v>38</v>
      </c>
      <c r="U95" s="3" t="s">
        <v>162</v>
      </c>
      <c r="V95" s="3" t="s">
        <v>40</v>
      </c>
      <c r="W95" s="6">
        <f>DATE(YEAR(D95) + 3, MONTH(D95), DAY(D95))</f>
        <v>46395</v>
      </c>
      <c r="X95" s="6">
        <f>DATE(YEAR(E95) + 3, MONTH(E95), DAY(E95))</f>
        <v>46514</v>
      </c>
      <c r="Y95" s="3" t="s">
        <v>41</v>
      </c>
      <c r="Z95" s="3" t="s">
        <v>30</v>
      </c>
      <c r="AA95" s="3" t="s">
        <v>41</v>
      </c>
      <c r="AB95" s="3" t="s">
        <v>163</v>
      </c>
    </row>
    <row r="96" spans="1:28" ht="33" customHeight="1" x14ac:dyDescent="0.25">
      <c r="A96" s="7">
        <v>79419</v>
      </c>
      <c r="B96" s="3" t="s">
        <v>498</v>
      </c>
      <c r="C96" s="3" t="s">
        <v>499</v>
      </c>
      <c r="D96" s="6">
        <v>45244</v>
      </c>
      <c r="E96" s="6">
        <v>45412</v>
      </c>
      <c r="F96" s="3" t="s">
        <v>40</v>
      </c>
      <c r="G96" s="6">
        <v>45412</v>
      </c>
      <c r="H96" s="3" t="s">
        <v>40</v>
      </c>
      <c r="I96" s="6" t="s">
        <v>41</v>
      </c>
      <c r="J96" s="3" t="s">
        <v>500</v>
      </c>
      <c r="K96" s="3" t="s">
        <v>182</v>
      </c>
      <c r="L96" s="3">
        <v>10971918</v>
      </c>
      <c r="M96" s="3" t="s">
        <v>92</v>
      </c>
      <c r="N96" s="3" t="s">
        <v>501</v>
      </c>
      <c r="O96" s="3" t="s">
        <v>223</v>
      </c>
      <c r="P96" s="3" t="s">
        <v>224</v>
      </c>
      <c r="Q96" s="5">
        <v>76040</v>
      </c>
      <c r="R96" s="5">
        <v>76040</v>
      </c>
      <c r="S96" s="5">
        <v>0</v>
      </c>
      <c r="T96" s="3" t="s">
        <v>38</v>
      </c>
      <c r="U96" s="3" t="s">
        <v>39</v>
      </c>
      <c r="V96" s="3" t="s">
        <v>40</v>
      </c>
      <c r="W96" s="6" t="s">
        <v>41</v>
      </c>
      <c r="X96" s="6">
        <f>DATE(YEAR(E96) + 3, MONTH(E96), DAY(E96))</f>
        <v>46507</v>
      </c>
      <c r="Y96" s="3" t="s">
        <v>41</v>
      </c>
      <c r="Z96" s="3" t="s">
        <v>30</v>
      </c>
      <c r="AA96" s="3" t="s">
        <v>41</v>
      </c>
      <c r="AB96" s="3" t="s">
        <v>280</v>
      </c>
    </row>
    <row r="97" spans="1:28" ht="33" customHeight="1" x14ac:dyDescent="0.25">
      <c r="A97" s="7">
        <v>79588</v>
      </c>
      <c r="B97" s="3" t="s">
        <v>502</v>
      </c>
      <c r="C97" s="3" t="s">
        <v>503</v>
      </c>
      <c r="D97" s="6">
        <v>45299</v>
      </c>
      <c r="E97" s="6">
        <v>45747</v>
      </c>
      <c r="F97" s="3" t="s">
        <v>30</v>
      </c>
      <c r="G97" s="6">
        <v>45747</v>
      </c>
      <c r="H97" s="3" t="s">
        <v>40</v>
      </c>
      <c r="I97" s="6" t="s">
        <v>41</v>
      </c>
      <c r="J97" s="3" t="s">
        <v>504</v>
      </c>
      <c r="K97" s="3" t="s">
        <v>33</v>
      </c>
      <c r="L97" s="3">
        <v>10971918</v>
      </c>
      <c r="M97" s="3" t="s">
        <v>92</v>
      </c>
      <c r="N97" s="3" t="s">
        <v>505</v>
      </c>
      <c r="O97" s="3" t="s">
        <v>489</v>
      </c>
      <c r="P97" s="3" t="s">
        <v>95</v>
      </c>
      <c r="Q97" s="5">
        <v>65000</v>
      </c>
      <c r="R97" s="5">
        <v>65000</v>
      </c>
      <c r="S97" s="5"/>
      <c r="T97" s="3" t="s">
        <v>38</v>
      </c>
      <c r="U97" s="3" t="s">
        <v>39</v>
      </c>
      <c r="V97" s="3" t="s">
        <v>40</v>
      </c>
      <c r="W97" s="6">
        <f>DATE(YEAR(D97) + 3, MONTH(D97), DAY(D97))</f>
        <v>46395</v>
      </c>
      <c r="X97" s="6">
        <f>DATE(YEAR(E97) + 3, MONTH(E97), DAY(E97))</f>
        <v>46843</v>
      </c>
      <c r="Y97" s="3" t="s">
        <v>41</v>
      </c>
      <c r="Z97" s="3" t="s">
        <v>30</v>
      </c>
      <c r="AA97" s="3" t="s">
        <v>41</v>
      </c>
      <c r="AB97" s="3" t="s">
        <v>477</v>
      </c>
    </row>
    <row r="98" spans="1:28" ht="33" customHeight="1" x14ac:dyDescent="0.25">
      <c r="A98" s="7" t="s">
        <v>506</v>
      </c>
      <c r="B98" s="3" t="s">
        <v>507</v>
      </c>
      <c r="C98" s="3" t="s">
        <v>508</v>
      </c>
      <c r="D98" s="6">
        <v>44593</v>
      </c>
      <c r="E98" s="6">
        <v>45322</v>
      </c>
      <c r="F98" s="3" t="s">
        <v>45</v>
      </c>
      <c r="G98" s="6">
        <v>46418</v>
      </c>
      <c r="H98" s="3" t="s">
        <v>40</v>
      </c>
      <c r="I98" s="6">
        <v>45383</v>
      </c>
      <c r="J98" s="3" t="s">
        <v>391</v>
      </c>
      <c r="K98" s="3" t="s">
        <v>30</v>
      </c>
      <c r="L98" s="3">
        <v>2594504</v>
      </c>
      <c r="M98" s="3" t="s">
        <v>34</v>
      </c>
      <c r="N98" s="3" t="s">
        <v>144</v>
      </c>
      <c r="O98" s="3" t="s">
        <v>63</v>
      </c>
      <c r="P98" s="3" t="s">
        <v>64</v>
      </c>
      <c r="Q98" s="5">
        <v>4000000</v>
      </c>
      <c r="R98" s="5">
        <v>20000000</v>
      </c>
      <c r="S98" s="5">
        <v>0</v>
      </c>
      <c r="T98" s="3" t="s">
        <v>38</v>
      </c>
      <c r="U98" s="3" t="s">
        <v>39</v>
      </c>
      <c r="V98" s="3" t="s">
        <v>40</v>
      </c>
      <c r="W98" s="6">
        <f>DATE(YEAR(D98) + 3, MONTH(D98), DAY(D98))</f>
        <v>45689</v>
      </c>
      <c r="X98" s="6">
        <f>DATE(YEAR(E98) + 3, MONTH(E98), DAY(E98))</f>
        <v>46418</v>
      </c>
      <c r="Y98" s="3" t="s">
        <v>41</v>
      </c>
      <c r="Z98" s="3" t="s">
        <v>45</v>
      </c>
      <c r="AA98" s="3" t="s">
        <v>45</v>
      </c>
      <c r="AB98" s="3" t="s">
        <v>58</v>
      </c>
    </row>
    <row r="99" spans="1:28" ht="33" customHeight="1" x14ac:dyDescent="0.25">
      <c r="A99" s="7" t="s">
        <v>509</v>
      </c>
      <c r="B99" s="3" t="s">
        <v>510</v>
      </c>
      <c r="C99" s="3" t="s">
        <v>511</v>
      </c>
      <c r="D99" s="6">
        <v>44593</v>
      </c>
      <c r="E99" s="6">
        <v>45322</v>
      </c>
      <c r="F99" s="3" t="s">
        <v>45</v>
      </c>
      <c r="G99" s="6">
        <v>46418</v>
      </c>
      <c r="H99" s="3" t="s">
        <v>40</v>
      </c>
      <c r="I99" s="6">
        <v>45383</v>
      </c>
      <c r="J99" s="3" t="s">
        <v>189</v>
      </c>
      <c r="K99" s="3" t="s">
        <v>30</v>
      </c>
      <c r="L99" s="3">
        <v>1243967</v>
      </c>
      <c r="M99" s="3" t="s">
        <v>34</v>
      </c>
      <c r="N99" s="3" t="s">
        <v>144</v>
      </c>
      <c r="O99" s="3" t="s">
        <v>63</v>
      </c>
      <c r="P99" s="3" t="s">
        <v>64</v>
      </c>
      <c r="Q99" s="5">
        <v>600000</v>
      </c>
      <c r="R99" s="5">
        <v>3000000</v>
      </c>
      <c r="S99" s="5">
        <v>0</v>
      </c>
      <c r="T99" s="3" t="s">
        <v>38</v>
      </c>
      <c r="U99" s="3" t="s">
        <v>39</v>
      </c>
      <c r="V99" s="3" t="s">
        <v>40</v>
      </c>
      <c r="W99" s="6">
        <f>DATE(YEAR(D99) + 3, MONTH(D99), DAY(D99))</f>
        <v>45689</v>
      </c>
      <c r="X99" s="6">
        <f>DATE(YEAR(E99) + 3, MONTH(E99), DAY(E99))</f>
        <v>46418</v>
      </c>
      <c r="Y99" s="3" t="s">
        <v>41</v>
      </c>
      <c r="Z99" s="3" t="s">
        <v>45</v>
      </c>
      <c r="AA99" s="3" t="s">
        <v>45</v>
      </c>
      <c r="AB99" s="3" t="s">
        <v>58</v>
      </c>
    </row>
    <row r="100" spans="1:28" ht="33" customHeight="1" x14ac:dyDescent="0.25">
      <c r="A100" s="7" t="s">
        <v>512</v>
      </c>
      <c r="B100" s="3" t="s">
        <v>513</v>
      </c>
      <c r="C100" s="3" t="s">
        <v>514</v>
      </c>
      <c r="D100" s="6">
        <v>44593</v>
      </c>
      <c r="E100" s="6">
        <v>45322</v>
      </c>
      <c r="F100" s="3" t="s">
        <v>45</v>
      </c>
      <c r="G100" s="6">
        <v>46418</v>
      </c>
      <c r="H100" s="3" t="s">
        <v>40</v>
      </c>
      <c r="I100" s="6">
        <v>45383</v>
      </c>
      <c r="J100" s="3" t="s">
        <v>515</v>
      </c>
      <c r="K100" s="3" t="s">
        <v>30</v>
      </c>
      <c r="L100" s="3">
        <v>2165592</v>
      </c>
      <c r="M100" s="3" t="s">
        <v>34</v>
      </c>
      <c r="N100" s="3" t="s">
        <v>144</v>
      </c>
      <c r="O100" s="3" t="s">
        <v>63</v>
      </c>
      <c r="P100" s="3" t="s">
        <v>64</v>
      </c>
      <c r="Q100" s="5">
        <v>400000</v>
      </c>
      <c r="R100" s="5">
        <v>3000000</v>
      </c>
      <c r="S100" s="5">
        <v>0</v>
      </c>
      <c r="T100" s="3" t="s">
        <v>38</v>
      </c>
      <c r="U100" s="3" t="s">
        <v>39</v>
      </c>
      <c r="V100" s="3" t="s">
        <v>40</v>
      </c>
      <c r="W100" s="6">
        <f>DATE(YEAR(D100) + 3, MONTH(D100), DAY(D100))</f>
        <v>45689</v>
      </c>
      <c r="X100" s="6">
        <f>DATE(YEAR(E100) + 3, MONTH(E100), DAY(E100))</f>
        <v>46418</v>
      </c>
      <c r="Y100" s="3" t="s">
        <v>41</v>
      </c>
      <c r="Z100" s="3" t="s">
        <v>45</v>
      </c>
      <c r="AA100" s="3" t="s">
        <v>45</v>
      </c>
      <c r="AB100" s="3" t="s">
        <v>58</v>
      </c>
    </row>
    <row r="101" spans="1:28" ht="33" customHeight="1" x14ac:dyDescent="0.25">
      <c r="A101" s="7" t="s">
        <v>516</v>
      </c>
      <c r="B101" s="3" t="s">
        <v>517</v>
      </c>
      <c r="C101" s="3" t="s">
        <v>518</v>
      </c>
      <c r="D101" s="6">
        <v>44476</v>
      </c>
      <c r="E101" s="6">
        <v>45351</v>
      </c>
      <c r="F101" s="3"/>
      <c r="G101" s="6">
        <v>45351</v>
      </c>
      <c r="H101" s="3" t="s">
        <v>40</v>
      </c>
      <c r="I101" s="6" t="s">
        <v>41</v>
      </c>
      <c r="J101" s="3" t="s">
        <v>519</v>
      </c>
      <c r="K101" s="3" t="s">
        <v>33</v>
      </c>
      <c r="L101" s="3" t="s">
        <v>520</v>
      </c>
      <c r="M101" s="3" t="s">
        <v>92</v>
      </c>
      <c r="N101" s="3" t="s">
        <v>521</v>
      </c>
      <c r="O101" s="3" t="s">
        <v>168</v>
      </c>
      <c r="P101" s="3" t="s">
        <v>95</v>
      </c>
      <c r="Q101" s="5">
        <v>100000</v>
      </c>
      <c r="R101" s="5">
        <v>100000</v>
      </c>
      <c r="S101" s="5">
        <v>0</v>
      </c>
      <c r="T101" s="3" t="s">
        <v>38</v>
      </c>
      <c r="U101" s="3" t="s">
        <v>39</v>
      </c>
      <c r="V101" s="3" t="s">
        <v>40</v>
      </c>
      <c r="W101" s="6"/>
      <c r="X101" s="6"/>
      <c r="Y101" s="3" t="s">
        <v>45</v>
      </c>
      <c r="Z101" s="3" t="s">
        <v>30</v>
      </c>
      <c r="AA101" s="3" t="s">
        <v>41</v>
      </c>
      <c r="AB101" s="3" t="s">
        <v>96</v>
      </c>
    </row>
    <row r="102" spans="1:28" ht="33" customHeight="1" x14ac:dyDescent="0.25">
      <c r="A102" s="7" t="s">
        <v>522</v>
      </c>
      <c r="B102" s="3" t="s">
        <v>517</v>
      </c>
      <c r="C102" s="3" t="s">
        <v>523</v>
      </c>
      <c r="D102" s="6">
        <v>44476</v>
      </c>
      <c r="E102" s="6">
        <v>45351</v>
      </c>
      <c r="F102" s="3"/>
      <c r="G102" s="6">
        <v>45351</v>
      </c>
      <c r="H102" s="3" t="s">
        <v>40</v>
      </c>
      <c r="I102" s="6" t="s">
        <v>41</v>
      </c>
      <c r="J102" s="3" t="s">
        <v>524</v>
      </c>
      <c r="K102" s="3" t="s">
        <v>33</v>
      </c>
      <c r="L102" s="3" t="s">
        <v>525</v>
      </c>
      <c r="M102" s="3" t="s">
        <v>92</v>
      </c>
      <c r="N102" s="3" t="s">
        <v>521</v>
      </c>
      <c r="O102" s="3" t="s">
        <v>168</v>
      </c>
      <c r="P102" s="3" t="s">
        <v>95</v>
      </c>
      <c r="Q102" s="5">
        <v>30000</v>
      </c>
      <c r="R102" s="5">
        <v>30000</v>
      </c>
      <c r="S102" s="5">
        <v>0</v>
      </c>
      <c r="T102" s="3" t="s">
        <v>38</v>
      </c>
      <c r="U102" s="3" t="s">
        <v>39</v>
      </c>
      <c r="V102" s="3" t="s">
        <v>40</v>
      </c>
      <c r="W102" s="6">
        <f>DATE(YEAR(D102) + 3, MONTH(D102), DAY(D102))</f>
        <v>45572</v>
      </c>
      <c r="X102" s="6"/>
      <c r="Y102" s="3" t="s">
        <v>45</v>
      </c>
      <c r="Z102" s="3" t="s">
        <v>30</v>
      </c>
      <c r="AA102" s="3" t="s">
        <v>41</v>
      </c>
      <c r="AB102" s="3" t="s">
        <v>96</v>
      </c>
    </row>
    <row r="103" spans="1:28" ht="33" customHeight="1" x14ac:dyDescent="0.25">
      <c r="A103" s="7" t="s">
        <v>526</v>
      </c>
      <c r="B103" s="3" t="s">
        <v>527</v>
      </c>
      <c r="C103" s="3" t="s">
        <v>528</v>
      </c>
      <c r="D103" s="6">
        <v>44593</v>
      </c>
      <c r="E103" s="6">
        <v>45317</v>
      </c>
      <c r="F103" s="3" t="s">
        <v>30</v>
      </c>
      <c r="G103" s="6">
        <v>46048</v>
      </c>
      <c r="H103" s="3" t="s">
        <v>40</v>
      </c>
      <c r="I103" s="6">
        <v>45247</v>
      </c>
      <c r="J103" s="3" t="s">
        <v>391</v>
      </c>
      <c r="K103" s="3" t="s">
        <v>30</v>
      </c>
      <c r="L103" s="3" t="s">
        <v>529</v>
      </c>
      <c r="M103" s="3" t="s">
        <v>34</v>
      </c>
      <c r="N103" s="3" t="s">
        <v>530</v>
      </c>
      <c r="O103" s="3" t="s">
        <v>531</v>
      </c>
      <c r="P103" s="3" t="s">
        <v>64</v>
      </c>
      <c r="Q103" s="5">
        <v>5000000</v>
      </c>
      <c r="R103" s="5">
        <v>20000000</v>
      </c>
      <c r="S103" s="5">
        <v>0</v>
      </c>
      <c r="T103" s="3" t="s">
        <v>38</v>
      </c>
      <c r="U103" s="3" t="s">
        <v>532</v>
      </c>
      <c r="V103" s="3" t="s">
        <v>40</v>
      </c>
      <c r="W103" s="6">
        <f>DATE(YEAR(D103) + 3, MONTH(D103), DAY(D103))</f>
        <v>45689</v>
      </c>
      <c r="X103" s="6">
        <f>DATE(YEAR(E103) + 3, MONTH(E103), DAY(E103))</f>
        <v>46413</v>
      </c>
      <c r="Y103" s="3" t="s">
        <v>41</v>
      </c>
      <c r="Z103" s="3" t="s">
        <v>45</v>
      </c>
      <c r="AA103" s="3" t="s">
        <v>45</v>
      </c>
      <c r="AB103" s="3" t="s">
        <v>186</v>
      </c>
    </row>
    <row r="104" spans="1:28" ht="33" customHeight="1" x14ac:dyDescent="0.25">
      <c r="A104" s="7" t="s">
        <v>533</v>
      </c>
      <c r="B104" s="3" t="s">
        <v>534</v>
      </c>
      <c r="C104" s="3" t="s">
        <v>528</v>
      </c>
      <c r="D104" s="6">
        <v>44593</v>
      </c>
      <c r="E104" s="6">
        <v>45317</v>
      </c>
      <c r="F104" s="3" t="s">
        <v>30</v>
      </c>
      <c r="G104" s="6">
        <v>46048</v>
      </c>
      <c r="H104" s="3" t="s">
        <v>40</v>
      </c>
      <c r="I104" s="6">
        <v>45247</v>
      </c>
      <c r="J104" s="3" t="s">
        <v>194</v>
      </c>
      <c r="K104" s="3" t="s">
        <v>30</v>
      </c>
      <c r="L104" s="3" t="s">
        <v>535</v>
      </c>
      <c r="M104" s="3" t="s">
        <v>34</v>
      </c>
      <c r="N104" s="3" t="s">
        <v>530</v>
      </c>
      <c r="O104" s="3" t="s">
        <v>531</v>
      </c>
      <c r="P104" s="3" t="s">
        <v>64</v>
      </c>
      <c r="Q104" s="5">
        <v>5000000</v>
      </c>
      <c r="R104" s="5">
        <v>20000000</v>
      </c>
      <c r="S104" s="5">
        <v>0</v>
      </c>
      <c r="T104" s="3" t="s">
        <v>38</v>
      </c>
      <c r="U104" s="3" t="s">
        <v>532</v>
      </c>
      <c r="V104" s="3" t="s">
        <v>40</v>
      </c>
      <c r="W104" s="6">
        <f>DATE(YEAR(D104) + 3, MONTH(D104), DAY(D104))</f>
        <v>45689</v>
      </c>
      <c r="X104" s="6">
        <f>DATE(YEAR(E104) + 3, MONTH(E104), DAY(E104))</f>
        <v>46413</v>
      </c>
      <c r="Y104" s="3" t="s">
        <v>41</v>
      </c>
      <c r="Z104" s="3" t="s">
        <v>45</v>
      </c>
      <c r="AA104" s="3" t="s">
        <v>45</v>
      </c>
      <c r="AB104" s="3" t="s">
        <v>186</v>
      </c>
    </row>
    <row r="105" spans="1:28" ht="33" customHeight="1" x14ac:dyDescent="0.25">
      <c r="A105" s="7" t="s">
        <v>536</v>
      </c>
      <c r="B105" s="3" t="s">
        <v>534</v>
      </c>
      <c r="C105" s="3" t="s">
        <v>528</v>
      </c>
      <c r="D105" s="6">
        <v>44593</v>
      </c>
      <c r="E105" s="6">
        <v>45317</v>
      </c>
      <c r="F105" s="3" t="s">
        <v>30</v>
      </c>
      <c r="G105" s="6">
        <v>46048</v>
      </c>
      <c r="H105" s="3" t="s">
        <v>40</v>
      </c>
      <c r="I105" s="6">
        <v>45247</v>
      </c>
      <c r="J105" s="3" t="s">
        <v>391</v>
      </c>
      <c r="K105" s="3" t="s">
        <v>30</v>
      </c>
      <c r="L105" s="3" t="s">
        <v>529</v>
      </c>
      <c r="M105" s="3" t="s">
        <v>34</v>
      </c>
      <c r="N105" s="3" t="s">
        <v>530</v>
      </c>
      <c r="O105" s="3" t="s">
        <v>531</v>
      </c>
      <c r="P105" s="3" t="s">
        <v>64</v>
      </c>
      <c r="Q105" s="5">
        <v>5000000</v>
      </c>
      <c r="R105" s="5">
        <v>20000000</v>
      </c>
      <c r="S105" s="5">
        <v>0</v>
      </c>
      <c r="T105" s="3" t="s">
        <v>38</v>
      </c>
      <c r="U105" s="3" t="s">
        <v>532</v>
      </c>
      <c r="V105" s="3" t="s">
        <v>40</v>
      </c>
      <c r="W105" s="6">
        <f>DATE(YEAR(D105) + 3, MONTH(D105), DAY(D105))</f>
        <v>45689</v>
      </c>
      <c r="X105" s="6">
        <f>DATE(YEAR(E105) + 3, MONTH(E105), DAY(E105))</f>
        <v>46413</v>
      </c>
      <c r="Y105" s="3" t="s">
        <v>41</v>
      </c>
      <c r="Z105" s="3" t="s">
        <v>45</v>
      </c>
      <c r="AA105" s="3" t="s">
        <v>45</v>
      </c>
      <c r="AB105" s="3" t="s">
        <v>186</v>
      </c>
    </row>
    <row r="106" spans="1:28" ht="33" customHeight="1" x14ac:dyDescent="0.25">
      <c r="A106" s="7" t="s">
        <v>537</v>
      </c>
      <c r="B106" s="3" t="s">
        <v>527</v>
      </c>
      <c r="C106" s="3" t="s">
        <v>528</v>
      </c>
      <c r="D106" s="6">
        <v>44593</v>
      </c>
      <c r="E106" s="6">
        <v>45317</v>
      </c>
      <c r="F106" s="3" t="s">
        <v>30</v>
      </c>
      <c r="G106" s="6">
        <v>46048</v>
      </c>
      <c r="H106" s="3" t="s">
        <v>40</v>
      </c>
      <c r="I106" s="6">
        <v>45247</v>
      </c>
      <c r="J106" s="3" t="s">
        <v>453</v>
      </c>
      <c r="K106" s="3" t="s">
        <v>30</v>
      </c>
      <c r="L106" s="3" t="s">
        <v>538</v>
      </c>
      <c r="M106" s="3" t="s">
        <v>34</v>
      </c>
      <c r="N106" s="3" t="s">
        <v>530</v>
      </c>
      <c r="O106" s="3" t="s">
        <v>531</v>
      </c>
      <c r="P106" s="3" t="s">
        <v>64</v>
      </c>
      <c r="Q106" s="5">
        <v>5000000</v>
      </c>
      <c r="R106" s="5">
        <v>20000000</v>
      </c>
      <c r="S106" s="5">
        <v>0</v>
      </c>
      <c r="T106" s="3" t="s">
        <v>38</v>
      </c>
      <c r="U106" s="3" t="s">
        <v>532</v>
      </c>
      <c r="V106" s="3" t="s">
        <v>40</v>
      </c>
      <c r="W106" s="6">
        <f>DATE(YEAR(D106) + 3, MONTH(D106), DAY(D106))</f>
        <v>45689</v>
      </c>
      <c r="X106" s="6">
        <f>DATE(YEAR(E106) + 3, MONTH(E106), DAY(E106))</f>
        <v>46413</v>
      </c>
      <c r="Y106" s="3" t="s">
        <v>41</v>
      </c>
      <c r="Z106" s="3" t="s">
        <v>45</v>
      </c>
      <c r="AA106" s="3" t="s">
        <v>45</v>
      </c>
      <c r="AB106" s="3" t="s">
        <v>186</v>
      </c>
    </row>
    <row r="107" spans="1:28" ht="33" customHeight="1" x14ac:dyDescent="0.25">
      <c r="A107" s="7" t="s">
        <v>539</v>
      </c>
      <c r="B107" s="3" t="s">
        <v>527</v>
      </c>
      <c r="C107" s="3" t="s">
        <v>528</v>
      </c>
      <c r="D107" s="6">
        <v>44593</v>
      </c>
      <c r="E107" s="6">
        <v>45317</v>
      </c>
      <c r="F107" s="3" t="s">
        <v>30</v>
      </c>
      <c r="G107" s="6">
        <v>46048</v>
      </c>
      <c r="H107" s="3" t="s">
        <v>40</v>
      </c>
      <c r="I107" s="6">
        <v>45247</v>
      </c>
      <c r="J107" s="3" t="s">
        <v>194</v>
      </c>
      <c r="K107" s="3" t="s">
        <v>30</v>
      </c>
      <c r="L107" s="3">
        <v>1383511</v>
      </c>
      <c r="M107" s="3" t="s">
        <v>34</v>
      </c>
      <c r="N107" s="3" t="s">
        <v>530</v>
      </c>
      <c r="O107" s="3" t="s">
        <v>531</v>
      </c>
      <c r="P107" s="3" t="s">
        <v>64</v>
      </c>
      <c r="Q107" s="5">
        <v>5000000</v>
      </c>
      <c r="R107" s="5">
        <v>20000000</v>
      </c>
      <c r="S107" s="5">
        <v>0</v>
      </c>
      <c r="T107" s="3" t="s">
        <v>38</v>
      </c>
      <c r="U107" s="3" t="s">
        <v>532</v>
      </c>
      <c r="V107" s="3" t="s">
        <v>40</v>
      </c>
      <c r="W107" s="6">
        <f>DATE(YEAR(D107) + 3, MONTH(D107), DAY(D107))</f>
        <v>45689</v>
      </c>
      <c r="X107" s="6">
        <f>DATE(YEAR(E107) + 3, MONTH(E107), DAY(E107))</f>
        <v>46413</v>
      </c>
      <c r="Y107" s="3" t="s">
        <v>41</v>
      </c>
      <c r="Z107" s="3" t="s">
        <v>45</v>
      </c>
      <c r="AA107" s="3" t="s">
        <v>45</v>
      </c>
      <c r="AB107" s="3" t="s">
        <v>186</v>
      </c>
    </row>
    <row r="108" spans="1:28" ht="33" customHeight="1" x14ac:dyDescent="0.25">
      <c r="A108" s="7" t="s">
        <v>540</v>
      </c>
      <c r="B108" s="3" t="s">
        <v>541</v>
      </c>
      <c r="C108" s="3" t="s">
        <v>542</v>
      </c>
      <c r="D108" s="6">
        <v>44700</v>
      </c>
      <c r="E108" s="6">
        <v>45078</v>
      </c>
      <c r="F108" s="3" t="s">
        <v>31</v>
      </c>
      <c r="G108" s="6">
        <v>45747</v>
      </c>
      <c r="H108" s="3" t="s">
        <v>40</v>
      </c>
      <c r="I108" s="6" t="s">
        <v>41</v>
      </c>
      <c r="J108" s="3" t="s">
        <v>391</v>
      </c>
      <c r="K108" s="3" t="s">
        <v>182</v>
      </c>
      <c r="L108" s="3">
        <v>2594504</v>
      </c>
      <c r="M108" s="3" t="s">
        <v>48</v>
      </c>
      <c r="N108" s="3" t="s">
        <v>543</v>
      </c>
      <c r="O108" s="3" t="s">
        <v>531</v>
      </c>
      <c r="P108" s="3" t="s">
        <v>64</v>
      </c>
      <c r="Q108" s="5">
        <v>372126.5</v>
      </c>
      <c r="R108" s="5">
        <v>372126.5</v>
      </c>
      <c r="S108" s="5">
        <v>0</v>
      </c>
      <c r="T108" s="3" t="s">
        <v>38</v>
      </c>
      <c r="U108" s="3" t="s">
        <v>39</v>
      </c>
      <c r="V108" s="3" t="s">
        <v>40</v>
      </c>
      <c r="W108" s="6">
        <f>DATE(YEAR(D108) + 3, MONTH(D108), DAY(D108))</f>
        <v>45796</v>
      </c>
      <c r="X108" s="6">
        <f>DATE(YEAR(E108) + 3, MONTH(E108), DAY(E108))</f>
        <v>46174</v>
      </c>
      <c r="Y108" s="3" t="s">
        <v>41</v>
      </c>
      <c r="Z108" s="3" t="s">
        <v>45</v>
      </c>
      <c r="AA108" s="3" t="s">
        <v>45</v>
      </c>
      <c r="AB108" s="3" t="s">
        <v>186</v>
      </c>
    </row>
    <row r="109" spans="1:28" ht="33" customHeight="1" x14ac:dyDescent="0.25">
      <c r="A109" s="7" t="s">
        <v>548</v>
      </c>
      <c r="B109" s="3" t="s">
        <v>549</v>
      </c>
      <c r="C109" s="3"/>
      <c r="D109" s="6">
        <v>44805</v>
      </c>
      <c r="E109" s="6">
        <v>45900</v>
      </c>
      <c r="F109" s="3" t="s">
        <v>30</v>
      </c>
      <c r="G109" s="6">
        <v>45900</v>
      </c>
      <c r="H109" s="3" t="s">
        <v>40</v>
      </c>
      <c r="I109" s="6" t="s">
        <v>41</v>
      </c>
      <c r="J109" s="3" t="s">
        <v>449</v>
      </c>
      <c r="K109" s="3" t="s">
        <v>182</v>
      </c>
      <c r="L109" s="3">
        <v>5494158</v>
      </c>
      <c r="M109" s="3" t="s">
        <v>92</v>
      </c>
      <c r="N109" s="3" t="s">
        <v>550</v>
      </c>
      <c r="O109" s="3" t="s">
        <v>237</v>
      </c>
      <c r="P109" s="3" t="s">
        <v>224</v>
      </c>
      <c r="Q109" s="5">
        <v>127651</v>
      </c>
      <c r="R109" s="5">
        <v>127651</v>
      </c>
      <c r="S109" s="5">
        <v>0</v>
      </c>
      <c r="T109" s="3" t="s">
        <v>38</v>
      </c>
      <c r="U109" s="3" t="s">
        <v>39</v>
      </c>
      <c r="V109" s="3" t="s">
        <v>40</v>
      </c>
      <c r="W109" s="6">
        <f>DATE(YEAR(D109) + 3, MONTH(D109), DAY(D109))</f>
        <v>45901</v>
      </c>
      <c r="X109" s="6">
        <f>DATE(YEAR(E109) + 3, MONTH(E109), DAY(E109))</f>
        <v>46996</v>
      </c>
      <c r="Y109" s="3" t="s">
        <v>41</v>
      </c>
      <c r="Z109" s="3" t="s">
        <v>30</v>
      </c>
      <c r="AA109" s="3" t="s">
        <v>41</v>
      </c>
      <c r="AB109" s="3" t="s">
        <v>343</v>
      </c>
    </row>
    <row r="110" spans="1:28" ht="33" customHeight="1" x14ac:dyDescent="0.25">
      <c r="A110" s="7" t="s">
        <v>551</v>
      </c>
      <c r="B110" s="3" t="s">
        <v>552</v>
      </c>
      <c r="C110" s="3" t="s">
        <v>552</v>
      </c>
      <c r="D110" s="6">
        <v>44935</v>
      </c>
      <c r="E110" s="6">
        <v>45665</v>
      </c>
      <c r="F110" s="3" t="s">
        <v>45</v>
      </c>
      <c r="G110" s="6">
        <v>46395</v>
      </c>
      <c r="H110" s="3" t="s">
        <v>31</v>
      </c>
      <c r="I110" s="6">
        <v>45474</v>
      </c>
      <c r="J110" s="3" t="s">
        <v>553</v>
      </c>
      <c r="K110" s="3" t="s">
        <v>412</v>
      </c>
      <c r="L110" s="3" t="s">
        <v>554</v>
      </c>
      <c r="M110" s="3" t="s">
        <v>34</v>
      </c>
      <c r="N110" s="3" t="s">
        <v>555</v>
      </c>
      <c r="O110" s="3" t="s">
        <v>223</v>
      </c>
      <c r="P110" s="3" t="s">
        <v>224</v>
      </c>
      <c r="Q110" s="5">
        <v>500000</v>
      </c>
      <c r="R110" s="5">
        <v>2000000</v>
      </c>
      <c r="S110" s="5">
        <v>0</v>
      </c>
      <c r="T110" s="3" t="s">
        <v>38</v>
      </c>
      <c r="U110" s="3" t="s">
        <v>556</v>
      </c>
      <c r="V110" s="3" t="s">
        <v>31</v>
      </c>
      <c r="W110" s="6">
        <f>DATE(YEAR(D110) + 3, MONTH(D110), DAY(D110))</f>
        <v>46031</v>
      </c>
      <c r="X110" s="6">
        <f>DATE(YEAR(E110) + 3, MONTH(E110), DAY(E110))</f>
        <v>46760</v>
      </c>
      <c r="Y110" s="3" t="s">
        <v>41</v>
      </c>
      <c r="Z110" s="3" t="s">
        <v>30</v>
      </c>
      <c r="AA110" s="3" t="s">
        <v>41</v>
      </c>
      <c r="AB110" s="3" t="s">
        <v>58</v>
      </c>
    </row>
    <row r="111" spans="1:28" ht="33" customHeight="1" x14ac:dyDescent="0.25">
      <c r="A111" s="7" t="s">
        <v>557</v>
      </c>
      <c r="B111" s="3" t="s">
        <v>552</v>
      </c>
      <c r="C111" s="3" t="s">
        <v>552</v>
      </c>
      <c r="D111" s="6">
        <v>44935</v>
      </c>
      <c r="E111" s="6">
        <v>45665</v>
      </c>
      <c r="F111" s="3" t="s">
        <v>45</v>
      </c>
      <c r="G111" s="6">
        <v>46395</v>
      </c>
      <c r="H111" s="3" t="s">
        <v>31</v>
      </c>
      <c r="I111" s="6">
        <v>45474</v>
      </c>
      <c r="J111" s="3" t="s">
        <v>558</v>
      </c>
      <c r="K111" s="3" t="s">
        <v>33</v>
      </c>
      <c r="L111" s="3" t="s">
        <v>559</v>
      </c>
      <c r="M111" s="3" t="s">
        <v>34</v>
      </c>
      <c r="N111" s="3" t="s">
        <v>555</v>
      </c>
      <c r="O111" s="3" t="s">
        <v>223</v>
      </c>
      <c r="P111" s="3" t="s">
        <v>224</v>
      </c>
      <c r="Q111" s="5">
        <v>500000</v>
      </c>
      <c r="R111" s="5">
        <v>2000000</v>
      </c>
      <c r="S111" s="5">
        <v>0</v>
      </c>
      <c r="T111" s="3" t="s">
        <v>38</v>
      </c>
      <c r="U111" s="3" t="s">
        <v>556</v>
      </c>
      <c r="V111" s="3" t="s">
        <v>31</v>
      </c>
      <c r="W111" s="6">
        <f>DATE(YEAR(D111) + 3, MONTH(D111), DAY(D111))</f>
        <v>46031</v>
      </c>
      <c r="X111" s="6">
        <f>DATE(YEAR(E111) + 3, MONTH(E111), DAY(E111))</f>
        <v>46760</v>
      </c>
      <c r="Y111" s="3" t="s">
        <v>41</v>
      </c>
      <c r="Z111" s="3" t="s">
        <v>30</v>
      </c>
      <c r="AA111" s="3" t="s">
        <v>41</v>
      </c>
      <c r="AB111" s="3" t="s">
        <v>58</v>
      </c>
    </row>
    <row r="112" spans="1:28" ht="33" customHeight="1" x14ac:dyDescent="0.25">
      <c r="A112" s="7" t="s">
        <v>560</v>
      </c>
      <c r="B112" s="3" t="s">
        <v>552</v>
      </c>
      <c r="C112" s="3" t="s">
        <v>552</v>
      </c>
      <c r="D112" s="6">
        <v>44935</v>
      </c>
      <c r="E112" s="6">
        <v>45665</v>
      </c>
      <c r="F112" s="3" t="s">
        <v>45</v>
      </c>
      <c r="G112" s="6">
        <v>46395</v>
      </c>
      <c r="H112" s="3" t="s">
        <v>31</v>
      </c>
      <c r="I112" s="6">
        <v>45474</v>
      </c>
      <c r="J112" s="3" t="s">
        <v>561</v>
      </c>
      <c r="K112" s="3" t="s">
        <v>33</v>
      </c>
      <c r="L112" s="3">
        <v>10971918</v>
      </c>
      <c r="M112" s="3" t="s">
        <v>34</v>
      </c>
      <c r="N112" s="3" t="s">
        <v>555</v>
      </c>
      <c r="O112" s="3" t="s">
        <v>223</v>
      </c>
      <c r="P112" s="3" t="s">
        <v>224</v>
      </c>
      <c r="Q112" s="5">
        <v>500000</v>
      </c>
      <c r="R112" s="5">
        <v>2000000</v>
      </c>
      <c r="S112" s="5">
        <v>0</v>
      </c>
      <c r="T112" s="3" t="s">
        <v>38</v>
      </c>
      <c r="U112" s="3" t="s">
        <v>556</v>
      </c>
      <c r="V112" s="3" t="s">
        <v>31</v>
      </c>
      <c r="W112" s="6">
        <f>DATE(YEAR(D112) + 3, MONTH(D112), DAY(D112))</f>
        <v>46031</v>
      </c>
      <c r="X112" s="6">
        <f>DATE(YEAR(E112) + 3, MONTH(E112), DAY(E112))</f>
        <v>46760</v>
      </c>
      <c r="Y112" s="3" t="s">
        <v>41</v>
      </c>
      <c r="Z112" s="3" t="s">
        <v>30</v>
      </c>
      <c r="AA112" s="3" t="s">
        <v>41</v>
      </c>
      <c r="AB112" s="3" t="s">
        <v>58</v>
      </c>
    </row>
    <row r="113" spans="1:28" ht="33" customHeight="1" x14ac:dyDescent="0.25">
      <c r="A113" s="7" t="s">
        <v>562</v>
      </c>
      <c r="B113" s="3" t="s">
        <v>552</v>
      </c>
      <c r="C113" s="3" t="s">
        <v>552</v>
      </c>
      <c r="D113" s="6">
        <v>44935</v>
      </c>
      <c r="E113" s="6">
        <v>45665</v>
      </c>
      <c r="F113" s="3" t="s">
        <v>45</v>
      </c>
      <c r="G113" s="6">
        <v>46395</v>
      </c>
      <c r="H113" s="3" t="s">
        <v>31</v>
      </c>
      <c r="I113" s="6">
        <v>45261</v>
      </c>
      <c r="J113" s="3" t="s">
        <v>563</v>
      </c>
      <c r="K113" s="3" t="s">
        <v>33</v>
      </c>
      <c r="L113" s="3" t="s">
        <v>564</v>
      </c>
      <c r="M113" s="3" t="s">
        <v>34</v>
      </c>
      <c r="N113" s="3" t="s">
        <v>555</v>
      </c>
      <c r="O113" s="3" t="s">
        <v>223</v>
      </c>
      <c r="P113" s="3" t="s">
        <v>224</v>
      </c>
      <c r="Q113" s="5">
        <v>500000</v>
      </c>
      <c r="R113" s="5">
        <v>2000000</v>
      </c>
      <c r="S113" s="5">
        <v>0</v>
      </c>
      <c r="T113" s="3" t="s">
        <v>38</v>
      </c>
      <c r="U113" s="3" t="s">
        <v>556</v>
      </c>
      <c r="V113" s="3" t="s">
        <v>31</v>
      </c>
      <c r="W113" s="6">
        <f>DATE(YEAR(D113) + 3, MONTH(D113), DAY(D113))</f>
        <v>46031</v>
      </c>
      <c r="X113" s="6">
        <f>DATE(YEAR(E113) + 3, MONTH(E113), DAY(E113))</f>
        <v>46760</v>
      </c>
      <c r="Y113" s="3" t="s">
        <v>41</v>
      </c>
      <c r="Z113" s="3" t="s">
        <v>30</v>
      </c>
      <c r="AA113" s="3" t="s">
        <v>41</v>
      </c>
      <c r="AB113" s="3" t="s">
        <v>58</v>
      </c>
    </row>
    <row r="114" spans="1:28" ht="33" customHeight="1" x14ac:dyDescent="0.25">
      <c r="A114" s="7" t="s">
        <v>565</v>
      </c>
      <c r="B114" s="3" t="s">
        <v>566</v>
      </c>
      <c r="C114" s="3" t="s">
        <v>567</v>
      </c>
      <c r="D114" s="6">
        <v>45111</v>
      </c>
      <c r="E114" s="6">
        <v>46206</v>
      </c>
      <c r="F114" s="3" t="s">
        <v>40</v>
      </c>
      <c r="G114" s="6">
        <v>46206</v>
      </c>
      <c r="H114" s="3" t="s">
        <v>40</v>
      </c>
      <c r="I114" s="6">
        <v>45477</v>
      </c>
      <c r="J114" s="3" t="s">
        <v>568</v>
      </c>
      <c r="K114" s="3" t="s">
        <v>33</v>
      </c>
      <c r="L114" s="3">
        <v>11830707</v>
      </c>
      <c r="M114" s="3" t="s">
        <v>48</v>
      </c>
      <c r="N114" s="3" t="s">
        <v>569</v>
      </c>
      <c r="O114" s="3" t="s">
        <v>273</v>
      </c>
      <c r="P114" s="3" t="s">
        <v>95</v>
      </c>
      <c r="Q114" s="5">
        <v>15000</v>
      </c>
      <c r="R114" s="5">
        <v>45000</v>
      </c>
      <c r="S114" s="5">
        <v>0</v>
      </c>
      <c r="T114" s="3" t="s">
        <v>38</v>
      </c>
      <c r="U114" s="3" t="s">
        <v>39</v>
      </c>
      <c r="V114" s="3" t="s">
        <v>40</v>
      </c>
      <c r="W114" s="6">
        <f>DATE(YEAR(D114) + 3, MONTH(D114), DAY(D114))</f>
        <v>46207</v>
      </c>
      <c r="X114" s="6">
        <f>DATE(YEAR(E114) + 3, MONTH(E114), DAY(E114))</f>
        <v>47302</v>
      </c>
      <c r="Y114" s="3" t="s">
        <v>41</v>
      </c>
      <c r="Z114" s="3" t="s">
        <v>30</v>
      </c>
      <c r="AA114" s="3" t="s">
        <v>41</v>
      </c>
      <c r="AB114" s="3" t="s">
        <v>343</v>
      </c>
    </row>
    <row r="115" spans="1:28" ht="33" customHeight="1" x14ac:dyDescent="0.25">
      <c r="A115" s="7" t="s">
        <v>570</v>
      </c>
      <c r="B115" s="3" t="s">
        <v>566</v>
      </c>
      <c r="C115" s="3" t="s">
        <v>567</v>
      </c>
      <c r="D115" s="6">
        <v>45111</v>
      </c>
      <c r="E115" s="6">
        <v>46206</v>
      </c>
      <c r="F115" s="3" t="s">
        <v>40</v>
      </c>
      <c r="G115" s="6">
        <v>46206</v>
      </c>
      <c r="H115" s="3" t="s">
        <v>40</v>
      </c>
      <c r="I115" s="6">
        <v>45477</v>
      </c>
      <c r="J115" s="3" t="s">
        <v>571</v>
      </c>
      <c r="K115" s="3" t="s">
        <v>572</v>
      </c>
      <c r="L115" s="3" t="s">
        <v>41</v>
      </c>
      <c r="M115" s="3" t="s">
        <v>48</v>
      </c>
      <c r="N115" s="3" t="s">
        <v>569</v>
      </c>
      <c r="O115" s="3" t="s">
        <v>273</v>
      </c>
      <c r="P115" s="3" t="s">
        <v>95</v>
      </c>
      <c r="Q115" s="5">
        <v>15000</v>
      </c>
      <c r="R115" s="5">
        <v>45000</v>
      </c>
      <c r="S115" s="5">
        <v>0</v>
      </c>
      <c r="T115" s="3" t="s">
        <v>38</v>
      </c>
      <c r="U115" s="3" t="s">
        <v>39</v>
      </c>
      <c r="V115" s="3" t="s">
        <v>40</v>
      </c>
      <c r="W115" s="6">
        <f>DATE(YEAR(D115) + 3, MONTH(D115), DAY(D115))</f>
        <v>46207</v>
      </c>
      <c r="X115" s="6">
        <f>DATE(YEAR(E115) + 3, MONTH(E115), DAY(E115))</f>
        <v>47302</v>
      </c>
      <c r="Y115" s="3" t="s">
        <v>41</v>
      </c>
      <c r="Z115" s="3" t="s">
        <v>30</v>
      </c>
      <c r="AA115" s="3" t="s">
        <v>41</v>
      </c>
      <c r="AB115" s="3" t="s">
        <v>343</v>
      </c>
    </row>
    <row r="116" spans="1:28" ht="33" customHeight="1" x14ac:dyDescent="0.25">
      <c r="A116" s="7" t="s">
        <v>573</v>
      </c>
      <c r="B116" s="3" t="s">
        <v>566</v>
      </c>
      <c r="C116" s="3" t="s">
        <v>567</v>
      </c>
      <c r="D116" s="6">
        <v>45111</v>
      </c>
      <c r="E116" s="6">
        <v>46206</v>
      </c>
      <c r="F116" s="3" t="s">
        <v>40</v>
      </c>
      <c r="G116" s="6">
        <v>46206</v>
      </c>
      <c r="H116" s="3" t="s">
        <v>40</v>
      </c>
      <c r="I116" s="6">
        <v>45477</v>
      </c>
      <c r="J116" s="3" t="s">
        <v>574</v>
      </c>
      <c r="K116" s="3" t="s">
        <v>33</v>
      </c>
      <c r="L116" s="3">
        <v>5057066</v>
      </c>
      <c r="M116" s="3" t="s">
        <v>48</v>
      </c>
      <c r="N116" s="3" t="s">
        <v>569</v>
      </c>
      <c r="O116" s="3" t="s">
        <v>273</v>
      </c>
      <c r="P116" s="3" t="s">
        <v>95</v>
      </c>
      <c r="Q116" s="5">
        <v>15000</v>
      </c>
      <c r="R116" s="5">
        <v>45000</v>
      </c>
      <c r="S116" s="5">
        <v>0</v>
      </c>
      <c r="T116" s="3" t="s">
        <v>38</v>
      </c>
      <c r="U116" s="3" t="s">
        <v>39</v>
      </c>
      <c r="V116" s="3" t="s">
        <v>40</v>
      </c>
      <c r="W116" s="6">
        <f>DATE(YEAR(D116) + 3, MONTH(D116), DAY(D116))</f>
        <v>46207</v>
      </c>
      <c r="X116" s="6">
        <f>DATE(YEAR(E116) + 3, MONTH(E116), DAY(E116))</f>
        <v>47302</v>
      </c>
      <c r="Y116" s="3" t="s">
        <v>41</v>
      </c>
      <c r="Z116" s="3" t="s">
        <v>30</v>
      </c>
      <c r="AA116" s="3" t="s">
        <v>41</v>
      </c>
      <c r="AB116" s="3" t="s">
        <v>343</v>
      </c>
    </row>
    <row r="117" spans="1:28" ht="33" customHeight="1" x14ac:dyDescent="0.25">
      <c r="A117" s="7" t="s">
        <v>575</v>
      </c>
      <c r="B117" s="3" t="s">
        <v>566</v>
      </c>
      <c r="C117" s="3" t="s">
        <v>567</v>
      </c>
      <c r="D117" s="6">
        <v>45111</v>
      </c>
      <c r="E117" s="6">
        <v>46206</v>
      </c>
      <c r="F117" s="3" t="s">
        <v>40</v>
      </c>
      <c r="G117" s="6">
        <v>46206</v>
      </c>
      <c r="H117" s="3" t="s">
        <v>40</v>
      </c>
      <c r="I117" s="6">
        <v>45477</v>
      </c>
      <c r="J117" s="3" t="s">
        <v>576</v>
      </c>
      <c r="K117" s="3" t="s">
        <v>33</v>
      </c>
      <c r="L117" s="3">
        <v>8575779</v>
      </c>
      <c r="M117" s="3" t="s">
        <v>48</v>
      </c>
      <c r="N117" s="3" t="s">
        <v>569</v>
      </c>
      <c r="O117" s="3" t="s">
        <v>273</v>
      </c>
      <c r="P117" s="3" t="s">
        <v>95</v>
      </c>
      <c r="Q117" s="5">
        <v>15000</v>
      </c>
      <c r="R117" s="5">
        <v>45000</v>
      </c>
      <c r="S117" s="5">
        <v>0</v>
      </c>
      <c r="T117" s="3" t="s">
        <v>38</v>
      </c>
      <c r="U117" s="3" t="s">
        <v>39</v>
      </c>
      <c r="V117" s="3" t="s">
        <v>40</v>
      </c>
      <c r="W117" s="6">
        <f>DATE(YEAR(D117) + 3, MONTH(D117), DAY(D117))</f>
        <v>46207</v>
      </c>
      <c r="X117" s="6">
        <f>DATE(YEAR(E117) + 3, MONTH(E117), DAY(E117))</f>
        <v>47302</v>
      </c>
      <c r="Y117" s="3" t="s">
        <v>41</v>
      </c>
      <c r="Z117" s="3" t="s">
        <v>30</v>
      </c>
      <c r="AA117" s="3" t="s">
        <v>41</v>
      </c>
      <c r="AB117" s="3" t="s">
        <v>343</v>
      </c>
    </row>
    <row r="118" spans="1:28" ht="33" customHeight="1" x14ac:dyDescent="0.25">
      <c r="A118" s="7" t="s">
        <v>577</v>
      </c>
      <c r="B118" s="3" t="s">
        <v>566</v>
      </c>
      <c r="C118" s="3" t="s">
        <v>567</v>
      </c>
      <c r="D118" s="6">
        <v>45111</v>
      </c>
      <c r="E118" s="6">
        <v>46206</v>
      </c>
      <c r="F118" s="3" t="s">
        <v>40</v>
      </c>
      <c r="G118" s="6">
        <v>46206</v>
      </c>
      <c r="H118" s="3" t="s">
        <v>40</v>
      </c>
      <c r="I118" s="6">
        <v>45477</v>
      </c>
      <c r="J118" s="3" t="s">
        <v>578</v>
      </c>
      <c r="K118" s="3" t="s">
        <v>33</v>
      </c>
      <c r="L118" s="3">
        <v>3596465</v>
      </c>
      <c r="M118" s="3" t="s">
        <v>48</v>
      </c>
      <c r="N118" s="3" t="s">
        <v>569</v>
      </c>
      <c r="O118" s="3" t="s">
        <v>273</v>
      </c>
      <c r="P118" s="3" t="s">
        <v>95</v>
      </c>
      <c r="Q118" s="5">
        <v>15000</v>
      </c>
      <c r="R118" s="5">
        <v>45000</v>
      </c>
      <c r="S118" s="5">
        <v>0</v>
      </c>
      <c r="T118" s="3" t="s">
        <v>38</v>
      </c>
      <c r="U118" s="3" t="s">
        <v>39</v>
      </c>
      <c r="V118" s="3" t="s">
        <v>40</v>
      </c>
      <c r="W118" s="6">
        <f>DATE(YEAR(D118) + 3, MONTH(D118), DAY(D118))</f>
        <v>46207</v>
      </c>
      <c r="X118" s="6">
        <f>DATE(YEAR(E118) + 3, MONTH(E118), DAY(E118))</f>
        <v>47302</v>
      </c>
      <c r="Y118" s="3" t="s">
        <v>41</v>
      </c>
      <c r="Z118" s="3" t="s">
        <v>30</v>
      </c>
      <c r="AA118" s="3" t="s">
        <v>41</v>
      </c>
      <c r="AB118" s="3" t="s">
        <v>343</v>
      </c>
    </row>
    <row r="119" spans="1:28" ht="33" customHeight="1" x14ac:dyDescent="0.25">
      <c r="A119" s="7" t="s">
        <v>579</v>
      </c>
      <c r="B119" s="3" t="s">
        <v>580</v>
      </c>
      <c r="C119" s="3" t="s">
        <v>581</v>
      </c>
      <c r="D119" s="6">
        <v>45138</v>
      </c>
      <c r="E119" s="6">
        <v>45657</v>
      </c>
      <c r="F119" s="3" t="s">
        <v>31</v>
      </c>
      <c r="G119" s="6">
        <v>46022</v>
      </c>
      <c r="H119" s="3" t="s">
        <v>40</v>
      </c>
      <c r="I119" s="6">
        <v>45504</v>
      </c>
      <c r="J119" s="3" t="s">
        <v>582</v>
      </c>
      <c r="K119" s="3" t="s">
        <v>33</v>
      </c>
      <c r="L119" s="3" t="s">
        <v>583</v>
      </c>
      <c r="M119" s="3" t="s">
        <v>48</v>
      </c>
      <c r="N119" s="3" t="s">
        <v>466</v>
      </c>
      <c r="O119" s="3" t="s">
        <v>168</v>
      </c>
      <c r="P119" s="3" t="s">
        <v>95</v>
      </c>
      <c r="Q119" s="5">
        <v>249699.75</v>
      </c>
      <c r="R119" s="5">
        <v>506890.5</v>
      </c>
      <c r="S119" s="5">
        <v>0</v>
      </c>
      <c r="T119" s="3" t="s">
        <v>38</v>
      </c>
      <c r="U119" s="3" t="s">
        <v>39</v>
      </c>
      <c r="V119" s="3" t="s">
        <v>40</v>
      </c>
      <c r="W119" s="6">
        <f>DATE(YEAR(D119) + 3, MONTH(D119), DAY(D119))</f>
        <v>46234</v>
      </c>
      <c r="X119" s="6">
        <f>DATE(YEAR(E119) + 3, MONTH(E119), DAY(E119))</f>
        <v>46752</v>
      </c>
      <c r="Y119" s="3" t="s">
        <v>41</v>
      </c>
      <c r="Z119" s="3" t="s">
        <v>30</v>
      </c>
      <c r="AA119" s="3" t="s">
        <v>41</v>
      </c>
      <c r="AB119" s="3" t="s">
        <v>343</v>
      </c>
    </row>
    <row r="120" spans="1:28" ht="33" customHeight="1" x14ac:dyDescent="0.25">
      <c r="A120" s="7" t="s">
        <v>584</v>
      </c>
      <c r="B120" s="3" t="s">
        <v>585</v>
      </c>
      <c r="C120" s="3" t="s">
        <v>581</v>
      </c>
      <c r="D120" s="6">
        <v>45138</v>
      </c>
      <c r="E120" s="6">
        <v>45657</v>
      </c>
      <c r="F120" s="3" t="s">
        <v>31</v>
      </c>
      <c r="G120" s="6">
        <v>46022</v>
      </c>
      <c r="H120" s="3" t="s">
        <v>40</v>
      </c>
      <c r="I120" s="6">
        <v>45504</v>
      </c>
      <c r="J120" s="3" t="s">
        <v>586</v>
      </c>
      <c r="K120" s="3" t="s">
        <v>33</v>
      </c>
      <c r="L120" s="3">
        <v>10286725</v>
      </c>
      <c r="M120" s="3" t="s">
        <v>48</v>
      </c>
      <c r="N120" s="3" t="s">
        <v>466</v>
      </c>
      <c r="O120" s="3" t="s">
        <v>168</v>
      </c>
      <c r="P120" s="3" t="s">
        <v>95</v>
      </c>
      <c r="Q120" s="5">
        <v>199500</v>
      </c>
      <c r="R120" s="5">
        <v>399000</v>
      </c>
      <c r="S120" s="5">
        <v>0</v>
      </c>
      <c r="T120" s="3" t="s">
        <v>38</v>
      </c>
      <c r="U120" s="3" t="s">
        <v>39</v>
      </c>
      <c r="V120" s="3" t="s">
        <v>40</v>
      </c>
      <c r="W120" s="6">
        <f>DATE(YEAR(D120) + 3, MONTH(D120), DAY(D120))</f>
        <v>46234</v>
      </c>
      <c r="X120" s="6">
        <f>DATE(YEAR(E120) + 3, MONTH(E120), DAY(E120))</f>
        <v>46752</v>
      </c>
      <c r="Y120" s="3" t="s">
        <v>41</v>
      </c>
      <c r="Z120" s="3" t="s">
        <v>30</v>
      </c>
      <c r="AA120" s="3" t="s">
        <v>41</v>
      </c>
      <c r="AB120" s="3" t="s">
        <v>343</v>
      </c>
    </row>
    <row r="121" spans="1:28" ht="33" customHeight="1" x14ac:dyDescent="0.25">
      <c r="A121" s="7" t="s">
        <v>587</v>
      </c>
      <c r="B121" s="3" t="s">
        <v>585</v>
      </c>
      <c r="C121" s="3" t="s">
        <v>581</v>
      </c>
      <c r="D121" s="6">
        <v>45138</v>
      </c>
      <c r="E121" s="6">
        <v>45657</v>
      </c>
      <c r="F121" s="3" t="s">
        <v>31</v>
      </c>
      <c r="G121" s="6">
        <v>46022</v>
      </c>
      <c r="H121" s="3" t="s">
        <v>40</v>
      </c>
      <c r="I121" s="6">
        <v>45504</v>
      </c>
      <c r="J121" s="3" t="s">
        <v>588</v>
      </c>
      <c r="K121" s="3" t="s">
        <v>589</v>
      </c>
      <c r="L121" s="3">
        <v>11011652</v>
      </c>
      <c r="M121" s="3" t="s">
        <v>48</v>
      </c>
      <c r="N121" s="3" t="s">
        <v>466</v>
      </c>
      <c r="O121" s="3" t="s">
        <v>168</v>
      </c>
      <c r="P121" s="3" t="s">
        <v>95</v>
      </c>
      <c r="Q121" s="5">
        <v>175000</v>
      </c>
      <c r="R121" s="5">
        <v>350000</v>
      </c>
      <c r="S121" s="5">
        <v>0</v>
      </c>
      <c r="T121" s="3" t="s">
        <v>38</v>
      </c>
      <c r="U121" s="3" t="s">
        <v>39</v>
      </c>
      <c r="V121" s="3" t="s">
        <v>40</v>
      </c>
      <c r="W121" s="6">
        <f>DATE(YEAR(D121) + 3, MONTH(D121), DAY(D121))</f>
        <v>46234</v>
      </c>
      <c r="X121" s="6">
        <f>DATE(YEAR(E121) + 3, MONTH(E121), DAY(E121))</f>
        <v>46752</v>
      </c>
      <c r="Y121" s="3" t="s">
        <v>41</v>
      </c>
      <c r="Z121" s="3" t="s">
        <v>30</v>
      </c>
      <c r="AA121" s="3" t="s">
        <v>41</v>
      </c>
      <c r="AB121" s="3" t="s">
        <v>343</v>
      </c>
    </row>
    <row r="122" spans="1:28" ht="33" customHeight="1" x14ac:dyDescent="0.25">
      <c r="A122" s="7" t="s">
        <v>590</v>
      </c>
      <c r="B122" s="3" t="s">
        <v>591</v>
      </c>
      <c r="C122" s="3" t="s">
        <v>581</v>
      </c>
      <c r="D122" s="6">
        <v>45138</v>
      </c>
      <c r="E122" s="6">
        <v>45657</v>
      </c>
      <c r="F122" s="3" t="s">
        <v>31</v>
      </c>
      <c r="G122" s="6">
        <v>46022</v>
      </c>
      <c r="H122" s="3" t="s">
        <v>40</v>
      </c>
      <c r="I122" s="6">
        <v>45504</v>
      </c>
      <c r="J122" s="3" t="s">
        <v>582</v>
      </c>
      <c r="K122" s="3" t="s">
        <v>33</v>
      </c>
      <c r="L122" s="3" t="s">
        <v>583</v>
      </c>
      <c r="M122" s="3" t="s">
        <v>48</v>
      </c>
      <c r="N122" s="3" t="s">
        <v>466</v>
      </c>
      <c r="O122" s="3" t="s">
        <v>168</v>
      </c>
      <c r="P122" s="3" t="s">
        <v>95</v>
      </c>
      <c r="Q122" s="5">
        <v>249699.75</v>
      </c>
      <c r="R122" s="5">
        <v>506890.5</v>
      </c>
      <c r="S122" s="5">
        <v>0</v>
      </c>
      <c r="T122" s="3" t="s">
        <v>38</v>
      </c>
      <c r="U122" s="3" t="s">
        <v>39</v>
      </c>
      <c r="V122" s="3" t="s">
        <v>40</v>
      </c>
      <c r="W122" s="6">
        <f>DATE(YEAR(D122) + 3, MONTH(D122), DAY(D122))</f>
        <v>46234</v>
      </c>
      <c r="X122" s="6">
        <f>DATE(YEAR(E122) + 3, MONTH(E122), DAY(E122))</f>
        <v>46752</v>
      </c>
      <c r="Y122" s="3" t="s">
        <v>41</v>
      </c>
      <c r="Z122" s="3" t="s">
        <v>30</v>
      </c>
      <c r="AA122" s="3" t="s">
        <v>41</v>
      </c>
      <c r="AB122" s="3" t="s">
        <v>343</v>
      </c>
    </row>
    <row r="123" spans="1:28" ht="33" customHeight="1" x14ac:dyDescent="0.25">
      <c r="A123" s="7" t="s">
        <v>592</v>
      </c>
      <c r="B123" s="3" t="s">
        <v>593</v>
      </c>
      <c r="C123" s="3" t="s">
        <v>581</v>
      </c>
      <c r="D123" s="6">
        <v>45138</v>
      </c>
      <c r="E123" s="6">
        <v>45657</v>
      </c>
      <c r="F123" s="3" t="s">
        <v>31</v>
      </c>
      <c r="G123" s="6">
        <v>46022</v>
      </c>
      <c r="H123" s="3" t="s">
        <v>40</v>
      </c>
      <c r="I123" s="6">
        <v>45504</v>
      </c>
      <c r="J123" s="3" t="s">
        <v>586</v>
      </c>
      <c r="K123" s="3" t="s">
        <v>33</v>
      </c>
      <c r="L123" s="3">
        <v>10286725</v>
      </c>
      <c r="M123" s="3" t="s">
        <v>48</v>
      </c>
      <c r="N123" s="3" t="s">
        <v>466</v>
      </c>
      <c r="O123" s="3" t="s">
        <v>168</v>
      </c>
      <c r="P123" s="3" t="s">
        <v>95</v>
      </c>
      <c r="Q123" s="5">
        <v>199500</v>
      </c>
      <c r="R123" s="5">
        <v>399000</v>
      </c>
      <c r="S123" s="5">
        <v>0</v>
      </c>
      <c r="T123" s="3" t="s">
        <v>38</v>
      </c>
      <c r="U123" s="3" t="s">
        <v>39</v>
      </c>
      <c r="V123" s="3" t="s">
        <v>40</v>
      </c>
      <c r="W123" s="6">
        <f>DATE(YEAR(D123) + 3, MONTH(D123), DAY(D123))</f>
        <v>46234</v>
      </c>
      <c r="X123" s="6">
        <f>DATE(YEAR(E123) + 3, MONTH(E123), DAY(E123))</f>
        <v>46752</v>
      </c>
      <c r="Y123" s="3" t="s">
        <v>41</v>
      </c>
      <c r="Z123" s="3" t="s">
        <v>30</v>
      </c>
      <c r="AA123" s="3" t="s">
        <v>41</v>
      </c>
      <c r="AB123" s="3" t="s">
        <v>343</v>
      </c>
    </row>
    <row r="124" spans="1:28" ht="33" customHeight="1" x14ac:dyDescent="0.25">
      <c r="A124" s="7" t="s">
        <v>594</v>
      </c>
      <c r="B124" s="3" t="s">
        <v>595</v>
      </c>
      <c r="C124" s="3" t="s">
        <v>596</v>
      </c>
      <c r="D124" s="6">
        <v>45250</v>
      </c>
      <c r="E124" s="6">
        <v>45583</v>
      </c>
      <c r="F124" s="3" t="s">
        <v>31</v>
      </c>
      <c r="G124" s="6">
        <v>45948</v>
      </c>
      <c r="H124" s="3" t="s">
        <v>40</v>
      </c>
      <c r="I124" s="6">
        <v>45432</v>
      </c>
      <c r="J124" s="3" t="s">
        <v>181</v>
      </c>
      <c r="K124" s="3" t="s">
        <v>182</v>
      </c>
      <c r="L124" s="3" t="s">
        <v>597</v>
      </c>
      <c r="M124" s="3" t="s">
        <v>34</v>
      </c>
      <c r="N124" s="3" t="s">
        <v>598</v>
      </c>
      <c r="O124" s="3" t="s">
        <v>86</v>
      </c>
      <c r="P124" s="3" t="s">
        <v>64</v>
      </c>
      <c r="Q124" s="5">
        <v>981781</v>
      </c>
      <c r="R124" s="5">
        <v>981781</v>
      </c>
      <c r="S124" s="5"/>
      <c r="T124" s="3" t="s">
        <v>38</v>
      </c>
      <c r="U124" s="3" t="s">
        <v>39</v>
      </c>
      <c r="V124" s="3" t="s">
        <v>31</v>
      </c>
      <c r="W124" s="6">
        <f>DATE(YEAR(D124) + 3, MONTH(D124), DAY(D124))</f>
        <v>46346</v>
      </c>
      <c r="X124" s="6">
        <f>DATE(YEAR(E124) + 3, MONTH(E124), DAY(E124))</f>
        <v>46678</v>
      </c>
      <c r="Y124" s="3" t="s">
        <v>301</v>
      </c>
      <c r="Z124" s="3" t="s">
        <v>45</v>
      </c>
      <c r="AA124" s="3" t="s">
        <v>45</v>
      </c>
      <c r="AB124" s="3" t="s">
        <v>186</v>
      </c>
    </row>
    <row r="125" spans="1:28" ht="33" customHeight="1" x14ac:dyDescent="0.25">
      <c r="A125" s="7" t="s">
        <v>599</v>
      </c>
      <c r="B125" s="3" t="s">
        <v>600</v>
      </c>
      <c r="C125" s="3" t="s">
        <v>601</v>
      </c>
      <c r="D125" s="6">
        <v>45261</v>
      </c>
      <c r="E125" s="6" t="s">
        <v>602</v>
      </c>
      <c r="F125" s="3" t="s">
        <v>45</v>
      </c>
      <c r="G125" s="6" t="s">
        <v>603</v>
      </c>
      <c r="H125" s="3"/>
      <c r="I125" s="6"/>
      <c r="J125" s="3" t="s">
        <v>189</v>
      </c>
      <c r="K125" s="3" t="s">
        <v>30</v>
      </c>
      <c r="L125" s="3">
        <v>1243967</v>
      </c>
      <c r="M125" s="3" t="s">
        <v>34</v>
      </c>
      <c r="N125" s="3" t="s">
        <v>604</v>
      </c>
      <c r="O125" s="3" t="s">
        <v>273</v>
      </c>
      <c r="P125" s="3" t="s">
        <v>224</v>
      </c>
      <c r="Q125" s="5">
        <v>800000</v>
      </c>
      <c r="R125" s="5">
        <v>800000</v>
      </c>
      <c r="S125" s="5"/>
      <c r="T125" s="3" t="s">
        <v>38</v>
      </c>
      <c r="U125" s="3" t="s">
        <v>605</v>
      </c>
      <c r="V125" s="3" t="s">
        <v>40</v>
      </c>
      <c r="W125" s="6"/>
      <c r="X125" s="6"/>
      <c r="Y125" s="3" t="s">
        <v>41</v>
      </c>
      <c r="Z125" s="3" t="s">
        <v>30</v>
      </c>
      <c r="AA125" s="3" t="s">
        <v>41</v>
      </c>
      <c r="AB125" s="3" t="s">
        <v>51</v>
      </c>
    </row>
    <row r="126" spans="1:28" ht="33" customHeight="1" x14ac:dyDescent="0.25">
      <c r="A126" s="7" t="s">
        <v>606</v>
      </c>
      <c r="B126" s="3" t="s">
        <v>607</v>
      </c>
      <c r="C126" s="3" t="s">
        <v>608</v>
      </c>
      <c r="D126" s="6">
        <v>45201</v>
      </c>
      <c r="E126" s="6">
        <v>46297</v>
      </c>
      <c r="F126" s="3" t="s">
        <v>40</v>
      </c>
      <c r="G126" s="6">
        <v>46297</v>
      </c>
      <c r="H126" s="3" t="s">
        <v>40</v>
      </c>
      <c r="I126" s="6">
        <v>45568</v>
      </c>
      <c r="J126" s="3" t="s">
        <v>609</v>
      </c>
      <c r="K126" s="3" t="s">
        <v>182</v>
      </c>
      <c r="L126" s="3">
        <v>7805748</v>
      </c>
      <c r="M126" s="3" t="s">
        <v>34</v>
      </c>
      <c r="N126" s="3" t="s">
        <v>610</v>
      </c>
      <c r="O126" s="3" t="s">
        <v>611</v>
      </c>
      <c r="P126" s="3" t="s">
        <v>146</v>
      </c>
      <c r="Q126" s="5">
        <v>333333</v>
      </c>
      <c r="R126" s="5">
        <v>1000000</v>
      </c>
      <c r="S126" s="5">
        <v>0</v>
      </c>
      <c r="T126" s="3" t="s">
        <v>38</v>
      </c>
      <c r="U126" s="3" t="s">
        <v>612</v>
      </c>
      <c r="V126" s="3" t="s">
        <v>40</v>
      </c>
      <c r="W126" s="6">
        <f>DATE(YEAR(D126) + 3, MONTH(D126), DAY(D126))</f>
        <v>46297</v>
      </c>
      <c r="X126" s="6">
        <f>DATE(YEAR(E126) + 3, MONTH(E126), DAY(E126))</f>
        <v>47393</v>
      </c>
      <c r="Y126" s="3" t="s">
        <v>45</v>
      </c>
      <c r="Z126" s="3" t="s">
        <v>30</v>
      </c>
      <c r="AA126" s="3" t="s">
        <v>41</v>
      </c>
      <c r="AB126" s="3" t="s">
        <v>163</v>
      </c>
    </row>
    <row r="127" spans="1:28" ht="33" customHeight="1" x14ac:dyDescent="0.25">
      <c r="A127" s="7" t="s">
        <v>613</v>
      </c>
      <c r="B127" s="3" t="s">
        <v>614</v>
      </c>
      <c r="C127" s="3" t="s">
        <v>615</v>
      </c>
      <c r="D127" s="6">
        <v>45334</v>
      </c>
      <c r="E127" s="6">
        <v>45473</v>
      </c>
      <c r="F127" s="3" t="s">
        <v>45</v>
      </c>
      <c r="G127" s="6">
        <v>45838</v>
      </c>
      <c r="H127" s="3" t="s">
        <v>40</v>
      </c>
      <c r="I127" s="6" t="s">
        <v>41</v>
      </c>
      <c r="J127" s="3" t="s">
        <v>616</v>
      </c>
      <c r="K127" s="3" t="s">
        <v>33</v>
      </c>
      <c r="L127" s="3">
        <v>6078852</v>
      </c>
      <c r="M127" s="3" t="s">
        <v>92</v>
      </c>
      <c r="N127" s="3" t="s">
        <v>191</v>
      </c>
      <c r="O127" s="3" t="s">
        <v>441</v>
      </c>
      <c r="P127" s="3" t="s">
        <v>37</v>
      </c>
      <c r="Q127" s="5">
        <v>151430</v>
      </c>
      <c r="R127" s="5">
        <v>151430</v>
      </c>
      <c r="S127" s="5">
        <v>0</v>
      </c>
      <c r="T127" s="3" t="s">
        <v>38</v>
      </c>
      <c r="U127" s="3" t="s">
        <v>39</v>
      </c>
      <c r="V127" s="3" t="s">
        <v>40</v>
      </c>
      <c r="W127" s="6">
        <f>DATE(YEAR(D127) + 3, MONTH(D127), DAY(D127))</f>
        <v>46430</v>
      </c>
      <c r="X127" s="6">
        <f>DATE(YEAR(E127) + 3, MONTH(E127), DAY(E127))</f>
        <v>46568</v>
      </c>
      <c r="Y127" s="3" t="s">
        <v>41</v>
      </c>
      <c r="Z127" s="3" t="s">
        <v>30</v>
      </c>
      <c r="AA127" s="3" t="s">
        <v>41</v>
      </c>
      <c r="AB127" s="3" t="s">
        <v>343</v>
      </c>
    </row>
    <row r="128" spans="1:28" ht="33" customHeight="1" x14ac:dyDescent="0.25">
      <c r="A128" s="7" t="s">
        <v>617</v>
      </c>
      <c r="B128" s="3" t="s">
        <v>618</v>
      </c>
      <c r="C128" s="3" t="s">
        <v>619</v>
      </c>
      <c r="D128" s="6">
        <v>45364</v>
      </c>
      <c r="E128" s="6">
        <v>46459</v>
      </c>
      <c r="F128" s="3" t="s">
        <v>30</v>
      </c>
      <c r="G128" s="6">
        <v>46459</v>
      </c>
      <c r="H128" s="3" t="s">
        <v>40</v>
      </c>
      <c r="I128" s="6">
        <v>45548</v>
      </c>
      <c r="J128" s="3" t="s">
        <v>620</v>
      </c>
      <c r="K128" s="3" t="s">
        <v>182</v>
      </c>
      <c r="L128" s="3" t="s">
        <v>195</v>
      </c>
      <c r="M128" s="3" t="s">
        <v>34</v>
      </c>
      <c r="N128" s="3" t="s">
        <v>621</v>
      </c>
      <c r="O128" s="3" t="s">
        <v>455</v>
      </c>
      <c r="P128" s="3" t="s">
        <v>146</v>
      </c>
      <c r="Q128" s="5">
        <v>540000</v>
      </c>
      <c r="R128" s="5">
        <v>1620000</v>
      </c>
      <c r="S128" s="5"/>
      <c r="T128" s="3" t="s">
        <v>38</v>
      </c>
      <c r="U128" s="3" t="s">
        <v>39</v>
      </c>
      <c r="V128" s="3" t="s">
        <v>40</v>
      </c>
      <c r="W128" s="6">
        <f>DATE(YEAR(D128) + 3, MONTH(D128), DAY(D128))</f>
        <v>46459</v>
      </c>
      <c r="X128" s="6">
        <f>DATE(YEAR(E128) + 3, MONTH(E128), DAY(E128))</f>
        <v>47555</v>
      </c>
      <c r="Y128" s="3" t="s">
        <v>30</v>
      </c>
      <c r="Z128" s="3" t="s">
        <v>45</v>
      </c>
      <c r="AA128" s="3" t="s">
        <v>45</v>
      </c>
      <c r="AB128" s="3" t="s">
        <v>186</v>
      </c>
    </row>
    <row r="129" spans="1:28" ht="33" customHeight="1" x14ac:dyDescent="0.25">
      <c r="A129" s="7" t="s">
        <v>622</v>
      </c>
      <c r="B129" s="3" t="s">
        <v>623</v>
      </c>
      <c r="C129" s="3" t="s">
        <v>624</v>
      </c>
      <c r="D129" s="6">
        <v>45243</v>
      </c>
      <c r="E129" s="6">
        <v>45394</v>
      </c>
      <c r="F129" s="3" t="s">
        <v>87</v>
      </c>
      <c r="G129" s="6">
        <v>45394</v>
      </c>
      <c r="H129" s="3" t="s">
        <v>40</v>
      </c>
      <c r="I129" s="6" t="s">
        <v>41</v>
      </c>
      <c r="J129" s="3" t="s">
        <v>358</v>
      </c>
      <c r="K129" s="3" t="s">
        <v>30</v>
      </c>
      <c r="L129" s="3" t="s">
        <v>359</v>
      </c>
      <c r="M129" s="3" t="s">
        <v>92</v>
      </c>
      <c r="N129" s="3" t="s">
        <v>361</v>
      </c>
      <c r="O129" s="3" t="s">
        <v>625</v>
      </c>
      <c r="P129" s="3" t="s">
        <v>224</v>
      </c>
      <c r="Q129" s="5">
        <v>157800</v>
      </c>
      <c r="R129" s="5">
        <v>157800</v>
      </c>
      <c r="S129" s="5">
        <v>0</v>
      </c>
      <c r="T129" s="3" t="s">
        <v>38</v>
      </c>
      <c r="U129" s="3" t="s">
        <v>162</v>
      </c>
      <c r="V129" s="3" t="s">
        <v>40</v>
      </c>
      <c r="W129" s="6">
        <f>DATE(YEAR(D129) + 3, MONTH(D129), DAY(D129))</f>
        <v>46339</v>
      </c>
      <c r="X129" s="6">
        <f>DATE(YEAR(E129) + 3, MONTH(E129), DAY(E129))</f>
        <v>46489</v>
      </c>
      <c r="Y129" s="3" t="s">
        <v>45</v>
      </c>
      <c r="Z129" s="3" t="s">
        <v>30</v>
      </c>
      <c r="AA129" s="3" t="s">
        <v>41</v>
      </c>
      <c r="AB129" s="3" t="s">
        <v>163</v>
      </c>
    </row>
    <row r="130" spans="1:28" ht="33" customHeight="1" x14ac:dyDescent="0.25">
      <c r="A130" s="7" t="s">
        <v>626</v>
      </c>
      <c r="B130" s="3" t="s">
        <v>627</v>
      </c>
      <c r="C130" s="3" t="s">
        <v>627</v>
      </c>
      <c r="D130" s="6"/>
      <c r="E130" s="6"/>
      <c r="F130" s="3"/>
      <c r="G130" s="6"/>
      <c r="H130" s="3"/>
      <c r="I130" s="6"/>
      <c r="J130" s="3"/>
      <c r="K130" s="3"/>
      <c r="L130" s="3"/>
      <c r="M130" s="3"/>
      <c r="N130" s="3"/>
      <c r="O130" s="3"/>
      <c r="P130" s="3"/>
      <c r="Q130" s="5"/>
      <c r="R130" s="5"/>
      <c r="S130" s="5"/>
      <c r="T130" s="3"/>
      <c r="U130" s="3"/>
      <c r="V130" s="3"/>
      <c r="W130" s="6"/>
      <c r="X130" s="6"/>
      <c r="Y130" s="3"/>
      <c r="Z130" s="3"/>
      <c r="AA130" s="3"/>
      <c r="AB130" s="3"/>
    </row>
    <row r="131" spans="1:28" ht="33" customHeight="1" x14ac:dyDescent="0.25">
      <c r="A131" s="7" t="s">
        <v>628</v>
      </c>
      <c r="B131" s="3" t="s">
        <v>629</v>
      </c>
      <c r="C131" s="3" t="s">
        <v>630</v>
      </c>
      <c r="D131" s="6">
        <v>45323</v>
      </c>
      <c r="E131" s="6">
        <v>45504</v>
      </c>
      <c r="F131" s="3" t="s">
        <v>41</v>
      </c>
      <c r="G131" s="6">
        <v>45382</v>
      </c>
      <c r="H131" s="3" t="s">
        <v>40</v>
      </c>
      <c r="I131" s="6">
        <v>45689</v>
      </c>
      <c r="J131" s="3" t="s">
        <v>631</v>
      </c>
      <c r="K131" s="3" t="s">
        <v>33</v>
      </c>
      <c r="L131" s="3">
        <v>9958392</v>
      </c>
      <c r="M131" s="3" t="s">
        <v>48</v>
      </c>
      <c r="N131" s="3" t="s">
        <v>505</v>
      </c>
      <c r="O131" s="3" t="s">
        <v>489</v>
      </c>
      <c r="P131" s="3" t="s">
        <v>95</v>
      </c>
      <c r="Q131" s="5">
        <v>17378</v>
      </c>
      <c r="R131" s="5">
        <v>17378</v>
      </c>
      <c r="S131" s="5">
        <v>0</v>
      </c>
      <c r="T131" s="3" t="s">
        <v>38</v>
      </c>
      <c r="U131" s="3" t="s">
        <v>39</v>
      </c>
      <c r="V131" s="3" t="s">
        <v>40</v>
      </c>
      <c r="W131" s="6">
        <f>DATE(YEAR(D131) + 3, MONTH(D131), DAY(D131))</f>
        <v>46419</v>
      </c>
      <c r="X131" s="6">
        <f>DATE(YEAR(E131) + 3, MONTH(E131), DAY(E131))</f>
        <v>46599</v>
      </c>
      <c r="Y131" s="3" t="s">
        <v>41</v>
      </c>
      <c r="Z131" s="3" t="s">
        <v>30</v>
      </c>
      <c r="AA131" s="3" t="s">
        <v>41</v>
      </c>
      <c r="AB131" s="3" t="s">
        <v>477</v>
      </c>
    </row>
    <row r="132" spans="1:28" ht="33" customHeight="1" x14ac:dyDescent="0.25">
      <c r="A132" s="7" t="s">
        <v>632</v>
      </c>
      <c r="B132" s="3" t="s">
        <v>633</v>
      </c>
      <c r="C132" s="3" t="s">
        <v>634</v>
      </c>
      <c r="D132" s="6">
        <v>45334</v>
      </c>
      <c r="E132" s="6">
        <v>46065</v>
      </c>
      <c r="F132" s="3" t="s">
        <v>45</v>
      </c>
      <c r="G132" s="6">
        <v>47161</v>
      </c>
      <c r="H132" s="3" t="s">
        <v>31</v>
      </c>
      <c r="I132" s="6" t="s">
        <v>41</v>
      </c>
      <c r="J132" s="3" t="s">
        <v>635</v>
      </c>
      <c r="K132" s="3" t="s">
        <v>30</v>
      </c>
      <c r="L132" s="3" t="s">
        <v>636</v>
      </c>
      <c r="M132" s="3" t="s">
        <v>92</v>
      </c>
      <c r="N132" s="3" t="s">
        <v>637</v>
      </c>
      <c r="O132" s="3" t="s">
        <v>50</v>
      </c>
      <c r="P132" s="3" t="s">
        <v>37</v>
      </c>
      <c r="Q132" s="5">
        <v>16205.8</v>
      </c>
      <c r="R132" s="5">
        <v>81029</v>
      </c>
      <c r="S132" s="5">
        <v>0</v>
      </c>
      <c r="T132" s="3" t="s">
        <v>38</v>
      </c>
      <c r="U132" s="3" t="s">
        <v>39</v>
      </c>
      <c r="V132" s="3" t="s">
        <v>31</v>
      </c>
      <c r="W132" s="6">
        <f>DATE(YEAR(D132) + 3, MONTH(D132), DAY(D132))</f>
        <v>46430</v>
      </c>
      <c r="X132" s="6">
        <f>DATE(YEAR(E132) + 3, MONTH(E132), DAY(E132))</f>
        <v>47161</v>
      </c>
      <c r="Y132" s="3" t="s">
        <v>41</v>
      </c>
      <c r="Z132" s="3" t="s">
        <v>30</v>
      </c>
      <c r="AA132" s="3" t="s">
        <v>41</v>
      </c>
      <c r="AB132" s="3" t="s">
        <v>163</v>
      </c>
    </row>
    <row r="133" spans="1:28" ht="33" customHeight="1" x14ac:dyDescent="0.25">
      <c r="A133" s="7" t="s">
        <v>638</v>
      </c>
      <c r="B133" s="3" t="s">
        <v>639</v>
      </c>
      <c r="C133" s="3" t="s">
        <v>640</v>
      </c>
      <c r="D133" s="6">
        <v>45323</v>
      </c>
      <c r="E133" s="6">
        <v>48975</v>
      </c>
      <c r="F133" s="3" t="s">
        <v>30</v>
      </c>
      <c r="G133" s="6">
        <v>48975</v>
      </c>
      <c r="H133" s="3" t="s">
        <v>40</v>
      </c>
      <c r="I133" s="6">
        <v>45536</v>
      </c>
      <c r="J133" s="3" t="s">
        <v>391</v>
      </c>
      <c r="K133" s="3" t="s">
        <v>182</v>
      </c>
      <c r="L133" s="3">
        <v>2594504</v>
      </c>
      <c r="M133" s="3" t="s">
        <v>34</v>
      </c>
      <c r="N133" s="3" t="s">
        <v>641</v>
      </c>
      <c r="O133" s="3" t="s">
        <v>63</v>
      </c>
      <c r="P133" s="3" t="s">
        <v>64</v>
      </c>
      <c r="Q133" s="5">
        <v>3000000</v>
      </c>
      <c r="R133" s="5">
        <v>30000000</v>
      </c>
      <c r="S133" s="5"/>
      <c r="T133" s="3" t="s">
        <v>38</v>
      </c>
      <c r="U133" s="3" t="s">
        <v>642</v>
      </c>
      <c r="V133" s="3" t="s">
        <v>40</v>
      </c>
      <c r="W133" s="6">
        <f>DATE(YEAR(D133) + 3, MONTH(D133), DAY(D133))</f>
        <v>46419</v>
      </c>
      <c r="X133" s="6">
        <f>DATE(YEAR(E133) + 3, MONTH(E133), DAY(E133))</f>
        <v>50071</v>
      </c>
      <c r="Y133" s="3" t="s">
        <v>30</v>
      </c>
      <c r="Z133" s="3" t="s">
        <v>45</v>
      </c>
      <c r="AA133" s="3" t="s">
        <v>45</v>
      </c>
      <c r="AB133" s="3" t="s">
        <v>186</v>
      </c>
    </row>
    <row r="134" spans="1:28" ht="33" customHeight="1" x14ac:dyDescent="0.25">
      <c r="A134" s="7" t="s">
        <v>643</v>
      </c>
      <c r="B134" s="3" t="s">
        <v>644</v>
      </c>
      <c r="C134" s="3" t="s">
        <v>645</v>
      </c>
      <c r="D134" s="6">
        <v>45362</v>
      </c>
      <c r="E134" s="6">
        <v>45747</v>
      </c>
      <c r="F134" s="3" t="s">
        <v>30</v>
      </c>
      <c r="G134" s="6">
        <v>45747</v>
      </c>
      <c r="H134" s="3" t="s">
        <v>40</v>
      </c>
      <c r="I134" s="6" t="s">
        <v>41</v>
      </c>
      <c r="J134" s="3" t="s">
        <v>646</v>
      </c>
      <c r="K134" s="3" t="s">
        <v>33</v>
      </c>
      <c r="L134" s="3" t="s">
        <v>647</v>
      </c>
      <c r="M134" s="3" t="s">
        <v>92</v>
      </c>
      <c r="N134" s="3" t="s">
        <v>93</v>
      </c>
      <c r="O134" s="3" t="s">
        <v>648</v>
      </c>
      <c r="P134" s="3" t="s">
        <v>95</v>
      </c>
      <c r="Q134" s="5">
        <v>130000</v>
      </c>
      <c r="R134" s="5">
        <v>130000</v>
      </c>
      <c r="S134" s="5">
        <v>0</v>
      </c>
      <c r="T134" s="3" t="s">
        <v>38</v>
      </c>
      <c r="U134" s="3" t="s">
        <v>39</v>
      </c>
      <c r="V134" s="3" t="s">
        <v>40</v>
      </c>
      <c r="W134" s="6">
        <f>DATE(YEAR(D134) + 3, MONTH(D134), DAY(D134))</f>
        <v>46457</v>
      </c>
      <c r="X134" s="6">
        <f>DATE(YEAR(E134) + 3, MONTH(E134), DAY(E134))</f>
        <v>46843</v>
      </c>
      <c r="Y134" s="3" t="s">
        <v>45</v>
      </c>
      <c r="Z134" s="3" t="s">
        <v>30</v>
      </c>
      <c r="AA134" s="3" t="s">
        <v>41</v>
      </c>
      <c r="AB134" s="3" t="s">
        <v>343</v>
      </c>
    </row>
    <row r="135" spans="1:28" ht="33" customHeight="1" x14ac:dyDescent="0.25">
      <c r="A135" s="7" t="s">
        <v>649</v>
      </c>
      <c r="B135" s="3" t="s">
        <v>650</v>
      </c>
      <c r="C135" s="3" t="s">
        <v>651</v>
      </c>
      <c r="D135" s="6">
        <v>45327</v>
      </c>
      <c r="E135" s="6">
        <v>45688</v>
      </c>
      <c r="F135" s="3" t="s">
        <v>30</v>
      </c>
      <c r="G135" s="6">
        <v>45688</v>
      </c>
      <c r="H135" s="3" t="s">
        <v>40</v>
      </c>
      <c r="I135" s="6" t="s">
        <v>41</v>
      </c>
      <c r="J135" s="3" t="s">
        <v>652</v>
      </c>
      <c r="K135" s="3" t="s">
        <v>33</v>
      </c>
      <c r="L135" s="3" t="s">
        <v>564</v>
      </c>
      <c r="M135" s="3" t="s">
        <v>92</v>
      </c>
      <c r="N135" s="3" t="s">
        <v>653</v>
      </c>
      <c r="O135" s="3" t="s">
        <v>223</v>
      </c>
      <c r="P135" s="3" t="s">
        <v>224</v>
      </c>
      <c r="Q135" s="5">
        <v>155450</v>
      </c>
      <c r="R135" s="5">
        <v>155450</v>
      </c>
      <c r="S135" s="5">
        <v>0</v>
      </c>
      <c r="T135" s="3" t="s">
        <v>38</v>
      </c>
      <c r="U135" s="3" t="s">
        <v>39</v>
      </c>
      <c r="V135" s="3" t="s">
        <v>40</v>
      </c>
      <c r="W135" s="6">
        <f>DATE(YEAR(D135) + 3, MONTH(D135), DAY(D135))</f>
        <v>46423</v>
      </c>
      <c r="X135" s="6">
        <f>DATE(YEAR(E135) + 3, MONTH(E135), DAY(E135))</f>
        <v>46783</v>
      </c>
      <c r="Y135" s="3" t="s">
        <v>41</v>
      </c>
      <c r="Z135" s="3" t="s">
        <v>30</v>
      </c>
      <c r="AA135" s="3" t="s">
        <v>41</v>
      </c>
      <c r="AB135" s="3" t="s">
        <v>477</v>
      </c>
    </row>
    <row r="136" spans="1:28" ht="33" customHeight="1" x14ac:dyDescent="0.25">
      <c r="A136" s="7" t="s">
        <v>654</v>
      </c>
      <c r="B136" s="3" t="s">
        <v>655</v>
      </c>
      <c r="C136" s="3" t="s">
        <v>655</v>
      </c>
      <c r="D136" s="6">
        <v>45383</v>
      </c>
      <c r="E136" s="6">
        <v>45747</v>
      </c>
      <c r="F136" s="3" t="s">
        <v>45</v>
      </c>
      <c r="G136" s="6">
        <v>46173</v>
      </c>
      <c r="H136" s="3"/>
      <c r="I136" s="6"/>
      <c r="J136" s="3" t="s">
        <v>656</v>
      </c>
      <c r="K136" s="3" t="s">
        <v>30</v>
      </c>
      <c r="L136" s="3" t="s">
        <v>657</v>
      </c>
      <c r="M136" s="3" t="s">
        <v>360</v>
      </c>
      <c r="N136" s="3" t="s">
        <v>62</v>
      </c>
      <c r="O136" s="3" t="s">
        <v>63</v>
      </c>
      <c r="P136" s="3" t="s">
        <v>64</v>
      </c>
      <c r="Q136" s="5">
        <v>480000</v>
      </c>
      <c r="R136" s="5">
        <v>995000</v>
      </c>
      <c r="S136" s="5"/>
      <c r="T136" s="3" t="s">
        <v>38</v>
      </c>
      <c r="U136" s="3" t="s">
        <v>39</v>
      </c>
      <c r="V136" s="3"/>
      <c r="W136" s="6">
        <f>DATE(YEAR(D136) + 3, MONTH(D136), DAY(D136))</f>
        <v>46478</v>
      </c>
      <c r="X136" s="6">
        <f>DATE(YEAR(E136) + 3, MONTH(E136), DAY(E136))</f>
        <v>46843</v>
      </c>
      <c r="Y136" s="3" t="s">
        <v>30</v>
      </c>
      <c r="Z136" s="3" t="s">
        <v>30</v>
      </c>
      <c r="AA136" s="3" t="s">
        <v>41</v>
      </c>
      <c r="AB136" s="3" t="s">
        <v>117</v>
      </c>
    </row>
    <row r="137" spans="1:28" ht="33" customHeight="1" x14ac:dyDescent="0.25">
      <c r="A137" s="7" t="s">
        <v>658</v>
      </c>
      <c r="B137" s="3" t="s">
        <v>659</v>
      </c>
      <c r="C137" s="3" t="s">
        <v>659</v>
      </c>
      <c r="D137" s="6">
        <v>36161</v>
      </c>
      <c r="E137" s="6">
        <v>45292</v>
      </c>
      <c r="F137" s="3" t="s">
        <v>660</v>
      </c>
      <c r="G137" s="6"/>
      <c r="H137" s="3" t="s">
        <v>31</v>
      </c>
      <c r="I137" s="6" t="s">
        <v>41</v>
      </c>
      <c r="J137" s="3" t="s">
        <v>661</v>
      </c>
      <c r="K137" s="3" t="s">
        <v>30</v>
      </c>
      <c r="L137" s="3"/>
      <c r="M137" s="3" t="s">
        <v>92</v>
      </c>
      <c r="N137" s="3" t="s">
        <v>106</v>
      </c>
      <c r="O137" s="3" t="s">
        <v>79</v>
      </c>
      <c r="P137" s="3" t="s">
        <v>80</v>
      </c>
      <c r="Q137" s="5">
        <v>8280</v>
      </c>
      <c r="R137" s="5">
        <v>8280</v>
      </c>
      <c r="S137" s="5">
        <v>0</v>
      </c>
      <c r="T137" s="3" t="s">
        <v>107</v>
      </c>
      <c r="U137" s="3" t="s">
        <v>39</v>
      </c>
      <c r="V137" s="3" t="s">
        <v>40</v>
      </c>
      <c r="W137" s="6">
        <f>DATE(YEAR('[1]Archive - Expired Contracts'!D1309) + 3, MONTH('[1]Archive - Expired Contracts'!D1309), DAY('[1]Archive - Expired Contracts'!D1309))</f>
        <v>1096</v>
      </c>
      <c r="X137" s="6">
        <v>45698</v>
      </c>
      <c r="Y137" s="3" t="s">
        <v>30</v>
      </c>
      <c r="Z137" s="3" t="s">
        <v>30</v>
      </c>
      <c r="AA137" s="3" t="s">
        <v>41</v>
      </c>
      <c r="AB137" s="3" t="s">
        <v>117</v>
      </c>
    </row>
    <row r="138" spans="1:28" ht="33" customHeight="1" x14ac:dyDescent="0.25">
      <c r="A138" s="7" t="s">
        <v>662</v>
      </c>
      <c r="B138" s="3" t="s">
        <v>663</v>
      </c>
      <c r="C138" s="3" t="s">
        <v>664</v>
      </c>
      <c r="D138" s="6">
        <v>44652</v>
      </c>
      <c r="E138" s="6">
        <v>45016</v>
      </c>
      <c r="F138" s="3" t="s">
        <v>665</v>
      </c>
      <c r="G138" s="6"/>
      <c r="H138" s="3" t="s">
        <v>31</v>
      </c>
      <c r="I138" s="6" t="s">
        <v>41</v>
      </c>
      <c r="J138" s="3" t="s">
        <v>666</v>
      </c>
      <c r="K138" s="3" t="s">
        <v>33</v>
      </c>
      <c r="L138" s="3">
        <v>5214716</v>
      </c>
      <c r="M138" s="3" t="s">
        <v>92</v>
      </c>
      <c r="N138" s="3" t="s">
        <v>667</v>
      </c>
      <c r="O138" s="3" t="s">
        <v>668</v>
      </c>
      <c r="P138" s="3" t="s">
        <v>146</v>
      </c>
      <c r="Q138" s="5">
        <v>31200</v>
      </c>
      <c r="R138" s="5">
        <v>31200</v>
      </c>
      <c r="S138" s="5">
        <v>0</v>
      </c>
      <c r="T138" s="3" t="s">
        <v>669</v>
      </c>
      <c r="U138" s="3" t="s">
        <v>39</v>
      </c>
      <c r="V138" s="3" t="s">
        <v>40</v>
      </c>
      <c r="W138" s="6">
        <f>DATE(YEAR(D138) + 3, MONTH(D138), DAY(D138))</f>
        <v>45748</v>
      </c>
      <c r="X138" s="6">
        <f>DATE(YEAR(E138) + 3, MONTH(E138), DAY(E138))</f>
        <v>46112</v>
      </c>
      <c r="Y138" s="3" t="s">
        <v>41</v>
      </c>
      <c r="Z138" s="3" t="s">
        <v>30</v>
      </c>
      <c r="AA138" s="3" t="s">
        <v>41</v>
      </c>
      <c r="AB138" s="3"/>
    </row>
    <row r="139" spans="1:28" ht="33" customHeight="1" x14ac:dyDescent="0.25">
      <c r="A139" s="7" t="s">
        <v>670</v>
      </c>
      <c r="B139" s="3" t="s">
        <v>671</v>
      </c>
      <c r="C139" s="3" t="s">
        <v>672</v>
      </c>
      <c r="D139" s="6">
        <v>44621</v>
      </c>
      <c r="E139" s="6">
        <v>45777</v>
      </c>
      <c r="F139" s="3" t="s">
        <v>30</v>
      </c>
      <c r="G139" s="6">
        <v>45777</v>
      </c>
      <c r="H139" s="3" t="s">
        <v>40</v>
      </c>
      <c r="I139" s="6" t="s">
        <v>41</v>
      </c>
      <c r="J139" s="3" t="s">
        <v>673</v>
      </c>
      <c r="K139" s="3" t="s">
        <v>33</v>
      </c>
      <c r="L139" s="3"/>
      <c r="M139" s="3" t="s">
        <v>92</v>
      </c>
      <c r="N139" s="3" t="s">
        <v>62</v>
      </c>
      <c r="O139" s="3" t="s">
        <v>79</v>
      </c>
      <c r="P139" s="3" t="s">
        <v>80</v>
      </c>
      <c r="Q139" s="5">
        <v>9293.89</v>
      </c>
      <c r="R139" s="5">
        <v>9293.89</v>
      </c>
      <c r="S139" s="5">
        <v>0</v>
      </c>
      <c r="T139" s="3" t="s">
        <v>669</v>
      </c>
      <c r="U139" s="3" t="s">
        <v>39</v>
      </c>
      <c r="V139" s="3" t="s">
        <v>40</v>
      </c>
      <c r="W139" s="6">
        <f>DATE(YEAR(D139) + 3, MONTH(D139), DAY(D139))</f>
        <v>45717</v>
      </c>
      <c r="X139" s="6">
        <f>DATE(YEAR(E139) + 3, MONTH(E139), DAY(E139))</f>
        <v>46873</v>
      </c>
      <c r="Y139" s="3" t="s">
        <v>41</v>
      </c>
      <c r="Z139" s="3" t="s">
        <v>30</v>
      </c>
      <c r="AA139" s="3" t="s">
        <v>41</v>
      </c>
      <c r="AB139" s="3" t="s">
        <v>117</v>
      </c>
    </row>
    <row r="140" spans="1:28" ht="33" customHeight="1" x14ac:dyDescent="0.25">
      <c r="A140" s="7" t="s">
        <v>674</v>
      </c>
      <c r="B140" s="3" t="s">
        <v>675</v>
      </c>
      <c r="C140" s="3" t="s">
        <v>676</v>
      </c>
      <c r="D140" s="6">
        <v>44805</v>
      </c>
      <c r="E140" s="6">
        <v>45962</v>
      </c>
      <c r="F140" s="3" t="s">
        <v>30</v>
      </c>
      <c r="G140" s="6">
        <v>46604</v>
      </c>
      <c r="H140" s="3" t="s">
        <v>40</v>
      </c>
      <c r="I140" s="6" t="s">
        <v>41</v>
      </c>
      <c r="J140" s="3" t="s">
        <v>677</v>
      </c>
      <c r="K140" s="3" t="s">
        <v>30</v>
      </c>
      <c r="L140" s="3"/>
      <c r="M140" s="3" t="s">
        <v>92</v>
      </c>
      <c r="N140" s="3" t="s">
        <v>678</v>
      </c>
      <c r="O140" s="3" t="s">
        <v>261</v>
      </c>
      <c r="P140" s="3" t="s">
        <v>80</v>
      </c>
      <c r="Q140" s="5">
        <v>65000</v>
      </c>
      <c r="R140" s="5">
        <v>65000</v>
      </c>
      <c r="S140" s="5">
        <v>0</v>
      </c>
      <c r="T140" s="3" t="s">
        <v>669</v>
      </c>
      <c r="U140" s="3" t="s">
        <v>153</v>
      </c>
      <c r="V140" s="3" t="s">
        <v>40</v>
      </c>
      <c r="W140" s="6">
        <f>DATE(YEAR(D140) + 3, MONTH(D140), DAY(D140))</f>
        <v>45901</v>
      </c>
      <c r="X140" s="6">
        <f>DATE(YEAR(E140) + 3, MONTH(E140), DAY(E140))</f>
        <v>47058</v>
      </c>
      <c r="Y140" s="3" t="s">
        <v>41</v>
      </c>
      <c r="Z140" s="3" t="s">
        <v>30</v>
      </c>
      <c r="AA140" s="3" t="s">
        <v>41</v>
      </c>
      <c r="AB140" s="3" t="s">
        <v>96</v>
      </c>
    </row>
    <row r="141" spans="1:28" ht="33" customHeight="1" x14ac:dyDescent="0.25">
      <c r="A141" s="7" t="s">
        <v>679</v>
      </c>
      <c r="B141" s="3" t="s">
        <v>680</v>
      </c>
      <c r="C141" s="3" t="s">
        <v>681</v>
      </c>
      <c r="D141" s="6">
        <v>44652</v>
      </c>
      <c r="E141" s="6">
        <v>48305</v>
      </c>
      <c r="F141" s="3" t="s">
        <v>30</v>
      </c>
      <c r="G141" s="6">
        <v>48305</v>
      </c>
      <c r="H141" s="3" t="s">
        <v>40</v>
      </c>
      <c r="I141" s="6" t="s">
        <v>41</v>
      </c>
      <c r="J141" s="3" t="s">
        <v>682</v>
      </c>
      <c r="K141" s="3" t="s">
        <v>572</v>
      </c>
      <c r="L141" s="3"/>
      <c r="M141" s="3" t="s">
        <v>48</v>
      </c>
      <c r="N141" s="3" t="s">
        <v>683</v>
      </c>
      <c r="O141" s="3" t="s">
        <v>50</v>
      </c>
      <c r="P141" s="3" t="s">
        <v>37</v>
      </c>
      <c r="Q141" s="5">
        <v>213294</v>
      </c>
      <c r="R141" s="5">
        <f>Q141*10</f>
        <v>2132940</v>
      </c>
      <c r="S141" s="5">
        <v>0</v>
      </c>
      <c r="T141" s="3" t="s">
        <v>669</v>
      </c>
      <c r="U141" s="3" t="s">
        <v>153</v>
      </c>
      <c r="V141" s="3" t="s">
        <v>40</v>
      </c>
      <c r="W141" s="6">
        <f>DATE(YEAR(D141) + 3, MONTH(D141), DAY(D141))</f>
        <v>45748</v>
      </c>
      <c r="X141" s="6">
        <f>DATE(YEAR(E141) + 3, MONTH(E141), DAY(E141))</f>
        <v>49400</v>
      </c>
      <c r="Y141" s="3" t="s">
        <v>41</v>
      </c>
      <c r="Z141" s="3" t="s">
        <v>30</v>
      </c>
      <c r="AA141" s="3" t="s">
        <v>41</v>
      </c>
      <c r="AB141" s="3"/>
    </row>
    <row r="142" spans="1:28" ht="33" customHeight="1" x14ac:dyDescent="0.25">
      <c r="A142" s="7" t="s">
        <v>684</v>
      </c>
      <c r="B142" s="3" t="s">
        <v>685</v>
      </c>
      <c r="C142" s="3" t="s">
        <v>686</v>
      </c>
      <c r="D142" s="6">
        <v>45017</v>
      </c>
      <c r="E142" s="6">
        <v>46477</v>
      </c>
      <c r="F142" s="3" t="s">
        <v>30</v>
      </c>
      <c r="G142" s="6">
        <v>46477</v>
      </c>
      <c r="H142" s="3" t="s">
        <v>40</v>
      </c>
      <c r="I142" s="6" t="s">
        <v>41</v>
      </c>
      <c r="J142" s="3" t="s">
        <v>685</v>
      </c>
      <c r="K142" s="3" t="s">
        <v>182</v>
      </c>
      <c r="L142" s="3">
        <v>3532684</v>
      </c>
      <c r="M142" s="3" t="s">
        <v>92</v>
      </c>
      <c r="N142" s="3" t="s">
        <v>266</v>
      </c>
      <c r="O142" s="3" t="s">
        <v>36</v>
      </c>
      <c r="P142" s="3" t="s">
        <v>37</v>
      </c>
      <c r="Q142" s="5">
        <v>14847</v>
      </c>
      <c r="R142" s="5">
        <v>14847</v>
      </c>
      <c r="S142" s="5">
        <v>0</v>
      </c>
      <c r="T142" s="3" t="s">
        <v>669</v>
      </c>
      <c r="U142" s="3" t="s">
        <v>153</v>
      </c>
      <c r="V142" s="3" t="s">
        <v>40</v>
      </c>
      <c r="W142" s="6">
        <f>DATE(YEAR(D142) + 3, MONTH(D142), DAY(D142))</f>
        <v>46113</v>
      </c>
      <c r="X142" s="6">
        <f>DATE(YEAR(E142) + 6, MONTH(E142), DAY(E142))</f>
        <v>48669</v>
      </c>
      <c r="Y142" s="3" t="s">
        <v>41</v>
      </c>
      <c r="Z142" s="3" t="s">
        <v>30</v>
      </c>
      <c r="AA142" s="3" t="s">
        <v>41</v>
      </c>
      <c r="AB142" s="3"/>
    </row>
    <row r="143" spans="1:28" ht="33" customHeight="1" x14ac:dyDescent="0.25">
      <c r="A143" s="7" t="s">
        <v>687</v>
      </c>
      <c r="B143" s="3" t="s">
        <v>688</v>
      </c>
      <c r="C143" s="3" t="s">
        <v>689</v>
      </c>
      <c r="D143" s="6">
        <v>45040</v>
      </c>
      <c r="E143" s="6">
        <v>45406</v>
      </c>
      <c r="F143" s="3" t="s">
        <v>30</v>
      </c>
      <c r="G143" s="6">
        <v>45406</v>
      </c>
      <c r="H143" s="3" t="s">
        <v>40</v>
      </c>
      <c r="I143" s="6" t="s">
        <v>41</v>
      </c>
      <c r="J143" s="3" t="s">
        <v>690</v>
      </c>
      <c r="K143" s="3" t="s">
        <v>182</v>
      </c>
      <c r="L143" s="3">
        <v>4283951</v>
      </c>
      <c r="M143" s="3" t="s">
        <v>92</v>
      </c>
      <c r="N143" s="3" t="s">
        <v>106</v>
      </c>
      <c r="O143" s="3" t="s">
        <v>79</v>
      </c>
      <c r="P143" s="3" t="s">
        <v>80</v>
      </c>
      <c r="Q143" s="5">
        <v>16000</v>
      </c>
      <c r="R143" s="5">
        <v>16000</v>
      </c>
      <c r="S143" s="5">
        <v>0</v>
      </c>
      <c r="T143" s="3" t="s">
        <v>669</v>
      </c>
      <c r="U143" s="3" t="s">
        <v>153</v>
      </c>
      <c r="V143" s="3" t="s">
        <v>40</v>
      </c>
      <c r="W143" s="6">
        <f>DATE(YEAR(D143) + 3, MONTH(D143), DAY(D143))</f>
        <v>46136</v>
      </c>
      <c r="X143" s="6">
        <f>DATE(YEAR(E143) + 3, MONTH(E143), DAY(E143))</f>
        <v>46501</v>
      </c>
      <c r="Y143" s="3" t="s">
        <v>41</v>
      </c>
      <c r="Z143" s="3" t="s">
        <v>30</v>
      </c>
      <c r="AA143" s="3" t="s">
        <v>41</v>
      </c>
      <c r="AB143" s="3" t="s">
        <v>117</v>
      </c>
    </row>
    <row r="144" spans="1:28" ht="33" customHeight="1" x14ac:dyDescent="0.25">
      <c r="A144" s="7" t="s">
        <v>691</v>
      </c>
      <c r="B144" s="3" t="s">
        <v>692</v>
      </c>
      <c r="C144" s="3" t="s">
        <v>693</v>
      </c>
      <c r="D144" s="6">
        <v>45013</v>
      </c>
      <c r="E144" s="6">
        <v>46473</v>
      </c>
      <c r="F144" s="3" t="s">
        <v>30</v>
      </c>
      <c r="G144" s="6">
        <v>46473</v>
      </c>
      <c r="H144" s="3" t="s">
        <v>40</v>
      </c>
      <c r="I144" s="6" t="s">
        <v>41</v>
      </c>
      <c r="J144" s="3" t="s">
        <v>694</v>
      </c>
      <c r="K144" s="3" t="s">
        <v>182</v>
      </c>
      <c r="L144" s="3">
        <v>3532684</v>
      </c>
      <c r="M144" s="3" t="s">
        <v>92</v>
      </c>
      <c r="N144" s="3" t="s">
        <v>266</v>
      </c>
      <c r="O144" s="3" t="s">
        <v>36</v>
      </c>
      <c r="P144" s="3" t="s">
        <v>37</v>
      </c>
      <c r="Q144" s="5">
        <v>16467</v>
      </c>
      <c r="R144" s="5">
        <v>65868</v>
      </c>
      <c r="S144" s="5">
        <v>0</v>
      </c>
      <c r="T144" s="3" t="s">
        <v>669</v>
      </c>
      <c r="U144" s="3" t="s">
        <v>153</v>
      </c>
      <c r="V144" s="3" t="s">
        <v>40</v>
      </c>
      <c r="W144" s="6">
        <f>DATE(YEAR(D144) + 3, MONTH(D144), DAY(D144))</f>
        <v>46109</v>
      </c>
      <c r="X144" s="6">
        <f>DATE(YEAR(E144) + 3, MONTH(E144), DAY(E144))</f>
        <v>47569</v>
      </c>
      <c r="Y144" s="3" t="s">
        <v>41</v>
      </c>
      <c r="Z144" s="3" t="s">
        <v>30</v>
      </c>
      <c r="AA144" s="3" t="s">
        <v>41</v>
      </c>
      <c r="AB144" s="3"/>
    </row>
    <row r="145" spans="1:28" ht="33" customHeight="1" x14ac:dyDescent="0.25">
      <c r="A145" s="7" t="s">
        <v>695</v>
      </c>
      <c r="B145" s="3" t="s">
        <v>696</v>
      </c>
      <c r="C145" s="3" t="s">
        <v>697</v>
      </c>
      <c r="D145" s="6">
        <v>45017</v>
      </c>
      <c r="E145" s="6">
        <v>46112</v>
      </c>
      <c r="F145" s="3" t="s">
        <v>30</v>
      </c>
      <c r="G145" s="6">
        <v>46112</v>
      </c>
      <c r="H145" s="3" t="s">
        <v>40</v>
      </c>
      <c r="I145" s="6">
        <v>45065</v>
      </c>
      <c r="J145" s="3" t="s">
        <v>698</v>
      </c>
      <c r="K145" s="3" t="s">
        <v>182</v>
      </c>
      <c r="L145" s="3">
        <v>11406613</v>
      </c>
      <c r="M145" s="3" t="s">
        <v>92</v>
      </c>
      <c r="N145" s="3" t="s">
        <v>699</v>
      </c>
      <c r="O145" s="3" t="s">
        <v>159</v>
      </c>
      <c r="P145" s="3" t="s">
        <v>160</v>
      </c>
      <c r="Q145" s="5">
        <v>10000</v>
      </c>
      <c r="R145" s="5">
        <v>30000</v>
      </c>
      <c r="S145" s="5">
        <v>0</v>
      </c>
      <c r="T145" s="3" t="s">
        <v>700</v>
      </c>
      <c r="U145" s="3" t="s">
        <v>701</v>
      </c>
      <c r="V145" s="3" t="s">
        <v>40</v>
      </c>
      <c r="W145" s="6"/>
      <c r="X145" s="6"/>
      <c r="Y145" s="3" t="s">
        <v>41</v>
      </c>
      <c r="Z145" s="3" t="s">
        <v>30</v>
      </c>
      <c r="AA145" s="3" t="s">
        <v>41</v>
      </c>
      <c r="AB145" s="3" t="s">
        <v>456</v>
      </c>
    </row>
    <row r="146" spans="1:28" ht="33" customHeight="1" x14ac:dyDescent="0.25">
      <c r="A146" s="7" t="s">
        <v>702</v>
      </c>
      <c r="B146" s="3" t="s">
        <v>703</v>
      </c>
      <c r="C146" s="3" t="s">
        <v>704</v>
      </c>
      <c r="D146" s="6">
        <v>45065</v>
      </c>
      <c r="E146" s="6">
        <v>45352</v>
      </c>
      <c r="F146" s="3" t="s">
        <v>30</v>
      </c>
      <c r="G146" s="6">
        <v>45352</v>
      </c>
      <c r="H146" s="3" t="s">
        <v>40</v>
      </c>
      <c r="I146" s="6" t="s">
        <v>41</v>
      </c>
      <c r="J146" s="3" t="s">
        <v>705</v>
      </c>
      <c r="K146" s="3" t="s">
        <v>412</v>
      </c>
      <c r="L146" s="3">
        <v>2114954</v>
      </c>
      <c r="M146" s="3" t="s">
        <v>92</v>
      </c>
      <c r="N146" s="3" t="s">
        <v>706</v>
      </c>
      <c r="O146" s="3" t="s">
        <v>223</v>
      </c>
      <c r="P146" s="3" t="s">
        <v>224</v>
      </c>
      <c r="Q146" s="5">
        <v>38657.5</v>
      </c>
      <c r="R146" s="5">
        <v>38657.5</v>
      </c>
      <c r="S146" s="5">
        <v>0</v>
      </c>
      <c r="T146" s="3" t="s">
        <v>700</v>
      </c>
      <c r="U146" s="3" t="s">
        <v>701</v>
      </c>
      <c r="V146" s="3" t="s">
        <v>40</v>
      </c>
      <c r="W146" s="6">
        <f>DATE(YEAR(D146) + 3, MONTH(D146), DAY(D146))</f>
        <v>46161</v>
      </c>
      <c r="X146" s="6">
        <f>DATE(YEAR(E146) + 3, MONTH(E146), DAY(E146))</f>
        <v>46447</v>
      </c>
      <c r="Y146" s="3" t="s">
        <v>41</v>
      </c>
      <c r="Z146" s="3" t="s">
        <v>30</v>
      </c>
      <c r="AA146" s="3" t="s">
        <v>41</v>
      </c>
      <c r="AB146" s="3" t="s">
        <v>58</v>
      </c>
    </row>
    <row r="147" spans="1:28" ht="33" customHeight="1" x14ac:dyDescent="0.25">
      <c r="A147" s="7" t="s">
        <v>707</v>
      </c>
      <c r="B147" s="3" t="s">
        <v>708</v>
      </c>
      <c r="C147" s="3" t="s">
        <v>709</v>
      </c>
      <c r="D147" s="6">
        <v>45030</v>
      </c>
      <c r="E147" s="6">
        <v>45016</v>
      </c>
      <c r="F147" s="3" t="s">
        <v>30</v>
      </c>
      <c r="G147" s="6">
        <v>45382</v>
      </c>
      <c r="H147" s="3" t="s">
        <v>40</v>
      </c>
      <c r="I147" s="6" t="s">
        <v>41</v>
      </c>
      <c r="J147" s="3" t="s">
        <v>710</v>
      </c>
      <c r="K147" s="3" t="s">
        <v>572</v>
      </c>
      <c r="L147" s="3"/>
      <c r="M147" s="3" t="s">
        <v>92</v>
      </c>
      <c r="N147" s="3" t="s">
        <v>550</v>
      </c>
      <c r="O147" s="3" t="s">
        <v>237</v>
      </c>
      <c r="P147" s="3" t="s">
        <v>224</v>
      </c>
      <c r="Q147" s="5">
        <v>20000</v>
      </c>
      <c r="R147" s="5">
        <v>20000</v>
      </c>
      <c r="S147" s="5">
        <v>0</v>
      </c>
      <c r="T147" s="3" t="s">
        <v>700</v>
      </c>
      <c r="U147" s="3" t="s">
        <v>701</v>
      </c>
      <c r="V147" s="3" t="s">
        <v>40</v>
      </c>
      <c r="W147" s="6"/>
      <c r="X147" s="6"/>
      <c r="Y147" s="3" t="s">
        <v>30</v>
      </c>
      <c r="Z147" s="3" t="s">
        <v>30</v>
      </c>
      <c r="AA147" s="3" t="s">
        <v>41</v>
      </c>
      <c r="AB147" s="3" t="s">
        <v>58</v>
      </c>
    </row>
    <row r="148" spans="1:28" ht="33" customHeight="1" x14ac:dyDescent="0.25">
      <c r="A148" s="7" t="s">
        <v>711</v>
      </c>
      <c r="B148" s="3" t="s">
        <v>712</v>
      </c>
      <c r="C148" s="3" t="s">
        <v>713</v>
      </c>
      <c r="D148" s="6">
        <v>45139</v>
      </c>
      <c r="E148" s="6">
        <v>45413</v>
      </c>
      <c r="F148" s="3" t="s">
        <v>30</v>
      </c>
      <c r="G148" s="6">
        <v>45413</v>
      </c>
      <c r="H148" s="3" t="s">
        <v>40</v>
      </c>
      <c r="I148" s="6" t="s">
        <v>41</v>
      </c>
      <c r="J148" s="3" t="s">
        <v>714</v>
      </c>
      <c r="K148" s="3" t="s">
        <v>30</v>
      </c>
      <c r="L148" s="3">
        <v>4402220</v>
      </c>
      <c r="M148" s="3" t="s">
        <v>92</v>
      </c>
      <c r="N148" s="3" t="s">
        <v>715</v>
      </c>
      <c r="O148" s="3" t="s">
        <v>63</v>
      </c>
      <c r="P148" s="3" t="s">
        <v>64</v>
      </c>
      <c r="Q148" s="5">
        <v>7000000</v>
      </c>
      <c r="R148" s="5">
        <v>7000000</v>
      </c>
      <c r="S148" s="5">
        <v>0</v>
      </c>
      <c r="T148" s="3" t="s">
        <v>700</v>
      </c>
      <c r="U148" s="3" t="s">
        <v>701</v>
      </c>
      <c r="V148" s="3" t="s">
        <v>40</v>
      </c>
      <c r="W148" s="6" t="s">
        <v>41</v>
      </c>
      <c r="X148" s="6" t="s">
        <v>41</v>
      </c>
      <c r="Y148" s="3" t="s">
        <v>41</v>
      </c>
      <c r="Z148" s="3" t="s">
        <v>30</v>
      </c>
      <c r="AA148" s="3" t="s">
        <v>41</v>
      </c>
      <c r="AB148" s="3" t="s">
        <v>88</v>
      </c>
    </row>
    <row r="149" spans="1:28" ht="33" customHeight="1" x14ac:dyDescent="0.25">
      <c r="A149" s="7" t="s">
        <v>716</v>
      </c>
      <c r="B149" s="3" t="s">
        <v>717</v>
      </c>
      <c r="C149" s="3" t="s">
        <v>718</v>
      </c>
      <c r="D149" s="6">
        <v>45108</v>
      </c>
      <c r="E149" s="6">
        <v>45461</v>
      </c>
      <c r="F149" s="3" t="s">
        <v>40</v>
      </c>
      <c r="G149" s="6">
        <v>45461</v>
      </c>
      <c r="H149" s="3" t="s">
        <v>40</v>
      </c>
      <c r="I149" s="6">
        <v>45107</v>
      </c>
      <c r="J149" s="3" t="s">
        <v>719</v>
      </c>
      <c r="K149" s="3" t="s">
        <v>182</v>
      </c>
      <c r="L149" s="3">
        <v>6135165</v>
      </c>
      <c r="M149" s="3" t="s">
        <v>92</v>
      </c>
      <c r="N149" s="3" t="s">
        <v>720</v>
      </c>
      <c r="O149" s="3" t="s">
        <v>63</v>
      </c>
      <c r="P149" s="3" t="s">
        <v>64</v>
      </c>
      <c r="Q149" s="5">
        <v>50000</v>
      </c>
      <c r="R149" s="5">
        <v>50000</v>
      </c>
      <c r="S149" s="5">
        <v>0</v>
      </c>
      <c r="T149" s="3" t="s">
        <v>721</v>
      </c>
      <c r="U149" s="3" t="s">
        <v>153</v>
      </c>
      <c r="V149" s="3" t="s">
        <v>40</v>
      </c>
      <c r="W149" s="6" t="s">
        <v>41</v>
      </c>
      <c r="X149" s="6" t="s">
        <v>41</v>
      </c>
      <c r="Y149" s="3" t="s">
        <v>41</v>
      </c>
      <c r="Z149" s="3" t="s">
        <v>30</v>
      </c>
      <c r="AA149" s="3" t="s">
        <v>41</v>
      </c>
      <c r="AB149" s="3" t="s">
        <v>722</v>
      </c>
    </row>
    <row r="150" spans="1:28" ht="33" customHeight="1" x14ac:dyDescent="0.25">
      <c r="A150" s="7" t="s">
        <v>723</v>
      </c>
      <c r="B150" s="3" t="s">
        <v>724</v>
      </c>
      <c r="C150" s="3" t="s">
        <v>725</v>
      </c>
      <c r="D150" s="6">
        <v>43193</v>
      </c>
      <c r="E150" s="6">
        <v>45384</v>
      </c>
      <c r="F150" s="3" t="s">
        <v>726</v>
      </c>
      <c r="G150" s="6">
        <v>45384</v>
      </c>
      <c r="H150" s="3" t="s">
        <v>31</v>
      </c>
      <c r="I150" s="6" t="s">
        <v>727</v>
      </c>
      <c r="J150" s="3" t="s">
        <v>728</v>
      </c>
      <c r="K150" s="3" t="s">
        <v>729</v>
      </c>
      <c r="L150" s="3" t="s">
        <v>730</v>
      </c>
      <c r="M150" s="3" t="s">
        <v>34</v>
      </c>
      <c r="N150" s="3" t="s">
        <v>731</v>
      </c>
      <c r="O150" s="3" t="s">
        <v>417</v>
      </c>
      <c r="P150" s="3" t="s">
        <v>146</v>
      </c>
      <c r="Q150" s="5">
        <v>281500</v>
      </c>
      <c r="R150" s="5">
        <v>1689000</v>
      </c>
      <c r="S150" s="5">
        <v>0</v>
      </c>
      <c r="T150" s="3" t="s">
        <v>38</v>
      </c>
      <c r="U150" s="3" t="s">
        <v>153</v>
      </c>
      <c r="V150" s="3" t="s">
        <v>727</v>
      </c>
      <c r="W150" s="6" t="s">
        <v>727</v>
      </c>
      <c r="X150" s="6" t="s">
        <v>727</v>
      </c>
      <c r="Y150" s="3" t="s">
        <v>727</v>
      </c>
      <c r="Z150" s="3" t="s">
        <v>30</v>
      </c>
      <c r="AA150" s="3" t="s">
        <v>41</v>
      </c>
      <c r="AB150" s="3" t="s">
        <v>96</v>
      </c>
    </row>
    <row r="151" spans="1:28" ht="33" customHeight="1" x14ac:dyDescent="0.25">
      <c r="A151" s="7" t="s">
        <v>732</v>
      </c>
      <c r="B151" s="3" t="s">
        <v>733</v>
      </c>
      <c r="C151" s="3" t="s">
        <v>734</v>
      </c>
      <c r="D151" s="6">
        <v>43191</v>
      </c>
      <c r="E151" s="6">
        <v>45747</v>
      </c>
      <c r="F151" s="3" t="s">
        <v>726</v>
      </c>
      <c r="G151" s="6">
        <v>45747</v>
      </c>
      <c r="H151" s="3" t="s">
        <v>31</v>
      </c>
      <c r="I151" s="6" t="s">
        <v>727</v>
      </c>
      <c r="J151" s="3" t="s">
        <v>735</v>
      </c>
      <c r="K151" s="3" t="s">
        <v>736</v>
      </c>
      <c r="L151" s="3" t="s">
        <v>737</v>
      </c>
      <c r="M151" s="3" t="s">
        <v>34</v>
      </c>
      <c r="N151" s="3" t="s">
        <v>731</v>
      </c>
      <c r="O151" s="3" t="s">
        <v>417</v>
      </c>
      <c r="P151" s="3" t="s">
        <v>146</v>
      </c>
      <c r="Q151" s="5">
        <v>1325755</v>
      </c>
      <c r="R151" s="5">
        <v>8878609</v>
      </c>
      <c r="S151" s="5">
        <v>0</v>
      </c>
      <c r="T151" s="3" t="s">
        <v>38</v>
      </c>
      <c r="U151" s="3" t="s">
        <v>153</v>
      </c>
      <c r="V151" s="3" t="s">
        <v>727</v>
      </c>
      <c r="W151" s="6" t="s">
        <v>727</v>
      </c>
      <c r="X151" s="6" t="s">
        <v>727</v>
      </c>
      <c r="Y151" s="3" t="s">
        <v>727</v>
      </c>
      <c r="Z151" s="3" t="s">
        <v>30</v>
      </c>
      <c r="AA151" s="3" t="s">
        <v>41</v>
      </c>
      <c r="AB151" s="3" t="s">
        <v>96</v>
      </c>
    </row>
    <row r="152" spans="1:28" ht="33" customHeight="1" x14ac:dyDescent="0.25">
      <c r="A152" s="7" t="s">
        <v>738</v>
      </c>
      <c r="B152" s="3" t="s">
        <v>739</v>
      </c>
      <c r="C152" s="3" t="s">
        <v>740</v>
      </c>
      <c r="D152" s="6">
        <v>43191</v>
      </c>
      <c r="E152" s="6">
        <v>45747</v>
      </c>
      <c r="F152" s="3" t="s">
        <v>726</v>
      </c>
      <c r="G152" s="6">
        <v>45747</v>
      </c>
      <c r="H152" s="3" t="s">
        <v>31</v>
      </c>
      <c r="I152" s="6" t="s">
        <v>727</v>
      </c>
      <c r="J152" s="3" t="s">
        <v>735</v>
      </c>
      <c r="K152" s="3" t="s">
        <v>736</v>
      </c>
      <c r="L152" s="3" t="s">
        <v>741</v>
      </c>
      <c r="M152" s="3" t="s">
        <v>34</v>
      </c>
      <c r="N152" s="3" t="s">
        <v>731</v>
      </c>
      <c r="O152" s="3" t="s">
        <v>417</v>
      </c>
      <c r="P152" s="3" t="s">
        <v>146</v>
      </c>
      <c r="Q152" s="5">
        <v>455308</v>
      </c>
      <c r="R152" s="5">
        <v>2884990</v>
      </c>
      <c r="S152" s="5">
        <v>0</v>
      </c>
      <c r="T152" s="3" t="s">
        <v>38</v>
      </c>
      <c r="U152" s="3" t="s">
        <v>153</v>
      </c>
      <c r="V152" s="3" t="s">
        <v>727</v>
      </c>
      <c r="W152" s="6" t="s">
        <v>727</v>
      </c>
      <c r="X152" s="6" t="s">
        <v>727</v>
      </c>
      <c r="Y152" s="3" t="s">
        <v>727</v>
      </c>
      <c r="Z152" s="3" t="s">
        <v>30</v>
      </c>
      <c r="AA152" s="3" t="s">
        <v>41</v>
      </c>
      <c r="AB152" s="3" t="s">
        <v>96</v>
      </c>
    </row>
    <row r="153" spans="1:28" ht="33" customHeight="1" x14ac:dyDescent="0.25">
      <c r="A153" s="7" t="s">
        <v>742</v>
      </c>
      <c r="B153" s="3" t="s">
        <v>743</v>
      </c>
      <c r="C153" s="3" t="s">
        <v>744</v>
      </c>
      <c r="D153" s="6">
        <v>43998</v>
      </c>
      <c r="E153" s="6">
        <v>45823</v>
      </c>
      <c r="F153" s="3" t="s">
        <v>726</v>
      </c>
      <c r="G153" s="6">
        <v>45823</v>
      </c>
      <c r="H153" s="3" t="s">
        <v>745</v>
      </c>
      <c r="I153" s="6" t="s">
        <v>727</v>
      </c>
      <c r="J153" s="3" t="s">
        <v>728</v>
      </c>
      <c r="K153" s="3" t="s">
        <v>729</v>
      </c>
      <c r="L153" s="3" t="s">
        <v>730</v>
      </c>
      <c r="M153" s="3" t="s">
        <v>34</v>
      </c>
      <c r="N153" s="3" t="s">
        <v>731</v>
      </c>
      <c r="O153" s="3" t="s">
        <v>417</v>
      </c>
      <c r="P153" s="3" t="s">
        <v>146</v>
      </c>
      <c r="Q153" s="5">
        <v>196750</v>
      </c>
      <c r="R153" s="5">
        <v>983750</v>
      </c>
      <c r="S153" s="5">
        <v>0</v>
      </c>
      <c r="T153" s="3" t="s">
        <v>38</v>
      </c>
      <c r="U153" s="3" t="s">
        <v>153</v>
      </c>
      <c r="V153" s="3" t="s">
        <v>727</v>
      </c>
      <c r="W153" s="6" t="s">
        <v>727</v>
      </c>
      <c r="X153" s="6" t="s">
        <v>727</v>
      </c>
      <c r="Y153" s="3" t="s">
        <v>727</v>
      </c>
      <c r="Z153" s="3" t="s">
        <v>30</v>
      </c>
      <c r="AA153" s="3" t="s">
        <v>41</v>
      </c>
      <c r="AB153" s="3" t="s">
        <v>96</v>
      </c>
    </row>
    <row r="154" spans="1:28" ht="33" customHeight="1" x14ac:dyDescent="0.25">
      <c r="A154" s="7" t="s">
        <v>746</v>
      </c>
      <c r="B154" s="3" t="s">
        <v>747</v>
      </c>
      <c r="C154" s="3" t="s">
        <v>748</v>
      </c>
      <c r="D154" s="6">
        <v>44766</v>
      </c>
      <c r="E154" s="6">
        <v>45864</v>
      </c>
      <c r="F154" s="3"/>
      <c r="G154" s="6"/>
      <c r="H154" s="3"/>
      <c r="I154" s="6"/>
      <c r="J154" s="3" t="s">
        <v>749</v>
      </c>
      <c r="K154" s="3"/>
      <c r="L154" s="3"/>
      <c r="M154" s="3" t="s">
        <v>34</v>
      </c>
      <c r="N154" s="3" t="s">
        <v>750</v>
      </c>
      <c r="O154" s="3" t="s">
        <v>441</v>
      </c>
      <c r="P154" s="3" t="s">
        <v>37</v>
      </c>
      <c r="Q154" s="5">
        <v>94471</v>
      </c>
      <c r="R154" s="5"/>
      <c r="S154" s="5"/>
      <c r="T154" s="3" t="s">
        <v>38</v>
      </c>
      <c r="U154" s="3" t="s">
        <v>153</v>
      </c>
      <c r="V154" s="3"/>
      <c r="W154" s="6"/>
      <c r="X154" s="6"/>
      <c r="Y154" s="3"/>
      <c r="Z154" s="3"/>
      <c r="AA154" s="3"/>
      <c r="AB154" s="3" t="s">
        <v>42</v>
      </c>
    </row>
    <row r="155" spans="1:28" ht="33" customHeight="1" x14ac:dyDescent="0.25">
      <c r="A155" s="7" t="s">
        <v>751</v>
      </c>
      <c r="B155" s="3" t="s">
        <v>747</v>
      </c>
      <c r="C155" s="3" t="s">
        <v>752</v>
      </c>
      <c r="D155" s="6">
        <v>44955</v>
      </c>
      <c r="E155" s="6">
        <v>46046</v>
      </c>
      <c r="F155" s="3"/>
      <c r="G155" s="6"/>
      <c r="H155" s="3"/>
      <c r="I155" s="6"/>
      <c r="J155" s="3" t="s">
        <v>749</v>
      </c>
      <c r="K155" s="3"/>
      <c r="L155" s="3"/>
      <c r="M155" s="3" t="s">
        <v>34</v>
      </c>
      <c r="N155" s="3" t="s">
        <v>750</v>
      </c>
      <c r="O155" s="3" t="s">
        <v>441</v>
      </c>
      <c r="P155" s="3" t="s">
        <v>37</v>
      </c>
      <c r="Q155" s="5">
        <v>116233</v>
      </c>
      <c r="R155" s="5"/>
      <c r="S155" s="5"/>
      <c r="T155" s="3" t="s">
        <v>38</v>
      </c>
      <c r="U155" s="3" t="s">
        <v>153</v>
      </c>
      <c r="V155" s="3"/>
      <c r="W155" s="6"/>
      <c r="X155" s="6"/>
      <c r="Y155" s="3"/>
      <c r="Z155" s="3"/>
      <c r="AA155" s="3"/>
      <c r="AB155" s="3" t="s">
        <v>42</v>
      </c>
    </row>
    <row r="156" spans="1:28" ht="33" customHeight="1" x14ac:dyDescent="0.25">
      <c r="A156" s="7" t="s">
        <v>753</v>
      </c>
      <c r="B156" s="3" t="s">
        <v>747</v>
      </c>
      <c r="C156" s="3" t="s">
        <v>752</v>
      </c>
      <c r="D156" s="6">
        <v>44955</v>
      </c>
      <c r="E156" s="6">
        <v>46046</v>
      </c>
      <c r="F156" s="3"/>
      <c r="G156" s="6"/>
      <c r="H156" s="3"/>
      <c r="I156" s="6"/>
      <c r="J156" s="3" t="s">
        <v>749</v>
      </c>
      <c r="K156" s="3"/>
      <c r="L156" s="3"/>
      <c r="M156" s="3" t="s">
        <v>34</v>
      </c>
      <c r="N156" s="3" t="s">
        <v>750</v>
      </c>
      <c r="O156" s="3" t="s">
        <v>441</v>
      </c>
      <c r="P156" s="3" t="s">
        <v>37</v>
      </c>
      <c r="Q156" s="5">
        <v>56331</v>
      </c>
      <c r="R156" s="5"/>
      <c r="S156" s="5"/>
      <c r="T156" s="3" t="s">
        <v>38</v>
      </c>
      <c r="U156" s="3" t="s">
        <v>153</v>
      </c>
      <c r="V156" s="3"/>
      <c r="W156" s="6"/>
      <c r="X156" s="6"/>
      <c r="Y156" s="3"/>
      <c r="Z156" s="3"/>
      <c r="AA156" s="3"/>
      <c r="AB156" s="3" t="s">
        <v>42</v>
      </c>
    </row>
    <row r="157" spans="1:28" ht="33" customHeight="1" x14ac:dyDescent="0.25">
      <c r="A157" s="7" t="s">
        <v>754</v>
      </c>
      <c r="B157" s="3" t="s">
        <v>747</v>
      </c>
      <c r="C157" s="3" t="s">
        <v>755</v>
      </c>
      <c r="D157" s="6">
        <v>44955</v>
      </c>
      <c r="E157" s="6">
        <v>46046</v>
      </c>
      <c r="F157" s="3"/>
      <c r="G157" s="6"/>
      <c r="H157" s="3"/>
      <c r="I157" s="6"/>
      <c r="J157" s="3" t="s">
        <v>749</v>
      </c>
      <c r="K157" s="3"/>
      <c r="L157" s="3"/>
      <c r="M157" s="3" t="s">
        <v>34</v>
      </c>
      <c r="N157" s="3" t="s">
        <v>750</v>
      </c>
      <c r="O157" s="3" t="s">
        <v>441</v>
      </c>
      <c r="P157" s="3" t="s">
        <v>37</v>
      </c>
      <c r="Q157" s="5">
        <v>77286</v>
      </c>
      <c r="R157" s="5"/>
      <c r="S157" s="5"/>
      <c r="T157" s="3" t="s">
        <v>38</v>
      </c>
      <c r="U157" s="3" t="s">
        <v>153</v>
      </c>
      <c r="V157" s="3"/>
      <c r="W157" s="6"/>
      <c r="X157" s="6"/>
      <c r="Y157" s="3"/>
      <c r="Z157" s="3"/>
      <c r="AA157" s="3"/>
      <c r="AB157" s="3" t="s">
        <v>42</v>
      </c>
    </row>
    <row r="158" spans="1:28" ht="33" customHeight="1" x14ac:dyDescent="0.25">
      <c r="A158" s="7" t="s">
        <v>756</v>
      </c>
      <c r="B158" s="3" t="s">
        <v>747</v>
      </c>
      <c r="C158" s="3" t="s">
        <v>757</v>
      </c>
      <c r="D158" s="6">
        <v>44955</v>
      </c>
      <c r="E158" s="6">
        <v>46046</v>
      </c>
      <c r="F158" s="3"/>
      <c r="G158" s="6"/>
      <c r="H158" s="3"/>
      <c r="I158" s="6"/>
      <c r="J158" s="3" t="s">
        <v>749</v>
      </c>
      <c r="K158" s="3"/>
      <c r="L158" s="3"/>
      <c r="M158" s="3" t="s">
        <v>34</v>
      </c>
      <c r="N158" s="3" t="s">
        <v>750</v>
      </c>
      <c r="O158" s="3" t="s">
        <v>441</v>
      </c>
      <c r="P158" s="3" t="s">
        <v>37</v>
      </c>
      <c r="Q158" s="5">
        <v>99743</v>
      </c>
      <c r="R158" s="5"/>
      <c r="S158" s="5"/>
      <c r="T158" s="3" t="s">
        <v>38</v>
      </c>
      <c r="U158" s="3" t="s">
        <v>153</v>
      </c>
      <c r="V158" s="3"/>
      <c r="W158" s="6"/>
      <c r="X158" s="6"/>
      <c r="Y158" s="3"/>
      <c r="Z158" s="3"/>
      <c r="AA158" s="3"/>
      <c r="AB158" s="3" t="s">
        <v>42</v>
      </c>
    </row>
    <row r="159" spans="1:28" ht="33" customHeight="1" x14ac:dyDescent="0.25">
      <c r="A159" s="7" t="s">
        <v>758</v>
      </c>
      <c r="B159" s="3" t="s">
        <v>747</v>
      </c>
      <c r="C159" s="3" t="s">
        <v>757</v>
      </c>
      <c r="D159" s="6">
        <v>44955</v>
      </c>
      <c r="E159" s="6">
        <v>46046</v>
      </c>
      <c r="F159" s="3"/>
      <c r="G159" s="6"/>
      <c r="H159" s="3"/>
      <c r="I159" s="6"/>
      <c r="J159" s="3" t="s">
        <v>749</v>
      </c>
      <c r="K159" s="3"/>
      <c r="L159" s="3"/>
      <c r="M159" s="3" t="s">
        <v>34</v>
      </c>
      <c r="N159" s="3" t="s">
        <v>750</v>
      </c>
      <c r="O159" s="3" t="s">
        <v>441</v>
      </c>
      <c r="P159" s="3" t="s">
        <v>37</v>
      </c>
      <c r="Q159" s="5">
        <v>3120</v>
      </c>
      <c r="R159" s="5"/>
      <c r="S159" s="5"/>
      <c r="T159" s="3" t="s">
        <v>38</v>
      </c>
      <c r="U159" s="3" t="s">
        <v>153</v>
      </c>
      <c r="V159" s="3"/>
      <c r="W159" s="6"/>
      <c r="X159" s="6"/>
      <c r="Y159" s="3"/>
      <c r="Z159" s="3"/>
      <c r="AA159" s="3"/>
      <c r="AB159" s="3" t="s">
        <v>42</v>
      </c>
    </row>
    <row r="160" spans="1:28" ht="33" customHeight="1" x14ac:dyDescent="0.25">
      <c r="A160" s="7" t="s">
        <v>759</v>
      </c>
      <c r="B160" s="3" t="s">
        <v>747</v>
      </c>
      <c r="C160" s="3" t="s">
        <v>757</v>
      </c>
      <c r="D160" s="6">
        <v>44955</v>
      </c>
      <c r="E160" s="6">
        <v>46046</v>
      </c>
      <c r="F160" s="3"/>
      <c r="G160" s="6"/>
      <c r="H160" s="3"/>
      <c r="I160" s="6"/>
      <c r="J160" s="3" t="s">
        <v>749</v>
      </c>
      <c r="K160" s="3"/>
      <c r="L160" s="3"/>
      <c r="M160" s="3" t="s">
        <v>34</v>
      </c>
      <c r="N160" s="3" t="s">
        <v>750</v>
      </c>
      <c r="O160" s="3" t="s">
        <v>441</v>
      </c>
      <c r="P160" s="3" t="s">
        <v>37</v>
      </c>
      <c r="Q160" s="5">
        <v>12877</v>
      </c>
      <c r="R160" s="5"/>
      <c r="S160" s="5"/>
      <c r="T160" s="3" t="s">
        <v>38</v>
      </c>
      <c r="U160" s="3" t="s">
        <v>153</v>
      </c>
      <c r="V160" s="3"/>
      <c r="W160" s="6"/>
      <c r="X160" s="6"/>
      <c r="Y160" s="3"/>
      <c r="Z160" s="3"/>
      <c r="AA160" s="3"/>
      <c r="AB160" s="3" t="s">
        <v>42</v>
      </c>
    </row>
    <row r="161" spans="1:28" ht="33" customHeight="1" x14ac:dyDescent="0.25">
      <c r="A161" s="7" t="s">
        <v>760</v>
      </c>
      <c r="B161" s="3" t="s">
        <v>747</v>
      </c>
      <c r="C161" s="3" t="s">
        <v>757</v>
      </c>
      <c r="D161" s="6">
        <v>44955</v>
      </c>
      <c r="E161" s="6">
        <v>46046</v>
      </c>
      <c r="F161" s="3"/>
      <c r="G161" s="6"/>
      <c r="H161" s="3"/>
      <c r="I161" s="6"/>
      <c r="J161" s="3" t="s">
        <v>749</v>
      </c>
      <c r="K161" s="3"/>
      <c r="L161" s="3"/>
      <c r="M161" s="3" t="s">
        <v>34</v>
      </c>
      <c r="N161" s="3" t="s">
        <v>750</v>
      </c>
      <c r="O161" s="3" t="s">
        <v>441</v>
      </c>
      <c r="P161" s="3" t="s">
        <v>37</v>
      </c>
      <c r="Q161" s="5">
        <v>2276</v>
      </c>
      <c r="R161" s="5"/>
      <c r="S161" s="5"/>
      <c r="T161" s="3" t="s">
        <v>38</v>
      </c>
      <c r="U161" s="3" t="s">
        <v>153</v>
      </c>
      <c r="V161" s="3"/>
      <c r="W161" s="6"/>
      <c r="X161" s="6"/>
      <c r="Y161" s="3"/>
      <c r="Z161" s="3"/>
      <c r="AA161" s="3"/>
      <c r="AB161" s="3" t="s">
        <v>42</v>
      </c>
    </row>
    <row r="162" spans="1:28" ht="33" customHeight="1" x14ac:dyDescent="0.25">
      <c r="A162" s="7" t="s">
        <v>761</v>
      </c>
      <c r="B162" s="3" t="s">
        <v>747</v>
      </c>
      <c r="C162" s="3" t="s">
        <v>762</v>
      </c>
      <c r="D162" s="6">
        <v>44955</v>
      </c>
      <c r="E162" s="6">
        <v>46046</v>
      </c>
      <c r="F162" s="3"/>
      <c r="G162" s="6"/>
      <c r="H162" s="3"/>
      <c r="I162" s="6"/>
      <c r="J162" s="3" t="s">
        <v>749</v>
      </c>
      <c r="K162" s="3"/>
      <c r="L162" s="3"/>
      <c r="M162" s="3" t="s">
        <v>34</v>
      </c>
      <c r="N162" s="3" t="s">
        <v>750</v>
      </c>
      <c r="O162" s="3" t="s">
        <v>441</v>
      </c>
      <c r="P162" s="3" t="s">
        <v>37</v>
      </c>
      <c r="Q162" s="5">
        <v>23039</v>
      </c>
      <c r="R162" s="5"/>
      <c r="S162" s="5"/>
      <c r="T162" s="3" t="s">
        <v>38</v>
      </c>
      <c r="U162" s="3" t="s">
        <v>153</v>
      </c>
      <c r="V162" s="3"/>
      <c r="W162" s="6"/>
      <c r="X162" s="6"/>
      <c r="Y162" s="3"/>
      <c r="Z162" s="3"/>
      <c r="AA162" s="3"/>
      <c r="AB162" s="3" t="s">
        <v>42</v>
      </c>
    </row>
    <row r="163" spans="1:28" ht="33" customHeight="1" x14ac:dyDescent="0.25">
      <c r="A163" s="7" t="s">
        <v>763</v>
      </c>
      <c r="B163" s="3" t="s">
        <v>747</v>
      </c>
      <c r="C163" s="3" t="s">
        <v>764</v>
      </c>
      <c r="D163" s="6">
        <v>44766</v>
      </c>
      <c r="E163" s="6">
        <v>45864</v>
      </c>
      <c r="F163" s="3"/>
      <c r="G163" s="6"/>
      <c r="H163" s="3"/>
      <c r="I163" s="6"/>
      <c r="J163" s="3" t="s">
        <v>749</v>
      </c>
      <c r="K163" s="3"/>
      <c r="L163" s="3"/>
      <c r="M163" s="3" t="s">
        <v>34</v>
      </c>
      <c r="N163" s="3" t="s">
        <v>750</v>
      </c>
      <c r="O163" s="3" t="s">
        <v>441</v>
      </c>
      <c r="P163" s="3" t="s">
        <v>37</v>
      </c>
      <c r="Q163" s="5">
        <v>16521</v>
      </c>
      <c r="R163" s="5"/>
      <c r="S163" s="5"/>
      <c r="T163" s="3" t="s">
        <v>38</v>
      </c>
      <c r="U163" s="3" t="s">
        <v>153</v>
      </c>
      <c r="V163" s="3"/>
      <c r="W163" s="6"/>
      <c r="X163" s="6"/>
      <c r="Y163" s="3"/>
      <c r="Z163" s="3"/>
      <c r="AA163" s="3"/>
      <c r="AB163" s="3" t="s">
        <v>42</v>
      </c>
    </row>
    <row r="164" spans="1:28" ht="33" customHeight="1" x14ac:dyDescent="0.25">
      <c r="A164" s="7" t="s">
        <v>765</v>
      </c>
      <c r="B164" s="3" t="s">
        <v>747</v>
      </c>
      <c r="C164" s="3" t="s">
        <v>766</v>
      </c>
      <c r="D164" s="6">
        <v>44402</v>
      </c>
      <c r="E164" s="6">
        <v>45493</v>
      </c>
      <c r="F164" s="3"/>
      <c r="G164" s="6"/>
      <c r="H164" s="3"/>
      <c r="I164" s="6"/>
      <c r="J164" s="3" t="s">
        <v>749</v>
      </c>
      <c r="K164" s="3"/>
      <c r="L164" s="3"/>
      <c r="M164" s="3" t="s">
        <v>34</v>
      </c>
      <c r="N164" s="3" t="s">
        <v>750</v>
      </c>
      <c r="O164" s="3" t="s">
        <v>441</v>
      </c>
      <c r="P164" s="3" t="s">
        <v>37</v>
      </c>
      <c r="Q164" s="5">
        <v>58670</v>
      </c>
      <c r="R164" s="5"/>
      <c r="S164" s="5"/>
      <c r="T164" s="3" t="s">
        <v>38</v>
      </c>
      <c r="U164" s="3" t="s">
        <v>153</v>
      </c>
      <c r="V164" s="3"/>
      <c r="W164" s="6"/>
      <c r="X164" s="6"/>
      <c r="Y164" s="3"/>
      <c r="Z164" s="3"/>
      <c r="AA164" s="3"/>
      <c r="AB164" s="3" t="s">
        <v>42</v>
      </c>
    </row>
    <row r="165" spans="1:28" ht="33" customHeight="1" x14ac:dyDescent="0.25">
      <c r="A165" s="7" t="s">
        <v>767</v>
      </c>
      <c r="B165" s="3" t="s">
        <v>747</v>
      </c>
      <c r="C165" s="3" t="s">
        <v>762</v>
      </c>
      <c r="D165" s="6">
        <v>44955</v>
      </c>
      <c r="E165" s="6">
        <v>46046</v>
      </c>
      <c r="F165" s="3"/>
      <c r="G165" s="6"/>
      <c r="H165" s="3"/>
      <c r="I165" s="6"/>
      <c r="J165" s="3" t="s">
        <v>749</v>
      </c>
      <c r="K165" s="3"/>
      <c r="L165" s="3"/>
      <c r="M165" s="3" t="s">
        <v>34</v>
      </c>
      <c r="N165" s="3" t="s">
        <v>750</v>
      </c>
      <c r="O165" s="3" t="s">
        <v>441</v>
      </c>
      <c r="P165" s="3" t="s">
        <v>37</v>
      </c>
      <c r="Q165" s="5">
        <v>8985</v>
      </c>
      <c r="R165" s="5"/>
      <c r="S165" s="5"/>
      <c r="T165" s="3" t="s">
        <v>38</v>
      </c>
      <c r="U165" s="3" t="s">
        <v>153</v>
      </c>
      <c r="V165" s="3"/>
      <c r="W165" s="6"/>
      <c r="X165" s="6"/>
      <c r="Y165" s="3"/>
      <c r="Z165" s="3"/>
      <c r="AA165" s="3"/>
      <c r="AB165" s="3" t="s">
        <v>42</v>
      </c>
    </row>
    <row r="166" spans="1:28" ht="33" customHeight="1" x14ac:dyDescent="0.25">
      <c r="A166" s="7" t="s">
        <v>768</v>
      </c>
      <c r="B166" s="3" t="s">
        <v>747</v>
      </c>
      <c r="C166" s="3" t="s">
        <v>766</v>
      </c>
      <c r="D166" s="6">
        <v>44402</v>
      </c>
      <c r="E166" s="6">
        <v>45493</v>
      </c>
      <c r="F166" s="3"/>
      <c r="G166" s="6"/>
      <c r="H166" s="3"/>
      <c r="I166" s="6"/>
      <c r="J166" s="3" t="s">
        <v>749</v>
      </c>
      <c r="K166" s="3"/>
      <c r="L166" s="3"/>
      <c r="M166" s="3" t="s">
        <v>34</v>
      </c>
      <c r="N166" s="3" t="s">
        <v>750</v>
      </c>
      <c r="O166" s="3" t="s">
        <v>441</v>
      </c>
      <c r="P166" s="3" t="s">
        <v>37</v>
      </c>
      <c r="Q166" s="5">
        <v>13794</v>
      </c>
      <c r="R166" s="5"/>
      <c r="S166" s="5"/>
      <c r="T166" s="3" t="s">
        <v>38</v>
      </c>
      <c r="U166" s="3" t="s">
        <v>153</v>
      </c>
      <c r="V166" s="3"/>
      <c r="W166" s="6"/>
      <c r="X166" s="6"/>
      <c r="Y166" s="3"/>
      <c r="Z166" s="3"/>
      <c r="AA166" s="3"/>
      <c r="AB166" s="3" t="s">
        <v>42</v>
      </c>
    </row>
    <row r="167" spans="1:28" ht="33" customHeight="1" x14ac:dyDescent="0.25">
      <c r="A167" s="7" t="s">
        <v>769</v>
      </c>
      <c r="B167" s="3" t="s">
        <v>747</v>
      </c>
      <c r="C167" s="3" t="s">
        <v>766</v>
      </c>
      <c r="D167" s="6">
        <v>44402</v>
      </c>
      <c r="E167" s="6">
        <v>45493</v>
      </c>
      <c r="F167" s="3"/>
      <c r="G167" s="6"/>
      <c r="H167" s="3"/>
      <c r="I167" s="6"/>
      <c r="J167" s="3" t="s">
        <v>749</v>
      </c>
      <c r="K167" s="3"/>
      <c r="L167" s="3"/>
      <c r="M167" s="3" t="s">
        <v>34</v>
      </c>
      <c r="N167" s="3" t="s">
        <v>750</v>
      </c>
      <c r="O167" s="3" t="s">
        <v>441</v>
      </c>
      <c r="P167" s="3" t="s">
        <v>37</v>
      </c>
      <c r="Q167" s="5">
        <v>16943</v>
      </c>
      <c r="R167" s="5"/>
      <c r="S167" s="5"/>
      <c r="T167" s="3" t="s">
        <v>38</v>
      </c>
      <c r="U167" s="3" t="s">
        <v>153</v>
      </c>
      <c r="V167" s="3"/>
      <c r="W167" s="6"/>
      <c r="X167" s="6"/>
      <c r="Y167" s="3"/>
      <c r="Z167" s="3"/>
      <c r="AA167" s="3"/>
      <c r="AB167" s="3" t="s">
        <v>42</v>
      </c>
    </row>
    <row r="168" spans="1:28" ht="33" customHeight="1" x14ac:dyDescent="0.25">
      <c r="A168" s="7" t="s">
        <v>770</v>
      </c>
      <c r="B168" s="3" t="s">
        <v>747</v>
      </c>
      <c r="C168" s="3" t="s">
        <v>771</v>
      </c>
      <c r="D168" s="6">
        <v>44766</v>
      </c>
      <c r="E168" s="6">
        <v>45864</v>
      </c>
      <c r="F168" s="3"/>
      <c r="G168" s="6"/>
      <c r="H168" s="3"/>
      <c r="I168" s="6"/>
      <c r="J168" s="3" t="s">
        <v>749</v>
      </c>
      <c r="K168" s="3"/>
      <c r="L168" s="3"/>
      <c r="M168" s="3" t="s">
        <v>34</v>
      </c>
      <c r="N168" s="3" t="s">
        <v>750</v>
      </c>
      <c r="O168" s="3" t="s">
        <v>441</v>
      </c>
      <c r="P168" s="3" t="s">
        <v>37</v>
      </c>
      <c r="Q168" s="5">
        <v>94756</v>
      </c>
      <c r="R168" s="5"/>
      <c r="S168" s="5"/>
      <c r="T168" s="3" t="s">
        <v>38</v>
      </c>
      <c r="U168" s="3" t="s">
        <v>153</v>
      </c>
      <c r="V168" s="3"/>
      <c r="W168" s="6"/>
      <c r="X168" s="6"/>
      <c r="Y168" s="3"/>
      <c r="Z168" s="3"/>
      <c r="AA168" s="3"/>
      <c r="AB168" s="3" t="s">
        <v>42</v>
      </c>
    </row>
    <row r="169" spans="1:28" ht="33" customHeight="1" x14ac:dyDescent="0.25">
      <c r="A169" s="7" t="s">
        <v>772</v>
      </c>
      <c r="B169" s="3" t="s">
        <v>747</v>
      </c>
      <c r="C169" s="3" t="s">
        <v>773</v>
      </c>
      <c r="D169" s="6">
        <v>44766</v>
      </c>
      <c r="E169" s="6">
        <v>45864</v>
      </c>
      <c r="F169" s="3"/>
      <c r="G169" s="6"/>
      <c r="H169" s="3"/>
      <c r="I169" s="6"/>
      <c r="J169" s="3" t="s">
        <v>749</v>
      </c>
      <c r="K169" s="3"/>
      <c r="L169" s="3"/>
      <c r="M169" s="3" t="s">
        <v>34</v>
      </c>
      <c r="N169" s="3" t="s">
        <v>750</v>
      </c>
      <c r="O169" s="3" t="s">
        <v>441</v>
      </c>
      <c r="P169" s="3" t="s">
        <v>37</v>
      </c>
      <c r="Q169" s="5">
        <v>34173</v>
      </c>
      <c r="R169" s="5"/>
      <c r="S169" s="5"/>
      <c r="T169" s="3" t="s">
        <v>38</v>
      </c>
      <c r="U169" s="3" t="s">
        <v>153</v>
      </c>
      <c r="V169" s="3"/>
      <c r="W169" s="6"/>
      <c r="X169" s="6"/>
      <c r="Y169" s="3"/>
      <c r="Z169" s="3"/>
      <c r="AA169" s="3"/>
      <c r="AB169" s="3" t="s">
        <v>42</v>
      </c>
    </row>
    <row r="170" spans="1:28" ht="33" customHeight="1" x14ac:dyDescent="0.25">
      <c r="A170" s="7" t="s">
        <v>774</v>
      </c>
      <c r="B170" s="3" t="s">
        <v>747</v>
      </c>
      <c r="C170" s="3" t="s">
        <v>775</v>
      </c>
      <c r="D170" s="6">
        <v>44619</v>
      </c>
      <c r="E170" s="6">
        <v>45710</v>
      </c>
      <c r="F170" s="3"/>
      <c r="G170" s="6"/>
      <c r="H170" s="3"/>
      <c r="I170" s="6"/>
      <c r="J170" s="3" t="s">
        <v>749</v>
      </c>
      <c r="K170" s="3"/>
      <c r="L170" s="3"/>
      <c r="M170" s="3" t="s">
        <v>34</v>
      </c>
      <c r="N170" s="3" t="s">
        <v>750</v>
      </c>
      <c r="O170" s="3" t="s">
        <v>441</v>
      </c>
      <c r="P170" s="3" t="s">
        <v>37</v>
      </c>
      <c r="Q170" s="5">
        <v>31685</v>
      </c>
      <c r="R170" s="5"/>
      <c r="S170" s="5"/>
      <c r="T170" s="3" t="s">
        <v>38</v>
      </c>
      <c r="U170" s="3" t="s">
        <v>153</v>
      </c>
      <c r="V170" s="3"/>
      <c r="W170" s="6"/>
      <c r="X170" s="6"/>
      <c r="Y170" s="3"/>
      <c r="Z170" s="3"/>
      <c r="AA170" s="3"/>
      <c r="AB170" s="3" t="s">
        <v>42</v>
      </c>
    </row>
    <row r="171" spans="1:28" ht="33" customHeight="1" x14ac:dyDescent="0.25">
      <c r="A171" s="7" t="s">
        <v>776</v>
      </c>
      <c r="B171" s="3" t="s">
        <v>747</v>
      </c>
      <c r="C171" s="3" t="s">
        <v>777</v>
      </c>
      <c r="D171" s="6">
        <v>44766</v>
      </c>
      <c r="E171" s="6">
        <v>45864</v>
      </c>
      <c r="F171" s="3"/>
      <c r="G171" s="6"/>
      <c r="H171" s="3"/>
      <c r="I171" s="6"/>
      <c r="J171" s="3" t="s">
        <v>749</v>
      </c>
      <c r="K171" s="3"/>
      <c r="L171" s="3"/>
      <c r="M171" s="3" t="s">
        <v>34</v>
      </c>
      <c r="N171" s="3" t="s">
        <v>750</v>
      </c>
      <c r="O171" s="3" t="s">
        <v>441</v>
      </c>
      <c r="P171" s="3" t="s">
        <v>37</v>
      </c>
      <c r="Q171" s="5">
        <v>162302</v>
      </c>
      <c r="R171" s="5"/>
      <c r="S171" s="5"/>
      <c r="T171" s="3" t="s">
        <v>38</v>
      </c>
      <c r="U171" s="3" t="s">
        <v>153</v>
      </c>
      <c r="V171" s="3"/>
      <c r="W171" s="6"/>
      <c r="X171" s="6"/>
      <c r="Y171" s="3"/>
      <c r="Z171" s="3"/>
      <c r="AA171" s="3"/>
      <c r="AB171" s="3" t="s">
        <v>42</v>
      </c>
    </row>
    <row r="172" spans="1:28" ht="33" customHeight="1" x14ac:dyDescent="0.25">
      <c r="A172" s="7" t="s">
        <v>778</v>
      </c>
      <c r="B172" s="3" t="s">
        <v>747</v>
      </c>
      <c r="C172" s="3" t="s">
        <v>779</v>
      </c>
      <c r="D172" s="6">
        <v>44766</v>
      </c>
      <c r="E172" s="6">
        <v>45864</v>
      </c>
      <c r="F172" s="3"/>
      <c r="G172" s="6"/>
      <c r="H172" s="3"/>
      <c r="I172" s="6"/>
      <c r="J172" s="3" t="s">
        <v>749</v>
      </c>
      <c r="K172" s="3"/>
      <c r="L172" s="3"/>
      <c r="M172" s="3" t="s">
        <v>34</v>
      </c>
      <c r="N172" s="3" t="s">
        <v>750</v>
      </c>
      <c r="O172" s="3" t="s">
        <v>441</v>
      </c>
      <c r="P172" s="3" t="s">
        <v>37</v>
      </c>
      <c r="Q172" s="5">
        <v>90839</v>
      </c>
      <c r="R172" s="5"/>
      <c r="S172" s="5"/>
      <c r="T172" s="3" t="s">
        <v>38</v>
      </c>
      <c r="U172" s="3" t="s">
        <v>153</v>
      </c>
      <c r="V172" s="3"/>
      <c r="W172" s="6"/>
      <c r="X172" s="6"/>
      <c r="Y172" s="3"/>
      <c r="Z172" s="3"/>
      <c r="AA172" s="3"/>
      <c r="AB172" s="3" t="s">
        <v>42</v>
      </c>
    </row>
    <row r="173" spans="1:28" ht="33" customHeight="1" x14ac:dyDescent="0.25">
      <c r="A173" s="7" t="s">
        <v>780</v>
      </c>
      <c r="B173" s="3" t="s">
        <v>747</v>
      </c>
      <c r="C173" s="3" t="s">
        <v>781</v>
      </c>
      <c r="D173" s="6">
        <v>44766</v>
      </c>
      <c r="E173" s="6">
        <v>45864</v>
      </c>
      <c r="F173" s="3"/>
      <c r="G173" s="6"/>
      <c r="H173" s="3"/>
      <c r="I173" s="6"/>
      <c r="J173" s="3" t="s">
        <v>749</v>
      </c>
      <c r="K173" s="3"/>
      <c r="L173" s="3"/>
      <c r="M173" s="3" t="s">
        <v>34</v>
      </c>
      <c r="N173" s="3" t="s">
        <v>750</v>
      </c>
      <c r="O173" s="3" t="s">
        <v>441</v>
      </c>
      <c r="P173" s="3" t="s">
        <v>37</v>
      </c>
      <c r="Q173" s="5">
        <v>272323</v>
      </c>
      <c r="R173" s="5"/>
      <c r="S173" s="5"/>
      <c r="T173" s="3" t="s">
        <v>38</v>
      </c>
      <c r="U173" s="3" t="s">
        <v>153</v>
      </c>
      <c r="V173" s="3"/>
      <c r="W173" s="6"/>
      <c r="X173" s="6"/>
      <c r="Y173" s="3"/>
      <c r="Z173" s="3"/>
      <c r="AA173" s="3"/>
      <c r="AB173" s="3" t="s">
        <v>42</v>
      </c>
    </row>
    <row r="174" spans="1:28" ht="33" customHeight="1" x14ac:dyDescent="0.25">
      <c r="A174" s="7" t="s">
        <v>782</v>
      </c>
      <c r="B174" s="3" t="s">
        <v>747</v>
      </c>
      <c r="C174" s="3" t="s">
        <v>781</v>
      </c>
      <c r="D174" s="6">
        <v>44766</v>
      </c>
      <c r="E174" s="6">
        <v>45864</v>
      </c>
      <c r="F174" s="3"/>
      <c r="G174" s="6"/>
      <c r="H174" s="3"/>
      <c r="I174" s="6"/>
      <c r="J174" s="3" t="s">
        <v>749</v>
      </c>
      <c r="K174" s="3"/>
      <c r="L174" s="3"/>
      <c r="M174" s="3" t="s">
        <v>34</v>
      </c>
      <c r="N174" s="3" t="s">
        <v>750</v>
      </c>
      <c r="O174" s="3" t="s">
        <v>441</v>
      </c>
      <c r="P174" s="3" t="s">
        <v>37</v>
      </c>
      <c r="Q174" s="5">
        <v>22803</v>
      </c>
      <c r="R174" s="5"/>
      <c r="S174" s="5"/>
      <c r="T174" s="3" t="s">
        <v>38</v>
      </c>
      <c r="U174" s="3" t="s">
        <v>153</v>
      </c>
      <c r="V174" s="3"/>
      <c r="W174" s="6"/>
      <c r="X174" s="6"/>
      <c r="Y174" s="3"/>
      <c r="Z174" s="3"/>
      <c r="AA174" s="3"/>
      <c r="AB174" s="3" t="s">
        <v>42</v>
      </c>
    </row>
    <row r="175" spans="1:28" ht="33" customHeight="1" x14ac:dyDescent="0.25">
      <c r="A175" s="7" t="s">
        <v>783</v>
      </c>
      <c r="B175" s="3" t="s">
        <v>747</v>
      </c>
      <c r="C175" s="3" t="s">
        <v>784</v>
      </c>
      <c r="D175" s="6">
        <v>44766</v>
      </c>
      <c r="E175" s="6">
        <v>45864</v>
      </c>
      <c r="F175" s="3"/>
      <c r="G175" s="6"/>
      <c r="H175" s="3"/>
      <c r="I175" s="6"/>
      <c r="J175" s="3" t="s">
        <v>749</v>
      </c>
      <c r="K175" s="3"/>
      <c r="L175" s="3"/>
      <c r="M175" s="3" t="s">
        <v>34</v>
      </c>
      <c r="N175" s="3" t="s">
        <v>750</v>
      </c>
      <c r="O175" s="3" t="s">
        <v>441</v>
      </c>
      <c r="P175" s="3" t="s">
        <v>37</v>
      </c>
      <c r="Q175" s="5">
        <v>243091</v>
      </c>
      <c r="R175" s="5"/>
      <c r="S175" s="5"/>
      <c r="T175" s="3" t="s">
        <v>38</v>
      </c>
      <c r="U175" s="3" t="s">
        <v>153</v>
      </c>
      <c r="V175" s="3"/>
      <c r="W175" s="6"/>
      <c r="X175" s="6"/>
      <c r="Y175" s="3"/>
      <c r="Z175" s="3"/>
      <c r="AA175" s="3"/>
      <c r="AB175" s="3" t="s">
        <v>42</v>
      </c>
    </row>
    <row r="176" spans="1:28" ht="33" customHeight="1" x14ac:dyDescent="0.25">
      <c r="A176" s="7" t="s">
        <v>785</v>
      </c>
      <c r="B176" s="3" t="s">
        <v>747</v>
      </c>
      <c r="C176" s="3" t="s">
        <v>786</v>
      </c>
      <c r="D176" s="6">
        <v>44766</v>
      </c>
      <c r="E176" s="6">
        <v>45864</v>
      </c>
      <c r="F176" s="3"/>
      <c r="G176" s="6"/>
      <c r="H176" s="3"/>
      <c r="I176" s="6"/>
      <c r="J176" s="3" t="s">
        <v>749</v>
      </c>
      <c r="K176" s="3"/>
      <c r="L176" s="3"/>
      <c r="M176" s="3" t="s">
        <v>34</v>
      </c>
      <c r="N176" s="3" t="s">
        <v>750</v>
      </c>
      <c r="O176" s="3" t="s">
        <v>441</v>
      </c>
      <c r="P176" s="3" t="s">
        <v>37</v>
      </c>
      <c r="Q176" s="5">
        <v>120895</v>
      </c>
      <c r="R176" s="5"/>
      <c r="S176" s="5"/>
      <c r="T176" s="3" t="s">
        <v>38</v>
      </c>
      <c r="U176" s="3" t="s">
        <v>153</v>
      </c>
      <c r="V176" s="3"/>
      <c r="W176" s="6"/>
      <c r="X176" s="6"/>
      <c r="Y176" s="3"/>
      <c r="Z176" s="3"/>
      <c r="AA176" s="3"/>
      <c r="AB176" s="3" t="s">
        <v>42</v>
      </c>
    </row>
    <row r="177" spans="1:28" ht="33" customHeight="1" x14ac:dyDescent="0.25">
      <c r="A177" s="7" t="s">
        <v>787</v>
      </c>
      <c r="B177" s="3" t="s">
        <v>747</v>
      </c>
      <c r="C177" s="3" t="s">
        <v>784</v>
      </c>
      <c r="D177" s="6">
        <v>44766</v>
      </c>
      <c r="E177" s="6">
        <v>45864</v>
      </c>
      <c r="F177" s="3"/>
      <c r="G177" s="6"/>
      <c r="H177" s="3"/>
      <c r="I177" s="6"/>
      <c r="J177" s="3" t="s">
        <v>749</v>
      </c>
      <c r="K177" s="3"/>
      <c r="L177" s="3"/>
      <c r="M177" s="3" t="s">
        <v>34</v>
      </c>
      <c r="N177" s="3" t="s">
        <v>750</v>
      </c>
      <c r="O177" s="3" t="s">
        <v>441</v>
      </c>
      <c r="P177" s="3" t="s">
        <v>37</v>
      </c>
      <c r="Q177" s="5">
        <v>27532</v>
      </c>
      <c r="R177" s="5"/>
      <c r="S177" s="5"/>
      <c r="T177" s="3" t="s">
        <v>38</v>
      </c>
      <c r="U177" s="3" t="s">
        <v>153</v>
      </c>
      <c r="V177" s="3"/>
      <c r="W177" s="6"/>
      <c r="X177" s="6"/>
      <c r="Y177" s="3"/>
      <c r="Z177" s="3"/>
      <c r="AA177" s="3"/>
      <c r="AB177" s="3" t="s">
        <v>42</v>
      </c>
    </row>
    <row r="178" spans="1:28" ht="33" customHeight="1" x14ac:dyDescent="0.25">
      <c r="A178" s="7" t="s">
        <v>788</v>
      </c>
      <c r="B178" s="3" t="s">
        <v>747</v>
      </c>
      <c r="C178" s="3" t="s">
        <v>789</v>
      </c>
      <c r="D178" s="6">
        <v>44766</v>
      </c>
      <c r="E178" s="6">
        <v>45864</v>
      </c>
      <c r="F178" s="3"/>
      <c r="G178" s="6"/>
      <c r="H178" s="3"/>
      <c r="I178" s="6"/>
      <c r="J178" s="3" t="s">
        <v>749</v>
      </c>
      <c r="K178" s="3"/>
      <c r="L178" s="3"/>
      <c r="M178" s="3" t="s">
        <v>34</v>
      </c>
      <c r="N178" s="3" t="s">
        <v>750</v>
      </c>
      <c r="O178" s="3" t="s">
        <v>441</v>
      </c>
      <c r="P178" s="3" t="s">
        <v>37</v>
      </c>
      <c r="Q178" s="5">
        <v>157205</v>
      </c>
      <c r="R178" s="5"/>
      <c r="S178" s="5"/>
      <c r="T178" s="3" t="s">
        <v>38</v>
      </c>
      <c r="U178" s="3" t="s">
        <v>153</v>
      </c>
      <c r="V178" s="3"/>
      <c r="W178" s="6"/>
      <c r="X178" s="6"/>
      <c r="Y178" s="3"/>
      <c r="Z178" s="3"/>
      <c r="AA178" s="3"/>
      <c r="AB178" s="3" t="s">
        <v>42</v>
      </c>
    </row>
    <row r="179" spans="1:28" ht="33" customHeight="1" x14ac:dyDescent="0.25">
      <c r="A179" s="7" t="s">
        <v>790</v>
      </c>
      <c r="B179" s="3" t="s">
        <v>747</v>
      </c>
      <c r="C179" s="3" t="s">
        <v>791</v>
      </c>
      <c r="D179" s="6">
        <v>44766</v>
      </c>
      <c r="E179" s="6">
        <v>45864</v>
      </c>
      <c r="F179" s="3"/>
      <c r="G179" s="6"/>
      <c r="H179" s="3"/>
      <c r="I179" s="6"/>
      <c r="J179" s="3" t="s">
        <v>749</v>
      </c>
      <c r="K179" s="3"/>
      <c r="L179" s="3"/>
      <c r="M179" s="3" t="s">
        <v>34</v>
      </c>
      <c r="N179" s="3" t="s">
        <v>750</v>
      </c>
      <c r="O179" s="3" t="s">
        <v>441</v>
      </c>
      <c r="P179" s="3" t="s">
        <v>37</v>
      </c>
      <c r="Q179" s="5">
        <v>49362</v>
      </c>
      <c r="R179" s="5"/>
      <c r="S179" s="5"/>
      <c r="T179" s="3" t="s">
        <v>38</v>
      </c>
      <c r="U179" s="3" t="s">
        <v>153</v>
      </c>
      <c r="V179" s="3"/>
      <c r="W179" s="6"/>
      <c r="X179" s="6"/>
      <c r="Y179" s="3"/>
      <c r="Z179" s="3"/>
      <c r="AA179" s="3"/>
      <c r="AB179" s="3" t="s">
        <v>42</v>
      </c>
    </row>
    <row r="180" spans="1:28" ht="33" customHeight="1" x14ac:dyDescent="0.25">
      <c r="A180" s="7" t="s">
        <v>792</v>
      </c>
      <c r="B180" s="3" t="s">
        <v>747</v>
      </c>
      <c r="C180" s="3" t="s">
        <v>791</v>
      </c>
      <c r="D180" s="6">
        <v>44766</v>
      </c>
      <c r="E180" s="6">
        <v>45864</v>
      </c>
      <c r="F180" s="3"/>
      <c r="G180" s="6"/>
      <c r="H180" s="3"/>
      <c r="I180" s="6"/>
      <c r="J180" s="3" t="s">
        <v>749</v>
      </c>
      <c r="K180" s="3"/>
      <c r="L180" s="3"/>
      <c r="M180" s="3" t="s">
        <v>34</v>
      </c>
      <c r="N180" s="3" t="s">
        <v>750</v>
      </c>
      <c r="O180" s="3" t="s">
        <v>441</v>
      </c>
      <c r="P180" s="3" t="s">
        <v>37</v>
      </c>
      <c r="Q180" s="5">
        <v>13297</v>
      </c>
      <c r="R180" s="5"/>
      <c r="S180" s="5"/>
      <c r="T180" s="3" t="s">
        <v>38</v>
      </c>
      <c r="U180" s="3" t="s">
        <v>153</v>
      </c>
      <c r="V180" s="3"/>
      <c r="W180" s="6"/>
      <c r="X180" s="6"/>
      <c r="Y180" s="3"/>
      <c r="Z180" s="3"/>
      <c r="AA180" s="3"/>
      <c r="AB180" s="3" t="s">
        <v>42</v>
      </c>
    </row>
    <row r="181" spans="1:28" ht="33" customHeight="1" x14ac:dyDescent="0.25">
      <c r="A181" s="7" t="s">
        <v>793</v>
      </c>
      <c r="B181" s="3" t="s">
        <v>747</v>
      </c>
      <c r="C181" s="3" t="s">
        <v>794</v>
      </c>
      <c r="D181" s="6">
        <v>44766</v>
      </c>
      <c r="E181" s="6">
        <v>45864</v>
      </c>
      <c r="F181" s="3"/>
      <c r="G181" s="6"/>
      <c r="H181" s="3"/>
      <c r="I181" s="6"/>
      <c r="J181" s="3" t="s">
        <v>749</v>
      </c>
      <c r="K181" s="3"/>
      <c r="L181" s="3"/>
      <c r="M181" s="3" t="s">
        <v>34</v>
      </c>
      <c r="N181" s="3" t="s">
        <v>750</v>
      </c>
      <c r="O181" s="3" t="s">
        <v>441</v>
      </c>
      <c r="P181" s="3" t="s">
        <v>37</v>
      </c>
      <c r="Q181" s="5">
        <v>9876</v>
      </c>
      <c r="R181" s="5"/>
      <c r="S181" s="5"/>
      <c r="T181" s="3" t="s">
        <v>38</v>
      </c>
      <c r="U181" s="3" t="s">
        <v>153</v>
      </c>
      <c r="V181" s="3"/>
      <c r="W181" s="6"/>
      <c r="X181" s="6"/>
      <c r="Y181" s="3"/>
      <c r="Z181" s="3"/>
      <c r="AA181" s="3"/>
      <c r="AB181" s="3" t="s">
        <v>42</v>
      </c>
    </row>
    <row r="182" spans="1:28" ht="33" customHeight="1" x14ac:dyDescent="0.25">
      <c r="A182" s="7" t="s">
        <v>795</v>
      </c>
      <c r="B182" s="3" t="s">
        <v>747</v>
      </c>
      <c r="C182" s="3" t="s">
        <v>796</v>
      </c>
      <c r="D182" s="6">
        <v>45172</v>
      </c>
      <c r="E182" s="6">
        <v>46270</v>
      </c>
      <c r="F182" s="3"/>
      <c r="G182" s="6"/>
      <c r="H182" s="3"/>
      <c r="I182" s="6"/>
      <c r="J182" s="3" t="s">
        <v>749</v>
      </c>
      <c r="K182" s="3"/>
      <c r="L182" s="3"/>
      <c r="M182" s="3" t="s">
        <v>34</v>
      </c>
      <c r="N182" s="3" t="s">
        <v>750</v>
      </c>
      <c r="O182" s="3" t="s">
        <v>441</v>
      </c>
      <c r="P182" s="3" t="s">
        <v>37</v>
      </c>
      <c r="Q182" s="5">
        <v>104100</v>
      </c>
      <c r="R182" s="5"/>
      <c r="S182" s="5"/>
      <c r="T182" s="3" t="s">
        <v>38</v>
      </c>
      <c r="U182" s="3" t="s">
        <v>153</v>
      </c>
      <c r="V182" s="3"/>
      <c r="W182" s="6"/>
      <c r="X182" s="6"/>
      <c r="Y182" s="3"/>
      <c r="Z182" s="3"/>
      <c r="AA182" s="3"/>
      <c r="AB182" s="3" t="s">
        <v>42</v>
      </c>
    </row>
    <row r="183" spans="1:28" ht="33" customHeight="1" x14ac:dyDescent="0.25">
      <c r="A183" s="7" t="s">
        <v>797</v>
      </c>
      <c r="B183" s="3" t="s">
        <v>747</v>
      </c>
      <c r="C183" s="3" t="s">
        <v>796</v>
      </c>
      <c r="D183" s="6">
        <v>45172</v>
      </c>
      <c r="E183" s="6">
        <v>46270</v>
      </c>
      <c r="F183" s="3"/>
      <c r="G183" s="6"/>
      <c r="H183" s="3"/>
      <c r="I183" s="6"/>
      <c r="J183" s="3" t="s">
        <v>749</v>
      </c>
      <c r="K183" s="3"/>
      <c r="L183" s="3"/>
      <c r="M183" s="3" t="s">
        <v>34</v>
      </c>
      <c r="N183" s="3" t="s">
        <v>750</v>
      </c>
      <c r="O183" s="3" t="s">
        <v>441</v>
      </c>
      <c r="P183" s="3" t="s">
        <v>37</v>
      </c>
      <c r="Q183" s="5">
        <v>28410</v>
      </c>
      <c r="R183" s="5"/>
      <c r="S183" s="5"/>
      <c r="T183" s="3" t="s">
        <v>38</v>
      </c>
      <c r="U183" s="3" t="s">
        <v>153</v>
      </c>
      <c r="V183" s="3"/>
      <c r="W183" s="6"/>
      <c r="X183" s="6"/>
      <c r="Y183" s="3"/>
      <c r="Z183" s="3"/>
      <c r="AA183" s="3"/>
      <c r="AB183" s="3" t="s">
        <v>42</v>
      </c>
    </row>
    <row r="184" spans="1:28" ht="33" customHeight="1" x14ac:dyDescent="0.25">
      <c r="A184" s="7" t="s">
        <v>798</v>
      </c>
      <c r="B184" s="3" t="s">
        <v>747</v>
      </c>
      <c r="C184" s="3" t="s">
        <v>796</v>
      </c>
      <c r="D184" s="6">
        <v>45172</v>
      </c>
      <c r="E184" s="6">
        <v>46270</v>
      </c>
      <c r="F184" s="3"/>
      <c r="G184" s="6"/>
      <c r="H184" s="3"/>
      <c r="I184" s="6"/>
      <c r="J184" s="3" t="s">
        <v>749</v>
      </c>
      <c r="K184" s="3"/>
      <c r="L184" s="3"/>
      <c r="M184" s="3" t="s">
        <v>34</v>
      </c>
      <c r="N184" s="3" t="s">
        <v>750</v>
      </c>
      <c r="O184" s="3" t="s">
        <v>441</v>
      </c>
      <c r="P184" s="3" t="s">
        <v>37</v>
      </c>
      <c r="Q184" s="5">
        <v>12010</v>
      </c>
      <c r="R184" s="5"/>
      <c r="S184" s="5"/>
      <c r="T184" s="3" t="s">
        <v>38</v>
      </c>
      <c r="U184" s="3" t="s">
        <v>153</v>
      </c>
      <c r="V184" s="3"/>
      <c r="W184" s="6"/>
      <c r="X184" s="6"/>
      <c r="Y184" s="3"/>
      <c r="Z184" s="3"/>
      <c r="AA184" s="3"/>
      <c r="AB184" s="3" t="s">
        <v>42</v>
      </c>
    </row>
    <row r="185" spans="1:28" ht="33" customHeight="1" x14ac:dyDescent="0.25">
      <c r="A185" s="7" t="s">
        <v>799</v>
      </c>
      <c r="B185" s="3" t="s">
        <v>747</v>
      </c>
      <c r="C185" s="3" t="s">
        <v>796</v>
      </c>
      <c r="D185" s="6">
        <v>45172</v>
      </c>
      <c r="E185" s="6">
        <v>46270</v>
      </c>
      <c r="F185" s="3"/>
      <c r="G185" s="6"/>
      <c r="H185" s="3"/>
      <c r="I185" s="6"/>
      <c r="J185" s="3" t="s">
        <v>749</v>
      </c>
      <c r="K185" s="3"/>
      <c r="L185" s="3"/>
      <c r="M185" s="3" t="s">
        <v>34</v>
      </c>
      <c r="N185" s="3" t="s">
        <v>750</v>
      </c>
      <c r="O185" s="3" t="s">
        <v>441</v>
      </c>
      <c r="P185" s="3" t="s">
        <v>37</v>
      </c>
      <c r="Q185" s="5">
        <v>5520</v>
      </c>
      <c r="R185" s="5"/>
      <c r="S185" s="5"/>
      <c r="T185" s="3" t="s">
        <v>38</v>
      </c>
      <c r="U185" s="3" t="s">
        <v>153</v>
      </c>
      <c r="V185" s="3"/>
      <c r="W185" s="6"/>
      <c r="X185" s="6"/>
      <c r="Y185" s="3"/>
      <c r="Z185" s="3"/>
      <c r="AA185" s="3"/>
      <c r="AB185" s="3" t="s">
        <v>42</v>
      </c>
    </row>
    <row r="186" spans="1:28" ht="33" customHeight="1" x14ac:dyDescent="0.25">
      <c r="A186" s="7" t="s">
        <v>800</v>
      </c>
      <c r="B186" s="3" t="s">
        <v>747</v>
      </c>
      <c r="C186" s="3" t="s">
        <v>796</v>
      </c>
      <c r="D186" s="6">
        <v>45172</v>
      </c>
      <c r="E186" s="6">
        <v>46270</v>
      </c>
      <c r="F186" s="3"/>
      <c r="G186" s="6"/>
      <c r="H186" s="3"/>
      <c r="I186" s="6"/>
      <c r="J186" s="3" t="s">
        <v>749</v>
      </c>
      <c r="K186" s="3"/>
      <c r="L186" s="3"/>
      <c r="M186" s="3" t="s">
        <v>34</v>
      </c>
      <c r="N186" s="3" t="s">
        <v>750</v>
      </c>
      <c r="O186" s="3" t="s">
        <v>441</v>
      </c>
      <c r="P186" s="3" t="s">
        <v>37</v>
      </c>
      <c r="Q186" s="5">
        <v>10437</v>
      </c>
      <c r="R186" s="5"/>
      <c r="S186" s="5"/>
      <c r="T186" s="3" t="s">
        <v>38</v>
      </c>
      <c r="U186" s="3" t="s">
        <v>153</v>
      </c>
      <c r="V186" s="3"/>
      <c r="W186" s="6"/>
      <c r="X186" s="6"/>
      <c r="Y186" s="3"/>
      <c r="Z186" s="3"/>
      <c r="AA186" s="3"/>
      <c r="AB186" s="3" t="s">
        <v>42</v>
      </c>
    </row>
    <row r="187" spans="1:28" ht="33" customHeight="1" x14ac:dyDescent="0.25">
      <c r="A187" s="7" t="s">
        <v>801</v>
      </c>
      <c r="B187" s="3" t="s">
        <v>747</v>
      </c>
      <c r="C187" s="3" t="s">
        <v>802</v>
      </c>
      <c r="D187" s="6">
        <v>44955</v>
      </c>
      <c r="E187" s="6">
        <v>46046</v>
      </c>
      <c r="F187" s="3"/>
      <c r="G187" s="6"/>
      <c r="H187" s="3"/>
      <c r="I187" s="6"/>
      <c r="J187" s="3" t="s">
        <v>749</v>
      </c>
      <c r="K187" s="3"/>
      <c r="L187" s="3"/>
      <c r="M187" s="3" t="s">
        <v>34</v>
      </c>
      <c r="N187" s="3" t="s">
        <v>750</v>
      </c>
      <c r="O187" s="3" t="s">
        <v>441</v>
      </c>
      <c r="P187" s="3" t="s">
        <v>37</v>
      </c>
      <c r="Q187" s="5">
        <v>32435</v>
      </c>
      <c r="R187" s="5"/>
      <c r="S187" s="5"/>
      <c r="T187" s="3" t="s">
        <v>38</v>
      </c>
      <c r="U187" s="3" t="s">
        <v>153</v>
      </c>
      <c r="V187" s="3"/>
      <c r="W187" s="6"/>
      <c r="X187" s="6"/>
      <c r="Y187" s="3"/>
      <c r="Z187" s="3"/>
      <c r="AA187" s="3"/>
      <c r="AB187" s="3" t="s">
        <v>42</v>
      </c>
    </row>
    <row r="188" spans="1:28" ht="33" customHeight="1" x14ac:dyDescent="0.25">
      <c r="A188" s="7" t="s">
        <v>803</v>
      </c>
      <c r="B188" s="3" t="s">
        <v>747</v>
      </c>
      <c r="C188" s="3" t="s">
        <v>796</v>
      </c>
      <c r="D188" s="6">
        <v>45172</v>
      </c>
      <c r="E188" s="6">
        <v>46270</v>
      </c>
      <c r="F188" s="3"/>
      <c r="G188" s="6"/>
      <c r="H188" s="3"/>
      <c r="I188" s="6"/>
      <c r="J188" s="3" t="s">
        <v>749</v>
      </c>
      <c r="K188" s="3"/>
      <c r="L188" s="3"/>
      <c r="M188" s="3" t="s">
        <v>34</v>
      </c>
      <c r="N188" s="3" t="s">
        <v>750</v>
      </c>
      <c r="O188" s="3" t="s">
        <v>441</v>
      </c>
      <c r="P188" s="3" t="s">
        <v>37</v>
      </c>
      <c r="Q188" s="5">
        <v>6574</v>
      </c>
      <c r="R188" s="5"/>
      <c r="S188" s="5"/>
      <c r="T188" s="3" t="s">
        <v>38</v>
      </c>
      <c r="U188" s="3" t="s">
        <v>153</v>
      </c>
      <c r="V188" s="3"/>
      <c r="W188" s="6"/>
      <c r="X188" s="6"/>
      <c r="Y188" s="3"/>
      <c r="Z188" s="3"/>
      <c r="AA188" s="3"/>
      <c r="AB188" s="3" t="s">
        <v>42</v>
      </c>
    </row>
    <row r="189" spans="1:28" ht="33" customHeight="1" x14ac:dyDescent="0.25">
      <c r="A189" s="7" t="s">
        <v>804</v>
      </c>
      <c r="B189" s="3" t="s">
        <v>747</v>
      </c>
      <c r="C189" s="3" t="s">
        <v>805</v>
      </c>
      <c r="D189" s="6">
        <v>44766</v>
      </c>
      <c r="E189" s="6">
        <v>45864</v>
      </c>
      <c r="F189" s="3"/>
      <c r="G189" s="6"/>
      <c r="H189" s="3"/>
      <c r="I189" s="6"/>
      <c r="J189" s="3" t="s">
        <v>749</v>
      </c>
      <c r="K189" s="3"/>
      <c r="L189" s="3"/>
      <c r="M189" s="3" t="s">
        <v>34</v>
      </c>
      <c r="N189" s="3" t="s">
        <v>750</v>
      </c>
      <c r="O189" s="3" t="s">
        <v>441</v>
      </c>
      <c r="P189" s="3" t="s">
        <v>37</v>
      </c>
      <c r="Q189" s="5">
        <v>19650</v>
      </c>
      <c r="R189" s="5"/>
      <c r="S189" s="5"/>
      <c r="T189" s="3" t="s">
        <v>38</v>
      </c>
      <c r="U189" s="3" t="s">
        <v>153</v>
      </c>
      <c r="V189" s="3"/>
      <c r="W189" s="6"/>
      <c r="X189" s="6"/>
      <c r="Y189" s="3"/>
      <c r="Z189" s="3"/>
      <c r="AA189" s="3"/>
      <c r="AB189" s="3" t="s">
        <v>42</v>
      </c>
    </row>
    <row r="190" spans="1:28" ht="33" customHeight="1" x14ac:dyDescent="0.25">
      <c r="A190" s="7" t="s">
        <v>806</v>
      </c>
      <c r="B190" s="3" t="s">
        <v>747</v>
      </c>
      <c r="C190" s="3" t="s">
        <v>807</v>
      </c>
      <c r="D190" s="6">
        <v>44766</v>
      </c>
      <c r="E190" s="6">
        <v>45864</v>
      </c>
      <c r="F190" s="3"/>
      <c r="G190" s="6"/>
      <c r="H190" s="3"/>
      <c r="I190" s="6"/>
      <c r="J190" s="3" t="s">
        <v>749</v>
      </c>
      <c r="K190" s="3"/>
      <c r="L190" s="3"/>
      <c r="M190" s="3" t="s">
        <v>34</v>
      </c>
      <c r="N190" s="3" t="s">
        <v>750</v>
      </c>
      <c r="O190" s="3" t="s">
        <v>441</v>
      </c>
      <c r="P190" s="3" t="s">
        <v>37</v>
      </c>
      <c r="Q190" s="5">
        <v>26931</v>
      </c>
      <c r="R190" s="5"/>
      <c r="S190" s="5"/>
      <c r="T190" s="3" t="s">
        <v>38</v>
      </c>
      <c r="U190" s="3" t="s">
        <v>153</v>
      </c>
      <c r="V190" s="3"/>
      <c r="W190" s="6"/>
      <c r="X190" s="6"/>
      <c r="Y190" s="3"/>
      <c r="Z190" s="3"/>
      <c r="AA190" s="3"/>
      <c r="AB190" s="3" t="s">
        <v>42</v>
      </c>
    </row>
    <row r="191" spans="1:28" ht="33" customHeight="1" x14ac:dyDescent="0.25">
      <c r="A191" s="7" t="s">
        <v>808</v>
      </c>
      <c r="B191" s="3" t="s">
        <v>747</v>
      </c>
      <c r="C191" s="3" t="s">
        <v>809</v>
      </c>
      <c r="D191" s="6">
        <v>44766</v>
      </c>
      <c r="E191" s="6">
        <v>45864</v>
      </c>
      <c r="F191" s="3"/>
      <c r="G191" s="6"/>
      <c r="H191" s="3"/>
      <c r="I191" s="6"/>
      <c r="J191" s="3" t="s">
        <v>749</v>
      </c>
      <c r="K191" s="3"/>
      <c r="L191" s="3"/>
      <c r="M191" s="3" t="s">
        <v>34</v>
      </c>
      <c r="N191" s="3" t="s">
        <v>750</v>
      </c>
      <c r="O191" s="3" t="s">
        <v>441</v>
      </c>
      <c r="P191" s="3" t="s">
        <v>37</v>
      </c>
      <c r="Q191" s="5">
        <v>11650</v>
      </c>
      <c r="R191" s="5"/>
      <c r="S191" s="5"/>
      <c r="T191" s="3" t="s">
        <v>38</v>
      </c>
      <c r="U191" s="3" t="s">
        <v>153</v>
      </c>
      <c r="V191" s="3"/>
      <c r="W191" s="6"/>
      <c r="X191" s="6"/>
      <c r="Y191" s="3"/>
      <c r="Z191" s="3"/>
      <c r="AA191" s="3"/>
      <c r="AB191" s="3" t="s">
        <v>42</v>
      </c>
    </row>
    <row r="192" spans="1:28" ht="33" customHeight="1" x14ac:dyDescent="0.25">
      <c r="A192" s="7" t="s">
        <v>810</v>
      </c>
      <c r="B192" s="3" t="s">
        <v>747</v>
      </c>
      <c r="C192" s="3" t="s">
        <v>811</v>
      </c>
      <c r="D192" s="6">
        <v>44766</v>
      </c>
      <c r="E192" s="6">
        <v>45864</v>
      </c>
      <c r="F192" s="3"/>
      <c r="G192" s="6"/>
      <c r="H192" s="3"/>
      <c r="I192" s="6"/>
      <c r="J192" s="3" t="s">
        <v>749</v>
      </c>
      <c r="K192" s="3"/>
      <c r="L192" s="3"/>
      <c r="M192" s="3" t="s">
        <v>34</v>
      </c>
      <c r="N192" s="3" t="s">
        <v>750</v>
      </c>
      <c r="O192" s="3" t="s">
        <v>441</v>
      </c>
      <c r="P192" s="3" t="s">
        <v>37</v>
      </c>
      <c r="Q192" s="5">
        <v>4502</v>
      </c>
      <c r="R192" s="5"/>
      <c r="S192" s="5"/>
      <c r="T192" s="3" t="s">
        <v>38</v>
      </c>
      <c r="U192" s="3" t="s">
        <v>153</v>
      </c>
      <c r="V192" s="3"/>
      <c r="W192" s="6"/>
      <c r="X192" s="6"/>
      <c r="Y192" s="3"/>
      <c r="Z192" s="3"/>
      <c r="AA192" s="3"/>
      <c r="AB192" s="3" t="s">
        <v>42</v>
      </c>
    </row>
    <row r="193" spans="1:28" ht="33" customHeight="1" x14ac:dyDescent="0.25">
      <c r="A193" s="7" t="s">
        <v>812</v>
      </c>
      <c r="B193" s="3" t="s">
        <v>747</v>
      </c>
      <c r="C193" s="3" t="s">
        <v>813</v>
      </c>
      <c r="D193" s="6">
        <v>44766</v>
      </c>
      <c r="E193" s="6">
        <v>45864</v>
      </c>
      <c r="F193" s="3"/>
      <c r="G193" s="6"/>
      <c r="H193" s="3"/>
      <c r="I193" s="6"/>
      <c r="J193" s="3" t="s">
        <v>749</v>
      </c>
      <c r="K193" s="3"/>
      <c r="L193" s="3"/>
      <c r="M193" s="3" t="s">
        <v>34</v>
      </c>
      <c r="N193" s="3" t="s">
        <v>750</v>
      </c>
      <c r="O193" s="3" t="s">
        <v>441</v>
      </c>
      <c r="P193" s="3" t="s">
        <v>37</v>
      </c>
      <c r="Q193" s="5">
        <v>37322</v>
      </c>
      <c r="R193" s="5"/>
      <c r="S193" s="5"/>
      <c r="T193" s="3" t="s">
        <v>38</v>
      </c>
      <c r="U193" s="3" t="s">
        <v>153</v>
      </c>
      <c r="V193" s="3"/>
      <c r="W193" s="6"/>
      <c r="X193" s="6"/>
      <c r="Y193" s="3"/>
      <c r="Z193" s="3"/>
      <c r="AA193" s="3"/>
      <c r="AB193" s="3" t="s">
        <v>42</v>
      </c>
    </row>
    <row r="194" spans="1:28" ht="33" customHeight="1" x14ac:dyDescent="0.25">
      <c r="A194" s="7" t="s">
        <v>814</v>
      </c>
      <c r="B194" s="3" t="s">
        <v>747</v>
      </c>
      <c r="C194" s="3" t="s">
        <v>813</v>
      </c>
      <c r="D194" s="6">
        <v>44766</v>
      </c>
      <c r="E194" s="6">
        <v>45864</v>
      </c>
      <c r="F194" s="3"/>
      <c r="G194" s="6"/>
      <c r="H194" s="3"/>
      <c r="I194" s="6"/>
      <c r="J194" s="3" t="s">
        <v>749</v>
      </c>
      <c r="K194" s="3"/>
      <c r="L194" s="3"/>
      <c r="M194" s="3" t="s">
        <v>34</v>
      </c>
      <c r="N194" s="3" t="s">
        <v>750</v>
      </c>
      <c r="O194" s="3" t="s">
        <v>441</v>
      </c>
      <c r="P194" s="3" t="s">
        <v>37</v>
      </c>
      <c r="Q194" s="5">
        <v>7173</v>
      </c>
      <c r="R194" s="5"/>
      <c r="S194" s="5"/>
      <c r="T194" s="3" t="s">
        <v>38</v>
      </c>
      <c r="U194" s="3" t="s">
        <v>153</v>
      </c>
      <c r="V194" s="3"/>
      <c r="W194" s="6"/>
      <c r="X194" s="6"/>
      <c r="Y194" s="3"/>
      <c r="Z194" s="3"/>
      <c r="AA194" s="3"/>
      <c r="AB194" s="3" t="s">
        <v>42</v>
      </c>
    </row>
    <row r="195" spans="1:28" ht="33" customHeight="1" x14ac:dyDescent="0.25">
      <c r="A195" s="7" t="s">
        <v>815</v>
      </c>
      <c r="B195" s="3" t="s">
        <v>747</v>
      </c>
      <c r="C195" s="3" t="s">
        <v>816</v>
      </c>
      <c r="D195" s="6">
        <v>44766</v>
      </c>
      <c r="E195" s="6">
        <v>45864</v>
      </c>
      <c r="F195" s="3"/>
      <c r="G195" s="6"/>
      <c r="H195" s="3"/>
      <c r="I195" s="6"/>
      <c r="J195" s="3" t="s">
        <v>749</v>
      </c>
      <c r="K195" s="3"/>
      <c r="L195" s="3"/>
      <c r="M195" s="3" t="s">
        <v>34</v>
      </c>
      <c r="N195" s="3" t="s">
        <v>750</v>
      </c>
      <c r="O195" s="3" t="s">
        <v>441</v>
      </c>
      <c r="P195" s="3" t="s">
        <v>37</v>
      </c>
      <c r="Q195" s="5">
        <v>127230</v>
      </c>
      <c r="R195" s="5"/>
      <c r="S195" s="5"/>
      <c r="T195" s="3" t="s">
        <v>38</v>
      </c>
      <c r="U195" s="3" t="s">
        <v>153</v>
      </c>
      <c r="V195" s="3"/>
      <c r="W195" s="6"/>
      <c r="X195" s="6"/>
      <c r="Y195" s="3"/>
      <c r="Z195" s="3"/>
      <c r="AA195" s="3"/>
      <c r="AB195" s="3" t="s">
        <v>42</v>
      </c>
    </row>
    <row r="196" spans="1:28" ht="33" customHeight="1" x14ac:dyDescent="0.25">
      <c r="A196" s="7" t="s">
        <v>817</v>
      </c>
      <c r="B196" s="3" t="s">
        <v>747</v>
      </c>
      <c r="C196" s="3" t="s">
        <v>748</v>
      </c>
      <c r="D196" s="6">
        <v>44766</v>
      </c>
      <c r="E196" s="6">
        <v>45864</v>
      </c>
      <c r="F196" s="3"/>
      <c r="G196" s="6"/>
      <c r="H196" s="3"/>
      <c r="I196" s="6"/>
      <c r="J196" s="3" t="s">
        <v>749</v>
      </c>
      <c r="K196" s="3"/>
      <c r="L196" s="3"/>
      <c r="M196" s="3" t="s">
        <v>34</v>
      </c>
      <c r="N196" s="3" t="s">
        <v>750</v>
      </c>
      <c r="O196" s="3" t="s">
        <v>441</v>
      </c>
      <c r="P196" s="3" t="s">
        <v>37</v>
      </c>
      <c r="Q196" s="5">
        <v>40196</v>
      </c>
      <c r="R196" s="5"/>
      <c r="S196" s="5"/>
      <c r="T196" s="3" t="s">
        <v>38</v>
      </c>
      <c r="U196" s="3" t="s">
        <v>153</v>
      </c>
      <c r="V196" s="3"/>
      <c r="W196" s="6"/>
      <c r="X196" s="6"/>
      <c r="Y196" s="3"/>
      <c r="Z196" s="3"/>
      <c r="AA196" s="3"/>
      <c r="AB196" s="3" t="s">
        <v>42</v>
      </c>
    </row>
    <row r="197" spans="1:28" ht="33" customHeight="1" x14ac:dyDescent="0.25">
      <c r="A197" s="7" t="s">
        <v>818</v>
      </c>
      <c r="B197" s="3" t="s">
        <v>747</v>
      </c>
      <c r="C197" s="3" t="s">
        <v>819</v>
      </c>
      <c r="D197" s="6">
        <v>44766</v>
      </c>
      <c r="E197" s="6">
        <v>45864</v>
      </c>
      <c r="F197" s="3"/>
      <c r="G197" s="6"/>
      <c r="H197" s="3"/>
      <c r="I197" s="6"/>
      <c r="J197" s="3" t="s">
        <v>749</v>
      </c>
      <c r="K197" s="3"/>
      <c r="L197" s="3"/>
      <c r="M197" s="3" t="s">
        <v>34</v>
      </c>
      <c r="N197" s="3" t="s">
        <v>750</v>
      </c>
      <c r="O197" s="3" t="s">
        <v>441</v>
      </c>
      <c r="P197" s="3" t="s">
        <v>37</v>
      </c>
      <c r="Q197" s="5">
        <v>158054</v>
      </c>
      <c r="R197" s="5"/>
      <c r="S197" s="5"/>
      <c r="T197" s="3" t="s">
        <v>38</v>
      </c>
      <c r="U197" s="3" t="s">
        <v>153</v>
      </c>
      <c r="V197" s="3"/>
      <c r="W197" s="6"/>
      <c r="X197" s="6"/>
      <c r="Y197" s="3"/>
      <c r="Z197" s="3"/>
      <c r="AA197" s="3"/>
      <c r="AB197" s="3" t="s">
        <v>42</v>
      </c>
    </row>
    <row r="198" spans="1:28" ht="33" customHeight="1" x14ac:dyDescent="0.25">
      <c r="A198" s="7" t="s">
        <v>820</v>
      </c>
      <c r="B198" s="3" t="s">
        <v>747</v>
      </c>
      <c r="C198" s="3" t="s">
        <v>802</v>
      </c>
      <c r="D198" s="6">
        <v>44955</v>
      </c>
      <c r="E198" s="6">
        <v>46046</v>
      </c>
      <c r="F198" s="3"/>
      <c r="G198" s="6"/>
      <c r="H198" s="3"/>
      <c r="I198" s="6"/>
      <c r="J198" s="3" t="s">
        <v>749</v>
      </c>
      <c r="K198" s="3"/>
      <c r="L198" s="3"/>
      <c r="M198" s="3" t="s">
        <v>34</v>
      </c>
      <c r="N198" s="3" t="s">
        <v>750</v>
      </c>
      <c r="O198" s="3" t="s">
        <v>441</v>
      </c>
      <c r="P198" s="3" t="s">
        <v>37</v>
      </c>
      <c r="Q198" s="5">
        <v>5569</v>
      </c>
      <c r="R198" s="5"/>
      <c r="S198" s="5"/>
      <c r="T198" s="3" t="s">
        <v>38</v>
      </c>
      <c r="U198" s="3" t="s">
        <v>153</v>
      </c>
      <c r="V198" s="3"/>
      <c r="W198" s="6"/>
      <c r="X198" s="6"/>
      <c r="Y198" s="3"/>
      <c r="Z198" s="3"/>
      <c r="AA198" s="3"/>
      <c r="AB198" s="3" t="s">
        <v>42</v>
      </c>
    </row>
    <row r="199" spans="1:28" ht="33" customHeight="1" x14ac:dyDescent="0.25">
      <c r="A199" s="7" t="s">
        <v>821</v>
      </c>
      <c r="B199" s="3" t="s">
        <v>747</v>
      </c>
      <c r="C199" s="3" t="s">
        <v>822</v>
      </c>
      <c r="D199" s="6">
        <v>44766</v>
      </c>
      <c r="E199" s="6">
        <v>45864</v>
      </c>
      <c r="F199" s="3"/>
      <c r="G199" s="6"/>
      <c r="H199" s="3"/>
      <c r="I199" s="6"/>
      <c r="J199" s="3" t="s">
        <v>749</v>
      </c>
      <c r="K199" s="3"/>
      <c r="L199" s="3"/>
      <c r="M199" s="3" t="s">
        <v>34</v>
      </c>
      <c r="N199" s="3" t="s">
        <v>750</v>
      </c>
      <c r="O199" s="3" t="s">
        <v>441</v>
      </c>
      <c r="P199" s="3" t="s">
        <v>37</v>
      </c>
      <c r="Q199" s="5">
        <v>103323</v>
      </c>
      <c r="R199" s="5"/>
      <c r="S199" s="5"/>
      <c r="T199" s="3" t="s">
        <v>38</v>
      </c>
      <c r="U199" s="3" t="s">
        <v>153</v>
      </c>
      <c r="V199" s="3"/>
      <c r="W199" s="6"/>
      <c r="X199" s="6"/>
      <c r="Y199" s="3"/>
      <c r="Z199" s="3"/>
      <c r="AA199" s="3"/>
      <c r="AB199" s="3" t="s">
        <v>42</v>
      </c>
    </row>
    <row r="200" spans="1:28" ht="33" customHeight="1" x14ac:dyDescent="0.25">
      <c r="A200" s="7" t="s">
        <v>823</v>
      </c>
      <c r="B200" s="3" t="s">
        <v>747</v>
      </c>
      <c r="C200" s="3" t="s">
        <v>824</v>
      </c>
      <c r="D200" s="6">
        <v>44766</v>
      </c>
      <c r="E200" s="6">
        <v>45864</v>
      </c>
      <c r="F200" s="3"/>
      <c r="G200" s="6"/>
      <c r="H200" s="3"/>
      <c r="I200" s="6"/>
      <c r="J200" s="3" t="s">
        <v>749</v>
      </c>
      <c r="K200" s="3"/>
      <c r="L200" s="3"/>
      <c r="M200" s="3" t="s">
        <v>34</v>
      </c>
      <c r="N200" s="3" t="s">
        <v>750</v>
      </c>
      <c r="O200" s="3" t="s">
        <v>441</v>
      </c>
      <c r="P200" s="3" t="s">
        <v>37</v>
      </c>
      <c r="Q200" s="5">
        <v>35476</v>
      </c>
      <c r="R200" s="5"/>
      <c r="S200" s="5"/>
      <c r="T200" s="3" t="s">
        <v>38</v>
      </c>
      <c r="U200" s="3" t="s">
        <v>153</v>
      </c>
      <c r="V200" s="3"/>
      <c r="W200" s="6"/>
      <c r="X200" s="6"/>
      <c r="Y200" s="3"/>
      <c r="Z200" s="3"/>
      <c r="AA200" s="3"/>
      <c r="AB200" s="3" t="s">
        <v>42</v>
      </c>
    </row>
    <row r="201" spans="1:28" ht="33" customHeight="1" x14ac:dyDescent="0.25">
      <c r="A201" s="7" t="s">
        <v>825</v>
      </c>
      <c r="B201" s="3" t="s">
        <v>747</v>
      </c>
      <c r="C201" s="3" t="s">
        <v>824</v>
      </c>
      <c r="D201" s="6">
        <v>44766</v>
      </c>
      <c r="E201" s="6">
        <v>45864</v>
      </c>
      <c r="F201" s="3"/>
      <c r="G201" s="6"/>
      <c r="H201" s="3"/>
      <c r="I201" s="6"/>
      <c r="J201" s="3" t="s">
        <v>749</v>
      </c>
      <c r="K201" s="3"/>
      <c r="L201" s="3"/>
      <c r="M201" s="3" t="s">
        <v>34</v>
      </c>
      <c r="N201" s="3" t="s">
        <v>750</v>
      </c>
      <c r="O201" s="3" t="s">
        <v>441</v>
      </c>
      <c r="P201" s="3" t="s">
        <v>37</v>
      </c>
      <c r="Q201" s="5">
        <v>5624</v>
      </c>
      <c r="R201" s="5"/>
      <c r="S201" s="5"/>
      <c r="T201" s="3" t="s">
        <v>38</v>
      </c>
      <c r="U201" s="3" t="s">
        <v>153</v>
      </c>
      <c r="V201" s="3"/>
      <c r="W201" s="6"/>
      <c r="X201" s="6"/>
      <c r="Y201" s="3"/>
      <c r="Z201" s="3"/>
      <c r="AA201" s="3"/>
      <c r="AB201" s="3" t="s">
        <v>42</v>
      </c>
    </row>
    <row r="202" spans="1:28" ht="33" customHeight="1" x14ac:dyDescent="0.25">
      <c r="A202" s="7" t="s">
        <v>826</v>
      </c>
      <c r="B202" s="3" t="s">
        <v>747</v>
      </c>
      <c r="C202" s="3" t="s">
        <v>824</v>
      </c>
      <c r="D202" s="6">
        <v>44766</v>
      </c>
      <c r="E202" s="6">
        <v>45864</v>
      </c>
      <c r="F202" s="3"/>
      <c r="G202" s="6"/>
      <c r="H202" s="3"/>
      <c r="I202" s="6"/>
      <c r="J202" s="3" t="s">
        <v>749</v>
      </c>
      <c r="K202" s="3"/>
      <c r="L202" s="3"/>
      <c r="M202" s="3" t="s">
        <v>34</v>
      </c>
      <c r="N202" s="3" t="s">
        <v>750</v>
      </c>
      <c r="O202" s="3" t="s">
        <v>441</v>
      </c>
      <c r="P202" s="3" t="s">
        <v>37</v>
      </c>
      <c r="Q202" s="5">
        <v>6496</v>
      </c>
      <c r="R202" s="5"/>
      <c r="S202" s="5"/>
      <c r="T202" s="3" t="s">
        <v>38</v>
      </c>
      <c r="U202" s="3" t="s">
        <v>153</v>
      </c>
      <c r="V202" s="3"/>
      <c r="W202" s="6"/>
      <c r="X202" s="6"/>
      <c r="Y202" s="3"/>
      <c r="Z202" s="3"/>
      <c r="AA202" s="3"/>
      <c r="AB202" s="3" t="s">
        <v>42</v>
      </c>
    </row>
    <row r="203" spans="1:28" ht="33" customHeight="1" x14ac:dyDescent="0.25">
      <c r="A203" s="7" t="s">
        <v>827</v>
      </c>
      <c r="B203" s="3" t="s">
        <v>747</v>
      </c>
      <c r="C203" s="3" t="s">
        <v>828</v>
      </c>
      <c r="D203" s="6">
        <v>44766</v>
      </c>
      <c r="E203" s="6">
        <v>45864</v>
      </c>
      <c r="F203" s="3"/>
      <c r="G203" s="6"/>
      <c r="H203" s="3"/>
      <c r="I203" s="6"/>
      <c r="J203" s="3" t="s">
        <v>749</v>
      </c>
      <c r="K203" s="3"/>
      <c r="L203" s="3"/>
      <c r="M203" s="3" t="s">
        <v>34</v>
      </c>
      <c r="N203" s="3" t="s">
        <v>750</v>
      </c>
      <c r="O203" s="3" t="s">
        <v>441</v>
      </c>
      <c r="P203" s="3" t="s">
        <v>37</v>
      </c>
      <c r="Q203" s="5">
        <v>121476</v>
      </c>
      <c r="R203" s="5"/>
      <c r="S203" s="5"/>
      <c r="T203" s="3" t="s">
        <v>38</v>
      </c>
      <c r="U203" s="3" t="s">
        <v>153</v>
      </c>
      <c r="V203" s="3"/>
      <c r="W203" s="6"/>
      <c r="X203" s="6"/>
      <c r="Y203" s="3"/>
      <c r="Z203" s="3"/>
      <c r="AA203" s="3"/>
      <c r="AB203" s="3" t="s">
        <v>42</v>
      </c>
    </row>
    <row r="204" spans="1:28" ht="33" customHeight="1" x14ac:dyDescent="0.25">
      <c r="A204" s="7" t="s">
        <v>829</v>
      </c>
      <c r="B204" s="3" t="s">
        <v>747</v>
      </c>
      <c r="C204" s="3" t="s">
        <v>830</v>
      </c>
      <c r="D204" s="6">
        <v>44836</v>
      </c>
      <c r="E204" s="6">
        <v>45388</v>
      </c>
      <c r="F204" s="3"/>
      <c r="G204" s="6"/>
      <c r="H204" s="3"/>
      <c r="I204" s="6"/>
      <c r="J204" s="3" t="s">
        <v>749</v>
      </c>
      <c r="K204" s="3"/>
      <c r="L204" s="3"/>
      <c r="M204" s="3" t="s">
        <v>34</v>
      </c>
      <c r="N204" s="3" t="s">
        <v>750</v>
      </c>
      <c r="O204" s="3" t="s">
        <v>441</v>
      </c>
      <c r="P204" s="3" t="s">
        <v>37</v>
      </c>
      <c r="Q204" s="5">
        <v>59160</v>
      </c>
      <c r="R204" s="5"/>
      <c r="S204" s="5"/>
      <c r="T204" s="3" t="s">
        <v>38</v>
      </c>
      <c r="U204" s="3" t="s">
        <v>153</v>
      </c>
      <c r="V204" s="3"/>
      <c r="W204" s="6"/>
      <c r="X204" s="6"/>
      <c r="Y204" s="3"/>
      <c r="Z204" s="3"/>
      <c r="AA204" s="3"/>
      <c r="AB204" s="3" t="s">
        <v>42</v>
      </c>
    </row>
    <row r="205" spans="1:28" ht="33" customHeight="1" x14ac:dyDescent="0.25">
      <c r="A205" s="7" t="s">
        <v>831</v>
      </c>
      <c r="B205" s="3" t="s">
        <v>747</v>
      </c>
      <c r="C205" s="3" t="s">
        <v>830</v>
      </c>
      <c r="D205" s="6">
        <v>44836</v>
      </c>
      <c r="E205" s="6">
        <v>45388</v>
      </c>
      <c r="F205" s="3"/>
      <c r="G205" s="6"/>
      <c r="H205" s="3"/>
      <c r="I205" s="6"/>
      <c r="J205" s="3" t="s">
        <v>749</v>
      </c>
      <c r="K205" s="3"/>
      <c r="L205" s="3"/>
      <c r="M205" s="3" t="s">
        <v>34</v>
      </c>
      <c r="N205" s="3" t="s">
        <v>750</v>
      </c>
      <c r="O205" s="3" t="s">
        <v>441</v>
      </c>
      <c r="P205" s="3" t="s">
        <v>37</v>
      </c>
      <c r="Q205" s="5">
        <v>11434</v>
      </c>
      <c r="R205" s="5"/>
      <c r="S205" s="5"/>
      <c r="T205" s="3" t="s">
        <v>38</v>
      </c>
      <c r="U205" s="3" t="s">
        <v>153</v>
      </c>
      <c r="V205" s="3"/>
      <c r="W205" s="6"/>
      <c r="X205" s="6"/>
      <c r="Y205" s="3"/>
      <c r="Z205" s="3"/>
      <c r="AA205" s="3"/>
      <c r="AB205" s="3" t="s">
        <v>42</v>
      </c>
    </row>
    <row r="206" spans="1:28" ht="33" customHeight="1" x14ac:dyDescent="0.25">
      <c r="A206" s="7" t="s">
        <v>832</v>
      </c>
      <c r="B206" s="3" t="s">
        <v>747</v>
      </c>
      <c r="C206" s="3" t="s">
        <v>802</v>
      </c>
      <c r="D206" s="6">
        <v>44955</v>
      </c>
      <c r="E206" s="6">
        <v>46046</v>
      </c>
      <c r="F206" s="3"/>
      <c r="G206" s="6"/>
      <c r="H206" s="3"/>
      <c r="I206" s="6"/>
      <c r="J206" s="3" t="s">
        <v>749</v>
      </c>
      <c r="K206" s="3"/>
      <c r="L206" s="3"/>
      <c r="M206" s="3" t="s">
        <v>34</v>
      </c>
      <c r="N206" s="3" t="s">
        <v>750</v>
      </c>
      <c r="O206" s="3" t="s">
        <v>441</v>
      </c>
      <c r="P206" s="3" t="s">
        <v>37</v>
      </c>
      <c r="Q206" s="5">
        <v>6021</v>
      </c>
      <c r="R206" s="5"/>
      <c r="S206" s="5"/>
      <c r="T206" s="3" t="s">
        <v>38</v>
      </c>
      <c r="U206" s="3" t="s">
        <v>153</v>
      </c>
      <c r="V206" s="3"/>
      <c r="W206" s="6"/>
      <c r="X206" s="6"/>
      <c r="Y206" s="3"/>
      <c r="Z206" s="3"/>
      <c r="AA206" s="3"/>
      <c r="AB206" s="3" t="s">
        <v>42</v>
      </c>
    </row>
    <row r="207" spans="1:28" ht="33" customHeight="1" x14ac:dyDescent="0.25">
      <c r="A207" s="7" t="s">
        <v>833</v>
      </c>
      <c r="B207" s="3" t="s">
        <v>747</v>
      </c>
      <c r="C207" s="3" t="s">
        <v>802</v>
      </c>
      <c r="D207" s="6">
        <v>44955</v>
      </c>
      <c r="E207" s="6">
        <v>46046</v>
      </c>
      <c r="F207" s="3"/>
      <c r="G207" s="6"/>
      <c r="H207" s="3"/>
      <c r="I207" s="6"/>
      <c r="J207" s="3" t="s">
        <v>749</v>
      </c>
      <c r="K207" s="3"/>
      <c r="L207" s="3"/>
      <c r="M207" s="3" t="s">
        <v>34</v>
      </c>
      <c r="N207" s="3" t="s">
        <v>750</v>
      </c>
      <c r="O207" s="3" t="s">
        <v>441</v>
      </c>
      <c r="P207" s="3" t="s">
        <v>37</v>
      </c>
      <c r="Q207" s="5">
        <v>1866</v>
      </c>
      <c r="R207" s="5"/>
      <c r="S207" s="5"/>
      <c r="T207" s="3" t="s">
        <v>38</v>
      </c>
      <c r="U207" s="3" t="s">
        <v>153</v>
      </c>
      <c r="V207" s="3"/>
      <c r="W207" s="6"/>
      <c r="X207" s="6"/>
      <c r="Y207" s="3"/>
      <c r="Z207" s="3"/>
      <c r="AA207" s="3"/>
      <c r="AB207" s="3" t="s">
        <v>42</v>
      </c>
    </row>
    <row r="208" spans="1:28" ht="33" customHeight="1" x14ac:dyDescent="0.25">
      <c r="A208" s="7" t="s">
        <v>834</v>
      </c>
      <c r="B208" s="3" t="s">
        <v>747</v>
      </c>
      <c r="C208" s="3" t="s">
        <v>835</v>
      </c>
      <c r="D208" s="6">
        <v>44955</v>
      </c>
      <c r="E208" s="6">
        <v>46046</v>
      </c>
      <c r="F208" s="3"/>
      <c r="G208" s="6"/>
      <c r="H208" s="3"/>
      <c r="I208" s="6"/>
      <c r="J208" s="3" t="s">
        <v>749</v>
      </c>
      <c r="K208" s="3"/>
      <c r="L208" s="3"/>
      <c r="M208" s="3" t="s">
        <v>34</v>
      </c>
      <c r="N208" s="3" t="s">
        <v>750</v>
      </c>
      <c r="O208" s="3" t="s">
        <v>441</v>
      </c>
      <c r="P208" s="3" t="s">
        <v>37</v>
      </c>
      <c r="Q208" s="5">
        <v>125540</v>
      </c>
      <c r="R208" s="5"/>
      <c r="S208" s="5"/>
      <c r="T208" s="3" t="s">
        <v>38</v>
      </c>
      <c r="U208" s="3" t="s">
        <v>153</v>
      </c>
      <c r="V208" s="3"/>
      <c r="W208" s="6"/>
      <c r="X208" s="6"/>
      <c r="Y208" s="3"/>
      <c r="Z208" s="3"/>
      <c r="AA208" s="3"/>
      <c r="AB208" s="3" t="s">
        <v>42</v>
      </c>
    </row>
    <row r="209" spans="1:28" ht="33" customHeight="1" x14ac:dyDescent="0.25">
      <c r="A209" s="7" t="s">
        <v>836</v>
      </c>
      <c r="B209" s="3" t="s">
        <v>747</v>
      </c>
      <c r="C209" s="3" t="s">
        <v>837</v>
      </c>
      <c r="D209" s="6">
        <v>44955</v>
      </c>
      <c r="E209" s="6">
        <v>46046</v>
      </c>
      <c r="F209" s="3"/>
      <c r="G209" s="6"/>
      <c r="H209" s="3"/>
      <c r="I209" s="6"/>
      <c r="J209" s="3" t="s">
        <v>749</v>
      </c>
      <c r="K209" s="3"/>
      <c r="L209" s="3"/>
      <c r="M209" s="3" t="s">
        <v>34</v>
      </c>
      <c r="N209" s="3" t="s">
        <v>750</v>
      </c>
      <c r="O209" s="3" t="s">
        <v>441</v>
      </c>
      <c r="P209" s="3" t="s">
        <v>37</v>
      </c>
      <c r="Q209" s="5">
        <v>2713</v>
      </c>
      <c r="R209" s="5"/>
      <c r="S209" s="5"/>
      <c r="T209" s="3" t="s">
        <v>38</v>
      </c>
      <c r="U209" s="3" t="s">
        <v>153</v>
      </c>
      <c r="V209" s="3"/>
      <c r="W209" s="6"/>
      <c r="X209" s="6"/>
      <c r="Y209" s="3"/>
      <c r="Z209" s="3"/>
      <c r="AA209" s="3"/>
      <c r="AB209" s="3" t="s">
        <v>42</v>
      </c>
    </row>
    <row r="210" spans="1:28" ht="33" customHeight="1" x14ac:dyDescent="0.25">
      <c r="A210" s="7" t="s">
        <v>838</v>
      </c>
      <c r="B210" s="3" t="s">
        <v>747</v>
      </c>
      <c r="C210" s="3" t="s">
        <v>839</v>
      </c>
      <c r="D210" s="6">
        <v>43240</v>
      </c>
      <c r="E210" s="6">
        <v>45430</v>
      </c>
      <c r="F210" s="3"/>
      <c r="G210" s="6"/>
      <c r="H210" s="3"/>
      <c r="I210" s="6"/>
      <c r="J210" s="3" t="s">
        <v>68</v>
      </c>
      <c r="K210" s="3"/>
      <c r="L210" s="3"/>
      <c r="M210" s="3" t="s">
        <v>34</v>
      </c>
      <c r="N210" s="3" t="s">
        <v>750</v>
      </c>
      <c r="O210" s="3" t="s">
        <v>441</v>
      </c>
      <c r="P210" s="3" t="s">
        <v>37</v>
      </c>
      <c r="Q210" s="5">
        <v>1660</v>
      </c>
      <c r="R210" s="5"/>
      <c r="S210" s="5"/>
      <c r="T210" s="3" t="s">
        <v>840</v>
      </c>
      <c r="U210" s="3" t="s">
        <v>153</v>
      </c>
      <c r="V210" s="3"/>
      <c r="W210" s="6"/>
      <c r="X210" s="6"/>
      <c r="Y210" s="3"/>
      <c r="Z210" s="3"/>
      <c r="AA210" s="3"/>
      <c r="AB210" s="3" t="s">
        <v>42</v>
      </c>
    </row>
    <row r="211" spans="1:28" ht="33" customHeight="1" x14ac:dyDescent="0.25">
      <c r="A211" s="7" t="s">
        <v>841</v>
      </c>
      <c r="B211" s="3" t="s">
        <v>747</v>
      </c>
      <c r="C211" s="3" t="s">
        <v>842</v>
      </c>
      <c r="D211" s="6">
        <v>43240</v>
      </c>
      <c r="E211" s="6">
        <v>45430</v>
      </c>
      <c r="F211" s="3"/>
      <c r="G211" s="6"/>
      <c r="H211" s="3"/>
      <c r="I211" s="6"/>
      <c r="J211" s="3" t="s">
        <v>68</v>
      </c>
      <c r="K211" s="3"/>
      <c r="L211" s="3"/>
      <c r="M211" s="3" t="s">
        <v>34</v>
      </c>
      <c r="N211" s="3" t="s">
        <v>750</v>
      </c>
      <c r="O211" s="3" t="s">
        <v>441</v>
      </c>
      <c r="P211" s="3" t="s">
        <v>37</v>
      </c>
      <c r="Q211" s="5">
        <v>7530</v>
      </c>
      <c r="R211" s="5"/>
      <c r="S211" s="5"/>
      <c r="T211" s="3" t="s">
        <v>840</v>
      </c>
      <c r="U211" s="3" t="s">
        <v>153</v>
      </c>
      <c r="V211" s="3"/>
      <c r="W211" s="6"/>
      <c r="X211" s="6"/>
      <c r="Y211" s="3"/>
      <c r="Z211" s="3"/>
      <c r="AA211" s="3"/>
      <c r="AB211" s="3" t="s">
        <v>42</v>
      </c>
    </row>
    <row r="212" spans="1:28" ht="33" customHeight="1" x14ac:dyDescent="0.25">
      <c r="A212" s="7" t="s">
        <v>843</v>
      </c>
      <c r="B212" s="3" t="s">
        <v>747</v>
      </c>
      <c r="C212" s="3" t="s">
        <v>844</v>
      </c>
      <c r="D212" s="6">
        <v>43674</v>
      </c>
      <c r="E212" s="6">
        <v>45339</v>
      </c>
      <c r="F212" s="3"/>
      <c r="G212" s="6"/>
      <c r="H212" s="3"/>
      <c r="I212" s="6"/>
      <c r="J212" s="3" t="s">
        <v>68</v>
      </c>
      <c r="K212" s="3"/>
      <c r="L212" s="3"/>
      <c r="M212" s="3" t="s">
        <v>34</v>
      </c>
      <c r="N212" s="3" t="s">
        <v>750</v>
      </c>
      <c r="O212" s="3" t="s">
        <v>441</v>
      </c>
      <c r="P212" s="3" t="s">
        <v>37</v>
      </c>
      <c r="Q212" s="5">
        <v>11039</v>
      </c>
      <c r="R212" s="5"/>
      <c r="S212" s="5"/>
      <c r="T212" s="3" t="s">
        <v>38</v>
      </c>
      <c r="U212" s="3" t="s">
        <v>153</v>
      </c>
      <c r="V212" s="3"/>
      <c r="W212" s="6"/>
      <c r="X212" s="6"/>
      <c r="Y212" s="3"/>
      <c r="Z212" s="3"/>
      <c r="AA212" s="3"/>
      <c r="AB212" s="3" t="s">
        <v>42</v>
      </c>
    </row>
    <row r="213" spans="1:28" ht="33" customHeight="1" x14ac:dyDescent="0.25">
      <c r="A213" s="7" t="s">
        <v>845</v>
      </c>
      <c r="B213" s="3" t="s">
        <v>747</v>
      </c>
      <c r="C213" s="3" t="s">
        <v>846</v>
      </c>
      <c r="D213" s="6">
        <v>43674</v>
      </c>
      <c r="E213" s="6">
        <v>45339</v>
      </c>
      <c r="F213" s="3"/>
      <c r="G213" s="6"/>
      <c r="H213" s="3"/>
      <c r="I213" s="6"/>
      <c r="J213" s="3" t="s">
        <v>68</v>
      </c>
      <c r="K213" s="3"/>
      <c r="L213" s="3"/>
      <c r="M213" s="3" t="s">
        <v>34</v>
      </c>
      <c r="N213" s="3" t="s">
        <v>750</v>
      </c>
      <c r="O213" s="3" t="s">
        <v>441</v>
      </c>
      <c r="P213" s="3" t="s">
        <v>37</v>
      </c>
      <c r="Q213" s="5">
        <v>11039</v>
      </c>
      <c r="R213" s="5"/>
      <c r="S213" s="5"/>
      <c r="T213" s="3" t="s">
        <v>38</v>
      </c>
      <c r="U213" s="3" t="s">
        <v>153</v>
      </c>
      <c r="V213" s="3"/>
      <c r="W213" s="6"/>
      <c r="X213" s="6"/>
      <c r="Y213" s="3"/>
      <c r="Z213" s="3"/>
      <c r="AA213" s="3"/>
      <c r="AB213" s="3" t="s">
        <v>42</v>
      </c>
    </row>
    <row r="214" spans="1:28" ht="33" customHeight="1" x14ac:dyDescent="0.25">
      <c r="A214" s="7" t="s">
        <v>847</v>
      </c>
      <c r="B214" s="3" t="s">
        <v>747</v>
      </c>
      <c r="C214" s="3" t="s">
        <v>846</v>
      </c>
      <c r="D214" s="6">
        <v>43674</v>
      </c>
      <c r="E214" s="6">
        <v>45339</v>
      </c>
      <c r="F214" s="3"/>
      <c r="G214" s="6"/>
      <c r="H214" s="3"/>
      <c r="I214" s="6"/>
      <c r="J214" s="3" t="s">
        <v>68</v>
      </c>
      <c r="K214" s="3"/>
      <c r="L214" s="3"/>
      <c r="M214" s="3" t="s">
        <v>34</v>
      </c>
      <c r="N214" s="3" t="s">
        <v>750</v>
      </c>
      <c r="O214" s="3" t="s">
        <v>441</v>
      </c>
      <c r="P214" s="3" t="s">
        <v>37</v>
      </c>
      <c r="Q214" s="5">
        <v>11039</v>
      </c>
      <c r="R214" s="5"/>
      <c r="S214" s="5"/>
      <c r="T214" s="3" t="s">
        <v>38</v>
      </c>
      <c r="U214" s="3" t="s">
        <v>153</v>
      </c>
      <c r="V214" s="3"/>
      <c r="W214" s="6"/>
      <c r="X214" s="6"/>
      <c r="Y214" s="3"/>
      <c r="Z214" s="3"/>
      <c r="AA214" s="3"/>
      <c r="AB214" s="3" t="s">
        <v>42</v>
      </c>
    </row>
    <row r="215" spans="1:28" ht="33" customHeight="1" x14ac:dyDescent="0.25">
      <c r="A215" s="7" t="s">
        <v>848</v>
      </c>
      <c r="B215" s="3" t="s">
        <v>747</v>
      </c>
      <c r="C215" s="3" t="s">
        <v>846</v>
      </c>
      <c r="D215" s="6">
        <v>43674</v>
      </c>
      <c r="E215" s="6">
        <v>45339</v>
      </c>
      <c r="F215" s="3"/>
      <c r="G215" s="6"/>
      <c r="H215" s="3"/>
      <c r="I215" s="6"/>
      <c r="J215" s="3" t="s">
        <v>68</v>
      </c>
      <c r="K215" s="3"/>
      <c r="L215" s="3"/>
      <c r="M215" s="3" t="s">
        <v>34</v>
      </c>
      <c r="N215" s="3" t="s">
        <v>750</v>
      </c>
      <c r="O215" s="3" t="s">
        <v>441</v>
      </c>
      <c r="P215" s="3" t="s">
        <v>37</v>
      </c>
      <c r="Q215" s="5">
        <v>11039</v>
      </c>
      <c r="R215" s="5"/>
      <c r="S215" s="5"/>
      <c r="T215" s="3" t="s">
        <v>38</v>
      </c>
      <c r="U215" s="3" t="s">
        <v>153</v>
      </c>
      <c r="V215" s="3"/>
      <c r="W215" s="6"/>
      <c r="X215" s="6"/>
      <c r="Y215" s="3"/>
      <c r="Z215" s="3"/>
      <c r="AA215" s="3"/>
      <c r="AB215" s="3" t="s">
        <v>42</v>
      </c>
    </row>
    <row r="216" spans="1:28" ht="33" customHeight="1" x14ac:dyDescent="0.25">
      <c r="A216" s="7" t="s">
        <v>849</v>
      </c>
      <c r="B216" s="3" t="s">
        <v>747</v>
      </c>
      <c r="C216" s="3" t="s">
        <v>846</v>
      </c>
      <c r="D216" s="6">
        <v>43674</v>
      </c>
      <c r="E216" s="6">
        <v>45339</v>
      </c>
      <c r="F216" s="3"/>
      <c r="G216" s="6"/>
      <c r="H216" s="3"/>
      <c r="I216" s="6"/>
      <c r="J216" s="3" t="s">
        <v>68</v>
      </c>
      <c r="K216" s="3"/>
      <c r="L216" s="3"/>
      <c r="M216" s="3" t="s">
        <v>34</v>
      </c>
      <c r="N216" s="3" t="s">
        <v>750</v>
      </c>
      <c r="O216" s="3" t="s">
        <v>441</v>
      </c>
      <c r="P216" s="3" t="s">
        <v>37</v>
      </c>
      <c r="Q216" s="5">
        <v>11039</v>
      </c>
      <c r="R216" s="5"/>
      <c r="S216" s="5"/>
      <c r="T216" s="3" t="s">
        <v>38</v>
      </c>
      <c r="U216" s="3" t="s">
        <v>153</v>
      </c>
      <c r="V216" s="3"/>
      <c r="W216" s="6"/>
      <c r="X216" s="6"/>
      <c r="Y216" s="3"/>
      <c r="Z216" s="3"/>
      <c r="AA216" s="3"/>
      <c r="AB216" s="3" t="s">
        <v>42</v>
      </c>
    </row>
    <row r="217" spans="1:28" ht="33" customHeight="1" x14ac:dyDescent="0.25">
      <c r="A217" s="7" t="s">
        <v>850</v>
      </c>
      <c r="B217" s="3" t="s">
        <v>747</v>
      </c>
      <c r="C217" s="3" t="s">
        <v>846</v>
      </c>
      <c r="D217" s="6">
        <v>43674</v>
      </c>
      <c r="E217" s="6">
        <v>45339</v>
      </c>
      <c r="F217" s="3"/>
      <c r="G217" s="6"/>
      <c r="H217" s="3"/>
      <c r="I217" s="6"/>
      <c r="J217" s="3" t="s">
        <v>68</v>
      </c>
      <c r="K217" s="3"/>
      <c r="L217" s="3"/>
      <c r="M217" s="3" t="s">
        <v>34</v>
      </c>
      <c r="N217" s="3" t="s">
        <v>750</v>
      </c>
      <c r="O217" s="3" t="s">
        <v>441</v>
      </c>
      <c r="P217" s="3" t="s">
        <v>37</v>
      </c>
      <c r="Q217" s="5">
        <v>11039</v>
      </c>
      <c r="R217" s="5"/>
      <c r="S217" s="5"/>
      <c r="T217" s="3" t="s">
        <v>38</v>
      </c>
      <c r="U217" s="3" t="s">
        <v>153</v>
      </c>
      <c r="V217" s="3"/>
      <c r="W217" s="6"/>
      <c r="X217" s="6"/>
      <c r="Y217" s="3"/>
      <c r="Z217" s="3"/>
      <c r="AA217" s="3"/>
      <c r="AB217" s="3" t="s">
        <v>42</v>
      </c>
    </row>
    <row r="218" spans="1:28" ht="33" customHeight="1" x14ac:dyDescent="0.25">
      <c r="A218" s="7" t="s">
        <v>851</v>
      </c>
      <c r="B218" s="3" t="s">
        <v>747</v>
      </c>
      <c r="C218" s="3" t="s">
        <v>846</v>
      </c>
      <c r="D218" s="6">
        <v>43674</v>
      </c>
      <c r="E218" s="6">
        <v>45339</v>
      </c>
      <c r="F218" s="3"/>
      <c r="G218" s="6"/>
      <c r="H218" s="3"/>
      <c r="I218" s="6"/>
      <c r="J218" s="3" t="s">
        <v>68</v>
      </c>
      <c r="K218" s="3"/>
      <c r="L218" s="3"/>
      <c r="M218" s="3" t="s">
        <v>34</v>
      </c>
      <c r="N218" s="3" t="s">
        <v>750</v>
      </c>
      <c r="O218" s="3" t="s">
        <v>441</v>
      </c>
      <c r="P218" s="3" t="s">
        <v>37</v>
      </c>
      <c r="Q218" s="5">
        <v>11039</v>
      </c>
      <c r="R218" s="5"/>
      <c r="S218" s="5"/>
      <c r="T218" s="3" t="s">
        <v>38</v>
      </c>
      <c r="U218" s="3" t="s">
        <v>153</v>
      </c>
      <c r="V218" s="3"/>
      <c r="W218" s="6"/>
      <c r="X218" s="6"/>
      <c r="Y218" s="3"/>
      <c r="Z218" s="3"/>
      <c r="AA218" s="3"/>
      <c r="AB218" s="3" t="s">
        <v>42</v>
      </c>
    </row>
    <row r="219" spans="1:28" ht="33" customHeight="1" x14ac:dyDescent="0.25">
      <c r="A219" s="7" t="s">
        <v>852</v>
      </c>
      <c r="B219" s="3" t="s">
        <v>747</v>
      </c>
      <c r="C219" s="3" t="s">
        <v>846</v>
      </c>
      <c r="D219" s="6">
        <v>43674</v>
      </c>
      <c r="E219" s="6">
        <v>45339</v>
      </c>
      <c r="F219" s="3"/>
      <c r="G219" s="6"/>
      <c r="H219" s="3"/>
      <c r="I219" s="6"/>
      <c r="J219" s="3" t="s">
        <v>68</v>
      </c>
      <c r="K219" s="3"/>
      <c r="L219" s="3"/>
      <c r="M219" s="3" t="s">
        <v>34</v>
      </c>
      <c r="N219" s="3" t="s">
        <v>750</v>
      </c>
      <c r="O219" s="3" t="s">
        <v>441</v>
      </c>
      <c r="P219" s="3" t="s">
        <v>37</v>
      </c>
      <c r="Q219" s="5">
        <v>11039</v>
      </c>
      <c r="R219" s="5"/>
      <c r="S219" s="5"/>
      <c r="T219" s="3" t="s">
        <v>38</v>
      </c>
      <c r="U219" s="3" t="s">
        <v>153</v>
      </c>
      <c r="V219" s="3"/>
      <c r="W219" s="6"/>
      <c r="X219" s="6"/>
      <c r="Y219" s="3"/>
      <c r="Z219" s="3"/>
      <c r="AA219" s="3"/>
      <c r="AB219" s="3" t="s">
        <v>42</v>
      </c>
    </row>
    <row r="220" spans="1:28" ht="33" customHeight="1" x14ac:dyDescent="0.25">
      <c r="A220" s="7" t="s">
        <v>853</v>
      </c>
      <c r="B220" s="3" t="s">
        <v>747</v>
      </c>
      <c r="C220" s="3" t="s">
        <v>854</v>
      </c>
      <c r="D220" s="6">
        <v>43674</v>
      </c>
      <c r="E220" s="6">
        <v>45339</v>
      </c>
      <c r="F220" s="3"/>
      <c r="G220" s="6"/>
      <c r="H220" s="3"/>
      <c r="I220" s="6"/>
      <c r="J220" s="3" t="s">
        <v>68</v>
      </c>
      <c r="K220" s="3"/>
      <c r="L220" s="3"/>
      <c r="M220" s="3" t="s">
        <v>34</v>
      </c>
      <c r="N220" s="3" t="s">
        <v>750</v>
      </c>
      <c r="O220" s="3" t="s">
        <v>441</v>
      </c>
      <c r="P220" s="3" t="s">
        <v>37</v>
      </c>
      <c r="Q220" s="5">
        <v>11039</v>
      </c>
      <c r="R220" s="5"/>
      <c r="S220" s="5"/>
      <c r="T220" s="3" t="s">
        <v>38</v>
      </c>
      <c r="U220" s="3" t="s">
        <v>153</v>
      </c>
      <c r="V220" s="3"/>
      <c r="W220" s="6"/>
      <c r="X220" s="6"/>
      <c r="Y220" s="3"/>
      <c r="Z220" s="3"/>
      <c r="AA220" s="3"/>
      <c r="AB220" s="3" t="s">
        <v>42</v>
      </c>
    </row>
    <row r="221" spans="1:28" ht="33" customHeight="1" x14ac:dyDescent="0.25">
      <c r="A221" s="7" t="s">
        <v>855</v>
      </c>
      <c r="B221" s="3" t="s">
        <v>747</v>
      </c>
      <c r="C221" s="3" t="s">
        <v>854</v>
      </c>
      <c r="D221" s="6">
        <v>43674</v>
      </c>
      <c r="E221" s="6">
        <v>45339</v>
      </c>
      <c r="F221" s="3"/>
      <c r="G221" s="6"/>
      <c r="H221" s="3"/>
      <c r="I221" s="6"/>
      <c r="J221" s="3" t="s">
        <v>68</v>
      </c>
      <c r="K221" s="3"/>
      <c r="L221" s="3"/>
      <c r="M221" s="3" t="s">
        <v>34</v>
      </c>
      <c r="N221" s="3" t="s">
        <v>750</v>
      </c>
      <c r="O221" s="3" t="s">
        <v>441</v>
      </c>
      <c r="P221" s="3" t="s">
        <v>37</v>
      </c>
      <c r="Q221" s="5">
        <v>11039</v>
      </c>
      <c r="R221" s="5"/>
      <c r="S221" s="5"/>
      <c r="T221" s="3" t="s">
        <v>38</v>
      </c>
      <c r="U221" s="3" t="s">
        <v>153</v>
      </c>
      <c r="V221" s="3"/>
      <c r="W221" s="6"/>
      <c r="X221" s="6"/>
      <c r="Y221" s="3"/>
      <c r="Z221" s="3"/>
      <c r="AA221" s="3"/>
      <c r="AB221" s="3" t="s">
        <v>42</v>
      </c>
    </row>
    <row r="222" spans="1:28" ht="33" customHeight="1" x14ac:dyDescent="0.25">
      <c r="A222" s="7" t="s">
        <v>856</v>
      </c>
      <c r="B222" s="3" t="s">
        <v>747</v>
      </c>
      <c r="C222" s="3" t="s">
        <v>842</v>
      </c>
      <c r="D222" s="6">
        <v>43240</v>
      </c>
      <c r="E222" s="6">
        <v>45430</v>
      </c>
      <c r="F222" s="3"/>
      <c r="G222" s="6"/>
      <c r="H222" s="3"/>
      <c r="I222" s="6"/>
      <c r="J222" s="3" t="s">
        <v>68</v>
      </c>
      <c r="K222" s="3"/>
      <c r="L222" s="3"/>
      <c r="M222" s="3" t="s">
        <v>34</v>
      </c>
      <c r="N222" s="3" t="s">
        <v>750</v>
      </c>
      <c r="O222" s="3" t="s">
        <v>441</v>
      </c>
      <c r="P222" s="3" t="s">
        <v>37</v>
      </c>
      <c r="Q222" s="5">
        <v>8882</v>
      </c>
      <c r="R222" s="5"/>
      <c r="S222" s="5"/>
      <c r="T222" s="3" t="s">
        <v>840</v>
      </c>
      <c r="U222" s="3" t="s">
        <v>153</v>
      </c>
      <c r="V222" s="3"/>
      <c r="W222" s="6"/>
      <c r="X222" s="6"/>
      <c r="Y222" s="3"/>
      <c r="Z222" s="3"/>
      <c r="AA222" s="3"/>
      <c r="AB222" s="3" t="s">
        <v>42</v>
      </c>
    </row>
    <row r="223" spans="1:28" ht="33" customHeight="1" x14ac:dyDescent="0.25">
      <c r="A223" s="7" t="s">
        <v>857</v>
      </c>
      <c r="B223" s="3" t="s">
        <v>747</v>
      </c>
      <c r="C223" s="3" t="s">
        <v>854</v>
      </c>
      <c r="D223" s="6">
        <v>43674</v>
      </c>
      <c r="E223" s="6">
        <v>45339</v>
      </c>
      <c r="F223" s="3"/>
      <c r="G223" s="6"/>
      <c r="H223" s="3"/>
      <c r="I223" s="6"/>
      <c r="J223" s="3" t="s">
        <v>68</v>
      </c>
      <c r="K223" s="3"/>
      <c r="L223" s="3"/>
      <c r="M223" s="3" t="s">
        <v>34</v>
      </c>
      <c r="N223" s="3" t="s">
        <v>750</v>
      </c>
      <c r="O223" s="3" t="s">
        <v>441</v>
      </c>
      <c r="P223" s="3" t="s">
        <v>37</v>
      </c>
      <c r="Q223" s="5">
        <v>11039</v>
      </c>
      <c r="R223" s="5"/>
      <c r="S223" s="5"/>
      <c r="T223" s="3" t="s">
        <v>38</v>
      </c>
      <c r="U223" s="3" t="s">
        <v>153</v>
      </c>
      <c r="V223" s="3"/>
      <c r="W223" s="6"/>
      <c r="X223" s="6"/>
      <c r="Y223" s="3"/>
      <c r="Z223" s="3"/>
      <c r="AA223" s="3"/>
      <c r="AB223" s="3" t="s">
        <v>42</v>
      </c>
    </row>
    <row r="224" spans="1:28" ht="33" customHeight="1" x14ac:dyDescent="0.25">
      <c r="A224" s="7" t="s">
        <v>858</v>
      </c>
      <c r="B224" s="3" t="s">
        <v>747</v>
      </c>
      <c r="C224" s="3" t="s">
        <v>854</v>
      </c>
      <c r="D224" s="6">
        <v>43674</v>
      </c>
      <c r="E224" s="6">
        <v>45339</v>
      </c>
      <c r="F224" s="3"/>
      <c r="G224" s="6"/>
      <c r="H224" s="3"/>
      <c r="I224" s="6"/>
      <c r="J224" s="3" t="s">
        <v>68</v>
      </c>
      <c r="K224" s="3"/>
      <c r="L224" s="3"/>
      <c r="M224" s="3" t="s">
        <v>34</v>
      </c>
      <c r="N224" s="3" t="s">
        <v>750</v>
      </c>
      <c r="O224" s="3" t="s">
        <v>441</v>
      </c>
      <c r="P224" s="3" t="s">
        <v>37</v>
      </c>
      <c r="Q224" s="5">
        <v>11039</v>
      </c>
      <c r="R224" s="5"/>
      <c r="S224" s="5"/>
      <c r="T224" s="3" t="s">
        <v>38</v>
      </c>
      <c r="U224" s="3" t="s">
        <v>153</v>
      </c>
      <c r="V224" s="3"/>
      <c r="W224" s="6"/>
      <c r="X224" s="6"/>
      <c r="Y224" s="3"/>
      <c r="Z224" s="3"/>
      <c r="AA224" s="3"/>
      <c r="AB224" s="3" t="s">
        <v>42</v>
      </c>
    </row>
    <row r="225" spans="1:28" ht="33" customHeight="1" x14ac:dyDescent="0.25">
      <c r="A225" s="7" t="s">
        <v>859</v>
      </c>
      <c r="B225" s="3" t="s">
        <v>747</v>
      </c>
      <c r="C225" s="3" t="s">
        <v>854</v>
      </c>
      <c r="D225" s="6">
        <v>43674</v>
      </c>
      <c r="E225" s="6">
        <v>45339</v>
      </c>
      <c r="F225" s="3"/>
      <c r="G225" s="6"/>
      <c r="H225" s="3"/>
      <c r="I225" s="6"/>
      <c r="J225" s="3" t="s">
        <v>68</v>
      </c>
      <c r="K225" s="3"/>
      <c r="L225" s="3"/>
      <c r="M225" s="3" t="s">
        <v>34</v>
      </c>
      <c r="N225" s="3" t="s">
        <v>750</v>
      </c>
      <c r="O225" s="3" t="s">
        <v>441</v>
      </c>
      <c r="P225" s="3" t="s">
        <v>37</v>
      </c>
      <c r="Q225" s="5">
        <v>11039</v>
      </c>
      <c r="R225" s="5"/>
      <c r="S225" s="5"/>
      <c r="T225" s="3" t="s">
        <v>38</v>
      </c>
      <c r="U225" s="3" t="s">
        <v>153</v>
      </c>
      <c r="V225" s="3"/>
      <c r="W225" s="6"/>
      <c r="X225" s="6"/>
      <c r="Y225" s="3"/>
      <c r="Z225" s="3"/>
      <c r="AA225" s="3"/>
      <c r="AB225" s="3" t="s">
        <v>42</v>
      </c>
    </row>
    <row r="226" spans="1:28" ht="33" customHeight="1" x14ac:dyDescent="0.25">
      <c r="A226" s="7" t="s">
        <v>860</v>
      </c>
      <c r="B226" s="3" t="s">
        <v>747</v>
      </c>
      <c r="C226" s="3" t="s">
        <v>854</v>
      </c>
      <c r="D226" s="6">
        <v>43674</v>
      </c>
      <c r="E226" s="6">
        <v>45339</v>
      </c>
      <c r="F226" s="3"/>
      <c r="G226" s="6"/>
      <c r="H226" s="3"/>
      <c r="I226" s="6"/>
      <c r="J226" s="3" t="s">
        <v>68</v>
      </c>
      <c r="K226" s="3"/>
      <c r="L226" s="3"/>
      <c r="M226" s="3" t="s">
        <v>34</v>
      </c>
      <c r="N226" s="3" t="s">
        <v>750</v>
      </c>
      <c r="O226" s="3" t="s">
        <v>441</v>
      </c>
      <c r="P226" s="3" t="s">
        <v>37</v>
      </c>
      <c r="Q226" s="5">
        <v>11039</v>
      </c>
      <c r="R226" s="5"/>
      <c r="S226" s="5"/>
      <c r="T226" s="3" t="s">
        <v>38</v>
      </c>
      <c r="U226" s="3" t="s">
        <v>153</v>
      </c>
      <c r="V226" s="3"/>
      <c r="W226" s="6"/>
      <c r="X226" s="6"/>
      <c r="Y226" s="3"/>
      <c r="Z226" s="3"/>
      <c r="AA226" s="3"/>
      <c r="AB226" s="3" t="s">
        <v>42</v>
      </c>
    </row>
    <row r="227" spans="1:28" ht="33" customHeight="1" x14ac:dyDescent="0.25">
      <c r="A227" s="7" t="s">
        <v>861</v>
      </c>
      <c r="B227" s="3" t="s">
        <v>747</v>
      </c>
      <c r="C227" s="3" t="s">
        <v>862</v>
      </c>
      <c r="D227" s="6">
        <v>43674</v>
      </c>
      <c r="E227" s="6">
        <v>45339</v>
      </c>
      <c r="F227" s="3"/>
      <c r="G227" s="6"/>
      <c r="H227" s="3"/>
      <c r="I227" s="6"/>
      <c r="J227" s="3" t="s">
        <v>68</v>
      </c>
      <c r="K227" s="3"/>
      <c r="L227" s="3"/>
      <c r="M227" s="3" t="s">
        <v>34</v>
      </c>
      <c r="N227" s="3" t="s">
        <v>750</v>
      </c>
      <c r="O227" s="3" t="s">
        <v>441</v>
      </c>
      <c r="P227" s="3" t="s">
        <v>37</v>
      </c>
      <c r="Q227" s="5">
        <v>11039</v>
      </c>
      <c r="R227" s="5"/>
      <c r="S227" s="5"/>
      <c r="T227" s="3" t="s">
        <v>38</v>
      </c>
      <c r="U227" s="3" t="s">
        <v>153</v>
      </c>
      <c r="V227" s="3"/>
      <c r="W227" s="6"/>
      <c r="X227" s="6"/>
      <c r="Y227" s="3"/>
      <c r="Z227" s="3"/>
      <c r="AA227" s="3"/>
      <c r="AB227" s="3" t="s">
        <v>42</v>
      </c>
    </row>
    <row r="228" spans="1:28" ht="33" customHeight="1" x14ac:dyDescent="0.25">
      <c r="A228" s="7" t="s">
        <v>863</v>
      </c>
      <c r="B228" s="3" t="s">
        <v>747</v>
      </c>
      <c r="C228" s="3" t="s">
        <v>862</v>
      </c>
      <c r="D228" s="6">
        <v>43674</v>
      </c>
      <c r="E228" s="6">
        <v>45339</v>
      </c>
      <c r="F228" s="3"/>
      <c r="G228" s="6"/>
      <c r="H228" s="3"/>
      <c r="I228" s="6"/>
      <c r="J228" s="3" t="s">
        <v>68</v>
      </c>
      <c r="K228" s="3"/>
      <c r="L228" s="3"/>
      <c r="M228" s="3" t="s">
        <v>34</v>
      </c>
      <c r="N228" s="3" t="s">
        <v>750</v>
      </c>
      <c r="O228" s="3" t="s">
        <v>441</v>
      </c>
      <c r="P228" s="3" t="s">
        <v>37</v>
      </c>
      <c r="Q228" s="5">
        <v>11039</v>
      </c>
      <c r="R228" s="5"/>
      <c r="S228" s="5"/>
      <c r="T228" s="3" t="s">
        <v>38</v>
      </c>
      <c r="U228" s="3" t="s">
        <v>153</v>
      </c>
      <c r="V228" s="3"/>
      <c r="W228" s="6"/>
      <c r="X228" s="6"/>
      <c r="Y228" s="3"/>
      <c r="Z228" s="3"/>
      <c r="AA228" s="3"/>
      <c r="AB228" s="3" t="s">
        <v>42</v>
      </c>
    </row>
    <row r="229" spans="1:28" ht="33" customHeight="1" x14ac:dyDescent="0.25">
      <c r="A229" s="7" t="s">
        <v>864</v>
      </c>
      <c r="B229" s="3" t="s">
        <v>747</v>
      </c>
      <c r="C229" s="3" t="s">
        <v>862</v>
      </c>
      <c r="D229" s="6">
        <v>43674</v>
      </c>
      <c r="E229" s="6">
        <v>45339</v>
      </c>
      <c r="F229" s="3"/>
      <c r="G229" s="6"/>
      <c r="H229" s="3"/>
      <c r="I229" s="6"/>
      <c r="J229" s="3" t="s">
        <v>68</v>
      </c>
      <c r="K229" s="3"/>
      <c r="L229" s="3"/>
      <c r="M229" s="3" t="s">
        <v>34</v>
      </c>
      <c r="N229" s="3" t="s">
        <v>750</v>
      </c>
      <c r="O229" s="3" t="s">
        <v>441</v>
      </c>
      <c r="P229" s="3" t="s">
        <v>37</v>
      </c>
      <c r="Q229" s="5">
        <v>11039</v>
      </c>
      <c r="R229" s="5"/>
      <c r="S229" s="5"/>
      <c r="T229" s="3" t="s">
        <v>38</v>
      </c>
      <c r="U229" s="3" t="s">
        <v>153</v>
      </c>
      <c r="V229" s="3"/>
      <c r="W229" s="6"/>
      <c r="X229" s="6"/>
      <c r="Y229" s="3"/>
      <c r="Z229" s="3"/>
      <c r="AA229" s="3"/>
      <c r="AB229" s="3" t="s">
        <v>42</v>
      </c>
    </row>
    <row r="230" spans="1:28" ht="33" customHeight="1" x14ac:dyDescent="0.25">
      <c r="A230" s="7" t="s">
        <v>865</v>
      </c>
      <c r="B230" s="3" t="s">
        <v>747</v>
      </c>
      <c r="C230" s="3" t="s">
        <v>842</v>
      </c>
      <c r="D230" s="6">
        <v>43240</v>
      </c>
      <c r="E230" s="6">
        <v>45430</v>
      </c>
      <c r="F230" s="3"/>
      <c r="G230" s="6"/>
      <c r="H230" s="3"/>
      <c r="I230" s="6"/>
      <c r="J230" s="3" t="s">
        <v>68</v>
      </c>
      <c r="K230" s="3"/>
      <c r="L230" s="3"/>
      <c r="M230" s="3" t="s">
        <v>34</v>
      </c>
      <c r="N230" s="3" t="s">
        <v>750</v>
      </c>
      <c r="O230" s="3" t="s">
        <v>441</v>
      </c>
      <c r="P230" s="3" t="s">
        <v>37</v>
      </c>
      <c r="Q230" s="5">
        <v>4889</v>
      </c>
      <c r="R230" s="5"/>
      <c r="S230" s="5"/>
      <c r="T230" s="3" t="s">
        <v>840</v>
      </c>
      <c r="U230" s="3" t="s">
        <v>153</v>
      </c>
      <c r="V230" s="3"/>
      <c r="W230" s="6"/>
      <c r="X230" s="6"/>
      <c r="Y230" s="3"/>
      <c r="Z230" s="3"/>
      <c r="AA230" s="3"/>
      <c r="AB230" s="3" t="s">
        <v>42</v>
      </c>
    </row>
    <row r="231" spans="1:28" ht="33" customHeight="1" x14ac:dyDescent="0.25">
      <c r="A231" s="7" t="s">
        <v>866</v>
      </c>
      <c r="B231" s="3" t="s">
        <v>747</v>
      </c>
      <c r="C231" s="3" t="s">
        <v>842</v>
      </c>
      <c r="D231" s="6">
        <v>43240</v>
      </c>
      <c r="E231" s="6">
        <v>45430</v>
      </c>
      <c r="F231" s="3"/>
      <c r="G231" s="6"/>
      <c r="H231" s="3"/>
      <c r="I231" s="6"/>
      <c r="J231" s="3" t="s">
        <v>68</v>
      </c>
      <c r="K231" s="3"/>
      <c r="L231" s="3"/>
      <c r="M231" s="3" t="s">
        <v>34</v>
      </c>
      <c r="N231" s="3" t="s">
        <v>750</v>
      </c>
      <c r="O231" s="3" t="s">
        <v>441</v>
      </c>
      <c r="P231" s="3" t="s">
        <v>37</v>
      </c>
      <c r="Q231" s="5">
        <v>2960</v>
      </c>
      <c r="R231" s="5"/>
      <c r="S231" s="5"/>
      <c r="T231" s="3" t="s">
        <v>840</v>
      </c>
      <c r="U231" s="3" t="s">
        <v>153</v>
      </c>
      <c r="V231" s="3"/>
      <c r="W231" s="6"/>
      <c r="X231" s="6"/>
      <c r="Y231" s="3"/>
      <c r="Z231" s="3"/>
      <c r="AA231" s="3"/>
      <c r="AB231" s="3" t="s">
        <v>42</v>
      </c>
    </row>
    <row r="232" spans="1:28" ht="33" customHeight="1" x14ac:dyDescent="0.25">
      <c r="A232" s="7" t="s">
        <v>867</v>
      </c>
      <c r="B232" s="3" t="s">
        <v>747</v>
      </c>
      <c r="C232" s="3" t="s">
        <v>842</v>
      </c>
      <c r="D232" s="6">
        <v>43240</v>
      </c>
      <c r="E232" s="6">
        <v>45430</v>
      </c>
      <c r="F232" s="3"/>
      <c r="G232" s="6"/>
      <c r="H232" s="3"/>
      <c r="I232" s="6"/>
      <c r="J232" s="3" t="s">
        <v>68</v>
      </c>
      <c r="K232" s="3"/>
      <c r="L232" s="3"/>
      <c r="M232" s="3" t="s">
        <v>34</v>
      </c>
      <c r="N232" s="3" t="s">
        <v>750</v>
      </c>
      <c r="O232" s="3" t="s">
        <v>441</v>
      </c>
      <c r="P232" s="3" t="s">
        <v>37</v>
      </c>
      <c r="Q232" s="5">
        <v>13221</v>
      </c>
      <c r="R232" s="5"/>
      <c r="S232" s="5"/>
      <c r="T232" s="3" t="s">
        <v>840</v>
      </c>
      <c r="U232" s="3" t="s">
        <v>153</v>
      </c>
      <c r="V232" s="3"/>
      <c r="W232" s="6"/>
      <c r="X232" s="6"/>
      <c r="Y232" s="3"/>
      <c r="Z232" s="3"/>
      <c r="AA232" s="3"/>
      <c r="AB232" s="3" t="s">
        <v>42</v>
      </c>
    </row>
    <row r="233" spans="1:28" ht="33" customHeight="1" x14ac:dyDescent="0.25">
      <c r="A233" s="7" t="s">
        <v>868</v>
      </c>
      <c r="B233" s="3" t="s">
        <v>747</v>
      </c>
      <c r="C233" s="3" t="s">
        <v>842</v>
      </c>
      <c r="D233" s="6">
        <v>43240</v>
      </c>
      <c r="E233" s="6">
        <v>45430</v>
      </c>
      <c r="F233" s="3"/>
      <c r="G233" s="6"/>
      <c r="H233" s="3"/>
      <c r="I233" s="6"/>
      <c r="J233" s="3" t="s">
        <v>68</v>
      </c>
      <c r="K233" s="3"/>
      <c r="L233" s="3"/>
      <c r="M233" s="3" t="s">
        <v>34</v>
      </c>
      <c r="N233" s="3" t="s">
        <v>750</v>
      </c>
      <c r="O233" s="3" t="s">
        <v>441</v>
      </c>
      <c r="P233" s="3" t="s">
        <v>37</v>
      </c>
      <c r="Q233" s="5">
        <v>39543</v>
      </c>
      <c r="R233" s="5"/>
      <c r="S233" s="5"/>
      <c r="T233" s="3" t="s">
        <v>840</v>
      </c>
      <c r="U233" s="3" t="s">
        <v>153</v>
      </c>
      <c r="V233" s="3"/>
      <c r="W233" s="6"/>
      <c r="X233" s="6"/>
      <c r="Y233" s="3"/>
      <c r="Z233" s="3"/>
      <c r="AA233" s="3"/>
      <c r="AB233" s="3" t="s">
        <v>42</v>
      </c>
    </row>
    <row r="234" spans="1:28" ht="33" customHeight="1" x14ac:dyDescent="0.25">
      <c r="A234" s="7" t="s">
        <v>869</v>
      </c>
      <c r="B234" s="3" t="s">
        <v>747</v>
      </c>
      <c r="C234" s="3" t="s">
        <v>842</v>
      </c>
      <c r="D234" s="6">
        <v>43240</v>
      </c>
      <c r="E234" s="6">
        <v>45430</v>
      </c>
      <c r="F234" s="3"/>
      <c r="G234" s="6"/>
      <c r="H234" s="3"/>
      <c r="I234" s="6"/>
      <c r="J234" s="3" t="s">
        <v>68</v>
      </c>
      <c r="K234" s="3"/>
      <c r="L234" s="3"/>
      <c r="M234" s="3" t="s">
        <v>34</v>
      </c>
      <c r="N234" s="3" t="s">
        <v>750</v>
      </c>
      <c r="O234" s="3" t="s">
        <v>441</v>
      </c>
      <c r="P234" s="3" t="s">
        <v>37</v>
      </c>
      <c r="Q234" s="5">
        <v>16290</v>
      </c>
      <c r="R234" s="5"/>
      <c r="S234" s="5"/>
      <c r="T234" s="3" t="s">
        <v>840</v>
      </c>
      <c r="U234" s="3" t="s">
        <v>153</v>
      </c>
      <c r="V234" s="3"/>
      <c r="W234" s="6"/>
      <c r="X234" s="6"/>
      <c r="Y234" s="3"/>
      <c r="Z234" s="3"/>
      <c r="AA234" s="3"/>
      <c r="AB234" s="3" t="s">
        <v>42</v>
      </c>
    </row>
    <row r="235" spans="1:28" ht="33" customHeight="1" x14ac:dyDescent="0.25">
      <c r="A235" s="7" t="s">
        <v>870</v>
      </c>
      <c r="B235" s="3" t="s">
        <v>747</v>
      </c>
      <c r="C235" s="3" t="s">
        <v>842</v>
      </c>
      <c r="D235" s="6">
        <v>43240</v>
      </c>
      <c r="E235" s="6">
        <v>45430</v>
      </c>
      <c r="F235" s="3"/>
      <c r="G235" s="6"/>
      <c r="H235" s="3"/>
      <c r="I235" s="6"/>
      <c r="J235" s="3" t="s">
        <v>68</v>
      </c>
      <c r="K235" s="3"/>
      <c r="L235" s="3"/>
      <c r="M235" s="3" t="s">
        <v>34</v>
      </c>
      <c r="N235" s="3" t="s">
        <v>750</v>
      </c>
      <c r="O235" s="3" t="s">
        <v>441</v>
      </c>
      <c r="P235" s="3" t="s">
        <v>37</v>
      </c>
      <c r="Q235" s="5">
        <v>8972</v>
      </c>
      <c r="R235" s="5"/>
      <c r="S235" s="5"/>
      <c r="T235" s="3" t="s">
        <v>840</v>
      </c>
      <c r="U235" s="3" t="s">
        <v>153</v>
      </c>
      <c r="V235" s="3"/>
      <c r="W235" s="6"/>
      <c r="X235" s="6"/>
      <c r="Y235" s="3"/>
      <c r="Z235" s="3"/>
      <c r="AA235" s="3"/>
      <c r="AB235" s="3" t="s">
        <v>42</v>
      </c>
    </row>
    <row r="236" spans="1:28" ht="33" customHeight="1" x14ac:dyDescent="0.25">
      <c r="A236" s="7" t="s">
        <v>871</v>
      </c>
      <c r="B236" s="3" t="s">
        <v>747</v>
      </c>
      <c r="C236" s="3" t="s">
        <v>842</v>
      </c>
      <c r="D236" s="6">
        <v>43240</v>
      </c>
      <c r="E236" s="6">
        <v>45430</v>
      </c>
      <c r="F236" s="3"/>
      <c r="G236" s="6"/>
      <c r="H236" s="3"/>
      <c r="I236" s="6"/>
      <c r="J236" s="3" t="s">
        <v>68</v>
      </c>
      <c r="K236" s="3"/>
      <c r="L236" s="3"/>
      <c r="M236" s="3" t="s">
        <v>34</v>
      </c>
      <c r="N236" s="3" t="s">
        <v>750</v>
      </c>
      <c r="O236" s="3" t="s">
        <v>441</v>
      </c>
      <c r="P236" s="3" t="s">
        <v>37</v>
      </c>
      <c r="Q236" s="5">
        <v>811</v>
      </c>
      <c r="R236" s="5"/>
      <c r="S236" s="5"/>
      <c r="T236" s="3" t="s">
        <v>840</v>
      </c>
      <c r="U236" s="3" t="s">
        <v>153</v>
      </c>
      <c r="V236" s="3"/>
      <c r="W236" s="6"/>
      <c r="X236" s="6"/>
      <c r="Y236" s="3"/>
      <c r="Z236" s="3"/>
      <c r="AA236" s="3"/>
      <c r="AB236" s="3" t="s">
        <v>42</v>
      </c>
    </row>
    <row r="237" spans="1:28" ht="33" customHeight="1" x14ac:dyDescent="0.25">
      <c r="A237" s="7" t="s">
        <v>872</v>
      </c>
      <c r="B237" s="3" t="s">
        <v>747</v>
      </c>
      <c r="C237" s="3" t="s">
        <v>842</v>
      </c>
      <c r="D237" s="6">
        <v>43240</v>
      </c>
      <c r="E237" s="6">
        <v>45430</v>
      </c>
      <c r="F237" s="3"/>
      <c r="G237" s="6"/>
      <c r="H237" s="3"/>
      <c r="I237" s="6"/>
      <c r="J237" s="3" t="s">
        <v>68</v>
      </c>
      <c r="K237" s="3"/>
      <c r="L237" s="3"/>
      <c r="M237" s="3" t="s">
        <v>34</v>
      </c>
      <c r="N237" s="3" t="s">
        <v>750</v>
      </c>
      <c r="O237" s="3" t="s">
        <v>441</v>
      </c>
      <c r="P237" s="3" t="s">
        <v>37</v>
      </c>
      <c r="Q237" s="5">
        <v>4140</v>
      </c>
      <c r="R237" s="5"/>
      <c r="S237" s="5"/>
      <c r="T237" s="3" t="s">
        <v>840</v>
      </c>
      <c r="U237" s="3" t="s">
        <v>153</v>
      </c>
      <c r="V237" s="3"/>
      <c r="W237" s="6"/>
      <c r="X237" s="6"/>
      <c r="Y237" s="3"/>
      <c r="Z237" s="3"/>
      <c r="AA237" s="3"/>
      <c r="AB237" s="3" t="s">
        <v>42</v>
      </c>
    </row>
    <row r="238" spans="1:28" ht="33" customHeight="1" x14ac:dyDescent="0.25">
      <c r="A238" s="7" t="s">
        <v>873</v>
      </c>
      <c r="B238" s="3" t="s">
        <v>747</v>
      </c>
      <c r="C238" s="3" t="s">
        <v>874</v>
      </c>
      <c r="D238" s="6">
        <v>43240</v>
      </c>
      <c r="E238" s="6">
        <v>45430</v>
      </c>
      <c r="F238" s="3"/>
      <c r="G238" s="6"/>
      <c r="H238" s="3"/>
      <c r="I238" s="6"/>
      <c r="J238" s="3" t="s">
        <v>68</v>
      </c>
      <c r="K238" s="3"/>
      <c r="L238" s="3"/>
      <c r="M238" s="3" t="s">
        <v>34</v>
      </c>
      <c r="N238" s="3" t="s">
        <v>750</v>
      </c>
      <c r="O238" s="3" t="s">
        <v>441</v>
      </c>
      <c r="P238" s="3" t="s">
        <v>37</v>
      </c>
      <c r="Q238" s="5">
        <v>1224</v>
      </c>
      <c r="R238" s="5"/>
      <c r="S238" s="5"/>
      <c r="T238" s="3" t="s">
        <v>840</v>
      </c>
      <c r="U238" s="3" t="s">
        <v>153</v>
      </c>
      <c r="V238" s="3"/>
      <c r="W238" s="6"/>
      <c r="X238" s="6"/>
      <c r="Y238" s="3"/>
      <c r="Z238" s="3"/>
      <c r="AA238" s="3"/>
      <c r="AB238" s="3" t="s">
        <v>42</v>
      </c>
    </row>
    <row r="239" spans="1:28" ht="33" customHeight="1" x14ac:dyDescent="0.25">
      <c r="A239" s="7" t="s">
        <v>875</v>
      </c>
      <c r="B239" s="3" t="s">
        <v>747</v>
      </c>
      <c r="C239" s="3" t="s">
        <v>842</v>
      </c>
      <c r="D239" s="6">
        <v>43240</v>
      </c>
      <c r="E239" s="6">
        <v>45430</v>
      </c>
      <c r="F239" s="3"/>
      <c r="G239" s="6"/>
      <c r="H239" s="3"/>
      <c r="I239" s="6"/>
      <c r="J239" s="3" t="s">
        <v>68</v>
      </c>
      <c r="K239" s="3"/>
      <c r="L239" s="3"/>
      <c r="M239" s="3" t="s">
        <v>34</v>
      </c>
      <c r="N239" s="3" t="s">
        <v>750</v>
      </c>
      <c r="O239" s="3" t="s">
        <v>441</v>
      </c>
      <c r="P239" s="3" t="s">
        <v>37</v>
      </c>
      <c r="Q239" s="5">
        <v>21763</v>
      </c>
      <c r="R239" s="5"/>
      <c r="S239" s="5"/>
      <c r="T239" s="3" t="s">
        <v>840</v>
      </c>
      <c r="U239" s="3" t="s">
        <v>153</v>
      </c>
      <c r="V239" s="3"/>
      <c r="W239" s="6"/>
      <c r="X239" s="6"/>
      <c r="Y239" s="3"/>
      <c r="Z239" s="3"/>
      <c r="AA239" s="3"/>
      <c r="AB239" s="3" t="s">
        <v>42</v>
      </c>
    </row>
    <row r="240" spans="1:28" ht="33" customHeight="1" x14ac:dyDescent="0.25">
      <c r="A240" s="7" t="s">
        <v>876</v>
      </c>
      <c r="B240" s="3" t="s">
        <v>747</v>
      </c>
      <c r="C240" s="3" t="s">
        <v>877</v>
      </c>
      <c r="D240" s="6">
        <v>43240</v>
      </c>
      <c r="E240" s="6">
        <v>45430</v>
      </c>
      <c r="F240" s="3"/>
      <c r="G240" s="6"/>
      <c r="H240" s="3"/>
      <c r="I240" s="6"/>
      <c r="J240" s="3" t="s">
        <v>68</v>
      </c>
      <c r="K240" s="3"/>
      <c r="L240" s="3"/>
      <c r="M240" s="3" t="s">
        <v>34</v>
      </c>
      <c r="N240" s="3" t="s">
        <v>750</v>
      </c>
      <c r="O240" s="3" t="s">
        <v>441</v>
      </c>
      <c r="P240" s="3" t="s">
        <v>37</v>
      </c>
      <c r="Q240" s="5">
        <v>1665</v>
      </c>
      <c r="R240" s="5"/>
      <c r="S240" s="5"/>
      <c r="T240" s="3" t="s">
        <v>840</v>
      </c>
      <c r="U240" s="3" t="s">
        <v>153</v>
      </c>
      <c r="V240" s="3"/>
      <c r="W240" s="6"/>
      <c r="X240" s="6"/>
      <c r="Y240" s="3"/>
      <c r="Z240" s="3"/>
      <c r="AA240" s="3"/>
      <c r="AB240" s="3" t="s">
        <v>42</v>
      </c>
    </row>
    <row r="241" spans="1:28" ht="33" customHeight="1" x14ac:dyDescent="0.25">
      <c r="A241" s="7" t="s">
        <v>878</v>
      </c>
      <c r="B241" s="3" t="s">
        <v>747</v>
      </c>
      <c r="C241" s="3" t="s">
        <v>877</v>
      </c>
      <c r="D241" s="6">
        <v>43240</v>
      </c>
      <c r="E241" s="6">
        <v>45430</v>
      </c>
      <c r="F241" s="3"/>
      <c r="G241" s="6"/>
      <c r="H241" s="3"/>
      <c r="I241" s="6"/>
      <c r="J241" s="3" t="s">
        <v>68</v>
      </c>
      <c r="K241" s="3"/>
      <c r="L241" s="3"/>
      <c r="M241" s="3" t="s">
        <v>34</v>
      </c>
      <c r="N241" s="3" t="s">
        <v>750</v>
      </c>
      <c r="O241" s="3" t="s">
        <v>441</v>
      </c>
      <c r="P241" s="3" t="s">
        <v>37</v>
      </c>
      <c r="Q241" s="5">
        <v>7116</v>
      </c>
      <c r="R241" s="5"/>
      <c r="S241" s="5"/>
      <c r="T241" s="3" t="s">
        <v>840</v>
      </c>
      <c r="U241" s="3" t="s">
        <v>153</v>
      </c>
      <c r="V241" s="3"/>
      <c r="W241" s="6"/>
      <c r="X241" s="6"/>
      <c r="Y241" s="3"/>
      <c r="Z241" s="3"/>
      <c r="AA241" s="3"/>
      <c r="AB241" s="3" t="s">
        <v>42</v>
      </c>
    </row>
    <row r="242" spans="1:28" ht="33" customHeight="1" x14ac:dyDescent="0.25">
      <c r="A242" s="7" t="s">
        <v>879</v>
      </c>
      <c r="B242" s="3" t="s">
        <v>747</v>
      </c>
      <c r="C242" s="3" t="s">
        <v>880</v>
      </c>
      <c r="D242" s="6">
        <v>43240</v>
      </c>
      <c r="E242" s="6">
        <v>45430</v>
      </c>
      <c r="F242" s="3"/>
      <c r="G242" s="6"/>
      <c r="H242" s="3"/>
      <c r="I242" s="6"/>
      <c r="J242" s="3" t="s">
        <v>68</v>
      </c>
      <c r="K242" s="3"/>
      <c r="L242" s="3"/>
      <c r="M242" s="3" t="s">
        <v>34</v>
      </c>
      <c r="N242" s="3" t="s">
        <v>750</v>
      </c>
      <c r="O242" s="3" t="s">
        <v>441</v>
      </c>
      <c r="P242" s="3" t="s">
        <v>37</v>
      </c>
      <c r="Q242" s="5">
        <v>2345</v>
      </c>
      <c r="R242" s="5"/>
      <c r="S242" s="5"/>
      <c r="T242" s="3" t="s">
        <v>840</v>
      </c>
      <c r="U242" s="3" t="s">
        <v>153</v>
      </c>
      <c r="V242" s="3"/>
      <c r="W242" s="6"/>
      <c r="X242" s="6"/>
      <c r="Y242" s="3"/>
      <c r="Z242" s="3"/>
      <c r="AA242" s="3"/>
      <c r="AB242" s="3" t="s">
        <v>42</v>
      </c>
    </row>
    <row r="243" spans="1:28" ht="33" customHeight="1" x14ac:dyDescent="0.25">
      <c r="A243" s="7" t="s">
        <v>881</v>
      </c>
      <c r="B243" s="3" t="s">
        <v>747</v>
      </c>
      <c r="C243" s="3" t="s">
        <v>880</v>
      </c>
      <c r="D243" s="6">
        <v>43240</v>
      </c>
      <c r="E243" s="6">
        <v>45430</v>
      </c>
      <c r="F243" s="3"/>
      <c r="G243" s="6"/>
      <c r="H243" s="3"/>
      <c r="I243" s="6"/>
      <c r="J243" s="3" t="s">
        <v>68</v>
      </c>
      <c r="K243" s="3"/>
      <c r="L243" s="3"/>
      <c r="M243" s="3" t="s">
        <v>34</v>
      </c>
      <c r="N243" s="3" t="s">
        <v>750</v>
      </c>
      <c r="O243" s="3" t="s">
        <v>441</v>
      </c>
      <c r="P243" s="3" t="s">
        <v>37</v>
      </c>
      <c r="Q243" s="5">
        <v>11873</v>
      </c>
      <c r="R243" s="5"/>
      <c r="S243" s="5"/>
      <c r="T243" s="3" t="s">
        <v>840</v>
      </c>
      <c r="U243" s="3" t="s">
        <v>153</v>
      </c>
      <c r="V243" s="3"/>
      <c r="W243" s="6"/>
      <c r="X243" s="6"/>
      <c r="Y243" s="3"/>
      <c r="Z243" s="3"/>
      <c r="AA243" s="3"/>
      <c r="AB243" s="3" t="s">
        <v>42</v>
      </c>
    </row>
    <row r="244" spans="1:28" ht="33" customHeight="1" x14ac:dyDescent="0.25">
      <c r="A244" s="7" t="s">
        <v>882</v>
      </c>
      <c r="B244" s="3" t="s">
        <v>747</v>
      </c>
      <c r="C244" s="3" t="s">
        <v>880</v>
      </c>
      <c r="D244" s="6">
        <v>43240</v>
      </c>
      <c r="E244" s="6">
        <v>45430</v>
      </c>
      <c r="F244" s="3"/>
      <c r="G244" s="6"/>
      <c r="H244" s="3"/>
      <c r="I244" s="6"/>
      <c r="J244" s="3" t="s">
        <v>68</v>
      </c>
      <c r="K244" s="3"/>
      <c r="L244" s="3"/>
      <c r="M244" s="3" t="s">
        <v>34</v>
      </c>
      <c r="N244" s="3" t="s">
        <v>750</v>
      </c>
      <c r="O244" s="3" t="s">
        <v>441</v>
      </c>
      <c r="P244" s="3" t="s">
        <v>37</v>
      </c>
      <c r="Q244" s="5">
        <v>4857</v>
      </c>
      <c r="R244" s="5"/>
      <c r="S244" s="5"/>
      <c r="T244" s="3" t="s">
        <v>840</v>
      </c>
      <c r="U244" s="3" t="s">
        <v>153</v>
      </c>
      <c r="V244" s="3"/>
      <c r="W244" s="6"/>
      <c r="X244" s="6"/>
      <c r="Y244" s="3"/>
      <c r="Z244" s="3"/>
      <c r="AA244" s="3"/>
      <c r="AB244" s="3" t="s">
        <v>42</v>
      </c>
    </row>
    <row r="245" spans="1:28" ht="33" customHeight="1" x14ac:dyDescent="0.25">
      <c r="A245" s="7" t="s">
        <v>883</v>
      </c>
      <c r="B245" s="3" t="s">
        <v>747</v>
      </c>
      <c r="C245" s="3" t="s">
        <v>884</v>
      </c>
      <c r="D245" s="6">
        <v>43240</v>
      </c>
      <c r="E245" s="6">
        <v>45430</v>
      </c>
      <c r="F245" s="3"/>
      <c r="G245" s="6"/>
      <c r="H245" s="3"/>
      <c r="I245" s="6"/>
      <c r="J245" s="3" t="s">
        <v>68</v>
      </c>
      <c r="K245" s="3"/>
      <c r="L245" s="3"/>
      <c r="M245" s="3" t="s">
        <v>34</v>
      </c>
      <c r="N245" s="3" t="s">
        <v>750</v>
      </c>
      <c r="O245" s="3" t="s">
        <v>441</v>
      </c>
      <c r="P245" s="3" t="s">
        <v>37</v>
      </c>
      <c r="Q245" s="5">
        <v>12148</v>
      </c>
      <c r="R245" s="5"/>
      <c r="S245" s="5"/>
      <c r="T245" s="3" t="s">
        <v>840</v>
      </c>
      <c r="U245" s="3" t="s">
        <v>153</v>
      </c>
      <c r="V245" s="3"/>
      <c r="W245" s="6"/>
      <c r="X245" s="6"/>
      <c r="Y245" s="3"/>
      <c r="Z245" s="3"/>
      <c r="AA245" s="3"/>
      <c r="AB245" s="3" t="s">
        <v>42</v>
      </c>
    </row>
    <row r="246" spans="1:28" ht="33" customHeight="1" x14ac:dyDescent="0.25">
      <c r="A246" s="7" t="s">
        <v>885</v>
      </c>
      <c r="B246" s="3" t="s">
        <v>747</v>
      </c>
      <c r="C246" s="3" t="s">
        <v>886</v>
      </c>
      <c r="D246" s="6">
        <v>43240</v>
      </c>
      <c r="E246" s="6">
        <v>45430</v>
      </c>
      <c r="F246" s="3"/>
      <c r="G246" s="6"/>
      <c r="H246" s="3"/>
      <c r="I246" s="6"/>
      <c r="J246" s="3" t="s">
        <v>68</v>
      </c>
      <c r="K246" s="3"/>
      <c r="L246" s="3"/>
      <c r="M246" s="3" t="s">
        <v>34</v>
      </c>
      <c r="N246" s="3" t="s">
        <v>750</v>
      </c>
      <c r="O246" s="3" t="s">
        <v>441</v>
      </c>
      <c r="P246" s="3" t="s">
        <v>37</v>
      </c>
      <c r="Q246" s="5">
        <v>11686</v>
      </c>
      <c r="R246" s="5"/>
      <c r="S246" s="5"/>
      <c r="T246" s="3" t="s">
        <v>840</v>
      </c>
      <c r="U246" s="3" t="s">
        <v>153</v>
      </c>
      <c r="V246" s="3"/>
      <c r="W246" s="6"/>
      <c r="X246" s="6"/>
      <c r="Y246" s="3"/>
      <c r="Z246" s="3"/>
      <c r="AA246" s="3"/>
      <c r="AB246" s="3" t="s">
        <v>42</v>
      </c>
    </row>
    <row r="247" spans="1:28" ht="33" customHeight="1" x14ac:dyDescent="0.25">
      <c r="A247" s="7" t="s">
        <v>887</v>
      </c>
      <c r="B247" s="3" t="s">
        <v>747</v>
      </c>
      <c r="C247" s="3" t="s">
        <v>886</v>
      </c>
      <c r="D247" s="6">
        <v>43240</v>
      </c>
      <c r="E247" s="6">
        <v>45430</v>
      </c>
      <c r="F247" s="3"/>
      <c r="G247" s="6"/>
      <c r="H247" s="3"/>
      <c r="I247" s="6"/>
      <c r="J247" s="3" t="s">
        <v>68</v>
      </c>
      <c r="K247" s="3"/>
      <c r="L247" s="3"/>
      <c r="M247" s="3" t="s">
        <v>34</v>
      </c>
      <c r="N247" s="3" t="s">
        <v>750</v>
      </c>
      <c r="O247" s="3" t="s">
        <v>441</v>
      </c>
      <c r="P247" s="3" t="s">
        <v>37</v>
      </c>
      <c r="Q247" s="5">
        <v>5484</v>
      </c>
      <c r="R247" s="5"/>
      <c r="S247" s="5"/>
      <c r="T247" s="3" t="s">
        <v>840</v>
      </c>
      <c r="U247" s="3" t="s">
        <v>153</v>
      </c>
      <c r="V247" s="3"/>
      <c r="W247" s="6"/>
      <c r="X247" s="6"/>
      <c r="Y247" s="3"/>
      <c r="Z247" s="3"/>
      <c r="AA247" s="3"/>
      <c r="AB247" s="3" t="s">
        <v>42</v>
      </c>
    </row>
    <row r="248" spans="1:28" ht="33" customHeight="1" x14ac:dyDescent="0.25">
      <c r="A248" s="7" t="s">
        <v>888</v>
      </c>
      <c r="B248" s="3" t="s">
        <v>747</v>
      </c>
      <c r="C248" s="3" t="s">
        <v>889</v>
      </c>
      <c r="D248" s="6">
        <v>43240</v>
      </c>
      <c r="E248" s="6">
        <v>45430</v>
      </c>
      <c r="F248" s="3"/>
      <c r="G248" s="6"/>
      <c r="H248" s="3"/>
      <c r="I248" s="6"/>
      <c r="J248" s="3" t="s">
        <v>68</v>
      </c>
      <c r="K248" s="3"/>
      <c r="L248" s="3"/>
      <c r="M248" s="3" t="s">
        <v>34</v>
      </c>
      <c r="N248" s="3" t="s">
        <v>750</v>
      </c>
      <c r="O248" s="3" t="s">
        <v>441</v>
      </c>
      <c r="P248" s="3" t="s">
        <v>37</v>
      </c>
      <c r="Q248" s="5">
        <v>909</v>
      </c>
      <c r="R248" s="5"/>
      <c r="S248" s="5"/>
      <c r="T248" s="3" t="s">
        <v>840</v>
      </c>
      <c r="U248" s="3" t="s">
        <v>153</v>
      </c>
      <c r="V248" s="3"/>
      <c r="W248" s="6"/>
      <c r="X248" s="6"/>
      <c r="Y248" s="3"/>
      <c r="Z248" s="3"/>
      <c r="AA248" s="3"/>
      <c r="AB248" s="3" t="s">
        <v>42</v>
      </c>
    </row>
    <row r="249" spans="1:28" ht="33" customHeight="1" x14ac:dyDescent="0.25">
      <c r="A249" s="7" t="s">
        <v>890</v>
      </c>
      <c r="B249" s="3" t="s">
        <v>747</v>
      </c>
      <c r="C249" s="3" t="s">
        <v>891</v>
      </c>
      <c r="D249" s="6">
        <v>43240</v>
      </c>
      <c r="E249" s="6">
        <v>45430</v>
      </c>
      <c r="F249" s="3"/>
      <c r="G249" s="6"/>
      <c r="H249" s="3"/>
      <c r="I249" s="6"/>
      <c r="J249" s="3" t="s">
        <v>68</v>
      </c>
      <c r="K249" s="3"/>
      <c r="L249" s="3"/>
      <c r="M249" s="3" t="s">
        <v>34</v>
      </c>
      <c r="N249" s="3" t="s">
        <v>750</v>
      </c>
      <c r="O249" s="3" t="s">
        <v>441</v>
      </c>
      <c r="P249" s="3" t="s">
        <v>37</v>
      </c>
      <c r="Q249" s="5">
        <v>1910</v>
      </c>
      <c r="R249" s="5"/>
      <c r="S249" s="5"/>
      <c r="T249" s="3" t="s">
        <v>840</v>
      </c>
      <c r="U249" s="3" t="s">
        <v>153</v>
      </c>
      <c r="V249" s="3"/>
      <c r="W249" s="6"/>
      <c r="X249" s="6"/>
      <c r="Y249" s="3"/>
      <c r="Z249" s="3"/>
      <c r="AA249" s="3"/>
      <c r="AB249" s="3" t="s">
        <v>42</v>
      </c>
    </row>
    <row r="250" spans="1:28" ht="33" customHeight="1" x14ac:dyDescent="0.25">
      <c r="A250" s="7" t="s">
        <v>892</v>
      </c>
      <c r="B250" s="3" t="s">
        <v>747</v>
      </c>
      <c r="C250" s="3" t="s">
        <v>889</v>
      </c>
      <c r="D250" s="6">
        <v>43240</v>
      </c>
      <c r="E250" s="6">
        <v>45430</v>
      </c>
      <c r="F250" s="3"/>
      <c r="G250" s="6"/>
      <c r="H250" s="3"/>
      <c r="I250" s="6"/>
      <c r="J250" s="3" t="s">
        <v>68</v>
      </c>
      <c r="K250" s="3"/>
      <c r="L250" s="3"/>
      <c r="M250" s="3" t="s">
        <v>34</v>
      </c>
      <c r="N250" s="3" t="s">
        <v>750</v>
      </c>
      <c r="O250" s="3" t="s">
        <v>441</v>
      </c>
      <c r="P250" s="3" t="s">
        <v>37</v>
      </c>
      <c r="Q250" s="5">
        <v>655</v>
      </c>
      <c r="R250" s="5"/>
      <c r="S250" s="5"/>
      <c r="T250" s="3" t="s">
        <v>840</v>
      </c>
      <c r="U250" s="3" t="s">
        <v>153</v>
      </c>
      <c r="V250" s="3"/>
      <c r="W250" s="6"/>
      <c r="X250" s="6"/>
      <c r="Y250" s="3"/>
      <c r="Z250" s="3"/>
      <c r="AA250" s="3"/>
      <c r="AB250" s="3" t="s">
        <v>42</v>
      </c>
    </row>
    <row r="251" spans="1:28" ht="33" customHeight="1" x14ac:dyDescent="0.25">
      <c r="A251" s="7" t="s">
        <v>893</v>
      </c>
      <c r="B251" s="3" t="s">
        <v>747</v>
      </c>
      <c r="C251" s="3" t="s">
        <v>894</v>
      </c>
      <c r="D251" s="6">
        <v>43240</v>
      </c>
      <c r="E251" s="6">
        <v>45430</v>
      </c>
      <c r="F251" s="3"/>
      <c r="G251" s="6"/>
      <c r="H251" s="3"/>
      <c r="I251" s="6"/>
      <c r="J251" s="3" t="s">
        <v>68</v>
      </c>
      <c r="K251" s="3"/>
      <c r="L251" s="3"/>
      <c r="M251" s="3" t="s">
        <v>34</v>
      </c>
      <c r="N251" s="3" t="s">
        <v>750</v>
      </c>
      <c r="O251" s="3" t="s">
        <v>441</v>
      </c>
      <c r="P251" s="3" t="s">
        <v>37</v>
      </c>
      <c r="Q251" s="5">
        <v>2283</v>
      </c>
      <c r="R251" s="5"/>
      <c r="S251" s="5"/>
      <c r="T251" s="3" t="s">
        <v>840</v>
      </c>
      <c r="U251" s="3" t="s">
        <v>153</v>
      </c>
      <c r="V251" s="3"/>
      <c r="W251" s="6"/>
      <c r="X251" s="6"/>
      <c r="Y251" s="3"/>
      <c r="Z251" s="3"/>
      <c r="AA251" s="3"/>
      <c r="AB251" s="3" t="s">
        <v>42</v>
      </c>
    </row>
    <row r="252" spans="1:28" ht="33" customHeight="1" x14ac:dyDescent="0.25">
      <c r="A252" s="7" t="s">
        <v>895</v>
      </c>
      <c r="B252" s="3" t="s">
        <v>747</v>
      </c>
      <c r="C252" s="3" t="s">
        <v>896</v>
      </c>
      <c r="D252" s="6">
        <v>43240</v>
      </c>
      <c r="E252" s="6">
        <v>45430</v>
      </c>
      <c r="F252" s="3"/>
      <c r="G252" s="6"/>
      <c r="H252" s="3"/>
      <c r="I252" s="6"/>
      <c r="J252" s="3" t="s">
        <v>68</v>
      </c>
      <c r="K252" s="3"/>
      <c r="L252" s="3"/>
      <c r="M252" s="3" t="s">
        <v>34</v>
      </c>
      <c r="N252" s="3" t="s">
        <v>750</v>
      </c>
      <c r="O252" s="3" t="s">
        <v>441</v>
      </c>
      <c r="P252" s="3" t="s">
        <v>37</v>
      </c>
      <c r="Q252" s="5">
        <v>92834</v>
      </c>
      <c r="R252" s="5"/>
      <c r="S252" s="5"/>
      <c r="T252" s="3" t="s">
        <v>840</v>
      </c>
      <c r="U252" s="3" t="s">
        <v>153</v>
      </c>
      <c r="V252" s="3"/>
      <c r="W252" s="6"/>
      <c r="X252" s="6"/>
      <c r="Y252" s="3"/>
      <c r="Z252" s="3"/>
      <c r="AA252" s="3"/>
      <c r="AB252" s="3" t="s">
        <v>42</v>
      </c>
    </row>
    <row r="253" spans="1:28" ht="33" customHeight="1" x14ac:dyDescent="0.25">
      <c r="A253" s="7" t="s">
        <v>897</v>
      </c>
      <c r="B253" s="3" t="s">
        <v>747</v>
      </c>
      <c r="C253" s="3" t="s">
        <v>896</v>
      </c>
      <c r="D253" s="6">
        <v>43240</v>
      </c>
      <c r="E253" s="6">
        <v>45430</v>
      </c>
      <c r="F253" s="3"/>
      <c r="G253" s="6"/>
      <c r="H253" s="3"/>
      <c r="I253" s="6"/>
      <c r="J253" s="3" t="s">
        <v>68</v>
      </c>
      <c r="K253" s="3"/>
      <c r="L253" s="3"/>
      <c r="M253" s="3" t="s">
        <v>34</v>
      </c>
      <c r="N253" s="3" t="s">
        <v>750</v>
      </c>
      <c r="O253" s="3" t="s">
        <v>441</v>
      </c>
      <c r="P253" s="3" t="s">
        <v>37</v>
      </c>
      <c r="Q253" s="5">
        <v>3440</v>
      </c>
      <c r="R253" s="5"/>
      <c r="S253" s="5"/>
      <c r="T253" s="3" t="s">
        <v>840</v>
      </c>
      <c r="U253" s="3" t="s">
        <v>153</v>
      </c>
      <c r="V253" s="3"/>
      <c r="W253" s="6"/>
      <c r="X253" s="6"/>
      <c r="Y253" s="3"/>
      <c r="Z253" s="3"/>
      <c r="AA253" s="3"/>
      <c r="AB253" s="3" t="s">
        <v>42</v>
      </c>
    </row>
    <row r="254" spans="1:28" ht="33" customHeight="1" x14ac:dyDescent="0.25">
      <c r="A254" s="7" t="s">
        <v>898</v>
      </c>
      <c r="B254" s="3" t="s">
        <v>747</v>
      </c>
      <c r="C254" s="3" t="s">
        <v>896</v>
      </c>
      <c r="D254" s="6">
        <v>43240</v>
      </c>
      <c r="E254" s="6">
        <v>45430</v>
      </c>
      <c r="F254" s="3"/>
      <c r="G254" s="6"/>
      <c r="H254" s="3"/>
      <c r="I254" s="6"/>
      <c r="J254" s="3" t="s">
        <v>68</v>
      </c>
      <c r="K254" s="3"/>
      <c r="L254" s="3"/>
      <c r="M254" s="3" t="s">
        <v>34</v>
      </c>
      <c r="N254" s="3" t="s">
        <v>750</v>
      </c>
      <c r="O254" s="3" t="s">
        <v>441</v>
      </c>
      <c r="P254" s="3" t="s">
        <v>37</v>
      </c>
      <c r="Q254" s="5">
        <v>17375</v>
      </c>
      <c r="R254" s="5"/>
      <c r="S254" s="5"/>
      <c r="T254" s="3" t="s">
        <v>840</v>
      </c>
      <c r="U254" s="3" t="s">
        <v>153</v>
      </c>
      <c r="V254" s="3"/>
      <c r="W254" s="6"/>
      <c r="X254" s="6"/>
      <c r="Y254" s="3"/>
      <c r="Z254" s="3"/>
      <c r="AA254" s="3"/>
      <c r="AB254" s="3" t="s">
        <v>42</v>
      </c>
    </row>
    <row r="255" spans="1:28" ht="33" customHeight="1" x14ac:dyDescent="0.25">
      <c r="A255" s="7" t="s">
        <v>899</v>
      </c>
      <c r="B255" s="3" t="s">
        <v>747</v>
      </c>
      <c r="C255" s="3" t="s">
        <v>900</v>
      </c>
      <c r="D255" s="6">
        <v>43240</v>
      </c>
      <c r="E255" s="6">
        <v>45430</v>
      </c>
      <c r="F255" s="3"/>
      <c r="G255" s="6"/>
      <c r="H255" s="3"/>
      <c r="I255" s="6"/>
      <c r="J255" s="3" t="s">
        <v>68</v>
      </c>
      <c r="K255" s="3"/>
      <c r="L255" s="3"/>
      <c r="M255" s="3" t="s">
        <v>34</v>
      </c>
      <c r="N255" s="3" t="s">
        <v>750</v>
      </c>
      <c r="O255" s="3" t="s">
        <v>441</v>
      </c>
      <c r="P255" s="3" t="s">
        <v>37</v>
      </c>
      <c r="Q255" s="5">
        <v>94892</v>
      </c>
      <c r="R255" s="5"/>
      <c r="S255" s="5"/>
      <c r="T255" s="3" t="s">
        <v>840</v>
      </c>
      <c r="U255" s="3" t="s">
        <v>153</v>
      </c>
      <c r="V255" s="3"/>
      <c r="W255" s="6"/>
      <c r="X255" s="6"/>
      <c r="Y255" s="3"/>
      <c r="Z255" s="3"/>
      <c r="AA255" s="3"/>
      <c r="AB255" s="3" t="s">
        <v>42</v>
      </c>
    </row>
    <row r="256" spans="1:28" ht="33" customHeight="1" x14ac:dyDescent="0.25">
      <c r="A256" s="7" t="s">
        <v>901</v>
      </c>
      <c r="B256" s="3" t="s">
        <v>747</v>
      </c>
      <c r="C256" s="3" t="s">
        <v>900</v>
      </c>
      <c r="D256" s="6">
        <v>43240</v>
      </c>
      <c r="E256" s="6">
        <v>45430</v>
      </c>
      <c r="F256" s="3"/>
      <c r="G256" s="6"/>
      <c r="H256" s="3"/>
      <c r="I256" s="6"/>
      <c r="J256" s="3" t="s">
        <v>68</v>
      </c>
      <c r="K256" s="3"/>
      <c r="L256" s="3"/>
      <c r="M256" s="3" t="s">
        <v>34</v>
      </c>
      <c r="N256" s="3" t="s">
        <v>750</v>
      </c>
      <c r="O256" s="3" t="s">
        <v>441</v>
      </c>
      <c r="P256" s="3" t="s">
        <v>37</v>
      </c>
      <c r="Q256" s="5">
        <v>12991</v>
      </c>
      <c r="R256" s="5"/>
      <c r="S256" s="5"/>
      <c r="T256" s="3" t="s">
        <v>840</v>
      </c>
      <c r="U256" s="3" t="s">
        <v>153</v>
      </c>
      <c r="V256" s="3"/>
      <c r="W256" s="6"/>
      <c r="X256" s="6"/>
      <c r="Y256" s="3"/>
      <c r="Z256" s="3"/>
      <c r="AA256" s="3"/>
      <c r="AB256" s="3" t="s">
        <v>42</v>
      </c>
    </row>
    <row r="257" spans="1:28" ht="33" customHeight="1" x14ac:dyDescent="0.25">
      <c r="A257" s="7" t="s">
        <v>902</v>
      </c>
      <c r="B257" s="3" t="s">
        <v>747</v>
      </c>
      <c r="C257" s="3" t="s">
        <v>900</v>
      </c>
      <c r="D257" s="6">
        <v>43240</v>
      </c>
      <c r="E257" s="6">
        <v>45430</v>
      </c>
      <c r="F257" s="3"/>
      <c r="G257" s="6"/>
      <c r="H257" s="3"/>
      <c r="I257" s="6"/>
      <c r="J257" s="3" t="s">
        <v>68</v>
      </c>
      <c r="K257" s="3"/>
      <c r="L257" s="3"/>
      <c r="M257" s="3" t="s">
        <v>34</v>
      </c>
      <c r="N257" s="3" t="s">
        <v>750</v>
      </c>
      <c r="O257" s="3" t="s">
        <v>441</v>
      </c>
      <c r="P257" s="3" t="s">
        <v>37</v>
      </c>
      <c r="Q257" s="5">
        <v>28701</v>
      </c>
      <c r="R257" s="5"/>
      <c r="S257" s="5"/>
      <c r="T257" s="3" t="s">
        <v>840</v>
      </c>
      <c r="U257" s="3" t="s">
        <v>153</v>
      </c>
      <c r="V257" s="3"/>
      <c r="W257" s="6"/>
      <c r="X257" s="6"/>
      <c r="Y257" s="3"/>
      <c r="Z257" s="3"/>
      <c r="AA257" s="3"/>
      <c r="AB257" s="3" t="s">
        <v>42</v>
      </c>
    </row>
    <row r="258" spans="1:28" ht="33" customHeight="1" x14ac:dyDescent="0.25">
      <c r="A258" s="7" t="s">
        <v>903</v>
      </c>
      <c r="B258" s="3" t="s">
        <v>747</v>
      </c>
      <c r="C258" s="3" t="s">
        <v>904</v>
      </c>
      <c r="D258" s="6">
        <v>43240</v>
      </c>
      <c r="E258" s="6">
        <v>45430</v>
      </c>
      <c r="F258" s="3"/>
      <c r="G258" s="6"/>
      <c r="H258" s="3"/>
      <c r="I258" s="6"/>
      <c r="J258" s="3" t="s">
        <v>68</v>
      </c>
      <c r="K258" s="3"/>
      <c r="L258" s="3"/>
      <c r="M258" s="3" t="s">
        <v>34</v>
      </c>
      <c r="N258" s="3" t="s">
        <v>750</v>
      </c>
      <c r="O258" s="3" t="s">
        <v>441</v>
      </c>
      <c r="P258" s="3" t="s">
        <v>37</v>
      </c>
      <c r="Q258" s="5">
        <v>14504</v>
      </c>
      <c r="R258" s="5"/>
      <c r="S258" s="5"/>
      <c r="T258" s="3" t="s">
        <v>840</v>
      </c>
      <c r="U258" s="3" t="s">
        <v>153</v>
      </c>
      <c r="V258" s="3"/>
      <c r="W258" s="6"/>
      <c r="X258" s="6"/>
      <c r="Y258" s="3"/>
      <c r="Z258" s="3"/>
      <c r="AA258" s="3"/>
      <c r="AB258" s="3" t="s">
        <v>42</v>
      </c>
    </row>
    <row r="259" spans="1:28" ht="33" customHeight="1" x14ac:dyDescent="0.25">
      <c r="A259" s="7" t="s">
        <v>905</v>
      </c>
      <c r="B259" s="3" t="s">
        <v>747</v>
      </c>
      <c r="C259" s="3" t="s">
        <v>904</v>
      </c>
      <c r="D259" s="6">
        <v>43240</v>
      </c>
      <c r="E259" s="6">
        <v>45430</v>
      </c>
      <c r="F259" s="3"/>
      <c r="G259" s="6"/>
      <c r="H259" s="3"/>
      <c r="I259" s="6"/>
      <c r="J259" s="3" t="s">
        <v>68</v>
      </c>
      <c r="K259" s="3"/>
      <c r="L259" s="3"/>
      <c r="M259" s="3" t="s">
        <v>34</v>
      </c>
      <c r="N259" s="3" t="s">
        <v>750</v>
      </c>
      <c r="O259" s="3" t="s">
        <v>441</v>
      </c>
      <c r="P259" s="3" t="s">
        <v>37</v>
      </c>
      <c r="Q259" s="5">
        <v>7133</v>
      </c>
      <c r="R259" s="5"/>
      <c r="S259" s="5"/>
      <c r="T259" s="3" t="s">
        <v>840</v>
      </c>
      <c r="U259" s="3" t="s">
        <v>153</v>
      </c>
      <c r="V259" s="3"/>
      <c r="W259" s="6"/>
      <c r="X259" s="6"/>
      <c r="Y259" s="3"/>
      <c r="Z259" s="3"/>
      <c r="AA259" s="3"/>
      <c r="AB259" s="3" t="s">
        <v>42</v>
      </c>
    </row>
    <row r="260" spans="1:28" ht="33" customHeight="1" x14ac:dyDescent="0.25">
      <c r="A260" s="7" t="s">
        <v>906</v>
      </c>
      <c r="B260" s="3" t="s">
        <v>747</v>
      </c>
      <c r="C260" s="3" t="s">
        <v>907</v>
      </c>
      <c r="D260" s="6">
        <v>43240</v>
      </c>
      <c r="E260" s="6">
        <v>45430</v>
      </c>
      <c r="F260" s="3"/>
      <c r="G260" s="6"/>
      <c r="H260" s="3"/>
      <c r="I260" s="6"/>
      <c r="J260" s="3" t="s">
        <v>68</v>
      </c>
      <c r="K260" s="3"/>
      <c r="L260" s="3"/>
      <c r="M260" s="3" t="s">
        <v>34</v>
      </c>
      <c r="N260" s="3" t="s">
        <v>750</v>
      </c>
      <c r="O260" s="3" t="s">
        <v>441</v>
      </c>
      <c r="P260" s="3" t="s">
        <v>37</v>
      </c>
      <c r="Q260" s="5">
        <v>4072</v>
      </c>
      <c r="R260" s="5"/>
      <c r="S260" s="5"/>
      <c r="T260" s="3" t="s">
        <v>840</v>
      </c>
      <c r="U260" s="3" t="s">
        <v>153</v>
      </c>
      <c r="V260" s="3"/>
      <c r="W260" s="6"/>
      <c r="X260" s="6"/>
      <c r="Y260" s="3"/>
      <c r="Z260" s="3"/>
      <c r="AA260" s="3"/>
      <c r="AB260" s="3" t="s">
        <v>42</v>
      </c>
    </row>
    <row r="261" spans="1:28" ht="33" customHeight="1" x14ac:dyDescent="0.25">
      <c r="A261" s="7" t="s">
        <v>908</v>
      </c>
      <c r="B261" s="3" t="s">
        <v>747</v>
      </c>
      <c r="C261" s="3" t="s">
        <v>904</v>
      </c>
      <c r="D261" s="6">
        <v>43240</v>
      </c>
      <c r="E261" s="6">
        <v>45430</v>
      </c>
      <c r="F261" s="3"/>
      <c r="G261" s="6"/>
      <c r="H261" s="3"/>
      <c r="I261" s="6"/>
      <c r="J261" s="3" t="s">
        <v>68</v>
      </c>
      <c r="K261" s="3"/>
      <c r="L261" s="3"/>
      <c r="M261" s="3" t="s">
        <v>34</v>
      </c>
      <c r="N261" s="3" t="s">
        <v>750</v>
      </c>
      <c r="O261" s="3" t="s">
        <v>441</v>
      </c>
      <c r="P261" s="3" t="s">
        <v>37</v>
      </c>
      <c r="Q261" s="5">
        <v>10145</v>
      </c>
      <c r="R261" s="5"/>
      <c r="S261" s="5"/>
      <c r="T261" s="3" t="s">
        <v>840</v>
      </c>
      <c r="U261" s="3" t="s">
        <v>153</v>
      </c>
      <c r="V261" s="3"/>
      <c r="W261" s="6"/>
      <c r="X261" s="6"/>
      <c r="Y261" s="3"/>
      <c r="Z261" s="3"/>
      <c r="AA261" s="3"/>
      <c r="AB261" s="3" t="s">
        <v>42</v>
      </c>
    </row>
    <row r="262" spans="1:28" ht="33" customHeight="1" x14ac:dyDescent="0.25">
      <c r="A262" s="7" t="s">
        <v>909</v>
      </c>
      <c r="B262" s="3" t="s">
        <v>747</v>
      </c>
      <c r="C262" s="3" t="s">
        <v>910</v>
      </c>
      <c r="D262" s="6">
        <v>43240</v>
      </c>
      <c r="E262" s="6">
        <v>45430</v>
      </c>
      <c r="F262" s="3"/>
      <c r="G262" s="6"/>
      <c r="H262" s="3"/>
      <c r="I262" s="6"/>
      <c r="J262" s="3" t="s">
        <v>68</v>
      </c>
      <c r="K262" s="3"/>
      <c r="L262" s="3"/>
      <c r="M262" s="3" t="s">
        <v>34</v>
      </c>
      <c r="N262" s="3" t="s">
        <v>750</v>
      </c>
      <c r="O262" s="3" t="s">
        <v>441</v>
      </c>
      <c r="P262" s="3" t="s">
        <v>37</v>
      </c>
      <c r="Q262" s="5">
        <v>8261</v>
      </c>
      <c r="R262" s="5"/>
      <c r="S262" s="5"/>
      <c r="T262" s="3" t="s">
        <v>840</v>
      </c>
      <c r="U262" s="3" t="s">
        <v>153</v>
      </c>
      <c r="V262" s="3"/>
      <c r="W262" s="6"/>
      <c r="X262" s="6"/>
      <c r="Y262" s="3"/>
      <c r="Z262" s="3"/>
      <c r="AA262" s="3"/>
      <c r="AB262" s="3" t="s">
        <v>42</v>
      </c>
    </row>
    <row r="263" spans="1:28" ht="33" customHeight="1" x14ac:dyDescent="0.25">
      <c r="A263" s="7" t="s">
        <v>911</v>
      </c>
      <c r="B263" s="3" t="s">
        <v>747</v>
      </c>
      <c r="C263" s="3" t="s">
        <v>910</v>
      </c>
      <c r="D263" s="6">
        <v>43240</v>
      </c>
      <c r="E263" s="6">
        <v>45430</v>
      </c>
      <c r="F263" s="3"/>
      <c r="G263" s="6"/>
      <c r="H263" s="3"/>
      <c r="I263" s="6"/>
      <c r="J263" s="3" t="s">
        <v>68</v>
      </c>
      <c r="K263" s="3"/>
      <c r="L263" s="3"/>
      <c r="M263" s="3" t="s">
        <v>34</v>
      </c>
      <c r="N263" s="3" t="s">
        <v>750</v>
      </c>
      <c r="O263" s="3" t="s">
        <v>441</v>
      </c>
      <c r="P263" s="3" t="s">
        <v>37</v>
      </c>
      <c r="Q263" s="5">
        <v>4903</v>
      </c>
      <c r="R263" s="5"/>
      <c r="S263" s="5"/>
      <c r="T263" s="3" t="s">
        <v>840</v>
      </c>
      <c r="U263" s="3" t="s">
        <v>153</v>
      </c>
      <c r="V263" s="3"/>
      <c r="W263" s="6"/>
      <c r="X263" s="6"/>
      <c r="Y263" s="3"/>
      <c r="Z263" s="3"/>
      <c r="AA263" s="3"/>
      <c r="AB263" s="3" t="s">
        <v>42</v>
      </c>
    </row>
    <row r="264" spans="1:28" ht="33" customHeight="1" x14ac:dyDescent="0.25">
      <c r="A264" s="7" t="s">
        <v>912</v>
      </c>
      <c r="B264" s="3" t="s">
        <v>747</v>
      </c>
      <c r="C264" s="3" t="s">
        <v>913</v>
      </c>
      <c r="D264" s="6">
        <v>43240</v>
      </c>
      <c r="E264" s="6">
        <v>45430</v>
      </c>
      <c r="F264" s="3"/>
      <c r="G264" s="6"/>
      <c r="H264" s="3"/>
      <c r="I264" s="6"/>
      <c r="J264" s="3" t="s">
        <v>68</v>
      </c>
      <c r="K264" s="3"/>
      <c r="L264" s="3"/>
      <c r="M264" s="3" t="s">
        <v>34</v>
      </c>
      <c r="N264" s="3" t="s">
        <v>750</v>
      </c>
      <c r="O264" s="3" t="s">
        <v>441</v>
      </c>
      <c r="P264" s="3" t="s">
        <v>37</v>
      </c>
      <c r="Q264" s="5">
        <v>97389</v>
      </c>
      <c r="R264" s="5"/>
      <c r="S264" s="5"/>
      <c r="T264" s="3" t="s">
        <v>840</v>
      </c>
      <c r="U264" s="3" t="s">
        <v>153</v>
      </c>
      <c r="V264" s="3"/>
      <c r="W264" s="6"/>
      <c r="X264" s="6"/>
      <c r="Y264" s="3"/>
      <c r="Z264" s="3"/>
      <c r="AA264" s="3"/>
      <c r="AB264" s="3" t="s">
        <v>42</v>
      </c>
    </row>
    <row r="265" spans="1:28" ht="33" customHeight="1" x14ac:dyDescent="0.25">
      <c r="A265" s="7" t="s">
        <v>914</v>
      </c>
      <c r="B265" s="3" t="s">
        <v>747</v>
      </c>
      <c r="C265" s="3" t="s">
        <v>913</v>
      </c>
      <c r="D265" s="6">
        <v>43240</v>
      </c>
      <c r="E265" s="6">
        <v>45430</v>
      </c>
      <c r="F265" s="3"/>
      <c r="G265" s="6"/>
      <c r="H265" s="3"/>
      <c r="I265" s="6"/>
      <c r="J265" s="3" t="s">
        <v>68</v>
      </c>
      <c r="K265" s="3"/>
      <c r="L265" s="3"/>
      <c r="M265" s="3" t="s">
        <v>34</v>
      </c>
      <c r="N265" s="3" t="s">
        <v>750</v>
      </c>
      <c r="O265" s="3" t="s">
        <v>441</v>
      </c>
      <c r="P265" s="3" t="s">
        <v>37</v>
      </c>
      <c r="Q265" s="5">
        <v>4932</v>
      </c>
      <c r="R265" s="5"/>
      <c r="S265" s="5"/>
      <c r="T265" s="3" t="s">
        <v>840</v>
      </c>
      <c r="U265" s="3" t="s">
        <v>153</v>
      </c>
      <c r="V265" s="3"/>
      <c r="W265" s="6"/>
      <c r="X265" s="6"/>
      <c r="Y265" s="3"/>
      <c r="Z265" s="3"/>
      <c r="AA265" s="3"/>
      <c r="AB265" s="3" t="s">
        <v>42</v>
      </c>
    </row>
    <row r="266" spans="1:28" ht="33" customHeight="1" x14ac:dyDescent="0.25">
      <c r="A266" s="7" t="s">
        <v>915</v>
      </c>
      <c r="B266" s="3" t="s">
        <v>747</v>
      </c>
      <c r="C266" s="3" t="s">
        <v>913</v>
      </c>
      <c r="D266" s="6">
        <v>43240</v>
      </c>
      <c r="E266" s="6">
        <v>45430</v>
      </c>
      <c r="F266" s="3"/>
      <c r="G266" s="6"/>
      <c r="H266" s="3"/>
      <c r="I266" s="6"/>
      <c r="J266" s="3" t="s">
        <v>68</v>
      </c>
      <c r="K266" s="3"/>
      <c r="L266" s="3"/>
      <c r="M266" s="3" t="s">
        <v>34</v>
      </c>
      <c r="N266" s="3" t="s">
        <v>750</v>
      </c>
      <c r="O266" s="3" t="s">
        <v>441</v>
      </c>
      <c r="P266" s="3" t="s">
        <v>37</v>
      </c>
      <c r="Q266" s="5">
        <v>13438</v>
      </c>
      <c r="R266" s="5"/>
      <c r="S266" s="5"/>
      <c r="T266" s="3" t="s">
        <v>840</v>
      </c>
      <c r="U266" s="3" t="s">
        <v>153</v>
      </c>
      <c r="V266" s="3"/>
      <c r="W266" s="6"/>
      <c r="X266" s="6"/>
      <c r="Y266" s="3"/>
      <c r="Z266" s="3"/>
      <c r="AA266" s="3"/>
      <c r="AB266" s="3" t="s">
        <v>42</v>
      </c>
    </row>
    <row r="267" spans="1:28" ht="33" customHeight="1" x14ac:dyDescent="0.25">
      <c r="A267" s="7" t="s">
        <v>916</v>
      </c>
      <c r="B267" s="3" t="s">
        <v>747</v>
      </c>
      <c r="C267" s="3" t="s">
        <v>917</v>
      </c>
      <c r="D267" s="6">
        <v>43240</v>
      </c>
      <c r="E267" s="6">
        <v>45430</v>
      </c>
      <c r="F267" s="3"/>
      <c r="G267" s="6"/>
      <c r="H267" s="3"/>
      <c r="I267" s="6"/>
      <c r="J267" s="3" t="s">
        <v>68</v>
      </c>
      <c r="K267" s="3"/>
      <c r="L267" s="3"/>
      <c r="M267" s="3" t="s">
        <v>34</v>
      </c>
      <c r="N267" s="3" t="s">
        <v>750</v>
      </c>
      <c r="O267" s="3" t="s">
        <v>441</v>
      </c>
      <c r="P267" s="3" t="s">
        <v>37</v>
      </c>
      <c r="Q267" s="5">
        <v>58320</v>
      </c>
      <c r="R267" s="5"/>
      <c r="S267" s="5"/>
      <c r="T267" s="3" t="s">
        <v>840</v>
      </c>
      <c r="U267" s="3" t="s">
        <v>153</v>
      </c>
      <c r="V267" s="3"/>
      <c r="W267" s="6"/>
      <c r="X267" s="6"/>
      <c r="Y267" s="3"/>
      <c r="Z267" s="3"/>
      <c r="AA267" s="3"/>
      <c r="AB267" s="3" t="s">
        <v>42</v>
      </c>
    </row>
    <row r="268" spans="1:28" ht="33" customHeight="1" x14ac:dyDescent="0.25">
      <c r="A268" s="7" t="s">
        <v>918</v>
      </c>
      <c r="B268" s="3" t="s">
        <v>747</v>
      </c>
      <c r="C268" s="3" t="s">
        <v>919</v>
      </c>
      <c r="D268" s="6">
        <v>44073</v>
      </c>
      <c r="E268" s="6">
        <v>45542</v>
      </c>
      <c r="F268" s="3"/>
      <c r="G268" s="6"/>
      <c r="H268" s="3"/>
      <c r="I268" s="6"/>
      <c r="J268" s="3" t="s">
        <v>68</v>
      </c>
      <c r="K268" s="3"/>
      <c r="L268" s="3"/>
      <c r="M268" s="3" t="s">
        <v>34</v>
      </c>
      <c r="N268" s="3" t="s">
        <v>750</v>
      </c>
      <c r="O268" s="3" t="s">
        <v>441</v>
      </c>
      <c r="P268" s="3" t="s">
        <v>37</v>
      </c>
      <c r="Q268" s="5">
        <v>19840</v>
      </c>
      <c r="R268" s="5"/>
      <c r="S268" s="5"/>
      <c r="T268" s="3" t="s">
        <v>840</v>
      </c>
      <c r="U268" s="3" t="s">
        <v>153</v>
      </c>
      <c r="V268" s="3"/>
      <c r="W268" s="6"/>
      <c r="X268" s="6"/>
      <c r="Y268" s="3"/>
      <c r="Z268" s="3"/>
      <c r="AA268" s="3"/>
      <c r="AB268" s="3" t="s">
        <v>42</v>
      </c>
    </row>
    <row r="269" spans="1:28" ht="33" customHeight="1" x14ac:dyDescent="0.25">
      <c r="A269" s="7" t="s">
        <v>920</v>
      </c>
      <c r="B269" s="3" t="s">
        <v>747</v>
      </c>
      <c r="C269" s="3" t="s">
        <v>921</v>
      </c>
      <c r="D269" s="6">
        <v>43240</v>
      </c>
      <c r="E269" s="6">
        <v>45430</v>
      </c>
      <c r="F269" s="3"/>
      <c r="G269" s="6"/>
      <c r="H269" s="3"/>
      <c r="I269" s="6"/>
      <c r="J269" s="3" t="s">
        <v>68</v>
      </c>
      <c r="K269" s="3"/>
      <c r="L269" s="3"/>
      <c r="M269" s="3" t="s">
        <v>34</v>
      </c>
      <c r="N269" s="3" t="s">
        <v>750</v>
      </c>
      <c r="O269" s="3" t="s">
        <v>441</v>
      </c>
      <c r="P269" s="3" t="s">
        <v>37</v>
      </c>
      <c r="Q269" s="5">
        <v>3036</v>
      </c>
      <c r="R269" s="5"/>
      <c r="S269" s="5"/>
      <c r="T269" s="3" t="s">
        <v>840</v>
      </c>
      <c r="U269" s="3" t="s">
        <v>153</v>
      </c>
      <c r="V269" s="3"/>
      <c r="W269" s="6"/>
      <c r="X269" s="6"/>
      <c r="Y269" s="3"/>
      <c r="Z269" s="3"/>
      <c r="AA269" s="3"/>
      <c r="AB269" s="3" t="s">
        <v>42</v>
      </c>
    </row>
    <row r="270" spans="1:28" ht="33" customHeight="1" x14ac:dyDescent="0.25">
      <c r="A270" s="7" t="s">
        <v>922</v>
      </c>
      <c r="B270" s="3" t="s">
        <v>747</v>
      </c>
      <c r="C270" s="3" t="s">
        <v>923</v>
      </c>
      <c r="D270" s="6">
        <v>44073</v>
      </c>
      <c r="E270" s="6">
        <v>45542</v>
      </c>
      <c r="F270" s="3"/>
      <c r="G270" s="6"/>
      <c r="H270" s="3"/>
      <c r="I270" s="6"/>
      <c r="J270" s="3" t="s">
        <v>68</v>
      </c>
      <c r="K270" s="3"/>
      <c r="L270" s="3"/>
      <c r="M270" s="3" t="s">
        <v>34</v>
      </c>
      <c r="N270" s="3" t="s">
        <v>750</v>
      </c>
      <c r="O270" s="3" t="s">
        <v>441</v>
      </c>
      <c r="P270" s="3" t="s">
        <v>37</v>
      </c>
      <c r="Q270" s="5">
        <v>26965</v>
      </c>
      <c r="R270" s="5"/>
      <c r="S270" s="5"/>
      <c r="T270" s="3" t="s">
        <v>840</v>
      </c>
      <c r="U270" s="3" t="s">
        <v>153</v>
      </c>
      <c r="V270" s="3"/>
      <c r="W270" s="6"/>
      <c r="X270" s="6"/>
      <c r="Y270" s="3"/>
      <c r="Z270" s="3"/>
      <c r="AA270" s="3"/>
      <c r="AB270" s="3" t="s">
        <v>42</v>
      </c>
    </row>
    <row r="271" spans="1:28" ht="33" customHeight="1" x14ac:dyDescent="0.25">
      <c r="A271" s="7" t="s">
        <v>924</v>
      </c>
      <c r="B271" s="3" t="s">
        <v>747</v>
      </c>
      <c r="C271" s="3" t="s">
        <v>907</v>
      </c>
      <c r="D271" s="6">
        <v>43240</v>
      </c>
      <c r="E271" s="6">
        <v>45430</v>
      </c>
      <c r="F271" s="3"/>
      <c r="G271" s="6"/>
      <c r="H271" s="3"/>
      <c r="I271" s="6"/>
      <c r="J271" s="3" t="s">
        <v>68</v>
      </c>
      <c r="K271" s="3"/>
      <c r="L271" s="3"/>
      <c r="M271" s="3" t="s">
        <v>34</v>
      </c>
      <c r="N271" s="3" t="s">
        <v>750</v>
      </c>
      <c r="O271" s="3" t="s">
        <v>441</v>
      </c>
      <c r="P271" s="3" t="s">
        <v>37</v>
      </c>
      <c r="Q271" s="5">
        <v>1480</v>
      </c>
      <c r="R271" s="5"/>
      <c r="S271" s="5"/>
      <c r="T271" s="3" t="s">
        <v>840</v>
      </c>
      <c r="U271" s="3" t="s">
        <v>153</v>
      </c>
      <c r="V271" s="3"/>
      <c r="W271" s="6"/>
      <c r="X271" s="6"/>
      <c r="Y271" s="3"/>
      <c r="Z271" s="3"/>
      <c r="AA271" s="3"/>
      <c r="AB271" s="3" t="s">
        <v>42</v>
      </c>
    </row>
    <row r="272" spans="1:28" ht="33" customHeight="1" x14ac:dyDescent="0.25">
      <c r="A272" s="7" t="s">
        <v>925</v>
      </c>
      <c r="B272" s="3" t="s">
        <v>747</v>
      </c>
      <c r="C272" s="3" t="s">
        <v>926</v>
      </c>
      <c r="D272" s="6">
        <v>44073</v>
      </c>
      <c r="E272" s="6">
        <v>45542</v>
      </c>
      <c r="F272" s="3"/>
      <c r="G272" s="6"/>
      <c r="H272" s="3"/>
      <c r="I272" s="6"/>
      <c r="J272" s="3" t="s">
        <v>68</v>
      </c>
      <c r="K272" s="3"/>
      <c r="L272" s="3"/>
      <c r="M272" s="3" t="s">
        <v>34</v>
      </c>
      <c r="N272" s="3" t="s">
        <v>750</v>
      </c>
      <c r="O272" s="3" t="s">
        <v>441</v>
      </c>
      <c r="P272" s="3" t="s">
        <v>37</v>
      </c>
      <c r="Q272" s="5">
        <v>5060</v>
      </c>
      <c r="R272" s="5"/>
      <c r="S272" s="5"/>
      <c r="T272" s="3" t="s">
        <v>840</v>
      </c>
      <c r="U272" s="3" t="s">
        <v>153</v>
      </c>
      <c r="V272" s="3"/>
      <c r="W272" s="6"/>
      <c r="X272" s="6"/>
      <c r="Y272" s="3"/>
      <c r="Z272" s="3"/>
      <c r="AA272" s="3"/>
      <c r="AB272" s="3" t="s">
        <v>42</v>
      </c>
    </row>
    <row r="273" spans="1:28" ht="33" customHeight="1" x14ac:dyDescent="0.25">
      <c r="A273" s="7" t="s">
        <v>927</v>
      </c>
      <c r="B273" s="3" t="s">
        <v>747</v>
      </c>
      <c r="C273" s="3" t="s">
        <v>919</v>
      </c>
      <c r="D273" s="6">
        <v>44073</v>
      </c>
      <c r="E273" s="6">
        <v>45542</v>
      </c>
      <c r="F273" s="3"/>
      <c r="G273" s="6"/>
      <c r="H273" s="3"/>
      <c r="I273" s="6"/>
      <c r="J273" s="3" t="s">
        <v>68</v>
      </c>
      <c r="K273" s="3"/>
      <c r="L273" s="3"/>
      <c r="M273" s="3" t="s">
        <v>34</v>
      </c>
      <c r="N273" s="3" t="s">
        <v>750</v>
      </c>
      <c r="O273" s="3" t="s">
        <v>441</v>
      </c>
      <c r="P273" s="3" t="s">
        <v>37</v>
      </c>
      <c r="Q273" s="5">
        <v>10461</v>
      </c>
      <c r="R273" s="5"/>
      <c r="S273" s="5"/>
      <c r="T273" s="3" t="s">
        <v>38</v>
      </c>
      <c r="U273" s="3" t="s">
        <v>153</v>
      </c>
      <c r="V273" s="3"/>
      <c r="W273" s="6"/>
      <c r="X273" s="6"/>
      <c r="Y273" s="3"/>
      <c r="Z273" s="3"/>
      <c r="AA273" s="3"/>
      <c r="AB273" s="3" t="s">
        <v>42</v>
      </c>
    </row>
    <row r="274" spans="1:28" ht="33" customHeight="1" x14ac:dyDescent="0.25">
      <c r="A274" s="7" t="s">
        <v>928</v>
      </c>
      <c r="B274" s="3" t="s">
        <v>747</v>
      </c>
      <c r="C274" s="3" t="s">
        <v>923</v>
      </c>
      <c r="D274" s="6">
        <v>44073</v>
      </c>
      <c r="E274" s="6">
        <v>45542</v>
      </c>
      <c r="F274" s="3"/>
      <c r="G274" s="6"/>
      <c r="H274" s="3"/>
      <c r="I274" s="6"/>
      <c r="J274" s="3" t="s">
        <v>68</v>
      </c>
      <c r="K274" s="3"/>
      <c r="L274" s="3"/>
      <c r="M274" s="3" t="s">
        <v>34</v>
      </c>
      <c r="N274" s="3" t="s">
        <v>750</v>
      </c>
      <c r="O274" s="3" t="s">
        <v>441</v>
      </c>
      <c r="P274" s="3" t="s">
        <v>37</v>
      </c>
      <c r="Q274" s="5">
        <v>5990</v>
      </c>
      <c r="R274" s="5"/>
      <c r="S274" s="5"/>
      <c r="T274" s="3" t="s">
        <v>38</v>
      </c>
      <c r="U274" s="3" t="s">
        <v>153</v>
      </c>
      <c r="V274" s="3"/>
      <c r="W274" s="6"/>
      <c r="X274" s="6"/>
      <c r="Y274" s="3"/>
      <c r="Z274" s="3"/>
      <c r="AA274" s="3"/>
      <c r="AB274" s="3" t="s">
        <v>42</v>
      </c>
    </row>
    <row r="275" spans="1:28" ht="33" customHeight="1" x14ac:dyDescent="0.25">
      <c r="A275" s="7" t="s">
        <v>929</v>
      </c>
      <c r="B275" s="3" t="s">
        <v>747</v>
      </c>
      <c r="C275" s="3" t="s">
        <v>923</v>
      </c>
      <c r="D275" s="6">
        <v>44073</v>
      </c>
      <c r="E275" s="6">
        <v>45542</v>
      </c>
      <c r="F275" s="3"/>
      <c r="G275" s="6"/>
      <c r="H275" s="3"/>
      <c r="I275" s="6"/>
      <c r="J275" s="3" t="s">
        <v>68</v>
      </c>
      <c r="K275" s="3"/>
      <c r="L275" s="3"/>
      <c r="M275" s="3" t="s">
        <v>34</v>
      </c>
      <c r="N275" s="3" t="s">
        <v>750</v>
      </c>
      <c r="O275" s="3" t="s">
        <v>441</v>
      </c>
      <c r="P275" s="3" t="s">
        <v>37</v>
      </c>
      <c r="Q275" s="5">
        <v>18562</v>
      </c>
      <c r="R275" s="5"/>
      <c r="S275" s="5"/>
      <c r="T275" s="3" t="s">
        <v>38</v>
      </c>
      <c r="U275" s="3" t="s">
        <v>153</v>
      </c>
      <c r="V275" s="3"/>
      <c r="W275" s="6"/>
      <c r="X275" s="6"/>
      <c r="Y275" s="3"/>
      <c r="Z275" s="3"/>
      <c r="AA275" s="3"/>
      <c r="AB275" s="3" t="s">
        <v>42</v>
      </c>
    </row>
    <row r="276" spans="1:28" ht="33" customHeight="1" x14ac:dyDescent="0.25">
      <c r="A276" s="7" t="s">
        <v>930</v>
      </c>
      <c r="B276" s="3" t="s">
        <v>747</v>
      </c>
      <c r="C276" s="3" t="s">
        <v>923</v>
      </c>
      <c r="D276" s="6">
        <v>44073</v>
      </c>
      <c r="E276" s="6">
        <v>45542</v>
      </c>
      <c r="F276" s="3"/>
      <c r="G276" s="6"/>
      <c r="H276" s="3"/>
      <c r="I276" s="6"/>
      <c r="J276" s="3" t="s">
        <v>68</v>
      </c>
      <c r="K276" s="3"/>
      <c r="L276" s="3"/>
      <c r="M276" s="3" t="s">
        <v>34</v>
      </c>
      <c r="N276" s="3" t="s">
        <v>750</v>
      </c>
      <c r="O276" s="3" t="s">
        <v>441</v>
      </c>
      <c r="P276" s="3" t="s">
        <v>37</v>
      </c>
      <c r="Q276" s="5">
        <v>3960</v>
      </c>
      <c r="R276" s="5"/>
      <c r="S276" s="5"/>
      <c r="T276" s="3" t="s">
        <v>38</v>
      </c>
      <c r="U276" s="3" t="s">
        <v>153</v>
      </c>
      <c r="V276" s="3"/>
      <c r="W276" s="6"/>
      <c r="X276" s="6"/>
      <c r="Y276" s="3"/>
      <c r="Z276" s="3"/>
      <c r="AA276" s="3"/>
      <c r="AB276" s="3" t="s">
        <v>42</v>
      </c>
    </row>
    <row r="277" spans="1:28" ht="33" customHeight="1" x14ac:dyDescent="0.25">
      <c r="A277" s="7" t="s">
        <v>931</v>
      </c>
      <c r="B277" s="3" t="s">
        <v>747</v>
      </c>
      <c r="C277" s="3" t="s">
        <v>923</v>
      </c>
      <c r="D277" s="6">
        <v>44073</v>
      </c>
      <c r="E277" s="6">
        <v>45542</v>
      </c>
      <c r="F277" s="3"/>
      <c r="G277" s="6"/>
      <c r="H277" s="3"/>
      <c r="I277" s="6"/>
      <c r="J277" s="3" t="s">
        <v>68</v>
      </c>
      <c r="K277" s="3"/>
      <c r="L277" s="3"/>
      <c r="M277" s="3" t="s">
        <v>34</v>
      </c>
      <c r="N277" s="3" t="s">
        <v>750</v>
      </c>
      <c r="O277" s="3" t="s">
        <v>441</v>
      </c>
      <c r="P277" s="3" t="s">
        <v>37</v>
      </c>
      <c r="Q277" s="5">
        <v>1979</v>
      </c>
      <c r="R277" s="5"/>
      <c r="S277" s="5"/>
      <c r="T277" s="3" t="s">
        <v>38</v>
      </c>
      <c r="U277" s="3" t="s">
        <v>153</v>
      </c>
      <c r="V277" s="3"/>
      <c r="W277" s="6"/>
      <c r="X277" s="6"/>
      <c r="Y277" s="3"/>
      <c r="Z277" s="3"/>
      <c r="AA277" s="3"/>
      <c r="AB277" s="3" t="s">
        <v>42</v>
      </c>
    </row>
    <row r="278" spans="1:28" ht="33" customHeight="1" x14ac:dyDescent="0.25">
      <c r="A278" s="7" t="s">
        <v>932</v>
      </c>
      <c r="B278" s="3" t="s">
        <v>747</v>
      </c>
      <c r="C278" s="3" t="s">
        <v>933</v>
      </c>
      <c r="D278" s="6">
        <v>44073</v>
      </c>
      <c r="E278" s="6">
        <v>45542</v>
      </c>
      <c r="F278" s="3"/>
      <c r="G278" s="6"/>
      <c r="H278" s="3"/>
      <c r="I278" s="6"/>
      <c r="J278" s="3" t="s">
        <v>68</v>
      </c>
      <c r="K278" s="3"/>
      <c r="L278" s="3"/>
      <c r="M278" s="3" t="s">
        <v>34</v>
      </c>
      <c r="N278" s="3" t="s">
        <v>750</v>
      </c>
      <c r="O278" s="3" t="s">
        <v>441</v>
      </c>
      <c r="P278" s="3" t="s">
        <v>37</v>
      </c>
      <c r="Q278" s="5">
        <v>21148</v>
      </c>
      <c r="R278" s="5"/>
      <c r="S278" s="5"/>
      <c r="T278" s="3" t="s">
        <v>38</v>
      </c>
      <c r="U278" s="3" t="s">
        <v>153</v>
      </c>
      <c r="V278" s="3"/>
      <c r="W278" s="6"/>
      <c r="X278" s="6"/>
      <c r="Y278" s="3"/>
      <c r="Z278" s="3"/>
      <c r="AA278" s="3"/>
      <c r="AB278" s="3" t="s">
        <v>42</v>
      </c>
    </row>
    <row r="279" spans="1:28" ht="33" customHeight="1" x14ac:dyDescent="0.25">
      <c r="A279" s="7" t="s">
        <v>934</v>
      </c>
      <c r="B279" s="3" t="s">
        <v>747</v>
      </c>
      <c r="C279" s="3" t="s">
        <v>933</v>
      </c>
      <c r="D279" s="6">
        <v>44073</v>
      </c>
      <c r="E279" s="6">
        <v>45542</v>
      </c>
      <c r="F279" s="3"/>
      <c r="G279" s="6"/>
      <c r="H279" s="3"/>
      <c r="I279" s="6"/>
      <c r="J279" s="3" t="s">
        <v>68</v>
      </c>
      <c r="K279" s="3"/>
      <c r="L279" s="3"/>
      <c r="M279" s="3" t="s">
        <v>34</v>
      </c>
      <c r="N279" s="3" t="s">
        <v>750</v>
      </c>
      <c r="O279" s="3" t="s">
        <v>441</v>
      </c>
      <c r="P279" s="3" t="s">
        <v>37</v>
      </c>
      <c r="Q279" s="5">
        <v>37876</v>
      </c>
      <c r="R279" s="5"/>
      <c r="S279" s="5"/>
      <c r="T279" s="3" t="s">
        <v>38</v>
      </c>
      <c r="U279" s="3" t="s">
        <v>153</v>
      </c>
      <c r="V279" s="3"/>
      <c r="W279" s="6"/>
      <c r="X279" s="6"/>
      <c r="Y279" s="3"/>
      <c r="Z279" s="3"/>
      <c r="AA279" s="3"/>
      <c r="AB279" s="3" t="s">
        <v>42</v>
      </c>
    </row>
    <row r="280" spans="1:28" ht="33" customHeight="1" x14ac:dyDescent="0.25">
      <c r="A280" s="7" t="s">
        <v>935</v>
      </c>
      <c r="B280" s="3" t="s">
        <v>747</v>
      </c>
      <c r="C280" s="3" t="s">
        <v>933</v>
      </c>
      <c r="D280" s="6">
        <v>44073</v>
      </c>
      <c r="E280" s="6">
        <v>45542</v>
      </c>
      <c r="F280" s="3"/>
      <c r="G280" s="6"/>
      <c r="H280" s="3"/>
      <c r="I280" s="6"/>
      <c r="J280" s="3" t="s">
        <v>68</v>
      </c>
      <c r="K280" s="3"/>
      <c r="L280" s="3"/>
      <c r="M280" s="3" t="s">
        <v>34</v>
      </c>
      <c r="N280" s="3" t="s">
        <v>750</v>
      </c>
      <c r="O280" s="3" t="s">
        <v>441</v>
      </c>
      <c r="P280" s="3" t="s">
        <v>37</v>
      </c>
      <c r="Q280" s="5">
        <v>10445</v>
      </c>
      <c r="R280" s="5"/>
      <c r="S280" s="5"/>
      <c r="T280" s="3" t="s">
        <v>38</v>
      </c>
      <c r="U280" s="3" t="s">
        <v>153</v>
      </c>
      <c r="V280" s="3"/>
      <c r="W280" s="6"/>
      <c r="X280" s="6"/>
      <c r="Y280" s="3"/>
      <c r="Z280" s="3"/>
      <c r="AA280" s="3"/>
      <c r="AB280" s="3" t="s">
        <v>42</v>
      </c>
    </row>
    <row r="281" spans="1:28" ht="33" customHeight="1" x14ac:dyDescent="0.25">
      <c r="A281" s="7" t="s">
        <v>936</v>
      </c>
      <c r="B281" s="3" t="s">
        <v>747</v>
      </c>
      <c r="C281" s="3" t="s">
        <v>933</v>
      </c>
      <c r="D281" s="6">
        <v>44073</v>
      </c>
      <c r="E281" s="6">
        <v>45542</v>
      </c>
      <c r="F281" s="3"/>
      <c r="G281" s="6"/>
      <c r="H281" s="3"/>
      <c r="I281" s="6"/>
      <c r="J281" s="3" t="s">
        <v>68</v>
      </c>
      <c r="K281" s="3"/>
      <c r="L281" s="3"/>
      <c r="M281" s="3" t="s">
        <v>34</v>
      </c>
      <c r="N281" s="3" t="s">
        <v>750</v>
      </c>
      <c r="O281" s="3" t="s">
        <v>441</v>
      </c>
      <c r="P281" s="3" t="s">
        <v>37</v>
      </c>
      <c r="Q281" s="5">
        <v>2771</v>
      </c>
      <c r="R281" s="5"/>
      <c r="S281" s="5"/>
      <c r="T281" s="3" t="s">
        <v>38</v>
      </c>
      <c r="U281" s="3" t="s">
        <v>153</v>
      </c>
      <c r="V281" s="3"/>
      <c r="W281" s="6"/>
      <c r="X281" s="6"/>
      <c r="Y281" s="3"/>
      <c r="Z281" s="3"/>
      <c r="AA281" s="3"/>
      <c r="AB281" s="3" t="s">
        <v>42</v>
      </c>
    </row>
    <row r="282" spans="1:28" ht="33" customHeight="1" x14ac:dyDescent="0.25">
      <c r="A282" s="7" t="s">
        <v>937</v>
      </c>
      <c r="B282" s="3" t="s">
        <v>747</v>
      </c>
      <c r="C282" s="3" t="s">
        <v>907</v>
      </c>
      <c r="D282" s="6">
        <v>43240</v>
      </c>
      <c r="E282" s="6">
        <v>45430</v>
      </c>
      <c r="F282" s="3"/>
      <c r="G282" s="6"/>
      <c r="H282" s="3"/>
      <c r="I282" s="6"/>
      <c r="J282" s="3" t="s">
        <v>68</v>
      </c>
      <c r="K282" s="3"/>
      <c r="L282" s="3"/>
      <c r="M282" s="3" t="s">
        <v>34</v>
      </c>
      <c r="N282" s="3" t="s">
        <v>750</v>
      </c>
      <c r="O282" s="3" t="s">
        <v>441</v>
      </c>
      <c r="P282" s="3" t="s">
        <v>37</v>
      </c>
      <c r="Q282" s="5">
        <v>4005</v>
      </c>
      <c r="R282" s="5"/>
      <c r="S282" s="5"/>
      <c r="T282" s="3" t="s">
        <v>840</v>
      </c>
      <c r="U282" s="3" t="s">
        <v>153</v>
      </c>
      <c r="V282" s="3"/>
      <c r="W282" s="6"/>
      <c r="X282" s="6"/>
      <c r="Y282" s="3"/>
      <c r="Z282" s="3"/>
      <c r="AA282" s="3"/>
      <c r="AB282" s="3" t="s">
        <v>42</v>
      </c>
    </row>
    <row r="283" spans="1:28" ht="33" customHeight="1" x14ac:dyDescent="0.25">
      <c r="A283" s="7" t="s">
        <v>938</v>
      </c>
      <c r="B283" s="3" t="s">
        <v>747</v>
      </c>
      <c r="C283" s="3" t="s">
        <v>939</v>
      </c>
      <c r="D283" s="6">
        <v>44073</v>
      </c>
      <c r="E283" s="6">
        <v>45542</v>
      </c>
      <c r="F283" s="3"/>
      <c r="G283" s="6"/>
      <c r="H283" s="3"/>
      <c r="I283" s="6"/>
      <c r="J283" s="3" t="s">
        <v>68</v>
      </c>
      <c r="K283" s="3"/>
      <c r="L283" s="3"/>
      <c r="M283" s="3" t="s">
        <v>34</v>
      </c>
      <c r="N283" s="3" t="s">
        <v>750</v>
      </c>
      <c r="O283" s="3" t="s">
        <v>441</v>
      </c>
      <c r="P283" s="3" t="s">
        <v>37</v>
      </c>
      <c r="Q283" s="5">
        <v>18194</v>
      </c>
      <c r="R283" s="5"/>
      <c r="S283" s="5"/>
      <c r="T283" s="3" t="s">
        <v>38</v>
      </c>
      <c r="U283" s="3" t="s">
        <v>153</v>
      </c>
      <c r="V283" s="3"/>
      <c r="W283" s="6"/>
      <c r="X283" s="6"/>
      <c r="Y283" s="3"/>
      <c r="Z283" s="3"/>
      <c r="AA283" s="3"/>
      <c r="AB283" s="3" t="s">
        <v>42</v>
      </c>
    </row>
    <row r="284" spans="1:28" ht="33" customHeight="1" x14ac:dyDescent="0.25">
      <c r="A284" s="7" t="s">
        <v>940</v>
      </c>
      <c r="B284" s="3" t="s">
        <v>747</v>
      </c>
      <c r="C284" s="3" t="s">
        <v>939</v>
      </c>
      <c r="D284" s="6">
        <v>44073</v>
      </c>
      <c r="E284" s="6">
        <v>45542</v>
      </c>
      <c r="F284" s="3"/>
      <c r="G284" s="6"/>
      <c r="H284" s="3"/>
      <c r="I284" s="6"/>
      <c r="J284" s="3" t="s">
        <v>68</v>
      </c>
      <c r="K284" s="3"/>
      <c r="L284" s="3"/>
      <c r="M284" s="3" t="s">
        <v>34</v>
      </c>
      <c r="N284" s="3" t="s">
        <v>750</v>
      </c>
      <c r="O284" s="3" t="s">
        <v>441</v>
      </c>
      <c r="P284" s="3" t="s">
        <v>37</v>
      </c>
      <c r="Q284" s="5">
        <v>16246</v>
      </c>
      <c r="R284" s="5"/>
      <c r="S284" s="5"/>
      <c r="T284" s="3" t="s">
        <v>38</v>
      </c>
      <c r="U284" s="3" t="s">
        <v>153</v>
      </c>
      <c r="V284" s="3"/>
      <c r="W284" s="6"/>
      <c r="X284" s="6"/>
      <c r="Y284" s="3"/>
      <c r="Z284" s="3"/>
      <c r="AA284" s="3"/>
      <c r="AB284" s="3" t="s">
        <v>42</v>
      </c>
    </row>
    <row r="285" spans="1:28" ht="33" customHeight="1" x14ac:dyDescent="0.25">
      <c r="A285" s="7" t="s">
        <v>941</v>
      </c>
      <c r="B285" s="3" t="s">
        <v>747</v>
      </c>
      <c r="C285" s="3" t="s">
        <v>942</v>
      </c>
      <c r="D285" s="6">
        <v>44073</v>
      </c>
      <c r="E285" s="6">
        <v>45542</v>
      </c>
      <c r="F285" s="3"/>
      <c r="G285" s="6"/>
      <c r="H285" s="3"/>
      <c r="I285" s="6"/>
      <c r="J285" s="3" t="s">
        <v>68</v>
      </c>
      <c r="K285" s="3"/>
      <c r="L285" s="3"/>
      <c r="M285" s="3" t="s">
        <v>34</v>
      </c>
      <c r="N285" s="3" t="s">
        <v>750</v>
      </c>
      <c r="O285" s="3" t="s">
        <v>441</v>
      </c>
      <c r="P285" s="3" t="s">
        <v>37</v>
      </c>
      <c r="Q285" s="5">
        <v>1722</v>
      </c>
      <c r="R285" s="5"/>
      <c r="S285" s="5"/>
      <c r="T285" s="3" t="s">
        <v>38</v>
      </c>
      <c r="U285" s="3" t="s">
        <v>153</v>
      </c>
      <c r="V285" s="3"/>
      <c r="W285" s="6"/>
      <c r="X285" s="6"/>
      <c r="Y285" s="3"/>
      <c r="Z285" s="3"/>
      <c r="AA285" s="3"/>
      <c r="AB285" s="3" t="s">
        <v>42</v>
      </c>
    </row>
    <row r="286" spans="1:28" ht="33" customHeight="1" x14ac:dyDescent="0.25">
      <c r="A286" s="7" t="s">
        <v>943</v>
      </c>
      <c r="B286" s="3" t="s">
        <v>747</v>
      </c>
      <c r="C286" s="3" t="s">
        <v>942</v>
      </c>
      <c r="D286" s="6">
        <v>44073</v>
      </c>
      <c r="E286" s="6">
        <v>45542</v>
      </c>
      <c r="F286" s="3"/>
      <c r="G286" s="6"/>
      <c r="H286" s="3"/>
      <c r="I286" s="6"/>
      <c r="J286" s="3" t="s">
        <v>68</v>
      </c>
      <c r="K286" s="3"/>
      <c r="L286" s="3"/>
      <c r="M286" s="3" t="s">
        <v>34</v>
      </c>
      <c r="N286" s="3" t="s">
        <v>750</v>
      </c>
      <c r="O286" s="3" t="s">
        <v>441</v>
      </c>
      <c r="P286" s="3" t="s">
        <v>37</v>
      </c>
      <c r="Q286" s="5">
        <v>16251</v>
      </c>
      <c r="R286" s="5"/>
      <c r="S286" s="5"/>
      <c r="T286" s="3" t="s">
        <v>38</v>
      </c>
      <c r="U286" s="3" t="s">
        <v>153</v>
      </c>
      <c r="V286" s="3"/>
      <c r="W286" s="6"/>
      <c r="X286" s="6"/>
      <c r="Y286" s="3"/>
      <c r="Z286" s="3"/>
      <c r="AA286" s="3"/>
      <c r="AB286" s="3" t="s">
        <v>42</v>
      </c>
    </row>
    <row r="287" spans="1:28" ht="33" customHeight="1" x14ac:dyDescent="0.25">
      <c r="A287" s="7" t="s">
        <v>944</v>
      </c>
      <c r="B287" s="3" t="s">
        <v>747</v>
      </c>
      <c r="C287" s="3" t="s">
        <v>945</v>
      </c>
      <c r="D287" s="6">
        <v>44073</v>
      </c>
      <c r="E287" s="6">
        <v>45542</v>
      </c>
      <c r="F287" s="3"/>
      <c r="G287" s="6"/>
      <c r="H287" s="3"/>
      <c r="I287" s="6"/>
      <c r="J287" s="3" t="s">
        <v>68</v>
      </c>
      <c r="K287" s="3"/>
      <c r="L287" s="3"/>
      <c r="M287" s="3" t="s">
        <v>34</v>
      </c>
      <c r="N287" s="3" t="s">
        <v>750</v>
      </c>
      <c r="O287" s="3" t="s">
        <v>441</v>
      </c>
      <c r="P287" s="3" t="s">
        <v>37</v>
      </c>
      <c r="Q287" s="5">
        <v>17035</v>
      </c>
      <c r="R287" s="5"/>
      <c r="S287" s="5"/>
      <c r="T287" s="3" t="s">
        <v>38</v>
      </c>
      <c r="U287" s="3" t="s">
        <v>153</v>
      </c>
      <c r="V287" s="3"/>
      <c r="W287" s="6"/>
      <c r="X287" s="6"/>
      <c r="Y287" s="3"/>
      <c r="Z287" s="3"/>
      <c r="AA287" s="3"/>
      <c r="AB287" s="3" t="s">
        <v>42</v>
      </c>
    </row>
    <row r="288" spans="1:28" ht="33" customHeight="1" x14ac:dyDescent="0.25">
      <c r="A288" s="7" t="s">
        <v>946</v>
      </c>
      <c r="B288" s="3" t="s">
        <v>747</v>
      </c>
      <c r="C288" s="3" t="s">
        <v>945</v>
      </c>
      <c r="D288" s="6">
        <v>44073</v>
      </c>
      <c r="E288" s="6">
        <v>45542</v>
      </c>
      <c r="F288" s="3"/>
      <c r="G288" s="6"/>
      <c r="H288" s="3"/>
      <c r="I288" s="6"/>
      <c r="J288" s="3" t="s">
        <v>68</v>
      </c>
      <c r="K288" s="3"/>
      <c r="L288" s="3"/>
      <c r="M288" s="3" t="s">
        <v>34</v>
      </c>
      <c r="N288" s="3" t="s">
        <v>750</v>
      </c>
      <c r="O288" s="3" t="s">
        <v>441</v>
      </c>
      <c r="P288" s="3" t="s">
        <v>37</v>
      </c>
      <c r="Q288" s="5">
        <v>33777</v>
      </c>
      <c r="R288" s="5"/>
      <c r="S288" s="5"/>
      <c r="T288" s="3" t="s">
        <v>38</v>
      </c>
      <c r="U288" s="3" t="s">
        <v>153</v>
      </c>
      <c r="V288" s="3"/>
      <c r="W288" s="6"/>
      <c r="X288" s="6"/>
      <c r="Y288" s="3"/>
      <c r="Z288" s="3"/>
      <c r="AA288" s="3"/>
      <c r="AB288" s="3" t="s">
        <v>42</v>
      </c>
    </row>
    <row r="289" spans="1:28" ht="33" customHeight="1" x14ac:dyDescent="0.25">
      <c r="A289" s="7" t="s">
        <v>947</v>
      </c>
      <c r="B289" s="3" t="s">
        <v>747</v>
      </c>
      <c r="C289" s="3" t="s">
        <v>945</v>
      </c>
      <c r="D289" s="6">
        <v>44073</v>
      </c>
      <c r="E289" s="6">
        <v>45542</v>
      </c>
      <c r="F289" s="3"/>
      <c r="G289" s="6"/>
      <c r="H289" s="3"/>
      <c r="I289" s="6"/>
      <c r="J289" s="3" t="s">
        <v>68</v>
      </c>
      <c r="K289" s="3"/>
      <c r="L289" s="3"/>
      <c r="M289" s="3" t="s">
        <v>34</v>
      </c>
      <c r="N289" s="3" t="s">
        <v>750</v>
      </c>
      <c r="O289" s="3" t="s">
        <v>441</v>
      </c>
      <c r="P289" s="3" t="s">
        <v>37</v>
      </c>
      <c r="Q289" s="5">
        <v>6036</v>
      </c>
      <c r="R289" s="5"/>
      <c r="S289" s="5"/>
      <c r="T289" s="3" t="s">
        <v>38</v>
      </c>
      <c r="U289" s="3" t="s">
        <v>153</v>
      </c>
      <c r="V289" s="3"/>
      <c r="W289" s="6"/>
      <c r="X289" s="6"/>
      <c r="Y289" s="3"/>
      <c r="Z289" s="3"/>
      <c r="AA289" s="3"/>
      <c r="AB289" s="3" t="s">
        <v>42</v>
      </c>
    </row>
    <row r="290" spans="1:28" ht="33" customHeight="1" x14ac:dyDescent="0.25">
      <c r="A290" s="7" t="s">
        <v>948</v>
      </c>
      <c r="B290" s="3" t="s">
        <v>747</v>
      </c>
      <c r="C290" s="3" t="s">
        <v>945</v>
      </c>
      <c r="D290" s="6">
        <v>44073</v>
      </c>
      <c r="E290" s="6">
        <v>45542</v>
      </c>
      <c r="F290" s="3"/>
      <c r="G290" s="6"/>
      <c r="H290" s="3"/>
      <c r="I290" s="6"/>
      <c r="J290" s="3" t="s">
        <v>68</v>
      </c>
      <c r="K290" s="3"/>
      <c r="L290" s="3"/>
      <c r="M290" s="3" t="s">
        <v>34</v>
      </c>
      <c r="N290" s="3" t="s">
        <v>750</v>
      </c>
      <c r="O290" s="3" t="s">
        <v>441</v>
      </c>
      <c r="P290" s="3" t="s">
        <v>37</v>
      </c>
      <c r="Q290" s="5">
        <v>7538</v>
      </c>
      <c r="R290" s="5"/>
      <c r="S290" s="5"/>
      <c r="T290" s="3" t="s">
        <v>38</v>
      </c>
      <c r="U290" s="3" t="s">
        <v>153</v>
      </c>
      <c r="V290" s="3"/>
      <c r="W290" s="6"/>
      <c r="X290" s="6"/>
      <c r="Y290" s="3"/>
      <c r="Z290" s="3"/>
      <c r="AA290" s="3"/>
      <c r="AB290" s="3" t="s">
        <v>42</v>
      </c>
    </row>
    <row r="291" spans="1:28" ht="33" customHeight="1" x14ac:dyDescent="0.25">
      <c r="A291" s="7" t="s">
        <v>949</v>
      </c>
      <c r="B291" s="3" t="s">
        <v>747</v>
      </c>
      <c r="C291" s="3" t="s">
        <v>945</v>
      </c>
      <c r="D291" s="6">
        <v>44073</v>
      </c>
      <c r="E291" s="6">
        <v>45542</v>
      </c>
      <c r="F291" s="3"/>
      <c r="G291" s="6"/>
      <c r="H291" s="3"/>
      <c r="I291" s="6"/>
      <c r="J291" s="3" t="s">
        <v>68</v>
      </c>
      <c r="K291" s="3"/>
      <c r="L291" s="3"/>
      <c r="M291" s="3" t="s">
        <v>34</v>
      </c>
      <c r="N291" s="3" t="s">
        <v>750</v>
      </c>
      <c r="O291" s="3" t="s">
        <v>441</v>
      </c>
      <c r="P291" s="3" t="s">
        <v>37</v>
      </c>
      <c r="Q291" s="5">
        <v>7501</v>
      </c>
      <c r="R291" s="5"/>
      <c r="S291" s="5"/>
      <c r="T291" s="3" t="s">
        <v>38</v>
      </c>
      <c r="U291" s="3" t="s">
        <v>153</v>
      </c>
      <c r="V291" s="3"/>
      <c r="W291" s="6"/>
      <c r="X291" s="6"/>
      <c r="Y291" s="3"/>
      <c r="Z291" s="3"/>
      <c r="AA291" s="3"/>
      <c r="AB291" s="3" t="s">
        <v>42</v>
      </c>
    </row>
    <row r="292" spans="1:28" ht="33" customHeight="1" x14ac:dyDescent="0.25">
      <c r="A292" s="7" t="s">
        <v>950</v>
      </c>
      <c r="B292" s="3" t="s">
        <v>747</v>
      </c>
      <c r="C292" s="3" t="s">
        <v>926</v>
      </c>
      <c r="D292" s="6">
        <v>44073</v>
      </c>
      <c r="E292" s="6">
        <v>45542</v>
      </c>
      <c r="F292" s="3"/>
      <c r="G292" s="6"/>
      <c r="H292" s="3"/>
      <c r="I292" s="6"/>
      <c r="J292" s="3" t="s">
        <v>68</v>
      </c>
      <c r="K292" s="3"/>
      <c r="L292" s="3"/>
      <c r="M292" s="3" t="s">
        <v>34</v>
      </c>
      <c r="N292" s="3" t="s">
        <v>750</v>
      </c>
      <c r="O292" s="3" t="s">
        <v>441</v>
      </c>
      <c r="P292" s="3" t="s">
        <v>37</v>
      </c>
      <c r="Q292" s="5">
        <v>23646</v>
      </c>
      <c r="R292" s="5"/>
      <c r="S292" s="5"/>
      <c r="T292" s="3" t="s">
        <v>38</v>
      </c>
      <c r="U292" s="3" t="s">
        <v>153</v>
      </c>
      <c r="V292" s="3"/>
      <c r="W292" s="6"/>
      <c r="X292" s="6"/>
      <c r="Y292" s="3"/>
      <c r="Z292" s="3"/>
      <c r="AA292" s="3"/>
      <c r="AB292" s="3" t="s">
        <v>42</v>
      </c>
    </row>
    <row r="293" spans="1:28" ht="33" customHeight="1" x14ac:dyDescent="0.25">
      <c r="A293" s="7" t="s">
        <v>951</v>
      </c>
      <c r="B293" s="3" t="s">
        <v>747</v>
      </c>
      <c r="C293" s="3" t="s">
        <v>907</v>
      </c>
      <c r="D293" s="6">
        <v>43240</v>
      </c>
      <c r="E293" s="6">
        <v>45430</v>
      </c>
      <c r="F293" s="3"/>
      <c r="G293" s="6"/>
      <c r="H293" s="3"/>
      <c r="I293" s="6"/>
      <c r="J293" s="3" t="s">
        <v>68</v>
      </c>
      <c r="K293" s="3"/>
      <c r="L293" s="3"/>
      <c r="M293" s="3" t="s">
        <v>34</v>
      </c>
      <c r="N293" s="3" t="s">
        <v>750</v>
      </c>
      <c r="O293" s="3" t="s">
        <v>441</v>
      </c>
      <c r="P293" s="3" t="s">
        <v>37</v>
      </c>
      <c r="Q293" s="5">
        <v>6366</v>
      </c>
      <c r="R293" s="5"/>
      <c r="S293" s="5"/>
      <c r="T293" s="3" t="s">
        <v>840</v>
      </c>
      <c r="U293" s="3" t="s">
        <v>153</v>
      </c>
      <c r="V293" s="3"/>
      <c r="W293" s="6"/>
      <c r="X293" s="6"/>
      <c r="Y293" s="3"/>
      <c r="Z293" s="3"/>
      <c r="AA293" s="3"/>
      <c r="AB293" s="3" t="s">
        <v>42</v>
      </c>
    </row>
    <row r="294" spans="1:28" ht="33" customHeight="1" x14ac:dyDescent="0.25">
      <c r="A294" s="7" t="s">
        <v>952</v>
      </c>
      <c r="B294" s="3" t="s">
        <v>747</v>
      </c>
      <c r="C294" s="3" t="s">
        <v>926</v>
      </c>
      <c r="D294" s="6">
        <v>44073</v>
      </c>
      <c r="E294" s="6">
        <v>45542</v>
      </c>
      <c r="F294" s="3"/>
      <c r="G294" s="6"/>
      <c r="H294" s="3"/>
      <c r="I294" s="6"/>
      <c r="J294" s="3" t="s">
        <v>68</v>
      </c>
      <c r="K294" s="3"/>
      <c r="L294" s="3"/>
      <c r="M294" s="3" t="s">
        <v>34</v>
      </c>
      <c r="N294" s="3" t="s">
        <v>750</v>
      </c>
      <c r="O294" s="3" t="s">
        <v>441</v>
      </c>
      <c r="P294" s="3" t="s">
        <v>37</v>
      </c>
      <c r="Q294" s="5">
        <v>7238</v>
      </c>
      <c r="R294" s="5"/>
      <c r="S294" s="5"/>
      <c r="T294" s="3" t="s">
        <v>38</v>
      </c>
      <c r="U294" s="3" t="s">
        <v>153</v>
      </c>
      <c r="V294" s="3"/>
      <c r="W294" s="6"/>
      <c r="X294" s="6"/>
      <c r="Y294" s="3"/>
      <c r="Z294" s="3"/>
      <c r="AA294" s="3"/>
      <c r="AB294" s="3" t="s">
        <v>42</v>
      </c>
    </row>
    <row r="295" spans="1:28" ht="33" customHeight="1" x14ac:dyDescent="0.25">
      <c r="A295" s="7" t="s">
        <v>953</v>
      </c>
      <c r="B295" s="3" t="s">
        <v>747</v>
      </c>
      <c r="C295" s="3" t="s">
        <v>942</v>
      </c>
      <c r="D295" s="6">
        <v>44073</v>
      </c>
      <c r="E295" s="6">
        <v>45542</v>
      </c>
      <c r="F295" s="3"/>
      <c r="G295" s="6"/>
      <c r="H295" s="3"/>
      <c r="I295" s="6"/>
      <c r="J295" s="3" t="s">
        <v>68</v>
      </c>
      <c r="K295" s="3"/>
      <c r="L295" s="3"/>
      <c r="M295" s="3" t="s">
        <v>34</v>
      </c>
      <c r="N295" s="3" t="s">
        <v>750</v>
      </c>
      <c r="O295" s="3" t="s">
        <v>441</v>
      </c>
      <c r="P295" s="3" t="s">
        <v>37</v>
      </c>
      <c r="Q295" s="5">
        <v>18501</v>
      </c>
      <c r="R295" s="5"/>
      <c r="S295" s="5"/>
      <c r="T295" s="3" t="s">
        <v>38</v>
      </c>
      <c r="U295" s="3" t="s">
        <v>153</v>
      </c>
      <c r="V295" s="3"/>
      <c r="W295" s="6"/>
      <c r="X295" s="6"/>
      <c r="Y295" s="3"/>
      <c r="Z295" s="3"/>
      <c r="AA295" s="3"/>
      <c r="AB295" s="3" t="s">
        <v>42</v>
      </c>
    </row>
    <row r="296" spans="1:28" ht="33" customHeight="1" x14ac:dyDescent="0.25">
      <c r="A296" s="7" t="s">
        <v>954</v>
      </c>
      <c r="B296" s="3" t="s">
        <v>747</v>
      </c>
      <c r="C296" s="3" t="s">
        <v>942</v>
      </c>
      <c r="D296" s="6">
        <v>44073</v>
      </c>
      <c r="E296" s="6">
        <v>45542</v>
      </c>
      <c r="F296" s="3"/>
      <c r="G296" s="6"/>
      <c r="H296" s="3"/>
      <c r="I296" s="6"/>
      <c r="J296" s="3" t="s">
        <v>68</v>
      </c>
      <c r="K296" s="3"/>
      <c r="L296" s="3"/>
      <c r="M296" s="3" t="s">
        <v>34</v>
      </c>
      <c r="N296" s="3" t="s">
        <v>750</v>
      </c>
      <c r="O296" s="3" t="s">
        <v>441</v>
      </c>
      <c r="P296" s="3" t="s">
        <v>37</v>
      </c>
      <c r="Q296" s="5">
        <v>2830</v>
      </c>
      <c r="R296" s="5"/>
      <c r="S296" s="5"/>
      <c r="T296" s="3" t="s">
        <v>38</v>
      </c>
      <c r="U296" s="3" t="s">
        <v>153</v>
      </c>
      <c r="V296" s="3"/>
      <c r="W296" s="6"/>
      <c r="X296" s="6"/>
      <c r="Y296" s="3"/>
      <c r="Z296" s="3"/>
      <c r="AA296" s="3"/>
      <c r="AB296" s="3" t="s">
        <v>42</v>
      </c>
    </row>
    <row r="297" spans="1:28" ht="33" customHeight="1" x14ac:dyDescent="0.25">
      <c r="A297" s="7" t="s">
        <v>955</v>
      </c>
      <c r="B297" s="3" t="s">
        <v>747</v>
      </c>
      <c r="C297" s="3" t="s">
        <v>939</v>
      </c>
      <c r="D297" s="6">
        <v>44073</v>
      </c>
      <c r="E297" s="6">
        <v>45542</v>
      </c>
      <c r="F297" s="3"/>
      <c r="G297" s="6"/>
      <c r="H297" s="3"/>
      <c r="I297" s="6"/>
      <c r="J297" s="3" t="s">
        <v>68</v>
      </c>
      <c r="K297" s="3"/>
      <c r="L297" s="3"/>
      <c r="M297" s="3" t="s">
        <v>34</v>
      </c>
      <c r="N297" s="3" t="s">
        <v>750</v>
      </c>
      <c r="O297" s="3" t="s">
        <v>441</v>
      </c>
      <c r="P297" s="3" t="s">
        <v>37</v>
      </c>
      <c r="Q297" s="5">
        <v>8561</v>
      </c>
      <c r="R297" s="5"/>
      <c r="S297" s="5"/>
      <c r="T297" s="3" t="s">
        <v>38</v>
      </c>
      <c r="U297" s="3" t="s">
        <v>153</v>
      </c>
      <c r="V297" s="3"/>
      <c r="W297" s="6"/>
      <c r="X297" s="6"/>
      <c r="Y297" s="3"/>
      <c r="Z297" s="3"/>
      <c r="AA297" s="3"/>
      <c r="AB297" s="3" t="s">
        <v>42</v>
      </c>
    </row>
    <row r="298" spans="1:28" ht="33" customHeight="1" x14ac:dyDescent="0.25">
      <c r="A298" s="7" t="s">
        <v>956</v>
      </c>
      <c r="B298" s="3" t="s">
        <v>747</v>
      </c>
      <c r="C298" s="3" t="s">
        <v>942</v>
      </c>
      <c r="D298" s="6">
        <v>44073</v>
      </c>
      <c r="E298" s="6">
        <v>45542</v>
      </c>
      <c r="F298" s="3"/>
      <c r="G298" s="6"/>
      <c r="H298" s="3"/>
      <c r="I298" s="6"/>
      <c r="J298" s="3" t="s">
        <v>68</v>
      </c>
      <c r="K298" s="3"/>
      <c r="L298" s="3"/>
      <c r="M298" s="3" t="s">
        <v>34</v>
      </c>
      <c r="N298" s="3" t="s">
        <v>750</v>
      </c>
      <c r="O298" s="3" t="s">
        <v>441</v>
      </c>
      <c r="P298" s="3" t="s">
        <v>37</v>
      </c>
      <c r="Q298" s="5">
        <v>1712</v>
      </c>
      <c r="R298" s="5"/>
      <c r="S298" s="5"/>
      <c r="T298" s="3" t="s">
        <v>38</v>
      </c>
      <c r="U298" s="3" t="s">
        <v>153</v>
      </c>
      <c r="V298" s="3"/>
      <c r="W298" s="6"/>
      <c r="X298" s="6"/>
      <c r="Y298" s="3"/>
      <c r="Z298" s="3"/>
      <c r="AA298" s="3"/>
      <c r="AB298" s="3" t="s">
        <v>42</v>
      </c>
    </row>
    <row r="299" spans="1:28" ht="33" customHeight="1" x14ac:dyDescent="0.25">
      <c r="A299" s="7" t="s">
        <v>957</v>
      </c>
      <c r="B299" s="3" t="s">
        <v>747</v>
      </c>
      <c r="C299" s="3" t="s">
        <v>958</v>
      </c>
      <c r="D299" s="6">
        <v>42505</v>
      </c>
      <c r="E299" s="6">
        <v>45494</v>
      </c>
      <c r="F299" s="3"/>
      <c r="G299" s="6"/>
      <c r="H299" s="3"/>
      <c r="I299" s="6"/>
      <c r="J299" s="3" t="s">
        <v>68</v>
      </c>
      <c r="K299" s="3"/>
      <c r="L299" s="3"/>
      <c r="M299" s="3" t="s">
        <v>34</v>
      </c>
      <c r="N299" s="3" t="s">
        <v>750</v>
      </c>
      <c r="O299" s="3" t="s">
        <v>441</v>
      </c>
      <c r="P299" s="3" t="s">
        <v>37</v>
      </c>
      <c r="Q299" s="5">
        <v>109830</v>
      </c>
      <c r="R299" s="5"/>
      <c r="S299" s="5"/>
      <c r="T299" s="3" t="s">
        <v>38</v>
      </c>
      <c r="U299" s="3" t="s">
        <v>153</v>
      </c>
      <c r="V299" s="3"/>
      <c r="W299" s="6"/>
      <c r="X299" s="6"/>
      <c r="Y299" s="3"/>
      <c r="Z299" s="3"/>
      <c r="AA299" s="3"/>
      <c r="AB299" s="3" t="s">
        <v>42</v>
      </c>
    </row>
    <row r="300" spans="1:28" ht="33" customHeight="1" x14ac:dyDescent="0.25">
      <c r="A300" s="7" t="s">
        <v>959</v>
      </c>
      <c r="B300" s="3" t="s">
        <v>747</v>
      </c>
      <c r="C300" s="3" t="s">
        <v>960</v>
      </c>
      <c r="D300" s="6">
        <v>42505</v>
      </c>
      <c r="E300" s="6">
        <v>45494</v>
      </c>
      <c r="F300" s="3"/>
      <c r="G300" s="6"/>
      <c r="H300" s="3"/>
      <c r="I300" s="6"/>
      <c r="J300" s="3" t="s">
        <v>68</v>
      </c>
      <c r="K300" s="3"/>
      <c r="L300" s="3"/>
      <c r="M300" s="3" t="s">
        <v>34</v>
      </c>
      <c r="N300" s="3" t="s">
        <v>750</v>
      </c>
      <c r="O300" s="3" t="s">
        <v>441</v>
      </c>
      <c r="P300" s="3" t="s">
        <v>37</v>
      </c>
      <c r="Q300" s="5">
        <v>106035</v>
      </c>
      <c r="R300" s="5"/>
      <c r="S300" s="5"/>
      <c r="T300" s="3" t="s">
        <v>38</v>
      </c>
      <c r="U300" s="3" t="s">
        <v>153</v>
      </c>
      <c r="V300" s="3"/>
      <c r="W300" s="6"/>
      <c r="X300" s="6"/>
      <c r="Y300" s="3"/>
      <c r="Z300" s="3"/>
      <c r="AA300" s="3"/>
      <c r="AB300" s="3" t="s">
        <v>42</v>
      </c>
    </row>
    <row r="301" spans="1:28" ht="33" customHeight="1" x14ac:dyDescent="0.25">
      <c r="A301" s="7" t="s">
        <v>961</v>
      </c>
      <c r="B301" s="3" t="s">
        <v>747</v>
      </c>
      <c r="C301" s="3" t="s">
        <v>962</v>
      </c>
      <c r="D301" s="6">
        <v>43674</v>
      </c>
      <c r="E301" s="6">
        <v>45339</v>
      </c>
      <c r="F301" s="3"/>
      <c r="G301" s="6"/>
      <c r="H301" s="3"/>
      <c r="I301" s="6"/>
      <c r="J301" s="3" t="s">
        <v>68</v>
      </c>
      <c r="K301" s="3"/>
      <c r="L301" s="3"/>
      <c r="M301" s="3" t="s">
        <v>34</v>
      </c>
      <c r="N301" s="3" t="s">
        <v>750</v>
      </c>
      <c r="O301" s="3" t="s">
        <v>441</v>
      </c>
      <c r="P301" s="3" t="s">
        <v>37</v>
      </c>
      <c r="Q301" s="5">
        <v>11039</v>
      </c>
      <c r="R301" s="5"/>
      <c r="S301" s="5"/>
      <c r="T301" s="3" t="s">
        <v>38</v>
      </c>
      <c r="U301" s="3" t="s">
        <v>153</v>
      </c>
      <c r="V301" s="3"/>
      <c r="W301" s="6"/>
      <c r="X301" s="6"/>
      <c r="Y301" s="3"/>
      <c r="Z301" s="3"/>
      <c r="AA301" s="3"/>
      <c r="AB301" s="3" t="s">
        <v>42</v>
      </c>
    </row>
    <row r="302" spans="1:28" ht="33" customHeight="1" x14ac:dyDescent="0.25">
      <c r="A302" s="7" t="s">
        <v>963</v>
      </c>
      <c r="B302" s="3" t="s">
        <v>747</v>
      </c>
      <c r="C302" s="3" t="s">
        <v>962</v>
      </c>
      <c r="D302" s="6">
        <v>43674</v>
      </c>
      <c r="E302" s="6">
        <v>45339</v>
      </c>
      <c r="F302" s="3"/>
      <c r="G302" s="6"/>
      <c r="H302" s="3"/>
      <c r="I302" s="6"/>
      <c r="J302" s="3" t="s">
        <v>68</v>
      </c>
      <c r="K302" s="3"/>
      <c r="L302" s="3"/>
      <c r="M302" s="3" t="s">
        <v>34</v>
      </c>
      <c r="N302" s="3" t="s">
        <v>750</v>
      </c>
      <c r="O302" s="3" t="s">
        <v>441</v>
      </c>
      <c r="P302" s="3" t="s">
        <v>37</v>
      </c>
      <c r="Q302" s="5">
        <v>11039</v>
      </c>
      <c r="R302" s="5"/>
      <c r="S302" s="5"/>
      <c r="T302" s="3" t="s">
        <v>38</v>
      </c>
      <c r="U302" s="3" t="s">
        <v>153</v>
      </c>
      <c r="V302" s="3"/>
      <c r="W302" s="6"/>
      <c r="X302" s="6"/>
      <c r="Y302" s="3"/>
      <c r="Z302" s="3"/>
      <c r="AA302" s="3"/>
      <c r="AB302" s="3" t="s">
        <v>42</v>
      </c>
    </row>
    <row r="303" spans="1:28" ht="33" customHeight="1" x14ac:dyDescent="0.25">
      <c r="A303" s="7" t="s">
        <v>964</v>
      </c>
      <c r="B303" s="3" t="s">
        <v>747</v>
      </c>
      <c r="C303" s="3" t="s">
        <v>962</v>
      </c>
      <c r="D303" s="6">
        <v>43674</v>
      </c>
      <c r="E303" s="6">
        <v>45339</v>
      </c>
      <c r="F303" s="3"/>
      <c r="G303" s="6"/>
      <c r="H303" s="3"/>
      <c r="I303" s="6"/>
      <c r="J303" s="3" t="s">
        <v>68</v>
      </c>
      <c r="K303" s="3"/>
      <c r="L303" s="3"/>
      <c r="M303" s="3" t="s">
        <v>34</v>
      </c>
      <c r="N303" s="3" t="s">
        <v>750</v>
      </c>
      <c r="O303" s="3" t="s">
        <v>441</v>
      </c>
      <c r="P303" s="3" t="s">
        <v>37</v>
      </c>
      <c r="Q303" s="5">
        <v>11039</v>
      </c>
      <c r="R303" s="5"/>
      <c r="S303" s="5"/>
      <c r="T303" s="3" t="s">
        <v>38</v>
      </c>
      <c r="U303" s="3" t="s">
        <v>153</v>
      </c>
      <c r="V303" s="3"/>
      <c r="W303" s="6"/>
      <c r="X303" s="6"/>
      <c r="Y303" s="3"/>
      <c r="Z303" s="3"/>
      <c r="AA303" s="3"/>
      <c r="AB303" s="3" t="s">
        <v>42</v>
      </c>
    </row>
    <row r="304" spans="1:28" ht="33" customHeight="1" x14ac:dyDescent="0.25">
      <c r="A304" s="7" t="s">
        <v>965</v>
      </c>
      <c r="B304" s="3" t="s">
        <v>747</v>
      </c>
      <c r="C304" s="3" t="s">
        <v>907</v>
      </c>
      <c r="D304" s="6">
        <v>43240</v>
      </c>
      <c r="E304" s="6">
        <v>45430</v>
      </c>
      <c r="F304" s="3"/>
      <c r="G304" s="6"/>
      <c r="H304" s="3"/>
      <c r="I304" s="6"/>
      <c r="J304" s="3" t="s">
        <v>68</v>
      </c>
      <c r="K304" s="3"/>
      <c r="L304" s="3"/>
      <c r="M304" s="3" t="s">
        <v>34</v>
      </c>
      <c r="N304" s="3" t="s">
        <v>750</v>
      </c>
      <c r="O304" s="3" t="s">
        <v>441</v>
      </c>
      <c r="P304" s="3" t="s">
        <v>37</v>
      </c>
      <c r="Q304" s="5">
        <v>2973</v>
      </c>
      <c r="R304" s="5"/>
      <c r="S304" s="5"/>
      <c r="T304" s="3" t="s">
        <v>840</v>
      </c>
      <c r="U304" s="3" t="s">
        <v>153</v>
      </c>
      <c r="V304" s="3"/>
      <c r="W304" s="6"/>
      <c r="X304" s="6"/>
      <c r="Y304" s="3"/>
      <c r="Z304" s="3"/>
      <c r="AA304" s="3"/>
      <c r="AB304" s="3" t="s">
        <v>42</v>
      </c>
    </row>
    <row r="305" spans="1:28" ht="33" customHeight="1" x14ac:dyDescent="0.25">
      <c r="A305" s="7" t="s">
        <v>966</v>
      </c>
      <c r="B305" s="3" t="s">
        <v>747</v>
      </c>
      <c r="C305" s="3" t="s">
        <v>962</v>
      </c>
      <c r="D305" s="6">
        <v>43674</v>
      </c>
      <c r="E305" s="6">
        <v>45339</v>
      </c>
      <c r="F305" s="3"/>
      <c r="G305" s="6"/>
      <c r="H305" s="3"/>
      <c r="I305" s="6"/>
      <c r="J305" s="3" t="s">
        <v>68</v>
      </c>
      <c r="K305" s="3"/>
      <c r="L305" s="3"/>
      <c r="M305" s="3" t="s">
        <v>34</v>
      </c>
      <c r="N305" s="3" t="s">
        <v>750</v>
      </c>
      <c r="O305" s="3" t="s">
        <v>441</v>
      </c>
      <c r="P305" s="3" t="s">
        <v>37</v>
      </c>
      <c r="Q305" s="5">
        <v>11039</v>
      </c>
      <c r="R305" s="5"/>
      <c r="S305" s="5"/>
      <c r="T305" s="3" t="s">
        <v>38</v>
      </c>
      <c r="U305" s="3" t="s">
        <v>153</v>
      </c>
      <c r="V305" s="3"/>
      <c r="W305" s="6"/>
      <c r="X305" s="6"/>
      <c r="Y305" s="3"/>
      <c r="Z305" s="3"/>
      <c r="AA305" s="3"/>
      <c r="AB305" s="3" t="s">
        <v>42</v>
      </c>
    </row>
    <row r="306" spans="1:28" ht="33" customHeight="1" x14ac:dyDescent="0.25">
      <c r="A306" s="7" t="s">
        <v>967</v>
      </c>
      <c r="B306" s="3" t="s">
        <v>747</v>
      </c>
      <c r="C306" s="3" t="s">
        <v>968</v>
      </c>
      <c r="D306" s="6">
        <v>43674</v>
      </c>
      <c r="E306" s="6">
        <v>45339</v>
      </c>
      <c r="F306" s="3"/>
      <c r="G306" s="6"/>
      <c r="H306" s="3"/>
      <c r="I306" s="6"/>
      <c r="J306" s="3" t="s">
        <v>68</v>
      </c>
      <c r="K306" s="3"/>
      <c r="L306" s="3"/>
      <c r="M306" s="3" t="s">
        <v>34</v>
      </c>
      <c r="N306" s="3" t="s">
        <v>750</v>
      </c>
      <c r="O306" s="3" t="s">
        <v>441</v>
      </c>
      <c r="P306" s="3" t="s">
        <v>37</v>
      </c>
      <c r="Q306" s="5">
        <v>11039</v>
      </c>
      <c r="R306" s="5"/>
      <c r="S306" s="5"/>
      <c r="T306" s="3" t="s">
        <v>38</v>
      </c>
      <c r="U306" s="3" t="s">
        <v>153</v>
      </c>
      <c r="V306" s="3"/>
      <c r="W306" s="6"/>
      <c r="X306" s="6"/>
      <c r="Y306" s="3"/>
      <c r="Z306" s="3"/>
      <c r="AA306" s="3"/>
      <c r="AB306" s="3" t="s">
        <v>42</v>
      </c>
    </row>
    <row r="307" spans="1:28" ht="33" customHeight="1" x14ac:dyDescent="0.25">
      <c r="A307" s="7" t="s">
        <v>969</v>
      </c>
      <c r="B307" s="3" t="s">
        <v>747</v>
      </c>
      <c r="C307" s="3" t="s">
        <v>968</v>
      </c>
      <c r="D307" s="6">
        <v>43674</v>
      </c>
      <c r="E307" s="6">
        <v>45339</v>
      </c>
      <c r="F307" s="3"/>
      <c r="G307" s="6"/>
      <c r="H307" s="3"/>
      <c r="I307" s="6"/>
      <c r="J307" s="3" t="s">
        <v>68</v>
      </c>
      <c r="K307" s="3"/>
      <c r="L307" s="3"/>
      <c r="M307" s="3" t="s">
        <v>34</v>
      </c>
      <c r="N307" s="3" t="s">
        <v>750</v>
      </c>
      <c r="O307" s="3" t="s">
        <v>441</v>
      </c>
      <c r="P307" s="3" t="s">
        <v>37</v>
      </c>
      <c r="Q307" s="5">
        <v>11039</v>
      </c>
      <c r="R307" s="5"/>
      <c r="S307" s="5"/>
      <c r="T307" s="3" t="s">
        <v>38</v>
      </c>
      <c r="U307" s="3" t="s">
        <v>153</v>
      </c>
      <c r="V307" s="3"/>
      <c r="W307" s="6"/>
      <c r="X307" s="6"/>
      <c r="Y307" s="3"/>
      <c r="Z307" s="3"/>
      <c r="AA307" s="3"/>
      <c r="AB307" s="3" t="s">
        <v>42</v>
      </c>
    </row>
    <row r="308" spans="1:28" ht="33" customHeight="1" x14ac:dyDescent="0.25">
      <c r="A308" s="7" t="s">
        <v>970</v>
      </c>
      <c r="B308" s="3" t="s">
        <v>747</v>
      </c>
      <c r="C308" s="3" t="s">
        <v>968</v>
      </c>
      <c r="D308" s="6">
        <v>43674</v>
      </c>
      <c r="E308" s="6">
        <v>45339</v>
      </c>
      <c r="F308" s="3"/>
      <c r="G308" s="6"/>
      <c r="H308" s="3"/>
      <c r="I308" s="6"/>
      <c r="J308" s="3" t="s">
        <v>68</v>
      </c>
      <c r="K308" s="3"/>
      <c r="L308" s="3"/>
      <c r="M308" s="3" t="s">
        <v>34</v>
      </c>
      <c r="N308" s="3" t="s">
        <v>750</v>
      </c>
      <c r="O308" s="3" t="s">
        <v>441</v>
      </c>
      <c r="P308" s="3" t="s">
        <v>37</v>
      </c>
      <c r="Q308" s="5">
        <v>11039</v>
      </c>
      <c r="R308" s="5"/>
      <c r="S308" s="5"/>
      <c r="T308" s="3" t="s">
        <v>38</v>
      </c>
      <c r="U308" s="3" t="s">
        <v>153</v>
      </c>
      <c r="V308" s="3"/>
      <c r="W308" s="6"/>
      <c r="X308" s="6"/>
      <c r="Y308" s="3"/>
      <c r="Z308" s="3"/>
      <c r="AA308" s="3"/>
      <c r="AB308" s="3" t="s">
        <v>42</v>
      </c>
    </row>
    <row r="309" spans="1:28" ht="33" customHeight="1" x14ac:dyDescent="0.25">
      <c r="A309" s="7" t="s">
        <v>971</v>
      </c>
      <c r="B309" s="3" t="s">
        <v>747</v>
      </c>
      <c r="C309" s="3" t="s">
        <v>968</v>
      </c>
      <c r="D309" s="6">
        <v>43674</v>
      </c>
      <c r="E309" s="6">
        <v>45339</v>
      </c>
      <c r="F309" s="3"/>
      <c r="G309" s="6"/>
      <c r="H309" s="3"/>
      <c r="I309" s="6"/>
      <c r="J309" s="3" t="s">
        <v>68</v>
      </c>
      <c r="K309" s="3"/>
      <c r="L309" s="3"/>
      <c r="M309" s="3" t="s">
        <v>34</v>
      </c>
      <c r="N309" s="3" t="s">
        <v>750</v>
      </c>
      <c r="O309" s="3" t="s">
        <v>441</v>
      </c>
      <c r="P309" s="3" t="s">
        <v>37</v>
      </c>
      <c r="Q309" s="5">
        <v>11039</v>
      </c>
      <c r="R309" s="5"/>
      <c r="S309" s="5"/>
      <c r="T309" s="3" t="s">
        <v>38</v>
      </c>
      <c r="U309" s="3" t="s">
        <v>153</v>
      </c>
      <c r="V309" s="3"/>
      <c r="W309" s="6"/>
      <c r="X309" s="6"/>
      <c r="Y309" s="3"/>
      <c r="Z309" s="3"/>
      <c r="AA309" s="3"/>
      <c r="AB309" s="3" t="s">
        <v>42</v>
      </c>
    </row>
    <row r="310" spans="1:28" ht="33" customHeight="1" x14ac:dyDescent="0.25">
      <c r="A310" s="7" t="s">
        <v>972</v>
      </c>
      <c r="B310" s="3" t="s">
        <v>747</v>
      </c>
      <c r="C310" s="3" t="s">
        <v>973</v>
      </c>
      <c r="D310" s="6">
        <v>43674</v>
      </c>
      <c r="E310" s="6">
        <v>45339</v>
      </c>
      <c r="F310" s="3"/>
      <c r="G310" s="6"/>
      <c r="H310" s="3"/>
      <c r="I310" s="6"/>
      <c r="J310" s="3" t="s">
        <v>68</v>
      </c>
      <c r="K310" s="3"/>
      <c r="L310" s="3"/>
      <c r="M310" s="3" t="s">
        <v>34</v>
      </c>
      <c r="N310" s="3" t="s">
        <v>750</v>
      </c>
      <c r="O310" s="3" t="s">
        <v>441</v>
      </c>
      <c r="P310" s="3" t="s">
        <v>37</v>
      </c>
      <c r="Q310" s="5">
        <v>11039</v>
      </c>
      <c r="R310" s="5"/>
      <c r="S310" s="5"/>
      <c r="T310" s="3" t="s">
        <v>38</v>
      </c>
      <c r="U310" s="3" t="s">
        <v>153</v>
      </c>
      <c r="V310" s="3"/>
      <c r="W310" s="6"/>
      <c r="X310" s="6"/>
      <c r="Y310" s="3"/>
      <c r="Z310" s="3"/>
      <c r="AA310" s="3"/>
      <c r="AB310" s="3" t="s">
        <v>42</v>
      </c>
    </row>
    <row r="311" spans="1:28" ht="33" customHeight="1" x14ac:dyDescent="0.25">
      <c r="A311" s="7" t="s">
        <v>974</v>
      </c>
      <c r="B311" s="3" t="s">
        <v>747</v>
      </c>
      <c r="C311" s="3" t="s">
        <v>973</v>
      </c>
      <c r="D311" s="6">
        <v>43674</v>
      </c>
      <c r="E311" s="6">
        <v>45339</v>
      </c>
      <c r="F311" s="3"/>
      <c r="G311" s="6"/>
      <c r="H311" s="3"/>
      <c r="I311" s="6"/>
      <c r="J311" s="3" t="s">
        <v>68</v>
      </c>
      <c r="K311" s="3"/>
      <c r="L311" s="3"/>
      <c r="M311" s="3" t="s">
        <v>34</v>
      </c>
      <c r="N311" s="3" t="s">
        <v>750</v>
      </c>
      <c r="O311" s="3" t="s">
        <v>441</v>
      </c>
      <c r="P311" s="3" t="s">
        <v>37</v>
      </c>
      <c r="Q311" s="5">
        <v>11039</v>
      </c>
      <c r="R311" s="5"/>
      <c r="S311" s="5"/>
      <c r="T311" s="3" t="s">
        <v>38</v>
      </c>
      <c r="U311" s="3" t="s">
        <v>153</v>
      </c>
      <c r="V311" s="3"/>
      <c r="W311" s="6"/>
      <c r="X311" s="6"/>
      <c r="Y311" s="3"/>
      <c r="Z311" s="3"/>
      <c r="AA311" s="3"/>
      <c r="AB311" s="3" t="s">
        <v>42</v>
      </c>
    </row>
    <row r="312" spans="1:28" ht="33" customHeight="1" x14ac:dyDescent="0.25">
      <c r="A312" s="7" t="s">
        <v>975</v>
      </c>
      <c r="B312" s="3" t="s">
        <v>747</v>
      </c>
      <c r="C312" s="3" t="s">
        <v>973</v>
      </c>
      <c r="D312" s="6">
        <v>43674</v>
      </c>
      <c r="E312" s="6">
        <v>45339</v>
      </c>
      <c r="F312" s="3"/>
      <c r="G312" s="6"/>
      <c r="H312" s="3"/>
      <c r="I312" s="6"/>
      <c r="J312" s="3" t="s">
        <v>68</v>
      </c>
      <c r="K312" s="3"/>
      <c r="L312" s="3"/>
      <c r="M312" s="3" t="s">
        <v>34</v>
      </c>
      <c r="N312" s="3" t="s">
        <v>750</v>
      </c>
      <c r="O312" s="3" t="s">
        <v>441</v>
      </c>
      <c r="P312" s="3" t="s">
        <v>37</v>
      </c>
      <c r="Q312" s="5">
        <v>11039</v>
      </c>
      <c r="R312" s="5"/>
      <c r="S312" s="5"/>
      <c r="T312" s="3" t="s">
        <v>38</v>
      </c>
      <c r="U312" s="3" t="s">
        <v>153</v>
      </c>
      <c r="V312" s="3"/>
      <c r="W312" s="6"/>
      <c r="X312" s="6"/>
      <c r="Y312" s="3"/>
      <c r="Z312" s="3"/>
      <c r="AA312" s="3"/>
      <c r="AB312" s="3" t="s">
        <v>42</v>
      </c>
    </row>
    <row r="313" spans="1:28" ht="33" customHeight="1" x14ac:dyDescent="0.25">
      <c r="A313" s="7" t="s">
        <v>976</v>
      </c>
      <c r="B313" s="3" t="s">
        <v>747</v>
      </c>
      <c r="C313" s="3" t="s">
        <v>973</v>
      </c>
      <c r="D313" s="6">
        <v>43674</v>
      </c>
      <c r="E313" s="6">
        <v>45339</v>
      </c>
      <c r="F313" s="3"/>
      <c r="G313" s="6"/>
      <c r="H313" s="3"/>
      <c r="I313" s="6"/>
      <c r="J313" s="3" t="s">
        <v>68</v>
      </c>
      <c r="K313" s="3"/>
      <c r="L313" s="3"/>
      <c r="M313" s="3" t="s">
        <v>34</v>
      </c>
      <c r="N313" s="3" t="s">
        <v>750</v>
      </c>
      <c r="O313" s="3" t="s">
        <v>441</v>
      </c>
      <c r="P313" s="3" t="s">
        <v>37</v>
      </c>
      <c r="Q313" s="5">
        <v>11039</v>
      </c>
      <c r="R313" s="5"/>
      <c r="S313" s="5"/>
      <c r="T313" s="3" t="s">
        <v>38</v>
      </c>
      <c r="U313" s="3" t="s">
        <v>153</v>
      </c>
      <c r="V313" s="3"/>
      <c r="W313" s="6"/>
      <c r="X313" s="6"/>
      <c r="Y313" s="3"/>
      <c r="Z313" s="3"/>
      <c r="AA313" s="3"/>
      <c r="AB313" s="3" t="s">
        <v>42</v>
      </c>
    </row>
    <row r="314" spans="1:28" ht="33" customHeight="1" x14ac:dyDescent="0.25">
      <c r="A314" s="7" t="s">
        <v>977</v>
      </c>
      <c r="B314" s="3" t="s">
        <v>747</v>
      </c>
      <c r="C314" s="3" t="s">
        <v>973</v>
      </c>
      <c r="D314" s="6">
        <v>43674</v>
      </c>
      <c r="E314" s="6">
        <v>45339</v>
      </c>
      <c r="F314" s="3"/>
      <c r="G314" s="6"/>
      <c r="H314" s="3"/>
      <c r="I314" s="6"/>
      <c r="J314" s="3" t="s">
        <v>68</v>
      </c>
      <c r="K314" s="3"/>
      <c r="L314" s="3"/>
      <c r="M314" s="3" t="s">
        <v>34</v>
      </c>
      <c r="N314" s="3" t="s">
        <v>750</v>
      </c>
      <c r="O314" s="3" t="s">
        <v>441</v>
      </c>
      <c r="P314" s="3" t="s">
        <v>37</v>
      </c>
      <c r="Q314" s="5">
        <v>11039</v>
      </c>
      <c r="R314" s="5"/>
      <c r="S314" s="5"/>
      <c r="T314" s="3" t="s">
        <v>38</v>
      </c>
      <c r="U314" s="3" t="s">
        <v>153</v>
      </c>
      <c r="V314" s="3"/>
      <c r="W314" s="6"/>
      <c r="X314" s="6"/>
      <c r="Y314" s="3"/>
      <c r="Z314" s="3"/>
      <c r="AA314" s="3"/>
      <c r="AB314" s="3" t="s">
        <v>42</v>
      </c>
    </row>
    <row r="315" spans="1:28" ht="33" customHeight="1" x14ac:dyDescent="0.25">
      <c r="A315" s="7" t="s">
        <v>978</v>
      </c>
      <c r="B315" s="3" t="s">
        <v>747</v>
      </c>
      <c r="C315" s="3" t="s">
        <v>842</v>
      </c>
      <c r="D315" s="6">
        <v>43240</v>
      </c>
      <c r="E315" s="6">
        <v>45430</v>
      </c>
      <c r="F315" s="3"/>
      <c r="G315" s="6"/>
      <c r="H315" s="3"/>
      <c r="I315" s="6"/>
      <c r="J315" s="3" t="s">
        <v>68</v>
      </c>
      <c r="K315" s="3"/>
      <c r="L315" s="3"/>
      <c r="M315" s="3" t="s">
        <v>34</v>
      </c>
      <c r="N315" s="3" t="s">
        <v>750</v>
      </c>
      <c r="O315" s="3" t="s">
        <v>441</v>
      </c>
      <c r="P315" s="3" t="s">
        <v>37</v>
      </c>
      <c r="Q315" s="5">
        <v>40319</v>
      </c>
      <c r="R315" s="5"/>
      <c r="S315" s="5"/>
      <c r="T315" s="3" t="s">
        <v>840</v>
      </c>
      <c r="U315" s="3" t="s">
        <v>153</v>
      </c>
      <c r="V315" s="3"/>
      <c r="W315" s="6"/>
      <c r="X315" s="6"/>
      <c r="Y315" s="3"/>
      <c r="Z315" s="3"/>
      <c r="AA315" s="3"/>
      <c r="AB315" s="3" t="s">
        <v>42</v>
      </c>
    </row>
    <row r="316" spans="1:28" ht="33" customHeight="1" x14ac:dyDescent="0.25">
      <c r="A316" s="7" t="s">
        <v>979</v>
      </c>
      <c r="B316" s="3" t="s">
        <v>747</v>
      </c>
      <c r="C316" s="3" t="s">
        <v>973</v>
      </c>
      <c r="D316" s="6">
        <v>43674</v>
      </c>
      <c r="E316" s="6">
        <v>45339</v>
      </c>
      <c r="F316" s="3"/>
      <c r="G316" s="6"/>
      <c r="H316" s="3"/>
      <c r="I316" s="6"/>
      <c r="J316" s="3" t="s">
        <v>68</v>
      </c>
      <c r="K316" s="3"/>
      <c r="L316" s="3"/>
      <c r="M316" s="3" t="s">
        <v>34</v>
      </c>
      <c r="N316" s="3" t="s">
        <v>750</v>
      </c>
      <c r="O316" s="3" t="s">
        <v>441</v>
      </c>
      <c r="P316" s="3" t="s">
        <v>37</v>
      </c>
      <c r="Q316" s="5">
        <v>11039</v>
      </c>
      <c r="R316" s="5"/>
      <c r="S316" s="5"/>
      <c r="T316" s="3" t="s">
        <v>38</v>
      </c>
      <c r="U316" s="3" t="s">
        <v>153</v>
      </c>
      <c r="V316" s="3"/>
      <c r="W316" s="6"/>
      <c r="X316" s="6"/>
      <c r="Y316" s="3"/>
      <c r="Z316" s="3"/>
      <c r="AA316" s="3"/>
      <c r="AB316" s="3" t="s">
        <v>42</v>
      </c>
    </row>
    <row r="317" spans="1:28" ht="33" customHeight="1" x14ac:dyDescent="0.25">
      <c r="A317" s="7" t="s">
        <v>980</v>
      </c>
      <c r="B317" s="3" t="s">
        <v>747</v>
      </c>
      <c r="C317" s="3" t="s">
        <v>844</v>
      </c>
      <c r="D317" s="6">
        <v>43674</v>
      </c>
      <c r="E317" s="6">
        <v>45339</v>
      </c>
      <c r="F317" s="3"/>
      <c r="G317" s="6"/>
      <c r="H317" s="3"/>
      <c r="I317" s="6"/>
      <c r="J317" s="3" t="s">
        <v>68</v>
      </c>
      <c r="K317" s="3"/>
      <c r="L317" s="3"/>
      <c r="M317" s="3" t="s">
        <v>34</v>
      </c>
      <c r="N317" s="3" t="s">
        <v>750</v>
      </c>
      <c r="O317" s="3" t="s">
        <v>441</v>
      </c>
      <c r="P317" s="3" t="s">
        <v>37</v>
      </c>
      <c r="Q317" s="5">
        <v>11039</v>
      </c>
      <c r="R317" s="5"/>
      <c r="S317" s="5"/>
      <c r="T317" s="3" t="s">
        <v>38</v>
      </c>
      <c r="U317" s="3" t="s">
        <v>153</v>
      </c>
      <c r="V317" s="3"/>
      <c r="W317" s="6"/>
      <c r="X317" s="6"/>
      <c r="Y317" s="3"/>
      <c r="Z317" s="3"/>
      <c r="AA317" s="3"/>
      <c r="AB317" s="3" t="s">
        <v>42</v>
      </c>
    </row>
    <row r="318" spans="1:28" ht="33" customHeight="1" x14ac:dyDescent="0.25">
      <c r="A318" s="7" t="s">
        <v>981</v>
      </c>
      <c r="B318" s="3" t="s">
        <v>747</v>
      </c>
      <c r="C318" s="3" t="s">
        <v>844</v>
      </c>
      <c r="D318" s="6">
        <v>43674</v>
      </c>
      <c r="E318" s="6">
        <v>45339</v>
      </c>
      <c r="F318" s="3"/>
      <c r="G318" s="6"/>
      <c r="H318" s="3"/>
      <c r="I318" s="6"/>
      <c r="J318" s="3" t="s">
        <v>68</v>
      </c>
      <c r="K318" s="3"/>
      <c r="L318" s="3"/>
      <c r="M318" s="3" t="s">
        <v>34</v>
      </c>
      <c r="N318" s="3" t="s">
        <v>750</v>
      </c>
      <c r="O318" s="3" t="s">
        <v>441</v>
      </c>
      <c r="P318" s="3" t="s">
        <v>37</v>
      </c>
      <c r="Q318" s="5">
        <v>11039</v>
      </c>
      <c r="R318" s="5"/>
      <c r="S318" s="5"/>
      <c r="T318" s="3" t="s">
        <v>38</v>
      </c>
      <c r="U318" s="3" t="s">
        <v>153</v>
      </c>
      <c r="V318" s="3"/>
      <c r="W318" s="6"/>
      <c r="X318" s="6"/>
      <c r="Y318" s="3"/>
      <c r="Z318" s="3"/>
      <c r="AA318" s="3"/>
      <c r="AB318" s="3" t="s">
        <v>42</v>
      </c>
    </row>
    <row r="319" spans="1:28" ht="33" customHeight="1" x14ac:dyDescent="0.25">
      <c r="A319" s="7" t="s">
        <v>982</v>
      </c>
      <c r="B319" s="3" t="s">
        <v>747</v>
      </c>
      <c r="C319" s="3" t="s">
        <v>844</v>
      </c>
      <c r="D319" s="6">
        <v>43674</v>
      </c>
      <c r="E319" s="6">
        <v>45339</v>
      </c>
      <c r="F319" s="3"/>
      <c r="G319" s="6"/>
      <c r="H319" s="3"/>
      <c r="I319" s="6"/>
      <c r="J319" s="3" t="s">
        <v>68</v>
      </c>
      <c r="K319" s="3"/>
      <c r="L319" s="3"/>
      <c r="M319" s="3" t="s">
        <v>34</v>
      </c>
      <c r="N319" s="3" t="s">
        <v>750</v>
      </c>
      <c r="O319" s="3" t="s">
        <v>441</v>
      </c>
      <c r="P319" s="3" t="s">
        <v>37</v>
      </c>
      <c r="Q319" s="5">
        <v>11039</v>
      </c>
      <c r="R319" s="5"/>
      <c r="S319" s="5"/>
      <c r="T319" s="3" t="s">
        <v>38</v>
      </c>
      <c r="U319" s="3" t="s">
        <v>153</v>
      </c>
      <c r="V319" s="3"/>
      <c r="W319" s="6"/>
      <c r="X319" s="6"/>
      <c r="Y319" s="3"/>
      <c r="Z319" s="3"/>
      <c r="AA319" s="3"/>
      <c r="AB319" s="3" t="s">
        <v>42</v>
      </c>
    </row>
    <row r="320" spans="1:28" ht="33" customHeight="1" x14ac:dyDescent="0.25">
      <c r="A320" s="7" t="s">
        <v>983</v>
      </c>
      <c r="B320" s="3" t="s">
        <v>747</v>
      </c>
      <c r="C320" s="3" t="s">
        <v>844</v>
      </c>
      <c r="D320" s="6">
        <v>43674</v>
      </c>
      <c r="E320" s="6">
        <v>45339</v>
      </c>
      <c r="F320" s="3"/>
      <c r="G320" s="6"/>
      <c r="H320" s="3"/>
      <c r="I320" s="6"/>
      <c r="J320" s="3" t="s">
        <v>68</v>
      </c>
      <c r="K320" s="3"/>
      <c r="L320" s="3"/>
      <c r="M320" s="3" t="s">
        <v>34</v>
      </c>
      <c r="N320" s="3" t="s">
        <v>750</v>
      </c>
      <c r="O320" s="3" t="s">
        <v>441</v>
      </c>
      <c r="P320" s="3" t="s">
        <v>37</v>
      </c>
      <c r="Q320" s="5">
        <v>11039</v>
      </c>
      <c r="R320" s="5"/>
      <c r="S320" s="5"/>
      <c r="T320" s="3" t="s">
        <v>38</v>
      </c>
      <c r="U320" s="3" t="s">
        <v>153</v>
      </c>
      <c r="V320" s="3"/>
      <c r="W320" s="6"/>
      <c r="X320" s="6"/>
      <c r="Y320" s="3"/>
      <c r="Z320" s="3"/>
      <c r="AA320" s="3"/>
      <c r="AB320" s="3" t="s">
        <v>42</v>
      </c>
    </row>
    <row r="321" spans="1:28" ht="33" customHeight="1" x14ac:dyDescent="0.25">
      <c r="A321" s="7" t="s">
        <v>984</v>
      </c>
      <c r="B321" s="3" t="s">
        <v>747</v>
      </c>
      <c r="C321" s="3" t="s">
        <v>844</v>
      </c>
      <c r="D321" s="6">
        <v>43674</v>
      </c>
      <c r="E321" s="6">
        <v>45339</v>
      </c>
      <c r="F321" s="3"/>
      <c r="G321" s="6"/>
      <c r="H321" s="3"/>
      <c r="I321" s="6"/>
      <c r="J321" s="3" t="s">
        <v>68</v>
      </c>
      <c r="K321" s="3"/>
      <c r="L321" s="3"/>
      <c r="M321" s="3" t="s">
        <v>34</v>
      </c>
      <c r="N321" s="3" t="s">
        <v>750</v>
      </c>
      <c r="O321" s="3" t="s">
        <v>441</v>
      </c>
      <c r="P321" s="3" t="s">
        <v>37</v>
      </c>
      <c r="Q321" s="5">
        <v>11039</v>
      </c>
      <c r="R321" s="5"/>
      <c r="S321" s="5"/>
      <c r="T321" s="3" t="s">
        <v>38</v>
      </c>
      <c r="U321" s="3" t="s">
        <v>153</v>
      </c>
      <c r="V321" s="3"/>
      <c r="W321" s="6"/>
      <c r="X321" s="6"/>
      <c r="Y321" s="3"/>
      <c r="Z321" s="3"/>
      <c r="AA321" s="3"/>
      <c r="AB321" s="3" t="s">
        <v>42</v>
      </c>
    </row>
    <row r="322" spans="1:28" ht="33" customHeight="1" x14ac:dyDescent="0.25">
      <c r="A322" s="7" t="s">
        <v>985</v>
      </c>
      <c r="B322" s="3" t="s">
        <v>747</v>
      </c>
      <c r="C322" s="3" t="s">
        <v>844</v>
      </c>
      <c r="D322" s="6">
        <v>43674</v>
      </c>
      <c r="E322" s="6">
        <v>45339</v>
      </c>
      <c r="F322" s="3"/>
      <c r="G322" s="6"/>
      <c r="H322" s="3"/>
      <c r="I322" s="6"/>
      <c r="J322" s="3" t="s">
        <v>68</v>
      </c>
      <c r="K322" s="3"/>
      <c r="L322" s="3"/>
      <c r="M322" s="3" t="s">
        <v>34</v>
      </c>
      <c r="N322" s="3" t="s">
        <v>750</v>
      </c>
      <c r="O322" s="3" t="s">
        <v>441</v>
      </c>
      <c r="P322" s="3" t="s">
        <v>37</v>
      </c>
      <c r="Q322" s="5">
        <v>11039</v>
      </c>
      <c r="R322" s="5"/>
      <c r="S322" s="5"/>
      <c r="T322" s="3" t="s">
        <v>38</v>
      </c>
      <c r="U322" s="3" t="s">
        <v>153</v>
      </c>
      <c r="V322" s="3"/>
      <c r="W322" s="6"/>
      <c r="X322" s="6"/>
      <c r="Y322" s="3"/>
      <c r="Z322" s="3"/>
      <c r="AA322" s="3"/>
      <c r="AB322" s="3" t="s">
        <v>42</v>
      </c>
    </row>
    <row r="323" spans="1:28" ht="33" customHeight="1" x14ac:dyDescent="0.25">
      <c r="A323" s="7" t="s">
        <v>986</v>
      </c>
      <c r="B323" s="3" t="s">
        <v>747</v>
      </c>
      <c r="C323" s="3" t="s">
        <v>844</v>
      </c>
      <c r="D323" s="6">
        <v>43674</v>
      </c>
      <c r="E323" s="6">
        <v>45339</v>
      </c>
      <c r="F323" s="3"/>
      <c r="G323" s="6"/>
      <c r="H323" s="3"/>
      <c r="I323" s="6"/>
      <c r="J323" s="3" t="s">
        <v>68</v>
      </c>
      <c r="K323" s="3"/>
      <c r="L323" s="3"/>
      <c r="M323" s="3" t="s">
        <v>34</v>
      </c>
      <c r="N323" s="3" t="s">
        <v>750</v>
      </c>
      <c r="O323" s="3" t="s">
        <v>441</v>
      </c>
      <c r="P323" s="3" t="s">
        <v>37</v>
      </c>
      <c r="Q323" s="5">
        <v>11039</v>
      </c>
      <c r="R323" s="5"/>
      <c r="S323" s="5"/>
      <c r="T323" s="3" t="s">
        <v>38</v>
      </c>
      <c r="U323" s="3" t="s">
        <v>153</v>
      </c>
      <c r="V323" s="3"/>
      <c r="W323" s="6"/>
      <c r="X323" s="6"/>
      <c r="Y323" s="3"/>
      <c r="Z323" s="3"/>
      <c r="AA323" s="3"/>
      <c r="AB323" s="3" t="s">
        <v>42</v>
      </c>
    </row>
    <row r="324" spans="1:28" ht="33" customHeight="1" x14ac:dyDescent="0.25">
      <c r="A324" s="7" t="s">
        <v>987</v>
      </c>
      <c r="B324" s="3" t="s">
        <v>747</v>
      </c>
      <c r="C324" s="3" t="s">
        <v>844</v>
      </c>
      <c r="D324" s="6">
        <v>43674</v>
      </c>
      <c r="E324" s="6">
        <v>45339</v>
      </c>
      <c r="F324" s="3"/>
      <c r="G324" s="6"/>
      <c r="H324" s="3"/>
      <c r="I324" s="6"/>
      <c r="J324" s="3" t="s">
        <v>68</v>
      </c>
      <c r="K324" s="3"/>
      <c r="L324" s="3"/>
      <c r="M324" s="3" t="s">
        <v>34</v>
      </c>
      <c r="N324" s="3" t="s">
        <v>750</v>
      </c>
      <c r="O324" s="3" t="s">
        <v>441</v>
      </c>
      <c r="P324" s="3" t="s">
        <v>37</v>
      </c>
      <c r="Q324" s="5">
        <v>11039</v>
      </c>
      <c r="R324" s="5"/>
      <c r="S324" s="5"/>
      <c r="T324" s="3" t="s">
        <v>38</v>
      </c>
      <c r="U324" s="3" t="s">
        <v>153</v>
      </c>
      <c r="V324" s="3"/>
      <c r="W324" s="6"/>
      <c r="X324" s="6"/>
      <c r="Y324" s="3"/>
      <c r="Z324" s="3"/>
      <c r="AA324" s="3"/>
      <c r="AB324" s="3" t="s">
        <v>42</v>
      </c>
    </row>
    <row r="325" spans="1:28" ht="33" customHeight="1" x14ac:dyDescent="0.25">
      <c r="A325" s="7" t="s">
        <v>988</v>
      </c>
      <c r="B325" s="3" t="s">
        <v>747</v>
      </c>
      <c r="C325" s="3" t="s">
        <v>844</v>
      </c>
      <c r="D325" s="6">
        <v>43674</v>
      </c>
      <c r="E325" s="6">
        <v>45339</v>
      </c>
      <c r="F325" s="3"/>
      <c r="G325" s="6"/>
      <c r="H325" s="3"/>
      <c r="I325" s="6"/>
      <c r="J325" s="3" t="s">
        <v>68</v>
      </c>
      <c r="K325" s="3"/>
      <c r="L325" s="3"/>
      <c r="M325" s="3" t="s">
        <v>34</v>
      </c>
      <c r="N325" s="3" t="s">
        <v>750</v>
      </c>
      <c r="O325" s="3" t="s">
        <v>441</v>
      </c>
      <c r="P325" s="3" t="s">
        <v>37</v>
      </c>
      <c r="Q325" s="5">
        <v>11039</v>
      </c>
      <c r="R325" s="5"/>
      <c r="S325" s="5"/>
      <c r="T325" s="3" t="s">
        <v>38</v>
      </c>
      <c r="U325" s="3" t="s">
        <v>153</v>
      </c>
      <c r="V325" s="3"/>
      <c r="W325" s="6"/>
      <c r="X325" s="6"/>
      <c r="Y325" s="3"/>
      <c r="Z325" s="3"/>
      <c r="AA325" s="3"/>
      <c r="AB325" s="3" t="s">
        <v>42</v>
      </c>
    </row>
    <row r="326" spans="1:28" ht="33" customHeight="1" x14ac:dyDescent="0.25">
      <c r="A326" s="7" t="s">
        <v>989</v>
      </c>
      <c r="B326" s="3" t="s">
        <v>747</v>
      </c>
      <c r="C326" s="3" t="s">
        <v>990</v>
      </c>
      <c r="D326" s="6">
        <v>44766</v>
      </c>
      <c r="E326" s="6">
        <v>45864</v>
      </c>
      <c r="F326" s="3"/>
      <c r="G326" s="6"/>
      <c r="H326" s="3"/>
      <c r="I326" s="6"/>
      <c r="J326" s="3" t="s">
        <v>991</v>
      </c>
      <c r="K326" s="3"/>
      <c r="L326" s="3">
        <v>2778802</v>
      </c>
      <c r="M326" s="3" t="s">
        <v>34</v>
      </c>
      <c r="N326" s="3" t="s">
        <v>750</v>
      </c>
      <c r="O326" s="3" t="s">
        <v>441</v>
      </c>
      <c r="P326" s="3" t="s">
        <v>37</v>
      </c>
      <c r="Q326" s="5">
        <v>196273</v>
      </c>
      <c r="R326" s="5"/>
      <c r="S326" s="5"/>
      <c r="T326" s="3" t="s">
        <v>38</v>
      </c>
      <c r="U326" s="3" t="s">
        <v>153</v>
      </c>
      <c r="V326" s="3"/>
      <c r="W326" s="6"/>
      <c r="X326" s="6"/>
      <c r="Y326" s="3"/>
      <c r="Z326" s="3"/>
      <c r="AA326" s="3"/>
      <c r="AB326" s="3" t="s">
        <v>42</v>
      </c>
    </row>
    <row r="327" spans="1:28" ht="33" customHeight="1" x14ac:dyDescent="0.25">
      <c r="A327" s="7" t="s">
        <v>992</v>
      </c>
      <c r="B327" s="3" t="s">
        <v>747</v>
      </c>
      <c r="C327" s="3" t="s">
        <v>993</v>
      </c>
      <c r="D327" s="6">
        <v>44766</v>
      </c>
      <c r="E327" s="6">
        <v>45864</v>
      </c>
      <c r="F327" s="3"/>
      <c r="G327" s="6"/>
      <c r="H327" s="3"/>
      <c r="I327" s="6"/>
      <c r="J327" s="3" t="s">
        <v>991</v>
      </c>
      <c r="K327" s="3"/>
      <c r="L327" s="3">
        <v>2778802</v>
      </c>
      <c r="M327" s="3" t="s">
        <v>34</v>
      </c>
      <c r="N327" s="3" t="s">
        <v>750</v>
      </c>
      <c r="O327" s="3" t="s">
        <v>441</v>
      </c>
      <c r="P327" s="3" t="s">
        <v>37</v>
      </c>
      <c r="Q327" s="5">
        <v>28983</v>
      </c>
      <c r="R327" s="5"/>
      <c r="S327" s="5"/>
      <c r="T327" s="3" t="s">
        <v>38</v>
      </c>
      <c r="U327" s="3" t="s">
        <v>153</v>
      </c>
      <c r="V327" s="3"/>
      <c r="W327" s="6"/>
      <c r="X327" s="6"/>
      <c r="Y327" s="3"/>
      <c r="Z327" s="3"/>
      <c r="AA327" s="3"/>
      <c r="AB327" s="3" t="s">
        <v>42</v>
      </c>
    </row>
    <row r="328" spans="1:28" ht="33" customHeight="1" x14ac:dyDescent="0.25">
      <c r="A328" s="7" t="s">
        <v>994</v>
      </c>
      <c r="B328" s="3" t="s">
        <v>747</v>
      </c>
      <c r="C328" s="3" t="s">
        <v>993</v>
      </c>
      <c r="D328" s="6">
        <v>44766</v>
      </c>
      <c r="E328" s="6">
        <v>45864</v>
      </c>
      <c r="F328" s="3"/>
      <c r="G328" s="6"/>
      <c r="H328" s="3"/>
      <c r="I328" s="6"/>
      <c r="J328" s="3" t="s">
        <v>991</v>
      </c>
      <c r="K328" s="3"/>
      <c r="L328" s="3">
        <v>2778802</v>
      </c>
      <c r="M328" s="3" t="s">
        <v>34</v>
      </c>
      <c r="N328" s="3" t="s">
        <v>750</v>
      </c>
      <c r="O328" s="3" t="s">
        <v>441</v>
      </c>
      <c r="P328" s="3" t="s">
        <v>37</v>
      </c>
      <c r="Q328" s="5">
        <v>11908</v>
      </c>
      <c r="R328" s="5"/>
      <c r="S328" s="5"/>
      <c r="T328" s="3" t="s">
        <v>38</v>
      </c>
      <c r="U328" s="3" t="s">
        <v>153</v>
      </c>
      <c r="V328" s="3"/>
      <c r="W328" s="6"/>
      <c r="X328" s="6"/>
      <c r="Y328" s="3"/>
      <c r="Z328" s="3"/>
      <c r="AA328" s="3"/>
      <c r="AB328" s="3" t="s">
        <v>42</v>
      </c>
    </row>
    <row r="329" spans="1:28" ht="33" customHeight="1" x14ac:dyDescent="0.25">
      <c r="A329" s="7" t="s">
        <v>995</v>
      </c>
      <c r="B329" s="3" t="s">
        <v>747</v>
      </c>
      <c r="C329" s="3" t="s">
        <v>996</v>
      </c>
      <c r="D329" s="6">
        <v>44087</v>
      </c>
      <c r="E329" s="6">
        <v>45864</v>
      </c>
      <c r="F329" s="3"/>
      <c r="G329" s="6"/>
      <c r="H329" s="3"/>
      <c r="I329" s="6"/>
      <c r="J329" s="3" t="s">
        <v>991</v>
      </c>
      <c r="K329" s="3"/>
      <c r="L329" s="3">
        <v>2778802</v>
      </c>
      <c r="M329" s="3" t="s">
        <v>34</v>
      </c>
      <c r="N329" s="3" t="s">
        <v>750</v>
      </c>
      <c r="O329" s="3" t="s">
        <v>441</v>
      </c>
      <c r="P329" s="3" t="s">
        <v>37</v>
      </c>
      <c r="Q329" s="5">
        <v>159611</v>
      </c>
      <c r="R329" s="5"/>
      <c r="S329" s="5"/>
      <c r="T329" s="3" t="s">
        <v>38</v>
      </c>
      <c r="U329" s="3" t="s">
        <v>153</v>
      </c>
      <c r="V329" s="3"/>
      <c r="W329" s="6"/>
      <c r="X329" s="6"/>
      <c r="Y329" s="3"/>
      <c r="Z329" s="3"/>
      <c r="AA329" s="3"/>
      <c r="AB329" s="3" t="s">
        <v>42</v>
      </c>
    </row>
    <row r="330" spans="1:28" ht="33" customHeight="1" x14ac:dyDescent="0.25">
      <c r="A330" s="7" t="s">
        <v>997</v>
      </c>
      <c r="B330" s="3" t="s">
        <v>747</v>
      </c>
      <c r="C330" s="3" t="s">
        <v>998</v>
      </c>
      <c r="D330" s="6">
        <v>43303</v>
      </c>
      <c r="E330" s="6">
        <v>45864</v>
      </c>
      <c r="F330" s="3"/>
      <c r="G330" s="6"/>
      <c r="H330" s="3"/>
      <c r="I330" s="6"/>
      <c r="J330" s="3" t="s">
        <v>991</v>
      </c>
      <c r="K330" s="3"/>
      <c r="L330" s="3">
        <v>2778802</v>
      </c>
      <c r="M330" s="3" t="s">
        <v>34</v>
      </c>
      <c r="N330" s="3" t="s">
        <v>750</v>
      </c>
      <c r="O330" s="3" t="s">
        <v>441</v>
      </c>
      <c r="P330" s="3" t="s">
        <v>37</v>
      </c>
      <c r="Q330" s="5">
        <v>74288</v>
      </c>
      <c r="R330" s="5"/>
      <c r="S330" s="5"/>
      <c r="T330" s="3" t="s">
        <v>38</v>
      </c>
      <c r="U330" s="3" t="s">
        <v>153</v>
      </c>
      <c r="V330" s="3"/>
      <c r="W330" s="6"/>
      <c r="X330" s="6"/>
      <c r="Y330" s="3"/>
      <c r="Z330" s="3"/>
      <c r="AA330" s="3"/>
      <c r="AB330" s="3" t="s">
        <v>42</v>
      </c>
    </row>
    <row r="331" spans="1:28" ht="33" customHeight="1" x14ac:dyDescent="0.25">
      <c r="A331" s="7" t="s">
        <v>999</v>
      </c>
      <c r="B331" s="3" t="s">
        <v>747</v>
      </c>
      <c r="C331" s="3" t="s">
        <v>990</v>
      </c>
      <c r="D331" s="6">
        <v>44766</v>
      </c>
      <c r="E331" s="6">
        <v>45864</v>
      </c>
      <c r="F331" s="3"/>
      <c r="G331" s="6"/>
      <c r="H331" s="3"/>
      <c r="I331" s="6"/>
      <c r="J331" s="3" t="s">
        <v>991</v>
      </c>
      <c r="K331" s="3"/>
      <c r="L331" s="3">
        <v>2778802</v>
      </c>
      <c r="M331" s="3" t="s">
        <v>34</v>
      </c>
      <c r="N331" s="3" t="s">
        <v>750</v>
      </c>
      <c r="O331" s="3" t="s">
        <v>441</v>
      </c>
      <c r="P331" s="3" t="s">
        <v>37</v>
      </c>
      <c r="Q331" s="5">
        <v>46891</v>
      </c>
      <c r="R331" s="5"/>
      <c r="S331" s="5"/>
      <c r="T331" s="3" t="s">
        <v>38</v>
      </c>
      <c r="U331" s="3" t="s">
        <v>153</v>
      </c>
      <c r="V331" s="3"/>
      <c r="W331" s="6"/>
      <c r="X331" s="6"/>
      <c r="Y331" s="3"/>
      <c r="Z331" s="3"/>
      <c r="AA331" s="3"/>
      <c r="AB331" s="3" t="s">
        <v>42</v>
      </c>
    </row>
    <row r="332" spans="1:28" ht="33" customHeight="1" x14ac:dyDescent="0.25">
      <c r="A332" s="7" t="s">
        <v>1000</v>
      </c>
      <c r="B332" s="3" t="s">
        <v>747</v>
      </c>
      <c r="C332" s="3" t="s">
        <v>990</v>
      </c>
      <c r="D332" s="6">
        <v>44766</v>
      </c>
      <c r="E332" s="6">
        <v>45864</v>
      </c>
      <c r="F332" s="3"/>
      <c r="G332" s="6"/>
      <c r="H332" s="3"/>
      <c r="I332" s="6"/>
      <c r="J332" s="3" t="s">
        <v>991</v>
      </c>
      <c r="K332" s="3"/>
      <c r="L332" s="3">
        <v>2778802</v>
      </c>
      <c r="M332" s="3" t="s">
        <v>34</v>
      </c>
      <c r="N332" s="3" t="s">
        <v>750</v>
      </c>
      <c r="O332" s="3" t="s">
        <v>441</v>
      </c>
      <c r="P332" s="3" t="s">
        <v>37</v>
      </c>
      <c r="Q332" s="5">
        <v>20506</v>
      </c>
      <c r="R332" s="5"/>
      <c r="S332" s="5"/>
      <c r="T332" s="3" t="s">
        <v>38</v>
      </c>
      <c r="U332" s="3" t="s">
        <v>153</v>
      </c>
      <c r="V332" s="3"/>
      <c r="W332" s="6"/>
      <c r="X332" s="6"/>
      <c r="Y332" s="3"/>
      <c r="Z332" s="3"/>
      <c r="AA332" s="3"/>
      <c r="AB332" s="3" t="s">
        <v>42</v>
      </c>
    </row>
    <row r="333" spans="1:28" ht="33" customHeight="1" x14ac:dyDescent="0.25">
      <c r="A333" s="7" t="s">
        <v>1001</v>
      </c>
      <c r="B333" s="3" t="s">
        <v>747</v>
      </c>
      <c r="C333" s="3" t="s">
        <v>809</v>
      </c>
      <c r="D333" s="6">
        <v>44766</v>
      </c>
      <c r="E333" s="6">
        <v>45864</v>
      </c>
      <c r="F333" s="3"/>
      <c r="G333" s="6"/>
      <c r="H333" s="3"/>
      <c r="I333" s="6"/>
      <c r="J333" s="3" t="s">
        <v>991</v>
      </c>
      <c r="K333" s="3"/>
      <c r="L333" s="3">
        <v>2778802</v>
      </c>
      <c r="M333" s="3" t="s">
        <v>34</v>
      </c>
      <c r="N333" s="3" t="s">
        <v>750</v>
      </c>
      <c r="O333" s="3" t="s">
        <v>441</v>
      </c>
      <c r="P333" s="3" t="s">
        <v>37</v>
      </c>
      <c r="Q333" s="5">
        <v>31280</v>
      </c>
      <c r="R333" s="5"/>
      <c r="S333" s="5"/>
      <c r="T333" s="3" t="s">
        <v>38</v>
      </c>
      <c r="U333" s="3" t="s">
        <v>153</v>
      </c>
      <c r="V333" s="3"/>
      <c r="W333" s="6"/>
      <c r="X333" s="6"/>
      <c r="Y333" s="3"/>
      <c r="Z333" s="3"/>
      <c r="AA333" s="3"/>
      <c r="AB333" s="3" t="s">
        <v>42</v>
      </c>
    </row>
    <row r="334" spans="1:28" ht="33" customHeight="1" x14ac:dyDescent="0.25">
      <c r="A334" s="7" t="s">
        <v>1002</v>
      </c>
      <c r="B334" s="3" t="s">
        <v>747</v>
      </c>
      <c r="C334" s="3" t="s">
        <v>1003</v>
      </c>
      <c r="D334" s="6">
        <v>44766</v>
      </c>
      <c r="E334" s="6">
        <v>45864</v>
      </c>
      <c r="F334" s="3"/>
      <c r="G334" s="6"/>
      <c r="H334" s="3"/>
      <c r="I334" s="6"/>
      <c r="J334" s="3" t="s">
        <v>991</v>
      </c>
      <c r="K334" s="3"/>
      <c r="L334" s="3">
        <v>2778802</v>
      </c>
      <c r="M334" s="3" t="s">
        <v>34</v>
      </c>
      <c r="N334" s="3" t="s">
        <v>750</v>
      </c>
      <c r="O334" s="3" t="s">
        <v>441</v>
      </c>
      <c r="P334" s="3" t="s">
        <v>37</v>
      </c>
      <c r="Q334" s="5">
        <v>14477</v>
      </c>
      <c r="R334" s="5"/>
      <c r="S334" s="5"/>
      <c r="T334" s="3" t="s">
        <v>38</v>
      </c>
      <c r="U334" s="3" t="s">
        <v>153</v>
      </c>
      <c r="V334" s="3"/>
      <c r="W334" s="6"/>
      <c r="X334" s="6"/>
      <c r="Y334" s="3"/>
      <c r="Z334" s="3"/>
      <c r="AA334" s="3"/>
      <c r="AB334" s="3" t="s">
        <v>42</v>
      </c>
    </row>
    <row r="335" spans="1:28" ht="33" customHeight="1" x14ac:dyDescent="0.25">
      <c r="A335" s="7" t="s">
        <v>1004</v>
      </c>
      <c r="B335" s="3" t="s">
        <v>747</v>
      </c>
      <c r="C335" s="3" t="s">
        <v>1005</v>
      </c>
      <c r="D335" s="6">
        <v>44766</v>
      </c>
      <c r="E335" s="6">
        <v>45864</v>
      </c>
      <c r="F335" s="3"/>
      <c r="G335" s="6"/>
      <c r="H335" s="3"/>
      <c r="I335" s="6"/>
      <c r="J335" s="3" t="s">
        <v>991</v>
      </c>
      <c r="K335" s="3"/>
      <c r="L335" s="3">
        <v>2778802</v>
      </c>
      <c r="M335" s="3" t="s">
        <v>34</v>
      </c>
      <c r="N335" s="3" t="s">
        <v>750</v>
      </c>
      <c r="O335" s="3" t="s">
        <v>441</v>
      </c>
      <c r="P335" s="3" t="s">
        <v>37</v>
      </c>
      <c r="Q335" s="5">
        <v>68967</v>
      </c>
      <c r="R335" s="5"/>
      <c r="S335" s="5"/>
      <c r="T335" s="3" t="s">
        <v>38</v>
      </c>
      <c r="U335" s="3" t="s">
        <v>153</v>
      </c>
      <c r="V335" s="3"/>
      <c r="W335" s="6"/>
      <c r="X335" s="6"/>
      <c r="Y335" s="3"/>
      <c r="Z335" s="3"/>
      <c r="AA335" s="3"/>
      <c r="AB335" s="3" t="s">
        <v>42</v>
      </c>
    </row>
    <row r="336" spans="1:28" ht="33" customHeight="1" x14ac:dyDescent="0.25">
      <c r="A336" s="7" t="s">
        <v>1006</v>
      </c>
      <c r="B336" s="3" t="s">
        <v>747</v>
      </c>
      <c r="C336" s="3" t="s">
        <v>1007</v>
      </c>
      <c r="D336" s="6">
        <v>44766</v>
      </c>
      <c r="E336" s="6">
        <v>45864</v>
      </c>
      <c r="F336" s="3"/>
      <c r="G336" s="6"/>
      <c r="H336" s="3"/>
      <c r="I336" s="6"/>
      <c r="J336" s="3" t="s">
        <v>991</v>
      </c>
      <c r="K336" s="3"/>
      <c r="L336" s="3">
        <v>2778802</v>
      </c>
      <c r="M336" s="3" t="s">
        <v>34</v>
      </c>
      <c r="N336" s="3" t="s">
        <v>750</v>
      </c>
      <c r="O336" s="3" t="s">
        <v>441</v>
      </c>
      <c r="P336" s="3" t="s">
        <v>37</v>
      </c>
      <c r="Q336" s="5">
        <v>45346</v>
      </c>
      <c r="R336" s="5"/>
      <c r="S336" s="5"/>
      <c r="T336" s="3" t="s">
        <v>38</v>
      </c>
      <c r="U336" s="3" t="s">
        <v>153</v>
      </c>
      <c r="V336" s="3"/>
      <c r="W336" s="6"/>
      <c r="X336" s="6"/>
      <c r="Y336" s="3"/>
      <c r="Z336" s="3"/>
      <c r="AA336" s="3"/>
      <c r="AB336" s="3" t="s">
        <v>42</v>
      </c>
    </row>
    <row r="337" spans="1:28" ht="33" customHeight="1" x14ac:dyDescent="0.25">
      <c r="A337" s="7" t="s">
        <v>1008</v>
      </c>
      <c r="B337" s="3" t="s">
        <v>747</v>
      </c>
      <c r="C337" s="3" t="s">
        <v>1009</v>
      </c>
      <c r="D337" s="6">
        <v>44766</v>
      </c>
      <c r="E337" s="6">
        <v>45864</v>
      </c>
      <c r="F337" s="3"/>
      <c r="G337" s="6"/>
      <c r="H337" s="3"/>
      <c r="I337" s="6"/>
      <c r="J337" s="3" t="s">
        <v>991</v>
      </c>
      <c r="K337" s="3"/>
      <c r="L337" s="3">
        <v>2778802</v>
      </c>
      <c r="M337" s="3" t="s">
        <v>34</v>
      </c>
      <c r="N337" s="3" t="s">
        <v>750</v>
      </c>
      <c r="O337" s="3" t="s">
        <v>441</v>
      </c>
      <c r="P337" s="3" t="s">
        <v>37</v>
      </c>
      <c r="Q337" s="5">
        <v>13430</v>
      </c>
      <c r="R337" s="5"/>
      <c r="S337" s="5"/>
      <c r="T337" s="3" t="s">
        <v>38</v>
      </c>
      <c r="U337" s="3" t="s">
        <v>153</v>
      </c>
      <c r="V337" s="3"/>
      <c r="W337" s="6"/>
      <c r="X337" s="6"/>
      <c r="Y337" s="3"/>
      <c r="Z337" s="3"/>
      <c r="AA337" s="3"/>
      <c r="AB337" s="3" t="s">
        <v>42</v>
      </c>
    </row>
    <row r="338" spans="1:28" ht="33" customHeight="1" x14ac:dyDescent="0.25">
      <c r="A338" s="7" t="s">
        <v>1010</v>
      </c>
      <c r="B338" s="3" t="s">
        <v>747</v>
      </c>
      <c r="C338" s="3" t="s">
        <v>993</v>
      </c>
      <c r="D338" s="6">
        <v>44766</v>
      </c>
      <c r="E338" s="6">
        <v>45864</v>
      </c>
      <c r="F338" s="3"/>
      <c r="G338" s="6"/>
      <c r="H338" s="3"/>
      <c r="I338" s="6"/>
      <c r="J338" s="3" t="s">
        <v>991</v>
      </c>
      <c r="K338" s="3"/>
      <c r="L338" s="3">
        <v>2778802</v>
      </c>
      <c r="M338" s="3" t="s">
        <v>34</v>
      </c>
      <c r="N338" s="3" t="s">
        <v>750</v>
      </c>
      <c r="O338" s="3" t="s">
        <v>441</v>
      </c>
      <c r="P338" s="3" t="s">
        <v>37</v>
      </c>
      <c r="Q338" s="5">
        <v>128494</v>
      </c>
      <c r="R338" s="5"/>
      <c r="S338" s="5"/>
      <c r="T338" s="3" t="s">
        <v>38</v>
      </c>
      <c r="U338" s="3" t="s">
        <v>153</v>
      </c>
      <c r="V338" s="3"/>
      <c r="W338" s="6"/>
      <c r="X338" s="6"/>
      <c r="Y338" s="3"/>
      <c r="Z338" s="3"/>
      <c r="AA338" s="3"/>
      <c r="AB338" s="3" t="s">
        <v>42</v>
      </c>
    </row>
    <row r="339" spans="1:28" ht="33" customHeight="1" x14ac:dyDescent="0.25">
      <c r="A339" s="7" t="s">
        <v>1011</v>
      </c>
      <c r="B339" s="3" t="s">
        <v>747</v>
      </c>
      <c r="C339" s="3" t="s">
        <v>1012</v>
      </c>
      <c r="D339" s="6">
        <v>42575</v>
      </c>
      <c r="E339" s="6">
        <v>45339</v>
      </c>
      <c r="F339" s="3"/>
      <c r="G339" s="6"/>
      <c r="H339" s="3"/>
      <c r="I339" s="6"/>
      <c r="J339" s="3" t="s">
        <v>1013</v>
      </c>
      <c r="K339" s="3"/>
      <c r="L339" s="3"/>
      <c r="M339" s="3" t="s">
        <v>34</v>
      </c>
      <c r="N339" s="3" t="s">
        <v>750</v>
      </c>
      <c r="O339" s="3" t="s">
        <v>441</v>
      </c>
      <c r="P339" s="3" t="s">
        <v>37</v>
      </c>
      <c r="Q339" s="5">
        <v>95071</v>
      </c>
      <c r="R339" s="5"/>
      <c r="S339" s="5"/>
      <c r="T339" s="3" t="s">
        <v>38</v>
      </c>
      <c r="U339" s="3" t="s">
        <v>153</v>
      </c>
      <c r="V339" s="3"/>
      <c r="W339" s="6"/>
      <c r="X339" s="6"/>
      <c r="Y339" s="3"/>
      <c r="Z339" s="3"/>
      <c r="AA339" s="3"/>
      <c r="AB339" s="3" t="s">
        <v>42</v>
      </c>
    </row>
    <row r="340" spans="1:28" ht="33" customHeight="1" x14ac:dyDescent="0.25">
      <c r="A340" s="7" t="s">
        <v>1011</v>
      </c>
      <c r="B340" s="3" t="s">
        <v>747</v>
      </c>
      <c r="C340" s="3" t="s">
        <v>1014</v>
      </c>
      <c r="D340" s="6">
        <v>44703</v>
      </c>
      <c r="E340" s="6">
        <v>45801</v>
      </c>
      <c r="F340" s="3"/>
      <c r="G340" s="6"/>
      <c r="H340" s="3"/>
      <c r="I340" s="6"/>
      <c r="J340" s="3" t="s">
        <v>1013</v>
      </c>
      <c r="K340" s="3"/>
      <c r="L340" s="3"/>
      <c r="M340" s="3" t="s">
        <v>34</v>
      </c>
      <c r="N340" s="3" t="s">
        <v>750</v>
      </c>
      <c r="O340" s="3" t="s">
        <v>441</v>
      </c>
      <c r="P340" s="3" t="s">
        <v>37</v>
      </c>
      <c r="Q340" s="5">
        <v>10898</v>
      </c>
      <c r="R340" s="5"/>
      <c r="S340" s="5"/>
      <c r="T340" s="3" t="s">
        <v>840</v>
      </c>
      <c r="U340" s="3" t="s">
        <v>153</v>
      </c>
      <c r="V340" s="3"/>
      <c r="W340" s="6"/>
      <c r="X340" s="6"/>
      <c r="Y340" s="3"/>
      <c r="Z340" s="3"/>
      <c r="AA340" s="3"/>
      <c r="AB340" s="3" t="s">
        <v>42</v>
      </c>
    </row>
    <row r="341" spans="1:28" ht="33" customHeight="1" x14ac:dyDescent="0.25">
      <c r="A341" s="7" t="s">
        <v>1011</v>
      </c>
      <c r="B341" s="3" t="s">
        <v>747</v>
      </c>
      <c r="C341" s="3" t="s">
        <v>1015</v>
      </c>
      <c r="D341" s="6">
        <v>45172</v>
      </c>
      <c r="E341" s="6">
        <v>46270</v>
      </c>
      <c r="F341" s="3"/>
      <c r="G341" s="6"/>
      <c r="H341" s="3"/>
      <c r="I341" s="6"/>
      <c r="J341" s="3" t="s">
        <v>1013</v>
      </c>
      <c r="K341" s="3"/>
      <c r="L341" s="3"/>
      <c r="M341" s="3" t="s">
        <v>34</v>
      </c>
      <c r="N341" s="3" t="s">
        <v>750</v>
      </c>
      <c r="O341" s="3" t="s">
        <v>441</v>
      </c>
      <c r="P341" s="3" t="s">
        <v>37</v>
      </c>
      <c r="Q341" s="5">
        <v>451871</v>
      </c>
      <c r="R341" s="5"/>
      <c r="S341" s="5"/>
      <c r="T341" s="3" t="s">
        <v>38</v>
      </c>
      <c r="U341" s="3" t="s">
        <v>153</v>
      </c>
      <c r="V341" s="3"/>
      <c r="W341" s="6"/>
      <c r="X341" s="6"/>
      <c r="Y341" s="3"/>
      <c r="Z341" s="3"/>
      <c r="AA341" s="3"/>
      <c r="AB341" s="3" t="s">
        <v>42</v>
      </c>
    </row>
    <row r="342" spans="1:28" ht="33" customHeight="1" x14ac:dyDescent="0.25">
      <c r="A342" s="7" t="s">
        <v>1016</v>
      </c>
      <c r="B342" s="3" t="s">
        <v>747</v>
      </c>
      <c r="C342" s="3" t="s">
        <v>1017</v>
      </c>
      <c r="D342" s="6">
        <v>44703</v>
      </c>
      <c r="E342" s="6">
        <v>45801</v>
      </c>
      <c r="F342" s="3"/>
      <c r="G342" s="6"/>
      <c r="H342" s="3"/>
      <c r="I342" s="6"/>
      <c r="J342" s="3" t="s">
        <v>1013</v>
      </c>
      <c r="K342" s="3"/>
      <c r="L342" s="3"/>
      <c r="M342" s="3" t="s">
        <v>34</v>
      </c>
      <c r="N342" s="3" t="s">
        <v>750</v>
      </c>
      <c r="O342" s="3" t="s">
        <v>441</v>
      </c>
      <c r="P342" s="3" t="s">
        <v>37</v>
      </c>
      <c r="Q342" s="5">
        <v>19080</v>
      </c>
      <c r="R342" s="5"/>
      <c r="S342" s="5"/>
      <c r="T342" s="3" t="s">
        <v>38</v>
      </c>
      <c r="U342" s="3" t="s">
        <v>153</v>
      </c>
      <c r="V342" s="3"/>
      <c r="W342" s="6"/>
      <c r="X342" s="6"/>
      <c r="Y342" s="3"/>
      <c r="Z342" s="3"/>
      <c r="AA342" s="3"/>
      <c r="AB342" s="3" t="s">
        <v>42</v>
      </c>
    </row>
    <row r="343" spans="1:28" ht="33" customHeight="1" x14ac:dyDescent="0.25">
      <c r="A343" s="7" t="s">
        <v>1018</v>
      </c>
      <c r="B343" s="3" t="s">
        <v>747</v>
      </c>
      <c r="C343" s="3" t="s">
        <v>1017</v>
      </c>
      <c r="D343" s="6">
        <v>44703</v>
      </c>
      <c r="E343" s="6">
        <v>45801</v>
      </c>
      <c r="F343" s="3"/>
      <c r="G343" s="6"/>
      <c r="H343" s="3"/>
      <c r="I343" s="6"/>
      <c r="J343" s="3" t="s">
        <v>1013</v>
      </c>
      <c r="K343" s="3"/>
      <c r="L343" s="3"/>
      <c r="M343" s="3" t="s">
        <v>34</v>
      </c>
      <c r="N343" s="3" t="s">
        <v>750</v>
      </c>
      <c r="O343" s="3" t="s">
        <v>441</v>
      </c>
      <c r="P343" s="3" t="s">
        <v>37</v>
      </c>
      <c r="Q343" s="5">
        <v>4956</v>
      </c>
      <c r="R343" s="5"/>
      <c r="S343" s="5"/>
      <c r="T343" s="3" t="s">
        <v>38</v>
      </c>
      <c r="U343" s="3" t="s">
        <v>153</v>
      </c>
      <c r="V343" s="3"/>
      <c r="W343" s="6"/>
      <c r="X343" s="6"/>
      <c r="Y343" s="3"/>
      <c r="Z343" s="3"/>
      <c r="AA343" s="3"/>
      <c r="AB343" s="3" t="s">
        <v>42</v>
      </c>
    </row>
    <row r="344" spans="1:28" ht="33" customHeight="1" x14ac:dyDescent="0.25">
      <c r="A344" s="7" t="s">
        <v>1019</v>
      </c>
      <c r="B344" s="3" t="s">
        <v>747</v>
      </c>
      <c r="C344" s="3" t="s">
        <v>1020</v>
      </c>
      <c r="D344" s="6">
        <v>44703</v>
      </c>
      <c r="E344" s="6">
        <v>45801</v>
      </c>
      <c r="F344" s="3"/>
      <c r="G344" s="6"/>
      <c r="H344" s="3"/>
      <c r="I344" s="6"/>
      <c r="J344" s="3" t="s">
        <v>1013</v>
      </c>
      <c r="K344" s="3"/>
      <c r="L344" s="3"/>
      <c r="M344" s="3" t="s">
        <v>34</v>
      </c>
      <c r="N344" s="3" t="s">
        <v>750</v>
      </c>
      <c r="O344" s="3" t="s">
        <v>441</v>
      </c>
      <c r="P344" s="3" t="s">
        <v>37</v>
      </c>
      <c r="Q344" s="5">
        <v>8861</v>
      </c>
      <c r="R344" s="5"/>
      <c r="S344" s="5"/>
      <c r="T344" s="3" t="s">
        <v>38</v>
      </c>
      <c r="U344" s="3" t="s">
        <v>153</v>
      </c>
      <c r="V344" s="3"/>
      <c r="W344" s="6"/>
      <c r="X344" s="6"/>
      <c r="Y344" s="3"/>
      <c r="Z344" s="3"/>
      <c r="AA344" s="3"/>
      <c r="AB344" s="3" t="s">
        <v>42</v>
      </c>
    </row>
    <row r="345" spans="1:28" ht="33" customHeight="1" x14ac:dyDescent="0.25">
      <c r="A345" s="7" t="s">
        <v>1021</v>
      </c>
      <c r="B345" s="3" t="s">
        <v>747</v>
      </c>
      <c r="C345" s="3" t="s">
        <v>1022</v>
      </c>
      <c r="D345" s="6">
        <v>44703</v>
      </c>
      <c r="E345" s="6">
        <v>45801</v>
      </c>
      <c r="F345" s="3"/>
      <c r="G345" s="6"/>
      <c r="H345" s="3"/>
      <c r="I345" s="6"/>
      <c r="J345" s="3" t="s">
        <v>1013</v>
      </c>
      <c r="K345" s="3"/>
      <c r="L345" s="3"/>
      <c r="M345" s="3" t="s">
        <v>34</v>
      </c>
      <c r="N345" s="3" t="s">
        <v>750</v>
      </c>
      <c r="O345" s="3" t="s">
        <v>441</v>
      </c>
      <c r="P345" s="3" t="s">
        <v>37</v>
      </c>
      <c r="Q345" s="5">
        <v>81316</v>
      </c>
      <c r="R345" s="5"/>
      <c r="S345" s="5"/>
      <c r="T345" s="3" t="s">
        <v>38</v>
      </c>
      <c r="U345" s="3" t="s">
        <v>153</v>
      </c>
      <c r="V345" s="3"/>
      <c r="W345" s="6"/>
      <c r="X345" s="6"/>
      <c r="Y345" s="3"/>
      <c r="Z345" s="3"/>
      <c r="AA345" s="3"/>
      <c r="AB345" s="3" t="s">
        <v>42</v>
      </c>
    </row>
    <row r="346" spans="1:28" ht="33" customHeight="1" x14ac:dyDescent="0.25">
      <c r="A346" s="7" t="s">
        <v>1023</v>
      </c>
      <c r="B346" s="3" t="s">
        <v>747</v>
      </c>
      <c r="C346" s="3" t="s">
        <v>1022</v>
      </c>
      <c r="D346" s="6">
        <v>44703</v>
      </c>
      <c r="E346" s="6">
        <v>45801</v>
      </c>
      <c r="F346" s="3"/>
      <c r="G346" s="6"/>
      <c r="H346" s="3"/>
      <c r="I346" s="6"/>
      <c r="J346" s="3" t="s">
        <v>1013</v>
      </c>
      <c r="K346" s="3"/>
      <c r="L346" s="3"/>
      <c r="M346" s="3" t="s">
        <v>34</v>
      </c>
      <c r="N346" s="3" t="s">
        <v>750</v>
      </c>
      <c r="O346" s="3" t="s">
        <v>441</v>
      </c>
      <c r="P346" s="3" t="s">
        <v>37</v>
      </c>
      <c r="Q346" s="5">
        <v>33163</v>
      </c>
      <c r="R346" s="5"/>
      <c r="S346" s="5"/>
      <c r="T346" s="3" t="s">
        <v>38</v>
      </c>
      <c r="U346" s="3" t="s">
        <v>153</v>
      </c>
      <c r="V346" s="3"/>
      <c r="W346" s="6"/>
      <c r="X346" s="6"/>
      <c r="Y346" s="3"/>
      <c r="Z346" s="3"/>
      <c r="AA346" s="3"/>
      <c r="AB346" s="3" t="s">
        <v>42</v>
      </c>
    </row>
    <row r="347" spans="1:28" ht="33" customHeight="1" x14ac:dyDescent="0.25">
      <c r="A347" s="7" t="s">
        <v>1024</v>
      </c>
      <c r="B347" s="3" t="s">
        <v>747</v>
      </c>
      <c r="C347" s="3" t="s">
        <v>1022</v>
      </c>
      <c r="D347" s="6">
        <v>44703</v>
      </c>
      <c r="E347" s="6">
        <v>45801</v>
      </c>
      <c r="F347" s="3"/>
      <c r="G347" s="6"/>
      <c r="H347" s="3"/>
      <c r="I347" s="6"/>
      <c r="J347" s="3" t="s">
        <v>1013</v>
      </c>
      <c r="K347" s="3"/>
      <c r="L347" s="3"/>
      <c r="M347" s="3" t="s">
        <v>34</v>
      </c>
      <c r="N347" s="3" t="s">
        <v>750</v>
      </c>
      <c r="O347" s="3" t="s">
        <v>441</v>
      </c>
      <c r="P347" s="3" t="s">
        <v>37</v>
      </c>
      <c r="Q347" s="5">
        <v>19785</v>
      </c>
      <c r="R347" s="5"/>
      <c r="S347" s="5"/>
      <c r="T347" s="3" t="s">
        <v>38</v>
      </c>
      <c r="U347" s="3" t="s">
        <v>153</v>
      </c>
      <c r="V347" s="3"/>
      <c r="W347" s="6"/>
      <c r="X347" s="6"/>
      <c r="Y347" s="3"/>
      <c r="Z347" s="3"/>
      <c r="AA347" s="3"/>
      <c r="AB347" s="3" t="s">
        <v>42</v>
      </c>
    </row>
    <row r="348" spans="1:28" ht="33" customHeight="1" x14ac:dyDescent="0.25">
      <c r="A348" s="7" t="s">
        <v>1025</v>
      </c>
      <c r="B348" s="3" t="s">
        <v>747</v>
      </c>
      <c r="C348" s="3" t="s">
        <v>1026</v>
      </c>
      <c r="D348" s="6">
        <v>44703</v>
      </c>
      <c r="E348" s="6">
        <v>45801</v>
      </c>
      <c r="F348" s="3"/>
      <c r="G348" s="6"/>
      <c r="H348" s="3"/>
      <c r="I348" s="6"/>
      <c r="J348" s="3" t="s">
        <v>1013</v>
      </c>
      <c r="K348" s="3"/>
      <c r="L348" s="3"/>
      <c r="M348" s="3" t="s">
        <v>34</v>
      </c>
      <c r="N348" s="3" t="s">
        <v>750</v>
      </c>
      <c r="O348" s="3" t="s">
        <v>441</v>
      </c>
      <c r="P348" s="3" t="s">
        <v>37</v>
      </c>
      <c r="Q348" s="5">
        <v>146034</v>
      </c>
      <c r="R348" s="5"/>
      <c r="S348" s="5"/>
      <c r="T348" s="3" t="s">
        <v>38</v>
      </c>
      <c r="U348" s="3" t="s">
        <v>153</v>
      </c>
      <c r="V348" s="3"/>
      <c r="W348" s="6"/>
      <c r="X348" s="6"/>
      <c r="Y348" s="3"/>
      <c r="Z348" s="3"/>
      <c r="AA348" s="3"/>
      <c r="AB348" s="3" t="s">
        <v>42</v>
      </c>
    </row>
    <row r="349" spans="1:28" ht="33" customHeight="1" x14ac:dyDescent="0.25">
      <c r="A349" s="7" t="s">
        <v>1027</v>
      </c>
      <c r="B349" s="3" t="s">
        <v>747</v>
      </c>
      <c r="C349" s="3" t="s">
        <v>1028</v>
      </c>
      <c r="D349" s="6">
        <v>44703</v>
      </c>
      <c r="E349" s="6">
        <v>45801</v>
      </c>
      <c r="F349" s="3"/>
      <c r="G349" s="6"/>
      <c r="H349" s="3"/>
      <c r="I349" s="6"/>
      <c r="J349" s="3" t="s">
        <v>1013</v>
      </c>
      <c r="K349" s="3"/>
      <c r="L349" s="3"/>
      <c r="M349" s="3" t="s">
        <v>34</v>
      </c>
      <c r="N349" s="3" t="s">
        <v>750</v>
      </c>
      <c r="O349" s="3" t="s">
        <v>441</v>
      </c>
      <c r="P349" s="3" t="s">
        <v>37</v>
      </c>
      <c r="Q349" s="5">
        <v>61047</v>
      </c>
      <c r="R349" s="5"/>
      <c r="S349" s="5"/>
      <c r="T349" s="3" t="s">
        <v>38</v>
      </c>
      <c r="U349" s="3" t="s">
        <v>153</v>
      </c>
      <c r="V349" s="3"/>
      <c r="W349" s="6"/>
      <c r="X349" s="6"/>
      <c r="Y349" s="3"/>
      <c r="Z349" s="3"/>
      <c r="AA349" s="3"/>
      <c r="AB349" s="3" t="s">
        <v>42</v>
      </c>
    </row>
    <row r="350" spans="1:28" ht="33" customHeight="1" x14ac:dyDescent="0.25">
      <c r="A350" s="7" t="s">
        <v>1029</v>
      </c>
      <c r="B350" s="3" t="s">
        <v>747</v>
      </c>
      <c r="C350" s="3" t="s">
        <v>1030</v>
      </c>
      <c r="D350" s="6">
        <v>42673</v>
      </c>
      <c r="E350" s="6">
        <v>45347</v>
      </c>
      <c r="F350" s="3"/>
      <c r="G350" s="6"/>
      <c r="H350" s="3"/>
      <c r="I350" s="6"/>
      <c r="J350" s="3" t="s">
        <v>1013</v>
      </c>
      <c r="K350" s="3"/>
      <c r="L350" s="3"/>
      <c r="M350" s="3" t="s">
        <v>34</v>
      </c>
      <c r="N350" s="3" t="s">
        <v>750</v>
      </c>
      <c r="O350" s="3" t="s">
        <v>441</v>
      </c>
      <c r="P350" s="3" t="s">
        <v>37</v>
      </c>
      <c r="Q350" s="5">
        <v>104746</v>
      </c>
      <c r="R350" s="5"/>
      <c r="S350" s="5"/>
      <c r="T350" s="3" t="s">
        <v>38</v>
      </c>
      <c r="U350" s="3" t="s">
        <v>153</v>
      </c>
      <c r="V350" s="3"/>
      <c r="W350" s="6"/>
      <c r="X350" s="6"/>
      <c r="Y350" s="3"/>
      <c r="Z350" s="3"/>
      <c r="AA350" s="3"/>
      <c r="AB350" s="3" t="s">
        <v>42</v>
      </c>
    </row>
    <row r="351" spans="1:28" ht="33" customHeight="1" x14ac:dyDescent="0.25">
      <c r="A351" s="7" t="s">
        <v>1031</v>
      </c>
      <c r="B351" s="3" t="s">
        <v>747</v>
      </c>
      <c r="C351" s="3" t="s">
        <v>1030</v>
      </c>
      <c r="D351" s="6">
        <v>42673</v>
      </c>
      <c r="E351" s="6">
        <v>45347</v>
      </c>
      <c r="F351" s="3"/>
      <c r="G351" s="6"/>
      <c r="H351" s="3"/>
      <c r="I351" s="6"/>
      <c r="J351" s="3" t="s">
        <v>1013</v>
      </c>
      <c r="K351" s="3"/>
      <c r="L351" s="3"/>
      <c r="M351" s="3" t="s">
        <v>34</v>
      </c>
      <c r="N351" s="3" t="s">
        <v>750</v>
      </c>
      <c r="O351" s="3" t="s">
        <v>441</v>
      </c>
      <c r="P351" s="3" t="s">
        <v>37</v>
      </c>
      <c r="Q351" s="5">
        <v>43644</v>
      </c>
      <c r="R351" s="5"/>
      <c r="S351" s="5"/>
      <c r="T351" s="3" t="s">
        <v>38</v>
      </c>
      <c r="U351" s="3" t="s">
        <v>153</v>
      </c>
      <c r="V351" s="3"/>
      <c r="W351" s="6"/>
      <c r="X351" s="6"/>
      <c r="Y351" s="3"/>
      <c r="Z351" s="3"/>
      <c r="AA351" s="3"/>
      <c r="AB351" s="3" t="s">
        <v>42</v>
      </c>
    </row>
    <row r="352" spans="1:28" ht="33" customHeight="1" x14ac:dyDescent="0.25">
      <c r="A352" s="7" t="s">
        <v>1032</v>
      </c>
      <c r="B352" s="3" t="s">
        <v>747</v>
      </c>
      <c r="C352" s="3" t="s">
        <v>1012</v>
      </c>
      <c r="D352" s="6">
        <v>42575</v>
      </c>
      <c r="E352" s="6">
        <v>45339</v>
      </c>
      <c r="F352" s="3"/>
      <c r="G352" s="6"/>
      <c r="H352" s="3"/>
      <c r="I352" s="6"/>
      <c r="J352" s="3" t="s">
        <v>1013</v>
      </c>
      <c r="K352" s="3"/>
      <c r="L352" s="3"/>
      <c r="M352" s="3" t="s">
        <v>34</v>
      </c>
      <c r="N352" s="3" t="s">
        <v>750</v>
      </c>
      <c r="O352" s="3" t="s">
        <v>441</v>
      </c>
      <c r="P352" s="3" t="s">
        <v>37</v>
      </c>
      <c r="Q352" s="5">
        <v>18034</v>
      </c>
      <c r="R352" s="5"/>
      <c r="S352" s="5"/>
      <c r="T352" s="3" t="s">
        <v>38</v>
      </c>
      <c r="U352" s="3" t="s">
        <v>153</v>
      </c>
      <c r="V352" s="3"/>
      <c r="W352" s="6"/>
      <c r="X352" s="6"/>
      <c r="Y352" s="3"/>
      <c r="Z352" s="3"/>
      <c r="AA352" s="3"/>
      <c r="AB352" s="3" t="s">
        <v>42</v>
      </c>
    </row>
    <row r="353" spans="1:28" ht="33" customHeight="1" x14ac:dyDescent="0.25">
      <c r="A353" s="7" t="s">
        <v>1032</v>
      </c>
      <c r="B353" s="3" t="s">
        <v>747</v>
      </c>
      <c r="C353" s="3" t="s">
        <v>1014</v>
      </c>
      <c r="D353" s="6">
        <v>44703</v>
      </c>
      <c r="E353" s="6">
        <v>45801</v>
      </c>
      <c r="F353" s="3"/>
      <c r="G353" s="6"/>
      <c r="H353" s="3"/>
      <c r="I353" s="6"/>
      <c r="J353" s="3" t="s">
        <v>1013</v>
      </c>
      <c r="K353" s="3"/>
      <c r="L353" s="3"/>
      <c r="M353" s="3" t="s">
        <v>34</v>
      </c>
      <c r="N353" s="3" t="s">
        <v>750</v>
      </c>
      <c r="O353" s="3" t="s">
        <v>441</v>
      </c>
      <c r="P353" s="3" t="s">
        <v>37</v>
      </c>
      <c r="Q353" s="5">
        <v>3852</v>
      </c>
      <c r="R353" s="5"/>
      <c r="S353" s="5"/>
      <c r="T353" s="3" t="s">
        <v>840</v>
      </c>
      <c r="U353" s="3" t="s">
        <v>153</v>
      </c>
      <c r="V353" s="3"/>
      <c r="W353" s="6"/>
      <c r="X353" s="6"/>
      <c r="Y353" s="3"/>
      <c r="Z353" s="3"/>
      <c r="AA353" s="3"/>
      <c r="AB353" s="3" t="s">
        <v>42</v>
      </c>
    </row>
    <row r="354" spans="1:28" ht="33" customHeight="1" x14ac:dyDescent="0.25">
      <c r="A354" s="7" t="s">
        <v>1032</v>
      </c>
      <c r="B354" s="3" t="s">
        <v>747</v>
      </c>
      <c r="C354" s="3" t="s">
        <v>1033</v>
      </c>
      <c r="D354" s="6">
        <v>45172</v>
      </c>
      <c r="E354" s="6">
        <v>46270</v>
      </c>
      <c r="F354" s="3"/>
      <c r="G354" s="6"/>
      <c r="H354" s="3"/>
      <c r="I354" s="6"/>
      <c r="J354" s="3" t="s">
        <v>1013</v>
      </c>
      <c r="K354" s="3"/>
      <c r="L354" s="3"/>
      <c r="M354" s="3" t="s">
        <v>34</v>
      </c>
      <c r="N354" s="3" t="s">
        <v>750</v>
      </c>
      <c r="O354" s="3" t="s">
        <v>441</v>
      </c>
      <c r="P354" s="3" t="s">
        <v>37</v>
      </c>
      <c r="Q354" s="5">
        <v>486739</v>
      </c>
      <c r="R354" s="5"/>
      <c r="S354" s="5"/>
      <c r="T354" s="3" t="s">
        <v>38</v>
      </c>
      <c r="U354" s="3" t="s">
        <v>153</v>
      </c>
      <c r="V354" s="3"/>
      <c r="W354" s="6"/>
      <c r="X354" s="6"/>
      <c r="Y354" s="3"/>
      <c r="Z354" s="3"/>
      <c r="AA354" s="3"/>
      <c r="AB354" s="3" t="s">
        <v>42</v>
      </c>
    </row>
    <row r="355" spans="1:28" ht="33" customHeight="1" x14ac:dyDescent="0.25">
      <c r="A355" s="7" t="s">
        <v>1034</v>
      </c>
      <c r="B355" s="3" t="s">
        <v>747</v>
      </c>
      <c r="C355" s="3" t="s">
        <v>1030</v>
      </c>
      <c r="D355" s="6">
        <v>42673</v>
      </c>
      <c r="E355" s="6">
        <v>45347</v>
      </c>
      <c r="F355" s="3"/>
      <c r="G355" s="6"/>
      <c r="H355" s="3"/>
      <c r="I355" s="6"/>
      <c r="J355" s="3" t="s">
        <v>1013</v>
      </c>
      <c r="K355" s="3"/>
      <c r="L355" s="3"/>
      <c r="M355" s="3" t="s">
        <v>34</v>
      </c>
      <c r="N355" s="3" t="s">
        <v>750</v>
      </c>
      <c r="O355" s="3" t="s">
        <v>441</v>
      </c>
      <c r="P355" s="3" t="s">
        <v>37</v>
      </c>
      <c r="Q355" s="5">
        <v>21359</v>
      </c>
      <c r="R355" s="5"/>
      <c r="S355" s="5"/>
      <c r="T355" s="3" t="s">
        <v>38</v>
      </c>
      <c r="U355" s="3" t="s">
        <v>153</v>
      </c>
      <c r="V355" s="3"/>
      <c r="W355" s="6"/>
      <c r="X355" s="6"/>
      <c r="Y355" s="3"/>
      <c r="Z355" s="3"/>
      <c r="AA355" s="3"/>
      <c r="AB355" s="3" t="s">
        <v>42</v>
      </c>
    </row>
    <row r="356" spans="1:28" ht="33" customHeight="1" x14ac:dyDescent="0.25">
      <c r="A356" s="7" t="s">
        <v>1035</v>
      </c>
      <c r="B356" s="3" t="s">
        <v>747</v>
      </c>
      <c r="C356" s="3" t="s">
        <v>1030</v>
      </c>
      <c r="D356" s="6">
        <v>42673</v>
      </c>
      <c r="E356" s="6">
        <v>45347</v>
      </c>
      <c r="F356" s="3"/>
      <c r="G356" s="6"/>
      <c r="H356" s="3"/>
      <c r="I356" s="6"/>
      <c r="J356" s="3" t="s">
        <v>1013</v>
      </c>
      <c r="K356" s="3"/>
      <c r="L356" s="3"/>
      <c r="M356" s="3" t="s">
        <v>34</v>
      </c>
      <c r="N356" s="3" t="s">
        <v>750</v>
      </c>
      <c r="O356" s="3" t="s">
        <v>441</v>
      </c>
      <c r="P356" s="3" t="s">
        <v>37</v>
      </c>
      <c r="Q356" s="5">
        <v>8902</v>
      </c>
      <c r="R356" s="5"/>
      <c r="S356" s="5"/>
      <c r="T356" s="3" t="s">
        <v>38</v>
      </c>
      <c r="U356" s="3" t="s">
        <v>153</v>
      </c>
      <c r="V356" s="3"/>
      <c r="W356" s="6"/>
      <c r="X356" s="6"/>
      <c r="Y356" s="3"/>
      <c r="Z356" s="3"/>
      <c r="AA356" s="3"/>
      <c r="AB356" s="3" t="s">
        <v>42</v>
      </c>
    </row>
    <row r="357" spans="1:28" ht="33" customHeight="1" x14ac:dyDescent="0.25">
      <c r="A357" s="7" t="s">
        <v>1036</v>
      </c>
      <c r="B357" s="3" t="s">
        <v>747</v>
      </c>
      <c r="C357" s="3" t="s">
        <v>1030</v>
      </c>
      <c r="D357" s="6">
        <v>42673</v>
      </c>
      <c r="E357" s="6">
        <v>45347</v>
      </c>
      <c r="F357" s="3"/>
      <c r="G357" s="6"/>
      <c r="H357" s="3"/>
      <c r="I357" s="6"/>
      <c r="J357" s="3" t="s">
        <v>1013</v>
      </c>
      <c r="K357" s="3"/>
      <c r="L357" s="3"/>
      <c r="M357" s="3" t="s">
        <v>34</v>
      </c>
      <c r="N357" s="3" t="s">
        <v>750</v>
      </c>
      <c r="O357" s="3" t="s">
        <v>441</v>
      </c>
      <c r="P357" s="3" t="s">
        <v>37</v>
      </c>
      <c r="Q357" s="5">
        <v>27315</v>
      </c>
      <c r="R357" s="5"/>
      <c r="S357" s="5"/>
      <c r="T357" s="3" t="s">
        <v>38</v>
      </c>
      <c r="U357" s="3" t="s">
        <v>153</v>
      </c>
      <c r="V357" s="3"/>
      <c r="W357" s="6"/>
      <c r="X357" s="6"/>
      <c r="Y357" s="3"/>
      <c r="Z357" s="3"/>
      <c r="AA357" s="3"/>
      <c r="AB357" s="3" t="s">
        <v>42</v>
      </c>
    </row>
    <row r="358" spans="1:28" ht="33" customHeight="1" x14ac:dyDescent="0.25">
      <c r="A358" s="7" t="s">
        <v>1037</v>
      </c>
      <c r="B358" s="3" t="s">
        <v>747</v>
      </c>
      <c r="C358" s="3" t="s">
        <v>1012</v>
      </c>
      <c r="D358" s="6">
        <v>42575</v>
      </c>
      <c r="E358" s="6">
        <v>45339</v>
      </c>
      <c r="F358" s="3"/>
      <c r="G358" s="6"/>
      <c r="H358" s="3"/>
      <c r="I358" s="6"/>
      <c r="J358" s="3" t="s">
        <v>1013</v>
      </c>
      <c r="K358" s="3"/>
      <c r="L358" s="3"/>
      <c r="M358" s="3" t="s">
        <v>34</v>
      </c>
      <c r="N358" s="3" t="s">
        <v>750</v>
      </c>
      <c r="O358" s="3" t="s">
        <v>441</v>
      </c>
      <c r="P358" s="3" t="s">
        <v>37</v>
      </c>
      <c r="Q358" s="5">
        <v>26722</v>
      </c>
      <c r="R358" s="5"/>
      <c r="S358" s="5"/>
      <c r="T358" s="3" t="s">
        <v>38</v>
      </c>
      <c r="U358" s="3" t="s">
        <v>153</v>
      </c>
      <c r="V358" s="3"/>
      <c r="W358" s="6"/>
      <c r="X358" s="6"/>
      <c r="Y358" s="3"/>
      <c r="Z358" s="3"/>
      <c r="AA358" s="3"/>
      <c r="AB358" s="3" t="s">
        <v>42</v>
      </c>
    </row>
    <row r="359" spans="1:28" ht="33" customHeight="1" x14ac:dyDescent="0.25">
      <c r="A359" s="7" t="s">
        <v>1037</v>
      </c>
      <c r="B359" s="3" t="s">
        <v>747</v>
      </c>
      <c r="C359" s="3" t="s">
        <v>1038</v>
      </c>
      <c r="D359" s="6">
        <v>44703</v>
      </c>
      <c r="E359" s="6">
        <v>45801</v>
      </c>
      <c r="F359" s="3"/>
      <c r="G359" s="6"/>
      <c r="H359" s="3"/>
      <c r="I359" s="6"/>
      <c r="J359" s="3" t="s">
        <v>1013</v>
      </c>
      <c r="K359" s="3"/>
      <c r="L359" s="3"/>
      <c r="M359" s="3" t="s">
        <v>34</v>
      </c>
      <c r="N359" s="3" t="s">
        <v>750</v>
      </c>
      <c r="O359" s="3" t="s">
        <v>441</v>
      </c>
      <c r="P359" s="3" t="s">
        <v>37</v>
      </c>
      <c r="Q359" s="5">
        <v>17497</v>
      </c>
      <c r="R359" s="5"/>
      <c r="S359" s="5"/>
      <c r="T359" s="3" t="s">
        <v>38</v>
      </c>
      <c r="U359" s="3" t="s">
        <v>153</v>
      </c>
      <c r="V359" s="3"/>
      <c r="W359" s="6"/>
      <c r="X359" s="6"/>
      <c r="Y359" s="3"/>
      <c r="Z359" s="3"/>
      <c r="AA359" s="3"/>
      <c r="AB359" s="3" t="s">
        <v>42</v>
      </c>
    </row>
    <row r="360" spans="1:28" ht="33" customHeight="1" x14ac:dyDescent="0.25">
      <c r="A360" s="7" t="s">
        <v>1039</v>
      </c>
      <c r="B360" s="3" t="s">
        <v>747</v>
      </c>
      <c r="C360" s="3" t="s">
        <v>1012</v>
      </c>
      <c r="D360" s="6">
        <v>42575</v>
      </c>
      <c r="E360" s="6">
        <v>45339</v>
      </c>
      <c r="F360" s="3"/>
      <c r="G360" s="6"/>
      <c r="H360" s="3"/>
      <c r="I360" s="6"/>
      <c r="J360" s="3" t="s">
        <v>1013</v>
      </c>
      <c r="K360" s="3"/>
      <c r="L360" s="3"/>
      <c r="M360" s="3" t="s">
        <v>34</v>
      </c>
      <c r="N360" s="3" t="s">
        <v>750</v>
      </c>
      <c r="O360" s="3" t="s">
        <v>441</v>
      </c>
      <c r="P360" s="3" t="s">
        <v>37</v>
      </c>
      <c r="Q360" s="5">
        <v>10004</v>
      </c>
      <c r="R360" s="5"/>
      <c r="S360" s="5"/>
      <c r="T360" s="3" t="s">
        <v>38</v>
      </c>
      <c r="U360" s="3" t="s">
        <v>153</v>
      </c>
      <c r="V360" s="3"/>
      <c r="W360" s="6"/>
      <c r="X360" s="6"/>
      <c r="Y360" s="3"/>
      <c r="Z360" s="3"/>
      <c r="AA360" s="3"/>
      <c r="AB360" s="3" t="s">
        <v>42</v>
      </c>
    </row>
    <row r="361" spans="1:28" ht="33" customHeight="1" x14ac:dyDescent="0.25">
      <c r="A361" s="7" t="s">
        <v>1039</v>
      </c>
      <c r="B361" s="3" t="s">
        <v>747</v>
      </c>
      <c r="C361" s="3" t="s">
        <v>1038</v>
      </c>
      <c r="D361" s="6">
        <v>44703</v>
      </c>
      <c r="E361" s="6">
        <v>45801</v>
      </c>
      <c r="F361" s="3"/>
      <c r="G361" s="6"/>
      <c r="H361" s="3"/>
      <c r="I361" s="6"/>
      <c r="J361" s="3" t="s">
        <v>1013</v>
      </c>
      <c r="K361" s="3"/>
      <c r="L361" s="3"/>
      <c r="M361" s="3" t="s">
        <v>34</v>
      </c>
      <c r="N361" s="3" t="s">
        <v>750</v>
      </c>
      <c r="O361" s="3" t="s">
        <v>441</v>
      </c>
      <c r="P361" s="3" t="s">
        <v>37</v>
      </c>
      <c r="Q361" s="5">
        <v>10560</v>
      </c>
      <c r="R361" s="5"/>
      <c r="S361" s="5"/>
      <c r="T361" s="3" t="s">
        <v>38</v>
      </c>
      <c r="U361" s="3" t="s">
        <v>153</v>
      </c>
      <c r="V361" s="3"/>
      <c r="W361" s="6"/>
      <c r="X361" s="6"/>
      <c r="Y361" s="3"/>
      <c r="Z361" s="3"/>
      <c r="AA361" s="3"/>
      <c r="AB361" s="3" t="s">
        <v>42</v>
      </c>
    </row>
    <row r="362" spans="1:28" ht="33" customHeight="1" x14ac:dyDescent="0.25">
      <c r="A362" s="7" t="s">
        <v>1040</v>
      </c>
      <c r="B362" s="3" t="s">
        <v>747</v>
      </c>
      <c r="C362" s="3" t="s">
        <v>1041</v>
      </c>
      <c r="D362" s="6">
        <v>44703</v>
      </c>
      <c r="E362" s="6">
        <v>45801</v>
      </c>
      <c r="F362" s="3"/>
      <c r="G362" s="6"/>
      <c r="H362" s="3"/>
      <c r="I362" s="6"/>
      <c r="J362" s="3" t="s">
        <v>1013</v>
      </c>
      <c r="K362" s="3"/>
      <c r="L362" s="3"/>
      <c r="M362" s="3" t="s">
        <v>34</v>
      </c>
      <c r="N362" s="3" t="s">
        <v>750</v>
      </c>
      <c r="O362" s="3" t="s">
        <v>441</v>
      </c>
      <c r="P362" s="3" t="s">
        <v>37</v>
      </c>
      <c r="Q362" s="5">
        <v>18722</v>
      </c>
      <c r="R362" s="5"/>
      <c r="S362" s="5"/>
      <c r="T362" s="3" t="s">
        <v>38</v>
      </c>
      <c r="U362" s="3" t="s">
        <v>153</v>
      </c>
      <c r="V362" s="3"/>
      <c r="W362" s="6"/>
      <c r="X362" s="6"/>
      <c r="Y362" s="3"/>
      <c r="Z362" s="3"/>
      <c r="AA362" s="3"/>
      <c r="AB362" s="3" t="s">
        <v>42</v>
      </c>
    </row>
    <row r="363" spans="1:28" ht="33" customHeight="1" x14ac:dyDescent="0.25">
      <c r="A363" s="7" t="s">
        <v>1040</v>
      </c>
      <c r="B363" s="3" t="s">
        <v>747</v>
      </c>
      <c r="C363" s="3" t="s">
        <v>1012</v>
      </c>
      <c r="D363" s="6">
        <v>44836</v>
      </c>
      <c r="E363" s="6">
        <v>45339</v>
      </c>
      <c r="F363" s="3"/>
      <c r="G363" s="6"/>
      <c r="H363" s="3"/>
      <c r="I363" s="6"/>
      <c r="J363" s="3" t="s">
        <v>1013</v>
      </c>
      <c r="K363" s="3"/>
      <c r="L363" s="3"/>
      <c r="M363" s="3" t="s">
        <v>34</v>
      </c>
      <c r="N363" s="3" t="s">
        <v>750</v>
      </c>
      <c r="O363" s="3" t="s">
        <v>441</v>
      </c>
      <c r="P363" s="3" t="s">
        <v>37</v>
      </c>
      <c r="Q363" s="5">
        <v>64604</v>
      </c>
      <c r="R363" s="5"/>
      <c r="S363" s="5"/>
      <c r="T363" s="3" t="s">
        <v>38</v>
      </c>
      <c r="U363" s="3" t="s">
        <v>153</v>
      </c>
      <c r="V363" s="3"/>
      <c r="W363" s="6"/>
      <c r="X363" s="6"/>
      <c r="Y363" s="3"/>
      <c r="Z363" s="3"/>
      <c r="AA363" s="3"/>
      <c r="AB363" s="3" t="s">
        <v>42</v>
      </c>
    </row>
    <row r="364" spans="1:28" ht="33" customHeight="1" x14ac:dyDescent="0.25">
      <c r="A364" s="7" t="s">
        <v>1042</v>
      </c>
      <c r="B364" s="3" t="s">
        <v>747</v>
      </c>
      <c r="C364" s="3" t="s">
        <v>1041</v>
      </c>
      <c r="D364" s="6">
        <v>44703</v>
      </c>
      <c r="E364" s="6">
        <v>45801</v>
      </c>
      <c r="F364" s="3"/>
      <c r="G364" s="6"/>
      <c r="H364" s="3"/>
      <c r="I364" s="6"/>
      <c r="J364" s="3" t="s">
        <v>1013</v>
      </c>
      <c r="K364" s="3"/>
      <c r="L364" s="3"/>
      <c r="M364" s="3" t="s">
        <v>34</v>
      </c>
      <c r="N364" s="3" t="s">
        <v>750</v>
      </c>
      <c r="O364" s="3" t="s">
        <v>441</v>
      </c>
      <c r="P364" s="3" t="s">
        <v>37</v>
      </c>
      <c r="Q364" s="5">
        <v>4177</v>
      </c>
      <c r="R364" s="5"/>
      <c r="S364" s="5"/>
      <c r="T364" s="3" t="s">
        <v>38</v>
      </c>
      <c r="U364" s="3" t="s">
        <v>153</v>
      </c>
      <c r="V364" s="3"/>
      <c r="W364" s="6"/>
      <c r="X364" s="6"/>
      <c r="Y364" s="3"/>
      <c r="Z364" s="3"/>
      <c r="AA364" s="3"/>
      <c r="AB364" s="3" t="s">
        <v>42</v>
      </c>
    </row>
    <row r="365" spans="1:28" ht="33" customHeight="1" x14ac:dyDescent="0.25">
      <c r="A365" s="7" t="s">
        <v>1042</v>
      </c>
      <c r="B365" s="3" t="s">
        <v>747</v>
      </c>
      <c r="C365" s="3" t="s">
        <v>1012</v>
      </c>
      <c r="D365" s="6">
        <v>44836</v>
      </c>
      <c r="E365" s="6">
        <v>45339</v>
      </c>
      <c r="F365" s="3"/>
      <c r="G365" s="6"/>
      <c r="H365" s="3"/>
      <c r="I365" s="6"/>
      <c r="J365" s="3" t="s">
        <v>1013</v>
      </c>
      <c r="K365" s="3"/>
      <c r="L365" s="3"/>
      <c r="M365" s="3" t="s">
        <v>34</v>
      </c>
      <c r="N365" s="3" t="s">
        <v>750</v>
      </c>
      <c r="O365" s="3" t="s">
        <v>441</v>
      </c>
      <c r="P365" s="3" t="s">
        <v>37</v>
      </c>
      <c r="Q365" s="5">
        <v>13173</v>
      </c>
      <c r="R365" s="5"/>
      <c r="S365" s="5"/>
      <c r="T365" s="3" t="s">
        <v>38</v>
      </c>
      <c r="U365" s="3" t="s">
        <v>153</v>
      </c>
      <c r="V365" s="3"/>
      <c r="W365" s="6"/>
      <c r="X365" s="6"/>
      <c r="Y365" s="3"/>
      <c r="Z365" s="3"/>
      <c r="AA365" s="3"/>
      <c r="AB365" s="3" t="s">
        <v>42</v>
      </c>
    </row>
    <row r="366" spans="1:28" ht="33" customHeight="1" x14ac:dyDescent="0.25">
      <c r="A366" s="7" t="s">
        <v>1043</v>
      </c>
      <c r="B366" s="3" t="s">
        <v>747</v>
      </c>
      <c r="C366" s="3" t="s">
        <v>1044</v>
      </c>
      <c r="D366" s="6">
        <v>44703</v>
      </c>
      <c r="E366" s="6">
        <v>45801</v>
      </c>
      <c r="F366" s="3"/>
      <c r="G366" s="6"/>
      <c r="H366" s="3"/>
      <c r="I366" s="6"/>
      <c r="J366" s="3" t="s">
        <v>1013</v>
      </c>
      <c r="K366" s="3"/>
      <c r="L366" s="3"/>
      <c r="M366" s="3" t="s">
        <v>34</v>
      </c>
      <c r="N366" s="3" t="s">
        <v>750</v>
      </c>
      <c r="O366" s="3" t="s">
        <v>441</v>
      </c>
      <c r="P366" s="3" t="s">
        <v>37</v>
      </c>
      <c r="Q366" s="5">
        <v>4763</v>
      </c>
      <c r="R366" s="5"/>
      <c r="S366" s="5"/>
      <c r="T366" s="3" t="s">
        <v>38</v>
      </c>
      <c r="U366" s="3" t="s">
        <v>153</v>
      </c>
      <c r="V366" s="3"/>
      <c r="W366" s="6"/>
      <c r="X366" s="6"/>
      <c r="Y366" s="3"/>
      <c r="Z366" s="3"/>
      <c r="AA366" s="3"/>
      <c r="AB366" s="3" t="s">
        <v>42</v>
      </c>
    </row>
    <row r="367" spans="1:28" ht="33" customHeight="1" x14ac:dyDescent="0.25">
      <c r="A367" s="7" t="s">
        <v>1043</v>
      </c>
      <c r="B367" s="3" t="s">
        <v>747</v>
      </c>
      <c r="C367" s="3" t="s">
        <v>1012</v>
      </c>
      <c r="D367" s="6">
        <v>44836</v>
      </c>
      <c r="E367" s="6">
        <v>45339</v>
      </c>
      <c r="F367" s="3"/>
      <c r="G367" s="6"/>
      <c r="H367" s="3"/>
      <c r="I367" s="6"/>
      <c r="J367" s="3" t="s">
        <v>1013</v>
      </c>
      <c r="K367" s="3"/>
      <c r="L367" s="3"/>
      <c r="M367" s="3" t="s">
        <v>34</v>
      </c>
      <c r="N367" s="3" t="s">
        <v>750</v>
      </c>
      <c r="O367" s="3" t="s">
        <v>441</v>
      </c>
      <c r="P367" s="3" t="s">
        <v>37</v>
      </c>
      <c r="Q367" s="5">
        <v>29101</v>
      </c>
      <c r="R367" s="5"/>
      <c r="S367" s="5"/>
      <c r="T367" s="3" t="s">
        <v>38</v>
      </c>
      <c r="U367" s="3" t="s">
        <v>153</v>
      </c>
      <c r="V367" s="3"/>
      <c r="W367" s="6"/>
      <c r="X367" s="6"/>
      <c r="Y367" s="3"/>
      <c r="Z367" s="3"/>
      <c r="AA367" s="3"/>
      <c r="AB367" s="3" t="s">
        <v>42</v>
      </c>
    </row>
    <row r="368" spans="1:28" ht="33" customHeight="1" x14ac:dyDescent="0.25">
      <c r="A368" s="7" t="s">
        <v>1045</v>
      </c>
      <c r="B368" s="3" t="s">
        <v>747</v>
      </c>
      <c r="C368" s="3" t="s">
        <v>1044</v>
      </c>
      <c r="D368" s="6">
        <v>44703</v>
      </c>
      <c r="E368" s="6">
        <v>45801</v>
      </c>
      <c r="F368" s="3"/>
      <c r="G368" s="6"/>
      <c r="H368" s="3"/>
      <c r="I368" s="6"/>
      <c r="J368" s="3" t="s">
        <v>1013</v>
      </c>
      <c r="K368" s="3"/>
      <c r="L368" s="3"/>
      <c r="M368" s="3" t="s">
        <v>34</v>
      </c>
      <c r="N368" s="3" t="s">
        <v>750</v>
      </c>
      <c r="O368" s="3" t="s">
        <v>441</v>
      </c>
      <c r="P368" s="3" t="s">
        <v>37</v>
      </c>
      <c r="Q368" s="5">
        <v>7956</v>
      </c>
      <c r="R368" s="5"/>
      <c r="S368" s="5"/>
      <c r="T368" s="3" t="s">
        <v>38</v>
      </c>
      <c r="U368" s="3" t="s">
        <v>153</v>
      </c>
      <c r="V368" s="3"/>
      <c r="W368" s="6"/>
      <c r="X368" s="6"/>
      <c r="Y368" s="3"/>
      <c r="Z368" s="3"/>
      <c r="AA368" s="3"/>
      <c r="AB368" s="3" t="s">
        <v>42</v>
      </c>
    </row>
    <row r="369" spans="1:28" ht="33" customHeight="1" x14ac:dyDescent="0.25">
      <c r="A369" s="7" t="s">
        <v>1046</v>
      </c>
      <c r="B369" s="3" t="s">
        <v>747</v>
      </c>
      <c r="C369" s="3" t="s">
        <v>1047</v>
      </c>
      <c r="D369" s="6">
        <v>44703</v>
      </c>
      <c r="E369" s="6">
        <v>45801</v>
      </c>
      <c r="F369" s="3"/>
      <c r="G369" s="6"/>
      <c r="H369" s="3"/>
      <c r="I369" s="6"/>
      <c r="J369" s="3" t="s">
        <v>1013</v>
      </c>
      <c r="K369" s="3"/>
      <c r="L369" s="3"/>
      <c r="M369" s="3" t="s">
        <v>34</v>
      </c>
      <c r="N369" s="3" t="s">
        <v>750</v>
      </c>
      <c r="O369" s="3" t="s">
        <v>441</v>
      </c>
      <c r="P369" s="3" t="s">
        <v>37</v>
      </c>
      <c r="Q369" s="5">
        <v>11353</v>
      </c>
      <c r="R369" s="5"/>
      <c r="S369" s="5"/>
      <c r="T369" s="3" t="s">
        <v>38</v>
      </c>
      <c r="U369" s="3" t="s">
        <v>153</v>
      </c>
      <c r="V369" s="3"/>
      <c r="W369" s="6"/>
      <c r="X369" s="6"/>
      <c r="Y369" s="3"/>
      <c r="Z369" s="3"/>
      <c r="AA369" s="3"/>
      <c r="AB369" s="3" t="s">
        <v>42</v>
      </c>
    </row>
    <row r="370" spans="1:28" ht="33" customHeight="1" x14ac:dyDescent="0.25">
      <c r="A370" s="7" t="s">
        <v>1048</v>
      </c>
      <c r="B370" s="3" t="s">
        <v>747</v>
      </c>
      <c r="C370" s="3" t="s">
        <v>1049</v>
      </c>
      <c r="D370" s="6">
        <v>43765</v>
      </c>
      <c r="E370" s="6">
        <v>45339</v>
      </c>
      <c r="F370" s="3"/>
      <c r="G370" s="6"/>
      <c r="H370" s="3"/>
      <c r="I370" s="6"/>
      <c r="J370" s="3" t="s">
        <v>1050</v>
      </c>
      <c r="K370" s="3"/>
      <c r="L370" s="3">
        <v>4367719</v>
      </c>
      <c r="M370" s="3" t="s">
        <v>34</v>
      </c>
      <c r="N370" s="3" t="s">
        <v>750</v>
      </c>
      <c r="O370" s="3" t="s">
        <v>441</v>
      </c>
      <c r="P370" s="3" t="s">
        <v>37</v>
      </c>
      <c r="Q370" s="5">
        <v>40100</v>
      </c>
      <c r="R370" s="5"/>
      <c r="S370" s="5"/>
      <c r="T370" s="3" t="s">
        <v>38</v>
      </c>
      <c r="U370" s="3" t="s">
        <v>153</v>
      </c>
      <c r="V370" s="3"/>
      <c r="W370" s="6"/>
      <c r="X370" s="6"/>
      <c r="Y370" s="3"/>
      <c r="Z370" s="3"/>
      <c r="AA370" s="3"/>
      <c r="AB370" s="3" t="s">
        <v>42</v>
      </c>
    </row>
    <row r="371" spans="1:28" ht="33" customHeight="1" x14ac:dyDescent="0.25">
      <c r="A371" s="7" t="s">
        <v>1051</v>
      </c>
      <c r="B371" s="3" t="s">
        <v>747</v>
      </c>
      <c r="C371" s="3" t="s">
        <v>1049</v>
      </c>
      <c r="D371" s="6">
        <v>43765</v>
      </c>
      <c r="E371" s="6">
        <v>45339</v>
      </c>
      <c r="F371" s="3"/>
      <c r="G371" s="6"/>
      <c r="H371" s="3"/>
      <c r="I371" s="6"/>
      <c r="J371" s="3" t="s">
        <v>1050</v>
      </c>
      <c r="K371" s="3"/>
      <c r="L371" s="3">
        <v>4367719</v>
      </c>
      <c r="M371" s="3" t="s">
        <v>34</v>
      </c>
      <c r="N371" s="3" t="s">
        <v>750</v>
      </c>
      <c r="O371" s="3" t="s">
        <v>441</v>
      </c>
      <c r="P371" s="3" t="s">
        <v>37</v>
      </c>
      <c r="Q371" s="5">
        <v>8020</v>
      </c>
      <c r="R371" s="5"/>
      <c r="S371" s="5"/>
      <c r="T371" s="3" t="s">
        <v>38</v>
      </c>
      <c r="U371" s="3" t="s">
        <v>153</v>
      </c>
      <c r="V371" s="3"/>
      <c r="W371" s="6"/>
      <c r="X371" s="6"/>
      <c r="Y371" s="3"/>
      <c r="Z371" s="3"/>
      <c r="AA371" s="3"/>
      <c r="AB371" s="3" t="s">
        <v>42</v>
      </c>
    </row>
    <row r="372" spans="1:28" ht="33" customHeight="1" x14ac:dyDescent="0.25">
      <c r="A372" s="7" t="s">
        <v>1052</v>
      </c>
      <c r="B372" s="3" t="s">
        <v>747</v>
      </c>
      <c r="C372" s="3" t="s">
        <v>1053</v>
      </c>
      <c r="D372" s="6">
        <v>43765</v>
      </c>
      <c r="E372" s="6">
        <v>45339</v>
      </c>
      <c r="F372" s="3"/>
      <c r="G372" s="6"/>
      <c r="H372" s="3"/>
      <c r="I372" s="6"/>
      <c r="J372" s="3" t="s">
        <v>1050</v>
      </c>
      <c r="K372" s="3"/>
      <c r="L372" s="3">
        <v>4367719</v>
      </c>
      <c r="M372" s="3" t="s">
        <v>34</v>
      </c>
      <c r="N372" s="3" t="s">
        <v>750</v>
      </c>
      <c r="O372" s="3" t="s">
        <v>441</v>
      </c>
      <c r="P372" s="3" t="s">
        <v>37</v>
      </c>
      <c r="Q372" s="5">
        <v>130440</v>
      </c>
      <c r="R372" s="5"/>
      <c r="S372" s="5"/>
      <c r="T372" s="3" t="s">
        <v>38</v>
      </c>
      <c r="U372" s="3" t="s">
        <v>153</v>
      </c>
      <c r="V372" s="3"/>
      <c r="W372" s="6"/>
      <c r="X372" s="6"/>
      <c r="Y372" s="3"/>
      <c r="Z372" s="3"/>
      <c r="AA372" s="3"/>
      <c r="AB372" s="3" t="s">
        <v>42</v>
      </c>
    </row>
    <row r="373" spans="1:28" ht="33" customHeight="1" x14ac:dyDescent="0.25">
      <c r="A373" s="7" t="s">
        <v>1054</v>
      </c>
      <c r="B373" s="3" t="s">
        <v>747</v>
      </c>
      <c r="C373" s="3" t="s">
        <v>1053</v>
      </c>
      <c r="D373" s="6">
        <v>43765</v>
      </c>
      <c r="E373" s="6">
        <v>45339</v>
      </c>
      <c r="F373" s="3"/>
      <c r="G373" s="6"/>
      <c r="H373" s="3"/>
      <c r="I373" s="6"/>
      <c r="J373" s="3" t="s">
        <v>1050</v>
      </c>
      <c r="K373" s="3"/>
      <c r="L373" s="3">
        <v>4367719</v>
      </c>
      <c r="M373" s="3" t="s">
        <v>34</v>
      </c>
      <c r="N373" s="3" t="s">
        <v>750</v>
      </c>
      <c r="O373" s="3" t="s">
        <v>441</v>
      </c>
      <c r="P373" s="3" t="s">
        <v>37</v>
      </c>
      <c r="Q373" s="5">
        <v>19840</v>
      </c>
      <c r="R373" s="5"/>
      <c r="S373" s="5"/>
      <c r="T373" s="3" t="s">
        <v>38</v>
      </c>
      <c r="U373" s="3" t="s">
        <v>153</v>
      </c>
      <c r="V373" s="3"/>
      <c r="W373" s="6"/>
      <c r="X373" s="6"/>
      <c r="Y373" s="3"/>
      <c r="Z373" s="3"/>
      <c r="AA373" s="3"/>
      <c r="AB373" s="3" t="s">
        <v>42</v>
      </c>
    </row>
    <row r="374" spans="1:28" ht="33" customHeight="1" x14ac:dyDescent="0.25">
      <c r="A374" s="7" t="s">
        <v>1055</v>
      </c>
      <c r="B374" s="3" t="s">
        <v>747</v>
      </c>
      <c r="C374" s="3" t="s">
        <v>1056</v>
      </c>
      <c r="D374" s="6">
        <v>44976</v>
      </c>
      <c r="E374" s="6">
        <v>45339</v>
      </c>
      <c r="F374" s="3"/>
      <c r="G374" s="6"/>
      <c r="H374" s="3"/>
      <c r="I374" s="6"/>
      <c r="J374" s="3" t="s">
        <v>1050</v>
      </c>
      <c r="K374" s="3"/>
      <c r="L374" s="3">
        <v>4367719</v>
      </c>
      <c r="M374" s="3" t="s">
        <v>34</v>
      </c>
      <c r="N374" s="3" t="s">
        <v>750</v>
      </c>
      <c r="O374" s="3" t="s">
        <v>441</v>
      </c>
      <c r="P374" s="3" t="s">
        <v>37</v>
      </c>
      <c r="Q374" s="5">
        <v>194668</v>
      </c>
      <c r="R374" s="5"/>
      <c r="S374" s="5"/>
      <c r="T374" s="3" t="s">
        <v>38</v>
      </c>
      <c r="U374" s="3" t="s">
        <v>153</v>
      </c>
      <c r="V374" s="3"/>
      <c r="W374" s="6"/>
      <c r="X374" s="6"/>
      <c r="Y374" s="3"/>
      <c r="Z374" s="3"/>
      <c r="AA374" s="3"/>
      <c r="AB374" s="3" t="s">
        <v>42</v>
      </c>
    </row>
    <row r="375" spans="1:28" ht="33" customHeight="1" x14ac:dyDescent="0.25">
      <c r="A375" s="7" t="s">
        <v>1057</v>
      </c>
      <c r="B375" s="3" t="s">
        <v>747</v>
      </c>
      <c r="C375" s="3" t="s">
        <v>1056</v>
      </c>
      <c r="D375" s="6">
        <v>44976</v>
      </c>
      <c r="E375" s="6">
        <v>45339</v>
      </c>
      <c r="F375" s="3"/>
      <c r="G375" s="6"/>
      <c r="H375" s="3"/>
      <c r="I375" s="6"/>
      <c r="J375" s="3" t="s">
        <v>1050</v>
      </c>
      <c r="K375" s="3"/>
      <c r="L375" s="3">
        <v>4367719</v>
      </c>
      <c r="M375" s="3" t="s">
        <v>34</v>
      </c>
      <c r="N375" s="3" t="s">
        <v>750</v>
      </c>
      <c r="O375" s="3" t="s">
        <v>441</v>
      </c>
      <c r="P375" s="3" t="s">
        <v>37</v>
      </c>
      <c r="Q375" s="5">
        <v>64332</v>
      </c>
      <c r="R375" s="5"/>
      <c r="S375" s="5"/>
      <c r="T375" s="3" t="s">
        <v>38</v>
      </c>
      <c r="U375" s="3" t="s">
        <v>153</v>
      </c>
      <c r="V375" s="3"/>
      <c r="W375" s="6"/>
      <c r="X375" s="6"/>
      <c r="Y375" s="3"/>
      <c r="Z375" s="3"/>
      <c r="AA375" s="3"/>
      <c r="AB375" s="3" t="s">
        <v>42</v>
      </c>
    </row>
    <row r="376" spans="1:28" ht="33" customHeight="1" x14ac:dyDescent="0.25">
      <c r="A376" s="7" t="s">
        <v>1058</v>
      </c>
      <c r="B376" s="3" t="s">
        <v>747</v>
      </c>
      <c r="C376" s="3" t="s">
        <v>1059</v>
      </c>
      <c r="D376" s="6">
        <v>43030</v>
      </c>
      <c r="E376" s="6">
        <v>45493</v>
      </c>
      <c r="F376" s="3"/>
      <c r="G376" s="6"/>
      <c r="H376" s="3"/>
      <c r="I376" s="6"/>
      <c r="J376" s="3" t="s">
        <v>1060</v>
      </c>
      <c r="K376" s="3"/>
      <c r="L376" s="3"/>
      <c r="M376" s="3" t="s">
        <v>92</v>
      </c>
      <c r="N376" s="3" t="s">
        <v>750</v>
      </c>
      <c r="O376" s="3" t="s">
        <v>441</v>
      </c>
      <c r="P376" s="3" t="s">
        <v>37</v>
      </c>
      <c r="Q376" s="5">
        <v>10601</v>
      </c>
      <c r="R376" s="5"/>
      <c r="S376" s="5"/>
      <c r="T376" s="3" t="s">
        <v>840</v>
      </c>
      <c r="U376" s="3" t="s">
        <v>153</v>
      </c>
      <c r="V376" s="3"/>
      <c r="W376" s="6"/>
      <c r="X376" s="6"/>
      <c r="Y376" s="3"/>
      <c r="Z376" s="3"/>
      <c r="AA376" s="3"/>
      <c r="AB376" s="3" t="s">
        <v>42</v>
      </c>
    </row>
    <row r="377" spans="1:28" ht="33" customHeight="1" x14ac:dyDescent="0.25">
      <c r="A377" s="7" t="s">
        <v>1061</v>
      </c>
      <c r="B377" s="3" t="s">
        <v>747</v>
      </c>
      <c r="C377" s="3" t="s">
        <v>1062</v>
      </c>
      <c r="D377" s="6">
        <v>44564</v>
      </c>
      <c r="E377" s="6">
        <v>45864</v>
      </c>
      <c r="F377" s="3"/>
      <c r="G377" s="6"/>
      <c r="H377" s="3"/>
      <c r="I377" s="6"/>
      <c r="J377" s="3" t="s">
        <v>1063</v>
      </c>
      <c r="K377" s="3"/>
      <c r="L377" s="3"/>
      <c r="M377" s="3" t="s">
        <v>48</v>
      </c>
      <c r="N377" s="3" t="s">
        <v>750</v>
      </c>
      <c r="O377" s="3" t="s">
        <v>441</v>
      </c>
      <c r="P377" s="3" t="s">
        <v>37</v>
      </c>
      <c r="Q377" s="5">
        <v>92576</v>
      </c>
      <c r="R377" s="5"/>
      <c r="S377" s="5"/>
      <c r="T377" s="3" t="s">
        <v>38</v>
      </c>
      <c r="U377" s="3" t="s">
        <v>153</v>
      </c>
      <c r="V377" s="3"/>
      <c r="W377" s="6"/>
      <c r="X377" s="6"/>
      <c r="Y377" s="3"/>
      <c r="Z377" s="3"/>
      <c r="AA377" s="3"/>
      <c r="AB377" s="3" t="s">
        <v>42</v>
      </c>
    </row>
    <row r="378" spans="1:28" ht="33" customHeight="1" x14ac:dyDescent="0.25">
      <c r="A378" s="7" t="s">
        <v>1064</v>
      </c>
      <c r="B378" s="3" t="s">
        <v>747</v>
      </c>
      <c r="C378" s="3" t="s">
        <v>1003</v>
      </c>
      <c r="D378" s="6">
        <v>43303</v>
      </c>
      <c r="E378" s="6">
        <v>45864</v>
      </c>
      <c r="F378" s="3"/>
      <c r="G378" s="6"/>
      <c r="H378" s="3"/>
      <c r="I378" s="6"/>
      <c r="J378" s="3" t="s">
        <v>1063</v>
      </c>
      <c r="K378" s="3"/>
      <c r="L378" s="3"/>
      <c r="M378" s="3" t="s">
        <v>48</v>
      </c>
      <c r="N378" s="3" t="s">
        <v>750</v>
      </c>
      <c r="O378" s="3" t="s">
        <v>441</v>
      </c>
      <c r="P378" s="3" t="s">
        <v>37</v>
      </c>
      <c r="Q378" s="5">
        <v>56000</v>
      </c>
      <c r="R378" s="5"/>
      <c r="S378" s="5"/>
      <c r="T378" s="3" t="s">
        <v>38</v>
      </c>
      <c r="U378" s="3" t="s">
        <v>153</v>
      </c>
      <c r="V378" s="3"/>
      <c r="W378" s="6"/>
      <c r="X378" s="6"/>
      <c r="Y378" s="3"/>
      <c r="Z378" s="3"/>
      <c r="AA378" s="3"/>
      <c r="AB378" s="3" t="s">
        <v>42</v>
      </c>
    </row>
    <row r="379" spans="1:28" ht="33" customHeight="1" x14ac:dyDescent="0.25">
      <c r="A379" s="7" t="s">
        <v>1065</v>
      </c>
      <c r="B379" s="3" t="s">
        <v>747</v>
      </c>
      <c r="C379" s="3" t="s">
        <v>1003</v>
      </c>
      <c r="D379" s="6">
        <v>43303</v>
      </c>
      <c r="E379" s="6">
        <v>45864</v>
      </c>
      <c r="F379" s="3"/>
      <c r="G379" s="6"/>
      <c r="H379" s="3"/>
      <c r="I379" s="6"/>
      <c r="J379" s="3" t="s">
        <v>1063</v>
      </c>
      <c r="K379" s="3"/>
      <c r="L379" s="3"/>
      <c r="M379" s="3" t="s">
        <v>48</v>
      </c>
      <c r="N379" s="3" t="s">
        <v>750</v>
      </c>
      <c r="O379" s="3" t="s">
        <v>441</v>
      </c>
      <c r="P379" s="3" t="s">
        <v>37</v>
      </c>
      <c r="Q379" s="5">
        <v>52000</v>
      </c>
      <c r="R379" s="5"/>
      <c r="S379" s="5"/>
      <c r="T379" s="3" t="s">
        <v>38</v>
      </c>
      <c r="U379" s="3" t="s">
        <v>153</v>
      </c>
      <c r="V379" s="3"/>
      <c r="W379" s="6"/>
      <c r="X379" s="6"/>
      <c r="Y379" s="3"/>
      <c r="Z379" s="3"/>
      <c r="AA379" s="3"/>
      <c r="AB379" s="3" t="s">
        <v>42</v>
      </c>
    </row>
    <row r="380" spans="1:28" ht="33" customHeight="1" x14ac:dyDescent="0.25">
      <c r="A380" s="7" t="s">
        <v>1066</v>
      </c>
      <c r="B380" s="3" t="s">
        <v>747</v>
      </c>
      <c r="C380" s="3" t="s">
        <v>1067</v>
      </c>
      <c r="D380" s="6">
        <v>44620</v>
      </c>
      <c r="E380" s="6">
        <v>45864</v>
      </c>
      <c r="F380" s="3"/>
      <c r="G380" s="6"/>
      <c r="H380" s="3"/>
      <c r="I380" s="6"/>
      <c r="J380" s="3" t="s">
        <v>1063</v>
      </c>
      <c r="K380" s="3"/>
      <c r="L380" s="3"/>
      <c r="M380" s="3" t="s">
        <v>48</v>
      </c>
      <c r="N380" s="3" t="s">
        <v>750</v>
      </c>
      <c r="O380" s="3" t="s">
        <v>441</v>
      </c>
      <c r="P380" s="3" t="s">
        <v>37</v>
      </c>
      <c r="Q380" s="5">
        <v>141750</v>
      </c>
      <c r="R380" s="5"/>
      <c r="S380" s="5"/>
      <c r="T380" s="3" t="s">
        <v>38</v>
      </c>
      <c r="U380" s="3" t="s">
        <v>153</v>
      </c>
      <c r="V380" s="3"/>
      <c r="W380" s="6"/>
      <c r="X380" s="6"/>
      <c r="Y380" s="3"/>
      <c r="Z380" s="3"/>
      <c r="AA380" s="3"/>
      <c r="AB380" s="3" t="s">
        <v>42</v>
      </c>
    </row>
    <row r="381" spans="1:28" ht="33" customHeight="1" x14ac:dyDescent="0.25">
      <c r="A381" s="7" t="s">
        <v>1068</v>
      </c>
      <c r="B381" s="3" t="s">
        <v>747</v>
      </c>
      <c r="C381" s="3" t="s">
        <v>1069</v>
      </c>
      <c r="D381" s="6">
        <v>44766</v>
      </c>
      <c r="E381" s="6">
        <v>45493</v>
      </c>
      <c r="F381" s="3"/>
      <c r="G381" s="6"/>
      <c r="H381" s="3"/>
      <c r="I381" s="6"/>
      <c r="J381" s="3" t="s">
        <v>1070</v>
      </c>
      <c r="K381" s="3"/>
      <c r="L381" s="3"/>
      <c r="M381" s="3" t="s">
        <v>34</v>
      </c>
      <c r="N381" s="3" t="s">
        <v>750</v>
      </c>
      <c r="O381" s="3" t="s">
        <v>441</v>
      </c>
      <c r="P381" s="3" t="s">
        <v>37</v>
      </c>
      <c r="Q381" s="5">
        <v>21500</v>
      </c>
      <c r="R381" s="5"/>
      <c r="S381" s="5"/>
      <c r="T381" s="3" t="s">
        <v>38</v>
      </c>
      <c r="U381" s="3" t="s">
        <v>153</v>
      </c>
      <c r="V381" s="3"/>
      <c r="W381" s="6"/>
      <c r="X381" s="6"/>
      <c r="Y381" s="3"/>
      <c r="Z381" s="3"/>
      <c r="AA381" s="3"/>
      <c r="AB381" s="3" t="s">
        <v>477</v>
      </c>
    </row>
    <row r="382" spans="1:28" ht="33" customHeight="1" x14ac:dyDescent="0.25">
      <c r="A382" s="7" t="s">
        <v>1071</v>
      </c>
      <c r="B382" s="3" t="s">
        <v>747</v>
      </c>
      <c r="C382" s="3" t="s">
        <v>1072</v>
      </c>
      <c r="D382" s="6">
        <v>44619</v>
      </c>
      <c r="E382" s="6">
        <v>45710</v>
      </c>
      <c r="F382" s="3"/>
      <c r="G382" s="6"/>
      <c r="H382" s="3"/>
      <c r="I382" s="6"/>
      <c r="J382" s="3" t="s">
        <v>1073</v>
      </c>
      <c r="K382" s="3"/>
      <c r="L382" s="3">
        <v>9431407</v>
      </c>
      <c r="M382" s="3" t="s">
        <v>34</v>
      </c>
      <c r="N382" s="3" t="s">
        <v>750</v>
      </c>
      <c r="O382" s="3" t="s">
        <v>441</v>
      </c>
      <c r="P382" s="3" t="s">
        <v>37</v>
      </c>
      <c r="Q382" s="5">
        <v>103202</v>
      </c>
      <c r="R382" s="5"/>
      <c r="S382" s="5"/>
      <c r="T382" s="3" t="s">
        <v>38</v>
      </c>
      <c r="U382" s="3" t="s">
        <v>153</v>
      </c>
      <c r="V382" s="3"/>
      <c r="W382" s="6"/>
      <c r="X382" s="6"/>
      <c r="Y382" s="3"/>
      <c r="Z382" s="3"/>
      <c r="AA382" s="3"/>
      <c r="AB382" s="3" t="s">
        <v>477</v>
      </c>
    </row>
    <row r="383" spans="1:28" ht="33" customHeight="1" x14ac:dyDescent="0.25">
      <c r="A383" s="7" t="s">
        <v>1074</v>
      </c>
      <c r="B383" s="3" t="s">
        <v>747</v>
      </c>
      <c r="C383" s="3" t="s">
        <v>1072</v>
      </c>
      <c r="D383" s="6">
        <v>44619</v>
      </c>
      <c r="E383" s="6">
        <v>45710</v>
      </c>
      <c r="F383" s="3"/>
      <c r="G383" s="6"/>
      <c r="H383" s="3"/>
      <c r="I383" s="6"/>
      <c r="J383" s="3" t="s">
        <v>1073</v>
      </c>
      <c r="K383" s="3"/>
      <c r="L383" s="3">
        <v>9431407</v>
      </c>
      <c r="M383" s="3" t="s">
        <v>34</v>
      </c>
      <c r="N383" s="3" t="s">
        <v>750</v>
      </c>
      <c r="O383" s="3" t="s">
        <v>441</v>
      </c>
      <c r="P383" s="3" t="s">
        <v>37</v>
      </c>
      <c r="Q383" s="5">
        <v>103202</v>
      </c>
      <c r="R383" s="5"/>
      <c r="S383" s="5"/>
      <c r="T383" s="3" t="s">
        <v>38</v>
      </c>
      <c r="U383" s="3" t="s">
        <v>153</v>
      </c>
      <c r="V383" s="3"/>
      <c r="W383" s="6"/>
      <c r="X383" s="6"/>
      <c r="Y383" s="3"/>
      <c r="Z383" s="3"/>
      <c r="AA383" s="3"/>
      <c r="AB383" s="3" t="s">
        <v>477</v>
      </c>
    </row>
    <row r="384" spans="1:28" ht="33" customHeight="1" x14ac:dyDescent="0.25">
      <c r="A384" s="7" t="s">
        <v>1075</v>
      </c>
      <c r="B384" s="3" t="s">
        <v>747</v>
      </c>
      <c r="C384" s="3" t="s">
        <v>1076</v>
      </c>
      <c r="D384" s="6">
        <v>44836</v>
      </c>
      <c r="E384" s="6">
        <v>45934</v>
      </c>
      <c r="F384" s="3"/>
      <c r="G384" s="6"/>
      <c r="H384" s="3"/>
      <c r="I384" s="6"/>
      <c r="J384" s="3" t="s">
        <v>1073</v>
      </c>
      <c r="K384" s="3"/>
      <c r="L384" s="3">
        <v>9431407</v>
      </c>
      <c r="M384" s="3" t="s">
        <v>34</v>
      </c>
      <c r="N384" s="3" t="s">
        <v>750</v>
      </c>
      <c r="O384" s="3" t="s">
        <v>441</v>
      </c>
      <c r="P384" s="3" t="s">
        <v>37</v>
      </c>
      <c r="Q384" s="5">
        <v>201896</v>
      </c>
      <c r="R384" s="5"/>
      <c r="S384" s="5"/>
      <c r="T384" s="3" t="s">
        <v>38</v>
      </c>
      <c r="U384" s="3" t="s">
        <v>153</v>
      </c>
      <c r="V384" s="3"/>
      <c r="W384" s="6"/>
      <c r="X384" s="6"/>
      <c r="Y384" s="3"/>
      <c r="Z384" s="3"/>
      <c r="AA384" s="3"/>
      <c r="AB384" s="3" t="s">
        <v>477</v>
      </c>
    </row>
    <row r="385" spans="1:28" ht="33" customHeight="1" x14ac:dyDescent="0.25">
      <c r="A385" s="7" t="s">
        <v>1077</v>
      </c>
      <c r="B385" s="3" t="s">
        <v>747</v>
      </c>
      <c r="C385" s="3" t="s">
        <v>1076</v>
      </c>
      <c r="D385" s="6">
        <v>44836</v>
      </c>
      <c r="E385" s="6">
        <v>45934</v>
      </c>
      <c r="F385" s="3"/>
      <c r="G385" s="6"/>
      <c r="H385" s="3"/>
      <c r="I385" s="6"/>
      <c r="J385" s="3" t="s">
        <v>1073</v>
      </c>
      <c r="K385" s="3"/>
      <c r="L385" s="3">
        <v>9431407</v>
      </c>
      <c r="M385" s="3" t="s">
        <v>34</v>
      </c>
      <c r="N385" s="3" t="s">
        <v>750</v>
      </c>
      <c r="O385" s="3" t="s">
        <v>441</v>
      </c>
      <c r="P385" s="3" t="s">
        <v>37</v>
      </c>
      <c r="Q385" s="5">
        <v>-41953</v>
      </c>
      <c r="R385" s="5"/>
      <c r="S385" s="5"/>
      <c r="T385" s="3" t="s">
        <v>38</v>
      </c>
      <c r="U385" s="3" t="s">
        <v>153</v>
      </c>
      <c r="V385" s="3"/>
      <c r="W385" s="6"/>
      <c r="X385" s="6"/>
      <c r="Y385" s="3"/>
      <c r="Z385" s="3"/>
      <c r="AA385" s="3"/>
      <c r="AB385" s="3" t="s">
        <v>477</v>
      </c>
    </row>
    <row r="386" spans="1:28" ht="33" customHeight="1" x14ac:dyDescent="0.25">
      <c r="A386" s="7" t="s">
        <v>1078</v>
      </c>
      <c r="B386" s="3" t="s">
        <v>747</v>
      </c>
      <c r="C386" s="3" t="s">
        <v>1079</v>
      </c>
      <c r="D386" s="6">
        <v>43674</v>
      </c>
      <c r="E386" s="6">
        <v>45710</v>
      </c>
      <c r="F386" s="3"/>
      <c r="G386" s="6"/>
      <c r="H386" s="3"/>
      <c r="I386" s="6"/>
      <c r="J386" s="3" t="s">
        <v>1073</v>
      </c>
      <c r="K386" s="3"/>
      <c r="L386" s="3">
        <v>9431407</v>
      </c>
      <c r="M386" s="3" t="s">
        <v>34</v>
      </c>
      <c r="N386" s="3" t="s">
        <v>750</v>
      </c>
      <c r="O386" s="3" t="s">
        <v>441</v>
      </c>
      <c r="P386" s="3" t="s">
        <v>37</v>
      </c>
      <c r="Q386" s="5">
        <v>14149</v>
      </c>
      <c r="R386" s="5"/>
      <c r="S386" s="5"/>
      <c r="T386" s="3" t="s">
        <v>38</v>
      </c>
      <c r="U386" s="3" t="s">
        <v>153</v>
      </c>
      <c r="V386" s="3"/>
      <c r="W386" s="6"/>
      <c r="X386" s="6"/>
      <c r="Y386" s="3"/>
      <c r="Z386" s="3"/>
      <c r="AA386" s="3"/>
      <c r="AB386" s="3" t="s">
        <v>477</v>
      </c>
    </row>
    <row r="387" spans="1:28" ht="33" customHeight="1" x14ac:dyDescent="0.25">
      <c r="A387" s="7" t="s">
        <v>1080</v>
      </c>
      <c r="B387" s="3" t="s">
        <v>747</v>
      </c>
      <c r="C387" s="3" t="s">
        <v>1079</v>
      </c>
      <c r="D387" s="6">
        <v>43674</v>
      </c>
      <c r="E387" s="6">
        <v>45710</v>
      </c>
      <c r="F387" s="3"/>
      <c r="G387" s="6"/>
      <c r="H387" s="3"/>
      <c r="I387" s="6"/>
      <c r="J387" s="3" t="s">
        <v>1073</v>
      </c>
      <c r="K387" s="3"/>
      <c r="L387" s="3">
        <v>9431407</v>
      </c>
      <c r="M387" s="3" t="s">
        <v>34</v>
      </c>
      <c r="N387" s="3" t="s">
        <v>750</v>
      </c>
      <c r="O387" s="3" t="s">
        <v>441</v>
      </c>
      <c r="P387" s="3" t="s">
        <v>37</v>
      </c>
      <c r="Q387" s="5">
        <v>14149</v>
      </c>
      <c r="R387" s="5"/>
      <c r="S387" s="5"/>
      <c r="T387" s="3" t="s">
        <v>38</v>
      </c>
      <c r="U387" s="3" t="s">
        <v>153</v>
      </c>
      <c r="V387" s="3"/>
      <c r="W387" s="6"/>
      <c r="X387" s="6"/>
      <c r="Y387" s="3"/>
      <c r="Z387" s="3"/>
      <c r="AA387" s="3"/>
      <c r="AB387" s="3" t="s">
        <v>477</v>
      </c>
    </row>
    <row r="388" spans="1:28" ht="33" customHeight="1" x14ac:dyDescent="0.25">
      <c r="A388" s="7" t="s">
        <v>1081</v>
      </c>
      <c r="B388" s="3" t="s">
        <v>747</v>
      </c>
      <c r="C388" s="3" t="s">
        <v>1079</v>
      </c>
      <c r="D388" s="6">
        <v>43674</v>
      </c>
      <c r="E388" s="6">
        <v>45710</v>
      </c>
      <c r="F388" s="3"/>
      <c r="G388" s="6"/>
      <c r="H388" s="3"/>
      <c r="I388" s="6"/>
      <c r="J388" s="3" t="s">
        <v>1073</v>
      </c>
      <c r="K388" s="3"/>
      <c r="L388" s="3">
        <v>9431407</v>
      </c>
      <c r="M388" s="3" t="s">
        <v>34</v>
      </c>
      <c r="N388" s="3" t="s">
        <v>750</v>
      </c>
      <c r="O388" s="3" t="s">
        <v>441</v>
      </c>
      <c r="P388" s="3" t="s">
        <v>37</v>
      </c>
      <c r="Q388" s="5">
        <v>137704</v>
      </c>
      <c r="R388" s="5"/>
      <c r="S388" s="5"/>
      <c r="T388" s="3" t="s">
        <v>38</v>
      </c>
      <c r="U388" s="3" t="s">
        <v>153</v>
      </c>
      <c r="V388" s="3"/>
      <c r="W388" s="6"/>
      <c r="X388" s="6"/>
      <c r="Y388" s="3"/>
      <c r="Z388" s="3"/>
      <c r="AA388" s="3"/>
      <c r="AB388" s="3" t="s">
        <v>477</v>
      </c>
    </row>
    <row r="389" spans="1:28" ht="33" customHeight="1" x14ac:dyDescent="0.25">
      <c r="A389" s="7" t="s">
        <v>1082</v>
      </c>
      <c r="B389" s="3" t="s">
        <v>747</v>
      </c>
      <c r="C389" s="3" t="s">
        <v>1083</v>
      </c>
      <c r="D389" s="6">
        <v>44619</v>
      </c>
      <c r="E389" s="6">
        <v>45710</v>
      </c>
      <c r="F389" s="3"/>
      <c r="G389" s="6"/>
      <c r="H389" s="3"/>
      <c r="I389" s="6"/>
      <c r="J389" s="3" t="s">
        <v>1073</v>
      </c>
      <c r="K389" s="3"/>
      <c r="L389" s="3">
        <v>9431407</v>
      </c>
      <c r="M389" s="3" t="s">
        <v>34</v>
      </c>
      <c r="N389" s="3" t="s">
        <v>750</v>
      </c>
      <c r="O389" s="3" t="s">
        <v>441</v>
      </c>
      <c r="P389" s="3" t="s">
        <v>37</v>
      </c>
      <c r="Q389" s="5">
        <v>36372</v>
      </c>
      <c r="R389" s="5"/>
      <c r="S389" s="5"/>
      <c r="T389" s="3" t="s">
        <v>38</v>
      </c>
      <c r="U389" s="3" t="s">
        <v>153</v>
      </c>
      <c r="V389" s="3"/>
      <c r="W389" s="6"/>
      <c r="X389" s="6"/>
      <c r="Y389" s="3"/>
      <c r="Z389" s="3"/>
      <c r="AA389" s="3"/>
      <c r="AB389" s="3" t="s">
        <v>477</v>
      </c>
    </row>
    <row r="390" spans="1:28" ht="33" customHeight="1" x14ac:dyDescent="0.25">
      <c r="A390" s="7" t="s">
        <v>1084</v>
      </c>
      <c r="B390" s="3" t="s">
        <v>747</v>
      </c>
      <c r="C390" s="3" t="s">
        <v>1085</v>
      </c>
      <c r="D390" s="6">
        <v>43303</v>
      </c>
      <c r="E390" s="6">
        <v>45864</v>
      </c>
      <c r="F390" s="3"/>
      <c r="G390" s="6"/>
      <c r="H390" s="3"/>
      <c r="I390" s="6"/>
      <c r="J390" s="3" t="s">
        <v>1086</v>
      </c>
      <c r="K390" s="3"/>
      <c r="L390" s="3"/>
      <c r="M390" s="3" t="s">
        <v>92</v>
      </c>
      <c r="N390" s="3" t="s">
        <v>750</v>
      </c>
      <c r="O390" s="3" t="s">
        <v>441</v>
      </c>
      <c r="P390" s="3" t="s">
        <v>37</v>
      </c>
      <c r="Q390" s="5">
        <v>27685</v>
      </c>
      <c r="R390" s="5"/>
      <c r="S390" s="5"/>
      <c r="T390" s="3" t="s">
        <v>38</v>
      </c>
      <c r="U390" s="3" t="s">
        <v>153</v>
      </c>
      <c r="V390" s="3"/>
      <c r="W390" s="6"/>
      <c r="X390" s="6"/>
      <c r="Y390" s="3"/>
      <c r="Z390" s="3"/>
      <c r="AA390" s="3"/>
      <c r="AB390" s="3" t="s">
        <v>42</v>
      </c>
    </row>
    <row r="391" spans="1:28" ht="33" customHeight="1" x14ac:dyDescent="0.25">
      <c r="A391" s="7" t="s">
        <v>1087</v>
      </c>
      <c r="B391" s="3" t="s">
        <v>747</v>
      </c>
      <c r="C391" s="3" t="s">
        <v>1085</v>
      </c>
      <c r="D391" s="6">
        <v>43303</v>
      </c>
      <c r="E391" s="6">
        <v>45864</v>
      </c>
      <c r="F391" s="3"/>
      <c r="G391" s="6"/>
      <c r="H391" s="3"/>
      <c r="I391" s="6"/>
      <c r="J391" s="3" t="s">
        <v>1086</v>
      </c>
      <c r="K391" s="3"/>
      <c r="L391" s="3"/>
      <c r="M391" s="3" t="s">
        <v>92</v>
      </c>
      <c r="N391" s="3" t="s">
        <v>750</v>
      </c>
      <c r="O391" s="3" t="s">
        <v>441</v>
      </c>
      <c r="P391" s="3" t="s">
        <v>37</v>
      </c>
      <c r="Q391" s="5">
        <v>61910</v>
      </c>
      <c r="R391" s="5"/>
      <c r="S391" s="5"/>
      <c r="T391" s="3" t="s">
        <v>38</v>
      </c>
      <c r="U391" s="3" t="s">
        <v>153</v>
      </c>
      <c r="V391" s="3"/>
      <c r="W391" s="6"/>
      <c r="X391" s="6"/>
      <c r="Y391" s="3"/>
      <c r="Z391" s="3"/>
      <c r="AA391" s="3"/>
      <c r="AB391" s="3" t="s">
        <v>42</v>
      </c>
    </row>
    <row r="392" spans="1:28" ht="33" customHeight="1" x14ac:dyDescent="0.25">
      <c r="A392" s="7" t="s">
        <v>1088</v>
      </c>
      <c r="B392" s="3" t="s">
        <v>747</v>
      </c>
      <c r="C392" s="3" t="s">
        <v>1089</v>
      </c>
      <c r="D392" s="6">
        <v>44620</v>
      </c>
      <c r="E392" s="6">
        <v>45347</v>
      </c>
      <c r="F392" s="3"/>
      <c r="G392" s="6"/>
      <c r="H392" s="3"/>
      <c r="I392" s="6"/>
      <c r="J392" s="3" t="s">
        <v>1090</v>
      </c>
      <c r="K392" s="3"/>
      <c r="L392" s="3">
        <v>10799374</v>
      </c>
      <c r="M392" s="3" t="s">
        <v>48</v>
      </c>
      <c r="N392" s="3" t="s">
        <v>750</v>
      </c>
      <c r="O392" s="3" t="s">
        <v>441</v>
      </c>
      <c r="P392" s="3" t="s">
        <v>37</v>
      </c>
      <c r="Q392" s="5">
        <v>62478</v>
      </c>
      <c r="R392" s="5"/>
      <c r="S392" s="5"/>
      <c r="T392" s="3" t="s">
        <v>38</v>
      </c>
      <c r="U392" s="3" t="s">
        <v>153</v>
      </c>
      <c r="V392" s="3"/>
      <c r="W392" s="6"/>
      <c r="X392" s="6"/>
      <c r="Y392" s="3"/>
      <c r="Z392" s="3"/>
      <c r="AA392" s="3"/>
      <c r="AB392" s="3" t="s">
        <v>42</v>
      </c>
    </row>
    <row r="393" spans="1:28" ht="33" customHeight="1" x14ac:dyDescent="0.25">
      <c r="A393" s="7" t="s">
        <v>1091</v>
      </c>
      <c r="B393" s="3" t="s">
        <v>747</v>
      </c>
      <c r="C393" s="3" t="s">
        <v>1089</v>
      </c>
      <c r="D393" s="6">
        <v>44620</v>
      </c>
      <c r="E393" s="6">
        <v>45347</v>
      </c>
      <c r="F393" s="3"/>
      <c r="G393" s="6"/>
      <c r="H393" s="3"/>
      <c r="I393" s="6"/>
      <c r="J393" s="3" t="s">
        <v>1090</v>
      </c>
      <c r="K393" s="3"/>
      <c r="L393" s="3">
        <v>10799374</v>
      </c>
      <c r="M393" s="3" t="s">
        <v>48</v>
      </c>
      <c r="N393" s="3" t="s">
        <v>750</v>
      </c>
      <c r="O393" s="3" t="s">
        <v>441</v>
      </c>
      <c r="P393" s="3" t="s">
        <v>37</v>
      </c>
      <c r="Q393" s="5">
        <v>-18200</v>
      </c>
      <c r="R393" s="5"/>
      <c r="S393" s="5"/>
      <c r="T393" s="3" t="s">
        <v>38</v>
      </c>
      <c r="U393" s="3" t="s">
        <v>153</v>
      </c>
      <c r="V393" s="3"/>
      <c r="W393" s="6"/>
      <c r="X393" s="6"/>
      <c r="Y393" s="3"/>
      <c r="Z393" s="3"/>
      <c r="AA393" s="3"/>
      <c r="AB393" s="3" t="s">
        <v>42</v>
      </c>
    </row>
    <row r="394" spans="1:28" ht="33" customHeight="1" x14ac:dyDescent="0.25">
      <c r="A394" s="7" t="s">
        <v>1092</v>
      </c>
      <c r="B394" s="3" t="s">
        <v>747</v>
      </c>
      <c r="C394" s="3" t="s">
        <v>1093</v>
      </c>
      <c r="D394" s="6">
        <v>43303</v>
      </c>
      <c r="E394" s="6">
        <v>45864</v>
      </c>
      <c r="F394" s="3"/>
      <c r="G394" s="6"/>
      <c r="H394" s="3"/>
      <c r="I394" s="6"/>
      <c r="J394" s="3" t="s">
        <v>1094</v>
      </c>
      <c r="K394" s="3"/>
      <c r="L394" s="3"/>
      <c r="M394" s="3" t="s">
        <v>92</v>
      </c>
      <c r="N394" s="3" t="s">
        <v>750</v>
      </c>
      <c r="O394" s="3" t="s">
        <v>441</v>
      </c>
      <c r="P394" s="3" t="s">
        <v>37</v>
      </c>
      <c r="Q394" s="5">
        <v>30600</v>
      </c>
      <c r="R394" s="5"/>
      <c r="S394" s="5"/>
      <c r="T394" s="3" t="s">
        <v>38</v>
      </c>
      <c r="U394" s="3" t="s">
        <v>153</v>
      </c>
      <c r="V394" s="3"/>
      <c r="W394" s="6"/>
      <c r="X394" s="6"/>
      <c r="Y394" s="3"/>
      <c r="Z394" s="3"/>
      <c r="AA394" s="3"/>
      <c r="AB394" s="3" t="s">
        <v>42</v>
      </c>
    </row>
    <row r="395" spans="1:28" ht="33" customHeight="1" x14ac:dyDescent="0.25">
      <c r="A395" s="7" t="s">
        <v>1095</v>
      </c>
      <c r="B395" s="3" t="s">
        <v>747</v>
      </c>
      <c r="C395" s="3" t="s">
        <v>1093</v>
      </c>
      <c r="D395" s="6">
        <v>43303</v>
      </c>
      <c r="E395" s="6">
        <v>45864</v>
      </c>
      <c r="F395" s="3"/>
      <c r="G395" s="6"/>
      <c r="H395" s="3"/>
      <c r="I395" s="6"/>
      <c r="J395" s="3" t="s">
        <v>1094</v>
      </c>
      <c r="K395" s="3"/>
      <c r="L395" s="3"/>
      <c r="M395" s="3" t="s">
        <v>92</v>
      </c>
      <c r="N395" s="3" t="s">
        <v>750</v>
      </c>
      <c r="O395" s="3" t="s">
        <v>441</v>
      </c>
      <c r="P395" s="3" t="s">
        <v>37</v>
      </c>
      <c r="Q395" s="5">
        <v>30600</v>
      </c>
      <c r="R395" s="5"/>
      <c r="S395" s="5"/>
      <c r="T395" s="3" t="s">
        <v>38</v>
      </c>
      <c r="U395" s="3" t="s">
        <v>153</v>
      </c>
      <c r="V395" s="3"/>
      <c r="W395" s="6"/>
      <c r="X395" s="6"/>
      <c r="Y395" s="3"/>
      <c r="Z395" s="3"/>
      <c r="AA395" s="3"/>
      <c r="AB395" s="3" t="s">
        <v>42</v>
      </c>
    </row>
    <row r="396" spans="1:28" ht="33" customHeight="1" x14ac:dyDescent="0.25">
      <c r="A396" s="7" t="s">
        <v>1096</v>
      </c>
      <c r="B396" s="3" t="s">
        <v>747</v>
      </c>
      <c r="C396" s="3" t="s">
        <v>1097</v>
      </c>
      <c r="D396" s="6">
        <v>44808</v>
      </c>
      <c r="E396" s="6">
        <v>45955</v>
      </c>
      <c r="F396" s="3"/>
      <c r="G396" s="6"/>
      <c r="H396" s="3"/>
      <c r="I396" s="6"/>
      <c r="J396" s="3" t="s">
        <v>1098</v>
      </c>
      <c r="K396" s="3"/>
      <c r="L396" s="3"/>
      <c r="M396" s="3" t="s">
        <v>34</v>
      </c>
      <c r="N396" s="3" t="s">
        <v>750</v>
      </c>
      <c r="O396" s="3" t="s">
        <v>441</v>
      </c>
      <c r="P396" s="3" t="s">
        <v>37</v>
      </c>
      <c r="Q396" s="5">
        <v>101606</v>
      </c>
      <c r="R396" s="5"/>
      <c r="S396" s="5"/>
      <c r="T396" s="3" t="s">
        <v>38</v>
      </c>
      <c r="U396" s="3" t="s">
        <v>153</v>
      </c>
      <c r="V396" s="3"/>
      <c r="W396" s="6"/>
      <c r="X396" s="6"/>
      <c r="Y396" s="3"/>
      <c r="Z396" s="3"/>
      <c r="AA396" s="3"/>
      <c r="AB396" s="3" t="s">
        <v>477</v>
      </c>
    </row>
    <row r="397" spans="1:28" ht="33" customHeight="1" x14ac:dyDescent="0.25">
      <c r="A397" s="7" t="s">
        <v>1099</v>
      </c>
      <c r="B397" s="3" t="s">
        <v>747</v>
      </c>
      <c r="C397" s="3" t="s">
        <v>1100</v>
      </c>
      <c r="D397" s="6">
        <v>43030</v>
      </c>
      <c r="E397" s="6">
        <v>45585</v>
      </c>
      <c r="F397" s="3"/>
      <c r="G397" s="6"/>
      <c r="H397" s="3"/>
      <c r="I397" s="6"/>
      <c r="J397" s="3" t="s">
        <v>1101</v>
      </c>
      <c r="K397" s="3"/>
      <c r="L397" s="3"/>
      <c r="M397" s="3" t="s">
        <v>48</v>
      </c>
      <c r="N397" s="3" t="s">
        <v>750</v>
      </c>
      <c r="O397" s="3" t="s">
        <v>441</v>
      </c>
      <c r="P397" s="3" t="s">
        <v>37</v>
      </c>
      <c r="Q397" s="5">
        <v>332517</v>
      </c>
      <c r="R397" s="5"/>
      <c r="S397" s="5"/>
      <c r="T397" s="3" t="s">
        <v>38</v>
      </c>
      <c r="U397" s="3" t="s">
        <v>153</v>
      </c>
      <c r="V397" s="3"/>
      <c r="W397" s="6"/>
      <c r="X397" s="6"/>
      <c r="Y397" s="3"/>
      <c r="Z397" s="3"/>
      <c r="AA397" s="3"/>
      <c r="AB397" s="3" t="s">
        <v>42</v>
      </c>
    </row>
    <row r="398" spans="1:28" ht="33" customHeight="1" x14ac:dyDescent="0.25">
      <c r="A398" s="7" t="s">
        <v>1102</v>
      </c>
      <c r="B398" s="3" t="s">
        <v>747</v>
      </c>
      <c r="C398" s="3" t="s">
        <v>1103</v>
      </c>
      <c r="D398" s="6">
        <v>43030</v>
      </c>
      <c r="E398" s="6">
        <v>45585</v>
      </c>
      <c r="F398" s="3"/>
      <c r="G398" s="6"/>
      <c r="H398" s="3"/>
      <c r="I398" s="6"/>
      <c r="J398" s="3" t="s">
        <v>1101</v>
      </c>
      <c r="K398" s="3"/>
      <c r="L398" s="3"/>
      <c r="M398" s="3" t="s">
        <v>48</v>
      </c>
      <c r="N398" s="3" t="s">
        <v>750</v>
      </c>
      <c r="O398" s="3" t="s">
        <v>441</v>
      </c>
      <c r="P398" s="3" t="s">
        <v>37</v>
      </c>
      <c r="Q398" s="5">
        <v>40337</v>
      </c>
      <c r="R398" s="5"/>
      <c r="S398" s="5"/>
      <c r="T398" s="3" t="s">
        <v>38</v>
      </c>
      <c r="U398" s="3" t="s">
        <v>153</v>
      </c>
      <c r="V398" s="3"/>
      <c r="W398" s="6"/>
      <c r="X398" s="6"/>
      <c r="Y398" s="3"/>
      <c r="Z398" s="3"/>
      <c r="AA398" s="3"/>
      <c r="AB398" s="3" t="s">
        <v>42</v>
      </c>
    </row>
    <row r="399" spans="1:28" ht="33" customHeight="1" x14ac:dyDescent="0.25">
      <c r="A399" s="7" t="s">
        <v>1104</v>
      </c>
      <c r="B399" s="3" t="s">
        <v>747</v>
      </c>
      <c r="C399" s="3" t="s">
        <v>1105</v>
      </c>
      <c r="D399" s="6">
        <v>43520</v>
      </c>
      <c r="E399" s="6">
        <v>45430</v>
      </c>
      <c r="F399" s="3"/>
      <c r="G399" s="6"/>
      <c r="H399" s="3"/>
      <c r="I399" s="6"/>
      <c r="J399" s="3" t="s">
        <v>1106</v>
      </c>
      <c r="K399" s="3"/>
      <c r="L399" s="3"/>
      <c r="M399" s="3" t="s">
        <v>34</v>
      </c>
      <c r="N399" s="3" t="s">
        <v>750</v>
      </c>
      <c r="O399" s="3" t="s">
        <v>441</v>
      </c>
      <c r="P399" s="3" t="s">
        <v>37</v>
      </c>
      <c r="Q399" s="5">
        <v>17784</v>
      </c>
      <c r="R399" s="5"/>
      <c r="S399" s="5"/>
      <c r="T399" s="3" t="s">
        <v>38</v>
      </c>
      <c r="U399" s="3" t="s">
        <v>153</v>
      </c>
      <c r="V399" s="3"/>
      <c r="W399" s="6"/>
      <c r="X399" s="6"/>
      <c r="Y399" s="3"/>
      <c r="Z399" s="3"/>
      <c r="AA399" s="3"/>
      <c r="AB399" s="3" t="s">
        <v>42</v>
      </c>
    </row>
    <row r="400" spans="1:28" ht="33" customHeight="1" x14ac:dyDescent="0.25">
      <c r="A400" s="7" t="s">
        <v>1107</v>
      </c>
      <c r="B400" s="3" t="s">
        <v>747</v>
      </c>
      <c r="C400" s="3" t="s">
        <v>1108</v>
      </c>
      <c r="D400" s="6">
        <v>44402</v>
      </c>
      <c r="E400" s="6">
        <v>45318</v>
      </c>
      <c r="F400" s="3"/>
      <c r="G400" s="6"/>
      <c r="H400" s="3"/>
      <c r="I400" s="6"/>
      <c r="J400" s="3" t="s">
        <v>1109</v>
      </c>
      <c r="K400" s="3"/>
      <c r="L400" s="3"/>
      <c r="M400" s="3" t="s">
        <v>34</v>
      </c>
      <c r="N400" s="3" t="s">
        <v>750</v>
      </c>
      <c r="O400" s="3" t="s">
        <v>441</v>
      </c>
      <c r="P400" s="3" t="s">
        <v>37</v>
      </c>
      <c r="Q400" s="5">
        <v>4751</v>
      </c>
      <c r="R400" s="5"/>
      <c r="S400" s="5"/>
      <c r="T400" s="3" t="s">
        <v>38</v>
      </c>
      <c r="U400" s="3" t="s">
        <v>153</v>
      </c>
      <c r="V400" s="3"/>
      <c r="W400" s="6"/>
      <c r="X400" s="6"/>
      <c r="Y400" s="3"/>
      <c r="Z400" s="3"/>
      <c r="AA400" s="3"/>
      <c r="AB400" s="3" t="s">
        <v>42</v>
      </c>
    </row>
    <row r="401" spans="1:28" ht="33" customHeight="1" x14ac:dyDescent="0.25">
      <c r="A401" s="7" t="s">
        <v>1110</v>
      </c>
      <c r="B401" s="3" t="s">
        <v>747</v>
      </c>
      <c r="C401" s="3" t="s">
        <v>1028</v>
      </c>
      <c r="D401" s="6">
        <v>45228</v>
      </c>
      <c r="E401" s="6">
        <v>45318</v>
      </c>
      <c r="F401" s="3"/>
      <c r="G401" s="6"/>
      <c r="H401" s="3"/>
      <c r="I401" s="6"/>
      <c r="J401" s="3" t="s">
        <v>1109</v>
      </c>
      <c r="K401" s="3"/>
      <c r="L401" s="3"/>
      <c r="M401" s="3" t="s">
        <v>34</v>
      </c>
      <c r="N401" s="3" t="s">
        <v>750</v>
      </c>
      <c r="O401" s="3" t="s">
        <v>441</v>
      </c>
      <c r="P401" s="3" t="s">
        <v>37</v>
      </c>
      <c r="Q401" s="5">
        <v>2466</v>
      </c>
      <c r="R401" s="5"/>
      <c r="S401" s="5"/>
      <c r="T401" s="3" t="s">
        <v>38</v>
      </c>
      <c r="U401" s="3" t="s">
        <v>153</v>
      </c>
      <c r="V401" s="3"/>
      <c r="W401" s="6"/>
      <c r="X401" s="6"/>
      <c r="Y401" s="3"/>
      <c r="Z401" s="3"/>
      <c r="AA401" s="3"/>
      <c r="AB401" s="3" t="s">
        <v>42</v>
      </c>
    </row>
    <row r="402" spans="1:28" ht="33" customHeight="1" x14ac:dyDescent="0.25">
      <c r="A402" s="7" t="s">
        <v>1111</v>
      </c>
      <c r="B402" s="3" t="s">
        <v>747</v>
      </c>
      <c r="C402" s="3" t="s">
        <v>1112</v>
      </c>
      <c r="D402" s="6">
        <v>43345</v>
      </c>
      <c r="E402" s="6">
        <v>45560</v>
      </c>
      <c r="F402" s="3"/>
      <c r="G402" s="6"/>
      <c r="H402" s="3"/>
      <c r="I402" s="6"/>
      <c r="J402" s="3" t="s">
        <v>1109</v>
      </c>
      <c r="K402" s="3"/>
      <c r="L402" s="3"/>
      <c r="M402" s="3" t="s">
        <v>34</v>
      </c>
      <c r="N402" s="3" t="s">
        <v>750</v>
      </c>
      <c r="O402" s="3" t="s">
        <v>441</v>
      </c>
      <c r="P402" s="3" t="s">
        <v>37</v>
      </c>
      <c r="Q402" s="5">
        <v>36489</v>
      </c>
      <c r="R402" s="5"/>
      <c r="S402" s="5"/>
      <c r="T402" s="3" t="s">
        <v>38</v>
      </c>
      <c r="U402" s="3" t="s">
        <v>153</v>
      </c>
      <c r="V402" s="3"/>
      <c r="W402" s="6"/>
      <c r="X402" s="6"/>
      <c r="Y402" s="3"/>
      <c r="Z402" s="3"/>
      <c r="AA402" s="3"/>
      <c r="AB402" s="3" t="s">
        <v>42</v>
      </c>
    </row>
    <row r="403" spans="1:28" ht="33" customHeight="1" x14ac:dyDescent="0.25">
      <c r="A403" s="7" t="s">
        <v>1113</v>
      </c>
      <c r="B403" s="3" t="s">
        <v>747</v>
      </c>
      <c r="C403" s="3" t="s">
        <v>1112</v>
      </c>
      <c r="D403" s="6">
        <v>43345</v>
      </c>
      <c r="E403" s="6">
        <v>45560</v>
      </c>
      <c r="F403" s="3"/>
      <c r="G403" s="6"/>
      <c r="H403" s="3"/>
      <c r="I403" s="6"/>
      <c r="J403" s="3" t="s">
        <v>1109</v>
      </c>
      <c r="K403" s="3"/>
      <c r="L403" s="3"/>
      <c r="M403" s="3" t="s">
        <v>34</v>
      </c>
      <c r="N403" s="3" t="s">
        <v>750</v>
      </c>
      <c r="O403" s="3" t="s">
        <v>441</v>
      </c>
      <c r="P403" s="3" t="s">
        <v>37</v>
      </c>
      <c r="Q403" s="5">
        <v>13963</v>
      </c>
      <c r="R403" s="5"/>
      <c r="S403" s="5"/>
      <c r="T403" s="3" t="s">
        <v>38</v>
      </c>
      <c r="U403" s="3" t="s">
        <v>153</v>
      </c>
      <c r="V403" s="3"/>
      <c r="W403" s="6"/>
      <c r="X403" s="6"/>
      <c r="Y403" s="3"/>
      <c r="Z403" s="3"/>
      <c r="AA403" s="3"/>
      <c r="AB403" s="3" t="s">
        <v>42</v>
      </c>
    </row>
    <row r="404" spans="1:28" ht="33" customHeight="1" x14ac:dyDescent="0.25">
      <c r="A404" s="7" t="s">
        <v>1114</v>
      </c>
      <c r="B404" s="3" t="s">
        <v>747</v>
      </c>
      <c r="C404" s="3" t="s">
        <v>1112</v>
      </c>
      <c r="D404" s="6">
        <v>43345</v>
      </c>
      <c r="E404" s="6">
        <v>45560</v>
      </c>
      <c r="F404" s="3"/>
      <c r="G404" s="6"/>
      <c r="H404" s="3"/>
      <c r="I404" s="6"/>
      <c r="J404" s="3" t="s">
        <v>1109</v>
      </c>
      <c r="K404" s="3"/>
      <c r="L404" s="3"/>
      <c r="M404" s="3" t="s">
        <v>34</v>
      </c>
      <c r="N404" s="3" t="s">
        <v>750</v>
      </c>
      <c r="O404" s="3" t="s">
        <v>441</v>
      </c>
      <c r="P404" s="3" t="s">
        <v>37</v>
      </c>
      <c r="Q404" s="5">
        <v>10505</v>
      </c>
      <c r="R404" s="5"/>
      <c r="S404" s="5"/>
      <c r="T404" s="3" t="s">
        <v>38</v>
      </c>
      <c r="U404" s="3" t="s">
        <v>153</v>
      </c>
      <c r="V404" s="3"/>
      <c r="W404" s="6"/>
      <c r="X404" s="6"/>
      <c r="Y404" s="3"/>
      <c r="Z404" s="3"/>
      <c r="AA404" s="3"/>
      <c r="AB404" s="3" t="s">
        <v>42</v>
      </c>
    </row>
    <row r="405" spans="1:28" ht="33" customHeight="1" x14ac:dyDescent="0.25">
      <c r="A405" s="7" t="s">
        <v>1115</v>
      </c>
      <c r="B405" s="3" t="s">
        <v>747</v>
      </c>
      <c r="C405" s="3" t="s">
        <v>1028</v>
      </c>
      <c r="D405" s="6">
        <v>45228</v>
      </c>
      <c r="E405" s="6">
        <v>45318</v>
      </c>
      <c r="F405" s="3"/>
      <c r="G405" s="6"/>
      <c r="H405" s="3"/>
      <c r="I405" s="6"/>
      <c r="J405" s="3" t="s">
        <v>1109</v>
      </c>
      <c r="K405" s="3"/>
      <c r="L405" s="3"/>
      <c r="M405" s="3" t="s">
        <v>34</v>
      </c>
      <c r="N405" s="3" t="s">
        <v>750</v>
      </c>
      <c r="O405" s="3" t="s">
        <v>441</v>
      </c>
      <c r="P405" s="3" t="s">
        <v>37</v>
      </c>
      <c r="Q405" s="5">
        <v>3999</v>
      </c>
      <c r="R405" s="5"/>
      <c r="S405" s="5"/>
      <c r="T405" s="3" t="s">
        <v>38</v>
      </c>
      <c r="U405" s="3" t="s">
        <v>153</v>
      </c>
      <c r="V405" s="3"/>
      <c r="W405" s="6"/>
      <c r="X405" s="6"/>
      <c r="Y405" s="3"/>
      <c r="Z405" s="3"/>
      <c r="AA405" s="3"/>
      <c r="AB405" s="3" t="s">
        <v>42</v>
      </c>
    </row>
    <row r="406" spans="1:28" ht="33" customHeight="1" x14ac:dyDescent="0.25">
      <c r="A406" s="7" t="s">
        <v>1116</v>
      </c>
      <c r="B406" s="3" t="s">
        <v>747</v>
      </c>
      <c r="C406" s="3" t="s">
        <v>1117</v>
      </c>
      <c r="D406" s="6">
        <v>44836</v>
      </c>
      <c r="E406" s="6">
        <v>45934</v>
      </c>
      <c r="F406" s="3"/>
      <c r="G406" s="6"/>
      <c r="H406" s="3"/>
      <c r="I406" s="6"/>
      <c r="J406" s="3" t="s">
        <v>1118</v>
      </c>
      <c r="K406" s="3"/>
      <c r="L406" s="3"/>
      <c r="M406" s="3" t="s">
        <v>48</v>
      </c>
      <c r="N406" s="3" t="s">
        <v>750</v>
      </c>
      <c r="O406" s="3" t="s">
        <v>441</v>
      </c>
      <c r="P406" s="3" t="s">
        <v>37</v>
      </c>
      <c r="Q406" s="5">
        <v>95137</v>
      </c>
      <c r="R406" s="5"/>
      <c r="S406" s="5"/>
      <c r="T406" s="3" t="s">
        <v>38</v>
      </c>
      <c r="U406" s="3" t="s">
        <v>153</v>
      </c>
      <c r="V406" s="3"/>
      <c r="W406" s="6"/>
      <c r="X406" s="6"/>
      <c r="Y406" s="3"/>
      <c r="Z406" s="3"/>
      <c r="AA406" s="3"/>
      <c r="AB406" s="3" t="s">
        <v>477</v>
      </c>
    </row>
    <row r="407" spans="1:28" ht="33" customHeight="1" x14ac:dyDescent="0.25">
      <c r="A407" s="7" t="s">
        <v>1119</v>
      </c>
      <c r="B407" s="3" t="s">
        <v>747</v>
      </c>
      <c r="C407" s="3" t="s">
        <v>1117</v>
      </c>
      <c r="D407" s="6">
        <v>44836</v>
      </c>
      <c r="E407" s="6">
        <v>45934</v>
      </c>
      <c r="F407" s="3"/>
      <c r="G407" s="6"/>
      <c r="H407" s="3"/>
      <c r="I407" s="6"/>
      <c r="J407" s="3" t="s">
        <v>1118</v>
      </c>
      <c r="K407" s="3"/>
      <c r="L407" s="3"/>
      <c r="M407" s="3" t="s">
        <v>48</v>
      </c>
      <c r="N407" s="3" t="s">
        <v>750</v>
      </c>
      <c r="O407" s="3" t="s">
        <v>441</v>
      </c>
      <c r="P407" s="3" t="s">
        <v>37</v>
      </c>
      <c r="Q407" s="5">
        <v>39974</v>
      </c>
      <c r="R407" s="5"/>
      <c r="S407" s="5"/>
      <c r="T407" s="3" t="s">
        <v>38</v>
      </c>
      <c r="U407" s="3" t="s">
        <v>153</v>
      </c>
      <c r="V407" s="3"/>
      <c r="W407" s="6"/>
      <c r="X407" s="6"/>
      <c r="Y407" s="3"/>
      <c r="Z407" s="3"/>
      <c r="AA407" s="3"/>
      <c r="AB407" s="3" t="s">
        <v>477</v>
      </c>
    </row>
    <row r="408" spans="1:28" ht="33" customHeight="1" x14ac:dyDescent="0.25">
      <c r="A408" s="7" t="s">
        <v>1120</v>
      </c>
      <c r="B408" s="3" t="s">
        <v>747</v>
      </c>
      <c r="C408" s="3" t="s">
        <v>1121</v>
      </c>
      <c r="D408" s="6">
        <v>45018</v>
      </c>
      <c r="E408" s="6">
        <v>46116</v>
      </c>
      <c r="F408" s="3"/>
      <c r="G408" s="6"/>
      <c r="H408" s="3"/>
      <c r="I408" s="6"/>
      <c r="J408" s="3" t="s">
        <v>1118</v>
      </c>
      <c r="K408" s="3"/>
      <c r="L408" s="3"/>
      <c r="M408" s="3" t="s">
        <v>48</v>
      </c>
      <c r="N408" s="3" t="s">
        <v>750</v>
      </c>
      <c r="O408" s="3" t="s">
        <v>441</v>
      </c>
      <c r="P408" s="3" t="s">
        <v>37</v>
      </c>
      <c r="Q408" s="5">
        <v>45209</v>
      </c>
      <c r="R408" s="5"/>
      <c r="S408" s="5"/>
      <c r="T408" s="3" t="s">
        <v>38</v>
      </c>
      <c r="U408" s="3" t="s">
        <v>153</v>
      </c>
      <c r="V408" s="3"/>
      <c r="W408" s="6"/>
      <c r="X408" s="6"/>
      <c r="Y408" s="3"/>
      <c r="Z408" s="3"/>
      <c r="AA408" s="3"/>
      <c r="AB408" s="3" t="s">
        <v>477</v>
      </c>
    </row>
    <row r="409" spans="1:28" ht="33" customHeight="1" x14ac:dyDescent="0.25">
      <c r="A409" s="7" t="s">
        <v>1122</v>
      </c>
      <c r="B409" s="3" t="s">
        <v>747</v>
      </c>
      <c r="C409" s="3" t="s">
        <v>1123</v>
      </c>
      <c r="D409" s="6">
        <v>44620</v>
      </c>
      <c r="E409" s="6">
        <v>45338</v>
      </c>
      <c r="F409" s="3"/>
      <c r="G409" s="6"/>
      <c r="H409" s="3"/>
      <c r="I409" s="6"/>
      <c r="J409" s="3" t="s">
        <v>1124</v>
      </c>
      <c r="K409" s="3"/>
      <c r="L409" s="3"/>
      <c r="M409" s="3" t="s">
        <v>48</v>
      </c>
      <c r="N409" s="3" t="s">
        <v>750</v>
      </c>
      <c r="O409" s="3" t="s">
        <v>441</v>
      </c>
      <c r="P409" s="3" t="s">
        <v>37</v>
      </c>
      <c r="Q409" s="5">
        <v>63875</v>
      </c>
      <c r="R409" s="5"/>
      <c r="S409" s="5"/>
      <c r="T409" s="3" t="s">
        <v>38</v>
      </c>
      <c r="U409" s="3" t="s">
        <v>153</v>
      </c>
      <c r="V409" s="3"/>
      <c r="W409" s="6"/>
      <c r="X409" s="6"/>
      <c r="Y409" s="3"/>
      <c r="Z409" s="3"/>
      <c r="AA409" s="3"/>
      <c r="AB409" s="3" t="s">
        <v>477</v>
      </c>
    </row>
    <row r="410" spans="1:28" ht="33" customHeight="1" x14ac:dyDescent="0.25">
      <c r="A410" s="7" t="s">
        <v>1125</v>
      </c>
      <c r="B410" s="3" t="s">
        <v>747</v>
      </c>
      <c r="C410" s="3" t="s">
        <v>1123</v>
      </c>
      <c r="D410" s="6">
        <v>44620</v>
      </c>
      <c r="E410" s="6">
        <v>45338</v>
      </c>
      <c r="F410" s="3"/>
      <c r="G410" s="6"/>
      <c r="H410" s="3"/>
      <c r="I410" s="6"/>
      <c r="J410" s="3" t="s">
        <v>1124</v>
      </c>
      <c r="K410" s="3"/>
      <c r="L410" s="3"/>
      <c r="M410" s="3" t="s">
        <v>48</v>
      </c>
      <c r="N410" s="3" t="s">
        <v>750</v>
      </c>
      <c r="O410" s="3" t="s">
        <v>441</v>
      </c>
      <c r="P410" s="3" t="s">
        <v>37</v>
      </c>
      <c r="Q410" s="5">
        <v>63875</v>
      </c>
      <c r="R410" s="5"/>
      <c r="S410" s="5"/>
      <c r="T410" s="3" t="s">
        <v>38</v>
      </c>
      <c r="U410" s="3" t="s">
        <v>153</v>
      </c>
      <c r="V410" s="3"/>
      <c r="W410" s="6"/>
      <c r="X410" s="6"/>
      <c r="Y410" s="3"/>
      <c r="Z410" s="3"/>
      <c r="AA410" s="3"/>
      <c r="AB410" s="3" t="s">
        <v>477</v>
      </c>
    </row>
    <row r="411" spans="1:28" ht="33" customHeight="1" x14ac:dyDescent="0.25">
      <c r="A411" s="7" t="s">
        <v>1126</v>
      </c>
      <c r="B411" s="3" t="s">
        <v>747</v>
      </c>
      <c r="C411" s="3" t="s">
        <v>1127</v>
      </c>
      <c r="D411" s="6">
        <v>42785</v>
      </c>
      <c r="E411" s="6">
        <v>45493</v>
      </c>
      <c r="F411" s="3"/>
      <c r="G411" s="6"/>
      <c r="H411" s="3"/>
      <c r="I411" s="6"/>
      <c r="J411" s="3" t="s">
        <v>1070</v>
      </c>
      <c r="K411" s="3"/>
      <c r="L411" s="3"/>
      <c r="M411" s="3" t="s">
        <v>34</v>
      </c>
      <c r="N411" s="3" t="s">
        <v>750</v>
      </c>
      <c r="O411" s="3" t="s">
        <v>441</v>
      </c>
      <c r="P411" s="3" t="s">
        <v>37</v>
      </c>
      <c r="Q411" s="5">
        <v>12576</v>
      </c>
      <c r="R411" s="5"/>
      <c r="S411" s="5"/>
      <c r="T411" s="3" t="s">
        <v>38</v>
      </c>
      <c r="U411" s="3" t="s">
        <v>153</v>
      </c>
      <c r="V411" s="3"/>
      <c r="W411" s="6"/>
      <c r="X411" s="6"/>
      <c r="Y411" s="3"/>
      <c r="Z411" s="3"/>
      <c r="AA411" s="3"/>
      <c r="AB411" s="3" t="s">
        <v>477</v>
      </c>
    </row>
    <row r="412" spans="1:28" ht="33" customHeight="1" x14ac:dyDescent="0.25">
      <c r="A412" s="7" t="s">
        <v>1128</v>
      </c>
      <c r="B412" s="3" t="s">
        <v>747</v>
      </c>
      <c r="C412" s="3" t="s">
        <v>1129</v>
      </c>
      <c r="D412" s="6">
        <v>43303</v>
      </c>
      <c r="E412" s="6">
        <v>45493</v>
      </c>
      <c r="F412" s="3"/>
      <c r="G412" s="6"/>
      <c r="H412" s="3"/>
      <c r="I412" s="6"/>
      <c r="J412" s="3" t="s">
        <v>1109</v>
      </c>
      <c r="K412" s="3"/>
      <c r="L412" s="3"/>
      <c r="M412" s="3" t="s">
        <v>34</v>
      </c>
      <c r="N412" s="3" t="s">
        <v>750</v>
      </c>
      <c r="O412" s="3" t="s">
        <v>441</v>
      </c>
      <c r="P412" s="3" t="s">
        <v>37</v>
      </c>
      <c r="Q412" s="5">
        <v>-24179</v>
      </c>
      <c r="R412" s="5"/>
      <c r="S412" s="5"/>
      <c r="T412" s="3" t="s">
        <v>38</v>
      </c>
      <c r="U412" s="3" t="s">
        <v>153</v>
      </c>
      <c r="V412" s="3"/>
      <c r="W412" s="6"/>
      <c r="X412" s="6"/>
      <c r="Y412" s="3"/>
      <c r="Z412" s="3"/>
      <c r="AA412" s="3"/>
      <c r="AB412" s="3" t="s">
        <v>42</v>
      </c>
    </row>
    <row r="413" spans="1:28" ht="33" customHeight="1" x14ac:dyDescent="0.25">
      <c r="A413" s="7" t="s">
        <v>1130</v>
      </c>
      <c r="B413" s="3" t="s">
        <v>747</v>
      </c>
      <c r="C413" s="3" t="s">
        <v>1131</v>
      </c>
      <c r="D413" s="6">
        <v>43303</v>
      </c>
      <c r="E413" s="6">
        <v>45493</v>
      </c>
      <c r="F413" s="3"/>
      <c r="G413" s="6"/>
      <c r="H413" s="3"/>
      <c r="I413" s="6"/>
      <c r="J413" s="3" t="s">
        <v>1109</v>
      </c>
      <c r="K413" s="3"/>
      <c r="L413" s="3"/>
      <c r="M413" s="3" t="s">
        <v>34</v>
      </c>
      <c r="N413" s="3" t="s">
        <v>750</v>
      </c>
      <c r="O413" s="3" t="s">
        <v>441</v>
      </c>
      <c r="P413" s="3" t="s">
        <v>37</v>
      </c>
      <c r="Q413" s="5">
        <v>279919</v>
      </c>
      <c r="R413" s="5"/>
      <c r="S413" s="5"/>
      <c r="T413" s="3" t="s">
        <v>38</v>
      </c>
      <c r="U413" s="3" t="s">
        <v>153</v>
      </c>
      <c r="V413" s="3"/>
      <c r="W413" s="6"/>
      <c r="X413" s="6"/>
      <c r="Y413" s="3"/>
      <c r="Z413" s="3"/>
      <c r="AA413" s="3"/>
      <c r="AB413" s="3" t="s">
        <v>42</v>
      </c>
    </row>
    <row r="414" spans="1:28" ht="33" customHeight="1" x14ac:dyDescent="0.25">
      <c r="A414" s="7" t="s">
        <v>1132</v>
      </c>
      <c r="B414" s="3" t="s">
        <v>747</v>
      </c>
      <c r="C414" s="3" t="s">
        <v>1131</v>
      </c>
      <c r="D414" s="6">
        <v>43303</v>
      </c>
      <c r="E414" s="6">
        <v>45493</v>
      </c>
      <c r="F414" s="3"/>
      <c r="G414" s="6"/>
      <c r="H414" s="3"/>
      <c r="I414" s="6"/>
      <c r="J414" s="3" t="s">
        <v>1109</v>
      </c>
      <c r="K414" s="3"/>
      <c r="L414" s="3"/>
      <c r="M414" s="3" t="s">
        <v>34</v>
      </c>
      <c r="N414" s="3" t="s">
        <v>750</v>
      </c>
      <c r="O414" s="3" t="s">
        <v>441</v>
      </c>
      <c r="P414" s="3" t="s">
        <v>37</v>
      </c>
      <c r="Q414" s="5">
        <v>67696</v>
      </c>
      <c r="R414" s="5"/>
      <c r="S414" s="5"/>
      <c r="T414" s="3" t="s">
        <v>38</v>
      </c>
      <c r="U414" s="3" t="s">
        <v>153</v>
      </c>
      <c r="V414" s="3"/>
      <c r="W414" s="6"/>
      <c r="X414" s="6"/>
      <c r="Y414" s="3"/>
      <c r="Z414" s="3"/>
      <c r="AA414" s="3"/>
      <c r="AB414" s="3" t="s">
        <v>42</v>
      </c>
    </row>
    <row r="415" spans="1:28" ht="33" customHeight="1" x14ac:dyDescent="0.25">
      <c r="A415" s="7" t="s">
        <v>1133</v>
      </c>
      <c r="B415" s="3" t="s">
        <v>747</v>
      </c>
      <c r="C415" s="3" t="s">
        <v>1131</v>
      </c>
      <c r="D415" s="6">
        <v>43303</v>
      </c>
      <c r="E415" s="6">
        <v>45493</v>
      </c>
      <c r="F415" s="3"/>
      <c r="G415" s="6"/>
      <c r="H415" s="3"/>
      <c r="I415" s="6"/>
      <c r="J415" s="3" t="s">
        <v>1109</v>
      </c>
      <c r="K415" s="3"/>
      <c r="L415" s="3"/>
      <c r="M415" s="3" t="s">
        <v>34</v>
      </c>
      <c r="N415" s="3" t="s">
        <v>750</v>
      </c>
      <c r="O415" s="3" t="s">
        <v>441</v>
      </c>
      <c r="P415" s="3" t="s">
        <v>37</v>
      </c>
      <c r="Q415" s="5">
        <v>27254</v>
      </c>
      <c r="R415" s="5"/>
      <c r="S415" s="5"/>
      <c r="T415" s="3" t="s">
        <v>38</v>
      </c>
      <c r="U415" s="3" t="s">
        <v>153</v>
      </c>
      <c r="V415" s="3"/>
      <c r="W415" s="6"/>
      <c r="X415" s="6"/>
      <c r="Y415" s="3"/>
      <c r="Z415" s="3"/>
      <c r="AA415" s="3"/>
      <c r="AB415" s="3" t="s">
        <v>42</v>
      </c>
    </row>
    <row r="416" spans="1:28" ht="33" customHeight="1" x14ac:dyDescent="0.25">
      <c r="A416" s="7" t="s">
        <v>1134</v>
      </c>
      <c r="B416" s="3" t="s">
        <v>747</v>
      </c>
      <c r="C416" s="3" t="s">
        <v>1135</v>
      </c>
      <c r="D416" s="6">
        <v>42302</v>
      </c>
      <c r="E416" s="6">
        <v>45494</v>
      </c>
      <c r="F416" s="3"/>
      <c r="G416" s="6"/>
      <c r="H416" s="3"/>
      <c r="I416" s="6"/>
      <c r="J416" s="3" t="s">
        <v>68</v>
      </c>
      <c r="K416" s="3"/>
      <c r="L416" s="3"/>
      <c r="M416" s="3" t="s">
        <v>34</v>
      </c>
      <c r="N416" s="3" t="s">
        <v>750</v>
      </c>
      <c r="O416" s="3" t="s">
        <v>441</v>
      </c>
      <c r="P416" s="3" t="s">
        <v>37</v>
      </c>
      <c r="Q416" s="5">
        <v>45019</v>
      </c>
      <c r="R416" s="5"/>
      <c r="S416" s="5"/>
      <c r="T416" s="3" t="s">
        <v>38</v>
      </c>
      <c r="U416" s="3" t="s">
        <v>153</v>
      </c>
      <c r="V416" s="3"/>
      <c r="W416" s="6"/>
      <c r="X416" s="6"/>
      <c r="Y416" s="3"/>
      <c r="Z416" s="3"/>
      <c r="AA416" s="3"/>
      <c r="AB416" s="3" t="s">
        <v>42</v>
      </c>
    </row>
    <row r="417" spans="1:28" ht="33" customHeight="1" x14ac:dyDescent="0.25">
      <c r="A417" s="7" t="s">
        <v>1136</v>
      </c>
      <c r="B417" s="3" t="s">
        <v>747</v>
      </c>
      <c r="C417" s="3" t="s">
        <v>1135</v>
      </c>
      <c r="D417" s="6">
        <v>42302</v>
      </c>
      <c r="E417" s="6">
        <v>45494</v>
      </c>
      <c r="F417" s="3"/>
      <c r="G417" s="6"/>
      <c r="H417" s="3"/>
      <c r="I417" s="6"/>
      <c r="J417" s="3" t="s">
        <v>68</v>
      </c>
      <c r="K417" s="3"/>
      <c r="L417" s="3"/>
      <c r="M417" s="3" t="s">
        <v>34</v>
      </c>
      <c r="N417" s="3" t="s">
        <v>750</v>
      </c>
      <c r="O417" s="3" t="s">
        <v>441</v>
      </c>
      <c r="P417" s="3" t="s">
        <v>37</v>
      </c>
      <c r="Q417" s="5">
        <v>17808</v>
      </c>
      <c r="R417" s="5"/>
      <c r="S417" s="5"/>
      <c r="T417" s="3" t="s">
        <v>38</v>
      </c>
      <c r="U417" s="3" t="s">
        <v>153</v>
      </c>
      <c r="V417" s="3"/>
      <c r="W417" s="6"/>
      <c r="X417" s="6"/>
      <c r="Y417" s="3"/>
      <c r="Z417" s="3"/>
      <c r="AA417" s="3"/>
      <c r="AB417" s="3" t="s">
        <v>42</v>
      </c>
    </row>
    <row r="418" spans="1:28" ht="33" customHeight="1" x14ac:dyDescent="0.25">
      <c r="A418" s="7" t="s">
        <v>1137</v>
      </c>
      <c r="B418" s="3" t="s">
        <v>747</v>
      </c>
      <c r="C418" s="3" t="s">
        <v>1138</v>
      </c>
      <c r="D418" s="6">
        <v>42302</v>
      </c>
      <c r="E418" s="6">
        <v>45494</v>
      </c>
      <c r="F418" s="3"/>
      <c r="G418" s="6"/>
      <c r="H418" s="3"/>
      <c r="I418" s="6"/>
      <c r="J418" s="3" t="s">
        <v>68</v>
      </c>
      <c r="K418" s="3"/>
      <c r="L418" s="3"/>
      <c r="M418" s="3" t="s">
        <v>34</v>
      </c>
      <c r="N418" s="3" t="s">
        <v>750</v>
      </c>
      <c r="O418" s="3" t="s">
        <v>441</v>
      </c>
      <c r="P418" s="3" t="s">
        <v>37</v>
      </c>
      <c r="Q418" s="5">
        <v>7141</v>
      </c>
      <c r="R418" s="5"/>
      <c r="S418" s="5"/>
      <c r="T418" s="3" t="s">
        <v>38</v>
      </c>
      <c r="U418" s="3" t="s">
        <v>153</v>
      </c>
      <c r="V418" s="3"/>
      <c r="W418" s="6"/>
      <c r="X418" s="6"/>
      <c r="Y418" s="3"/>
      <c r="Z418" s="3"/>
      <c r="AA418" s="3"/>
      <c r="AB418" s="3" t="s">
        <v>42</v>
      </c>
    </row>
    <row r="419" spans="1:28" ht="33" customHeight="1" x14ac:dyDescent="0.25">
      <c r="A419" s="7" t="s">
        <v>1139</v>
      </c>
      <c r="B419" s="3" t="s">
        <v>747</v>
      </c>
      <c r="C419" s="3" t="s">
        <v>1138</v>
      </c>
      <c r="D419" s="6">
        <v>42302</v>
      </c>
      <c r="E419" s="6">
        <v>45494</v>
      </c>
      <c r="F419" s="3"/>
      <c r="G419" s="6"/>
      <c r="H419" s="3"/>
      <c r="I419" s="6"/>
      <c r="J419" s="3" t="s">
        <v>68</v>
      </c>
      <c r="K419" s="3"/>
      <c r="L419" s="3"/>
      <c r="M419" s="3" t="s">
        <v>34</v>
      </c>
      <c r="N419" s="3" t="s">
        <v>750</v>
      </c>
      <c r="O419" s="3" t="s">
        <v>441</v>
      </c>
      <c r="P419" s="3" t="s">
        <v>37</v>
      </c>
      <c r="Q419" s="5">
        <v>17530</v>
      </c>
      <c r="R419" s="5"/>
      <c r="S419" s="5"/>
      <c r="T419" s="3" t="s">
        <v>38</v>
      </c>
      <c r="U419" s="3" t="s">
        <v>153</v>
      </c>
      <c r="V419" s="3"/>
      <c r="W419" s="6"/>
      <c r="X419" s="6"/>
      <c r="Y419" s="3"/>
      <c r="Z419" s="3"/>
      <c r="AA419" s="3"/>
      <c r="AB419" s="3" t="s">
        <v>42</v>
      </c>
    </row>
    <row r="420" spans="1:28" ht="33" customHeight="1" x14ac:dyDescent="0.25">
      <c r="A420" s="7" t="s">
        <v>1140</v>
      </c>
      <c r="B420" s="3" t="s">
        <v>747</v>
      </c>
      <c r="C420" s="3" t="s">
        <v>1138</v>
      </c>
      <c r="D420" s="6">
        <v>42302</v>
      </c>
      <c r="E420" s="6">
        <v>45494</v>
      </c>
      <c r="F420" s="3"/>
      <c r="G420" s="6"/>
      <c r="H420" s="3"/>
      <c r="I420" s="6"/>
      <c r="J420" s="3" t="s">
        <v>68</v>
      </c>
      <c r="K420" s="3"/>
      <c r="L420" s="3"/>
      <c r="M420" s="3" t="s">
        <v>34</v>
      </c>
      <c r="N420" s="3" t="s">
        <v>750</v>
      </c>
      <c r="O420" s="3" t="s">
        <v>441</v>
      </c>
      <c r="P420" s="3" t="s">
        <v>37</v>
      </c>
      <c r="Q420" s="5">
        <v>12376</v>
      </c>
      <c r="R420" s="5"/>
      <c r="S420" s="5"/>
      <c r="T420" s="3" t="s">
        <v>38</v>
      </c>
      <c r="U420" s="3" t="s">
        <v>153</v>
      </c>
      <c r="V420" s="3"/>
      <c r="W420" s="6"/>
      <c r="X420" s="6"/>
      <c r="Y420" s="3"/>
      <c r="Z420" s="3"/>
      <c r="AA420" s="3"/>
      <c r="AB420" s="3" t="s">
        <v>42</v>
      </c>
    </row>
    <row r="421" spans="1:28" ht="33" customHeight="1" x14ac:dyDescent="0.25">
      <c r="A421" s="7" t="s">
        <v>1141</v>
      </c>
      <c r="B421" s="3" t="s">
        <v>747</v>
      </c>
      <c r="C421" s="3" t="s">
        <v>1142</v>
      </c>
      <c r="D421" s="6">
        <v>42302</v>
      </c>
      <c r="E421" s="6">
        <v>45494</v>
      </c>
      <c r="F421" s="3"/>
      <c r="G421" s="6"/>
      <c r="H421" s="3"/>
      <c r="I421" s="6"/>
      <c r="J421" s="3" t="s">
        <v>68</v>
      </c>
      <c r="K421" s="3"/>
      <c r="L421" s="3"/>
      <c r="M421" s="3" t="s">
        <v>34</v>
      </c>
      <c r="N421" s="3" t="s">
        <v>750</v>
      </c>
      <c r="O421" s="3" t="s">
        <v>441</v>
      </c>
      <c r="P421" s="3" t="s">
        <v>37</v>
      </c>
      <c r="Q421" s="5">
        <v>8219</v>
      </c>
      <c r="R421" s="5"/>
      <c r="S421" s="5"/>
      <c r="T421" s="3" t="s">
        <v>38</v>
      </c>
      <c r="U421" s="3" t="s">
        <v>153</v>
      </c>
      <c r="V421" s="3"/>
      <c r="W421" s="6"/>
      <c r="X421" s="6"/>
      <c r="Y421" s="3"/>
      <c r="Z421" s="3"/>
      <c r="AA421" s="3"/>
      <c r="AB421" s="3" t="s">
        <v>42</v>
      </c>
    </row>
    <row r="422" spans="1:28" ht="33" customHeight="1" x14ac:dyDescent="0.25">
      <c r="A422" s="7" t="s">
        <v>1143</v>
      </c>
      <c r="B422" s="3" t="s">
        <v>747</v>
      </c>
      <c r="C422" s="3" t="s">
        <v>1144</v>
      </c>
      <c r="D422" s="6">
        <v>43556</v>
      </c>
      <c r="E422" s="6">
        <v>45493</v>
      </c>
      <c r="F422" s="3"/>
      <c r="G422" s="6"/>
      <c r="H422" s="3"/>
      <c r="I422" s="6"/>
      <c r="J422" s="3" t="s">
        <v>1070</v>
      </c>
      <c r="K422" s="3"/>
      <c r="L422" s="3"/>
      <c r="M422" s="3" t="s">
        <v>34</v>
      </c>
      <c r="N422" s="3" t="s">
        <v>750</v>
      </c>
      <c r="O422" s="3" t="s">
        <v>441</v>
      </c>
      <c r="P422" s="3" t="s">
        <v>37</v>
      </c>
      <c r="Q422" s="5">
        <v>52907</v>
      </c>
      <c r="R422" s="5"/>
      <c r="S422" s="5"/>
      <c r="T422" s="3" t="s">
        <v>38</v>
      </c>
      <c r="U422" s="3" t="s">
        <v>153</v>
      </c>
      <c r="V422" s="3"/>
      <c r="W422" s="6"/>
      <c r="X422" s="6"/>
      <c r="Y422" s="3"/>
      <c r="Z422" s="3"/>
      <c r="AA422" s="3"/>
      <c r="AB422" s="3" t="s">
        <v>477</v>
      </c>
    </row>
    <row r="423" spans="1:28" ht="33" customHeight="1" x14ac:dyDescent="0.25">
      <c r="A423" s="7" t="s">
        <v>1145</v>
      </c>
      <c r="B423" s="3" t="s">
        <v>747</v>
      </c>
      <c r="C423" s="3" t="s">
        <v>1146</v>
      </c>
      <c r="D423" s="6">
        <v>42673</v>
      </c>
      <c r="E423" s="6">
        <v>45493</v>
      </c>
      <c r="F423" s="3"/>
      <c r="G423" s="6"/>
      <c r="H423" s="3"/>
      <c r="I423" s="6"/>
      <c r="J423" s="3" t="s">
        <v>1109</v>
      </c>
      <c r="K423" s="3"/>
      <c r="L423" s="3"/>
      <c r="M423" s="3" t="s">
        <v>34</v>
      </c>
      <c r="N423" s="3" t="s">
        <v>750</v>
      </c>
      <c r="O423" s="3" t="s">
        <v>441</v>
      </c>
      <c r="P423" s="3" t="s">
        <v>37</v>
      </c>
      <c r="Q423" s="5">
        <v>94758</v>
      </c>
      <c r="R423" s="5"/>
      <c r="S423" s="5"/>
      <c r="T423" s="3" t="s">
        <v>38</v>
      </c>
      <c r="U423" s="3" t="s">
        <v>153</v>
      </c>
      <c r="V423" s="3"/>
      <c r="W423" s="6"/>
      <c r="X423" s="6"/>
      <c r="Y423" s="3"/>
      <c r="Z423" s="3"/>
      <c r="AA423" s="3"/>
      <c r="AB423" s="3" t="s">
        <v>42</v>
      </c>
    </row>
    <row r="424" spans="1:28" ht="33" customHeight="1" x14ac:dyDescent="0.25">
      <c r="A424" s="7" t="s">
        <v>1147</v>
      </c>
      <c r="B424" s="3" t="s">
        <v>747</v>
      </c>
      <c r="C424" s="3" t="s">
        <v>1148</v>
      </c>
      <c r="D424" s="6">
        <v>42939</v>
      </c>
      <c r="E424" s="6">
        <v>45493</v>
      </c>
      <c r="F424" s="3"/>
      <c r="G424" s="6"/>
      <c r="H424" s="3"/>
      <c r="I424" s="6"/>
      <c r="J424" s="3" t="s">
        <v>1070</v>
      </c>
      <c r="K424" s="3"/>
      <c r="L424" s="3"/>
      <c r="M424" s="3" t="s">
        <v>34</v>
      </c>
      <c r="N424" s="3" t="s">
        <v>750</v>
      </c>
      <c r="O424" s="3" t="s">
        <v>441</v>
      </c>
      <c r="P424" s="3" t="s">
        <v>37</v>
      </c>
      <c r="Q424" s="5">
        <v>48201</v>
      </c>
      <c r="R424" s="5"/>
      <c r="S424" s="5"/>
      <c r="T424" s="3" t="s">
        <v>38</v>
      </c>
      <c r="U424" s="3" t="s">
        <v>153</v>
      </c>
      <c r="V424" s="3"/>
      <c r="W424" s="6"/>
      <c r="X424" s="6"/>
      <c r="Y424" s="3"/>
      <c r="Z424" s="3"/>
      <c r="AA424" s="3"/>
      <c r="AB424" s="3" t="s">
        <v>477</v>
      </c>
    </row>
    <row r="425" spans="1:28" ht="33" customHeight="1" x14ac:dyDescent="0.25">
      <c r="A425" s="7" t="s">
        <v>1149</v>
      </c>
      <c r="B425" s="3" t="s">
        <v>747</v>
      </c>
      <c r="C425" s="3" t="s">
        <v>1150</v>
      </c>
      <c r="D425" s="6">
        <v>43240</v>
      </c>
      <c r="E425" s="6">
        <v>45801</v>
      </c>
      <c r="F425" s="3"/>
      <c r="G425" s="6"/>
      <c r="H425" s="3"/>
      <c r="I425" s="6"/>
      <c r="J425" s="3" t="s">
        <v>1013</v>
      </c>
      <c r="K425" s="3"/>
      <c r="L425" s="3"/>
      <c r="M425" s="3" t="s">
        <v>34</v>
      </c>
      <c r="N425" s="3" t="s">
        <v>750</v>
      </c>
      <c r="O425" s="3" t="s">
        <v>441</v>
      </c>
      <c r="P425" s="3" t="s">
        <v>37</v>
      </c>
      <c r="Q425" s="5">
        <v>47793</v>
      </c>
      <c r="R425" s="5"/>
      <c r="S425" s="5"/>
      <c r="T425" s="3" t="s">
        <v>38</v>
      </c>
      <c r="U425" s="3" t="s">
        <v>153</v>
      </c>
      <c r="V425" s="3"/>
      <c r="W425" s="6"/>
      <c r="X425" s="6"/>
      <c r="Y425" s="3"/>
      <c r="Z425" s="3"/>
      <c r="AA425" s="3"/>
      <c r="AB425" s="3" t="s">
        <v>42</v>
      </c>
    </row>
    <row r="426" spans="1:28" ht="33" customHeight="1" x14ac:dyDescent="0.25">
      <c r="A426" s="7" t="s">
        <v>1151</v>
      </c>
      <c r="B426" s="3" t="s">
        <v>747</v>
      </c>
      <c r="C426" s="3" t="s">
        <v>1152</v>
      </c>
      <c r="D426" s="6">
        <v>43240</v>
      </c>
      <c r="E426" s="6">
        <v>45801</v>
      </c>
      <c r="F426" s="3"/>
      <c r="G426" s="6"/>
      <c r="H426" s="3"/>
      <c r="I426" s="6"/>
      <c r="J426" s="3" t="s">
        <v>1013</v>
      </c>
      <c r="K426" s="3"/>
      <c r="L426" s="3"/>
      <c r="M426" s="3" t="s">
        <v>34</v>
      </c>
      <c r="N426" s="3" t="s">
        <v>750</v>
      </c>
      <c r="O426" s="3" t="s">
        <v>441</v>
      </c>
      <c r="P426" s="3" t="s">
        <v>37</v>
      </c>
      <c r="Q426" s="5">
        <v>27966</v>
      </c>
      <c r="R426" s="5"/>
      <c r="S426" s="5"/>
      <c r="T426" s="3" t="s">
        <v>38</v>
      </c>
      <c r="U426" s="3" t="s">
        <v>153</v>
      </c>
      <c r="V426" s="3"/>
      <c r="W426" s="6"/>
      <c r="X426" s="6"/>
      <c r="Y426" s="3"/>
      <c r="Z426" s="3"/>
      <c r="AA426" s="3"/>
      <c r="AB426" s="3" t="s">
        <v>42</v>
      </c>
    </row>
    <row r="427" spans="1:28" ht="33" customHeight="1" x14ac:dyDescent="0.25">
      <c r="A427" s="7" t="s">
        <v>1153</v>
      </c>
      <c r="B427" s="3" t="s">
        <v>747</v>
      </c>
      <c r="C427" s="3" t="s">
        <v>1154</v>
      </c>
      <c r="D427" s="6">
        <v>43240</v>
      </c>
      <c r="E427" s="6">
        <v>45801</v>
      </c>
      <c r="F427" s="3"/>
      <c r="G427" s="6"/>
      <c r="H427" s="3"/>
      <c r="I427" s="6"/>
      <c r="J427" s="3" t="s">
        <v>1013</v>
      </c>
      <c r="K427" s="3"/>
      <c r="L427" s="3"/>
      <c r="M427" s="3" t="s">
        <v>34</v>
      </c>
      <c r="N427" s="3" t="s">
        <v>750</v>
      </c>
      <c r="O427" s="3" t="s">
        <v>441</v>
      </c>
      <c r="P427" s="3" t="s">
        <v>37</v>
      </c>
      <c r="Q427" s="5">
        <v>27065</v>
      </c>
      <c r="R427" s="5"/>
      <c r="S427" s="5"/>
      <c r="T427" s="3" t="s">
        <v>38</v>
      </c>
      <c r="U427" s="3" t="s">
        <v>153</v>
      </c>
      <c r="V427" s="3"/>
      <c r="W427" s="6"/>
      <c r="X427" s="6"/>
      <c r="Y427" s="3"/>
      <c r="Z427" s="3"/>
      <c r="AA427" s="3"/>
      <c r="AB427" s="3" t="s">
        <v>42</v>
      </c>
    </row>
    <row r="428" spans="1:28" ht="33" customHeight="1" x14ac:dyDescent="0.25">
      <c r="A428" s="7" t="s">
        <v>1155</v>
      </c>
      <c r="B428" s="3" t="s">
        <v>747</v>
      </c>
      <c r="C428" s="3" t="s">
        <v>1156</v>
      </c>
      <c r="D428" s="6">
        <v>43240</v>
      </c>
      <c r="E428" s="6">
        <v>45801</v>
      </c>
      <c r="F428" s="3"/>
      <c r="G428" s="6"/>
      <c r="H428" s="3"/>
      <c r="I428" s="6"/>
      <c r="J428" s="3" t="s">
        <v>1013</v>
      </c>
      <c r="K428" s="3"/>
      <c r="L428" s="3"/>
      <c r="M428" s="3" t="s">
        <v>34</v>
      </c>
      <c r="N428" s="3" t="s">
        <v>750</v>
      </c>
      <c r="O428" s="3" t="s">
        <v>441</v>
      </c>
      <c r="P428" s="3" t="s">
        <v>37</v>
      </c>
      <c r="Q428" s="5">
        <v>52486</v>
      </c>
      <c r="R428" s="5"/>
      <c r="S428" s="5"/>
      <c r="T428" s="3" t="s">
        <v>38</v>
      </c>
      <c r="U428" s="3" t="s">
        <v>153</v>
      </c>
      <c r="V428" s="3"/>
      <c r="W428" s="6"/>
      <c r="X428" s="6"/>
      <c r="Y428" s="3"/>
      <c r="Z428" s="3"/>
      <c r="AA428" s="3"/>
      <c r="AB428" s="3" t="s">
        <v>42</v>
      </c>
    </row>
    <row r="429" spans="1:28" ht="33" customHeight="1" x14ac:dyDescent="0.25">
      <c r="A429" s="7" t="s">
        <v>1157</v>
      </c>
      <c r="B429" s="3" t="s">
        <v>747</v>
      </c>
      <c r="C429" s="3" t="s">
        <v>1158</v>
      </c>
      <c r="D429" s="6">
        <v>43240</v>
      </c>
      <c r="E429" s="6">
        <v>45801</v>
      </c>
      <c r="F429" s="3"/>
      <c r="G429" s="6"/>
      <c r="H429" s="3"/>
      <c r="I429" s="6"/>
      <c r="J429" s="3" t="s">
        <v>1013</v>
      </c>
      <c r="K429" s="3"/>
      <c r="L429" s="3"/>
      <c r="M429" s="3" t="s">
        <v>34</v>
      </c>
      <c r="N429" s="3" t="s">
        <v>750</v>
      </c>
      <c r="O429" s="3" t="s">
        <v>441</v>
      </c>
      <c r="P429" s="3" t="s">
        <v>37</v>
      </c>
      <c r="Q429" s="5">
        <v>95130</v>
      </c>
      <c r="R429" s="5"/>
      <c r="S429" s="5"/>
      <c r="T429" s="3" t="s">
        <v>38</v>
      </c>
      <c r="U429" s="3" t="s">
        <v>153</v>
      </c>
      <c r="V429" s="3"/>
      <c r="W429" s="6"/>
      <c r="X429" s="6"/>
      <c r="Y429" s="3"/>
      <c r="Z429" s="3"/>
      <c r="AA429" s="3"/>
      <c r="AB429" s="3" t="s">
        <v>42</v>
      </c>
    </row>
    <row r="430" spans="1:28" ht="33" customHeight="1" x14ac:dyDescent="0.25">
      <c r="A430" s="7" t="s">
        <v>1159</v>
      </c>
      <c r="B430" s="3" t="s">
        <v>747</v>
      </c>
      <c r="C430" s="3" t="s">
        <v>1160</v>
      </c>
      <c r="D430" s="6">
        <v>43240</v>
      </c>
      <c r="E430" s="6">
        <v>45801</v>
      </c>
      <c r="F430" s="3"/>
      <c r="G430" s="6"/>
      <c r="H430" s="3"/>
      <c r="I430" s="6"/>
      <c r="J430" s="3" t="s">
        <v>1013</v>
      </c>
      <c r="K430" s="3"/>
      <c r="L430" s="3"/>
      <c r="M430" s="3" t="s">
        <v>34</v>
      </c>
      <c r="N430" s="3" t="s">
        <v>750</v>
      </c>
      <c r="O430" s="3" t="s">
        <v>441</v>
      </c>
      <c r="P430" s="3" t="s">
        <v>37</v>
      </c>
      <c r="Q430" s="5">
        <v>118252</v>
      </c>
      <c r="R430" s="5"/>
      <c r="S430" s="5"/>
      <c r="T430" s="3" t="s">
        <v>38</v>
      </c>
      <c r="U430" s="3" t="s">
        <v>153</v>
      </c>
      <c r="V430" s="3"/>
      <c r="W430" s="6"/>
      <c r="X430" s="6"/>
      <c r="Y430" s="3"/>
      <c r="Z430" s="3"/>
      <c r="AA430" s="3"/>
      <c r="AB430" s="3" t="s">
        <v>42</v>
      </c>
    </row>
    <row r="431" spans="1:28" ht="33" customHeight="1" x14ac:dyDescent="0.25">
      <c r="A431" s="7" t="s">
        <v>1161</v>
      </c>
      <c r="B431" s="3" t="s">
        <v>747</v>
      </c>
      <c r="C431" s="3" t="s">
        <v>1162</v>
      </c>
      <c r="D431" s="6">
        <v>43345</v>
      </c>
      <c r="E431" s="6">
        <v>45560</v>
      </c>
      <c r="F431" s="3"/>
      <c r="G431" s="6"/>
      <c r="H431" s="3"/>
      <c r="I431" s="6"/>
      <c r="J431" s="3" t="s">
        <v>1109</v>
      </c>
      <c r="K431" s="3"/>
      <c r="L431" s="3"/>
      <c r="M431" s="3" t="s">
        <v>34</v>
      </c>
      <c r="N431" s="3" t="s">
        <v>750</v>
      </c>
      <c r="O431" s="3" t="s">
        <v>441</v>
      </c>
      <c r="P431" s="3" t="s">
        <v>37</v>
      </c>
      <c r="Q431" s="5">
        <v>115815</v>
      </c>
      <c r="R431" s="5"/>
      <c r="S431" s="5"/>
      <c r="T431" s="3" t="s">
        <v>38</v>
      </c>
      <c r="U431" s="3" t="s">
        <v>153</v>
      </c>
      <c r="V431" s="3"/>
      <c r="W431" s="6"/>
      <c r="X431" s="6"/>
      <c r="Y431" s="3"/>
      <c r="Z431" s="3"/>
      <c r="AA431" s="3"/>
      <c r="AB431" s="3" t="s">
        <v>42</v>
      </c>
    </row>
    <row r="432" spans="1:28" ht="33" customHeight="1" x14ac:dyDescent="0.25">
      <c r="A432" s="7" t="s">
        <v>1163</v>
      </c>
      <c r="B432" s="3" t="s">
        <v>747</v>
      </c>
      <c r="C432" s="3" t="s">
        <v>1164</v>
      </c>
      <c r="D432" s="6">
        <v>43520</v>
      </c>
      <c r="E432" s="6">
        <v>45493</v>
      </c>
      <c r="F432" s="3"/>
      <c r="G432" s="6"/>
      <c r="H432" s="3"/>
      <c r="I432" s="6"/>
      <c r="J432" s="3" t="s">
        <v>1090</v>
      </c>
      <c r="K432" s="3"/>
      <c r="L432" s="3">
        <v>10799374</v>
      </c>
      <c r="M432" s="3" t="s">
        <v>48</v>
      </c>
      <c r="N432" s="3" t="s">
        <v>750</v>
      </c>
      <c r="O432" s="3" t="s">
        <v>441</v>
      </c>
      <c r="P432" s="3" t="s">
        <v>37</v>
      </c>
      <c r="Q432" s="5">
        <v>58128</v>
      </c>
      <c r="R432" s="5"/>
      <c r="S432" s="5"/>
      <c r="T432" s="3" t="s">
        <v>38</v>
      </c>
      <c r="U432" s="3" t="s">
        <v>153</v>
      </c>
      <c r="V432" s="3"/>
      <c r="W432" s="6"/>
      <c r="X432" s="6"/>
      <c r="Y432" s="3"/>
      <c r="Z432" s="3"/>
      <c r="AA432" s="3"/>
      <c r="AB432" s="3" t="s">
        <v>42</v>
      </c>
    </row>
    <row r="433" spans="1:28" ht="33" customHeight="1" x14ac:dyDescent="0.25">
      <c r="A433" s="7" t="s">
        <v>1165</v>
      </c>
      <c r="B433" s="3" t="s">
        <v>747</v>
      </c>
      <c r="C433" s="3" t="s">
        <v>1166</v>
      </c>
      <c r="D433" s="6">
        <v>43520</v>
      </c>
      <c r="E433" s="6">
        <v>45864</v>
      </c>
      <c r="F433" s="3"/>
      <c r="G433" s="6"/>
      <c r="H433" s="3"/>
      <c r="I433" s="6"/>
      <c r="J433" s="3" t="s">
        <v>1106</v>
      </c>
      <c r="K433" s="3"/>
      <c r="L433" s="3"/>
      <c r="M433" s="3" t="s">
        <v>34</v>
      </c>
      <c r="N433" s="3" t="s">
        <v>750</v>
      </c>
      <c r="O433" s="3" t="s">
        <v>441</v>
      </c>
      <c r="P433" s="3" t="s">
        <v>37</v>
      </c>
      <c r="Q433" s="5">
        <v>174871</v>
      </c>
      <c r="R433" s="5"/>
      <c r="S433" s="5"/>
      <c r="T433" s="3" t="s">
        <v>38</v>
      </c>
      <c r="U433" s="3" t="s">
        <v>153</v>
      </c>
      <c r="V433" s="3"/>
      <c r="W433" s="6"/>
      <c r="X433" s="6"/>
      <c r="Y433" s="3"/>
      <c r="Z433" s="3"/>
      <c r="AA433" s="3"/>
      <c r="AB433" s="3" t="s">
        <v>42</v>
      </c>
    </row>
    <row r="434" spans="1:28" ht="33" customHeight="1" x14ac:dyDescent="0.25">
      <c r="A434" s="7" t="s">
        <v>1167</v>
      </c>
      <c r="B434" s="3" t="s">
        <v>747</v>
      </c>
      <c r="C434" s="3" t="s">
        <v>1166</v>
      </c>
      <c r="D434" s="6">
        <v>43520</v>
      </c>
      <c r="E434" s="6">
        <v>45864</v>
      </c>
      <c r="F434" s="3"/>
      <c r="G434" s="6"/>
      <c r="H434" s="3"/>
      <c r="I434" s="6"/>
      <c r="J434" s="3" t="s">
        <v>1106</v>
      </c>
      <c r="K434" s="3"/>
      <c r="L434" s="3"/>
      <c r="M434" s="3" t="s">
        <v>34</v>
      </c>
      <c r="N434" s="3" t="s">
        <v>750</v>
      </c>
      <c r="O434" s="3" t="s">
        <v>441</v>
      </c>
      <c r="P434" s="3" t="s">
        <v>37</v>
      </c>
      <c r="Q434" s="5">
        <v>30903</v>
      </c>
      <c r="R434" s="5"/>
      <c r="S434" s="5"/>
      <c r="T434" s="3" t="s">
        <v>38</v>
      </c>
      <c r="U434" s="3" t="s">
        <v>153</v>
      </c>
      <c r="V434" s="3"/>
      <c r="W434" s="6"/>
      <c r="X434" s="6"/>
      <c r="Y434" s="3"/>
      <c r="Z434" s="3"/>
      <c r="AA434" s="3"/>
      <c r="AB434" s="3" t="s">
        <v>42</v>
      </c>
    </row>
    <row r="435" spans="1:28" ht="33" customHeight="1" x14ac:dyDescent="0.25">
      <c r="A435" s="7" t="s">
        <v>1168</v>
      </c>
      <c r="B435" s="3" t="s">
        <v>747</v>
      </c>
      <c r="C435" s="3" t="s">
        <v>1169</v>
      </c>
      <c r="D435" s="6">
        <v>43520</v>
      </c>
      <c r="E435" s="6">
        <v>45430</v>
      </c>
      <c r="F435" s="3"/>
      <c r="G435" s="6"/>
      <c r="H435" s="3"/>
      <c r="I435" s="6"/>
      <c r="J435" s="3" t="s">
        <v>1106</v>
      </c>
      <c r="K435" s="3"/>
      <c r="L435" s="3">
        <v>3914156</v>
      </c>
      <c r="M435" s="3" t="s">
        <v>34</v>
      </c>
      <c r="N435" s="3" t="s">
        <v>750</v>
      </c>
      <c r="O435" s="3" t="s">
        <v>441</v>
      </c>
      <c r="P435" s="3" t="s">
        <v>37</v>
      </c>
      <c r="Q435" s="5">
        <v>67913</v>
      </c>
      <c r="R435" s="5"/>
      <c r="S435" s="5"/>
      <c r="T435" s="3" t="s">
        <v>38</v>
      </c>
      <c r="U435" s="3" t="s">
        <v>153</v>
      </c>
      <c r="V435" s="3"/>
      <c r="W435" s="6"/>
      <c r="X435" s="6"/>
      <c r="Y435" s="3"/>
      <c r="Z435" s="3"/>
      <c r="AA435" s="3"/>
      <c r="AB435" s="3" t="s">
        <v>42</v>
      </c>
    </row>
    <row r="436" spans="1:28" ht="33" customHeight="1" x14ac:dyDescent="0.25">
      <c r="A436" s="7" t="s">
        <v>1170</v>
      </c>
      <c r="B436" s="3" t="s">
        <v>747</v>
      </c>
      <c r="C436" s="3" t="s">
        <v>1171</v>
      </c>
      <c r="D436" s="6">
        <v>43520</v>
      </c>
      <c r="E436" s="6">
        <v>45493</v>
      </c>
      <c r="F436" s="3"/>
      <c r="G436" s="6"/>
      <c r="H436" s="3"/>
      <c r="I436" s="6"/>
      <c r="J436" s="3" t="s">
        <v>1109</v>
      </c>
      <c r="K436" s="3"/>
      <c r="L436" s="3"/>
      <c r="M436" s="3" t="s">
        <v>34</v>
      </c>
      <c r="N436" s="3" t="s">
        <v>750</v>
      </c>
      <c r="O436" s="3" t="s">
        <v>441</v>
      </c>
      <c r="P436" s="3" t="s">
        <v>37</v>
      </c>
      <c r="Q436" s="5">
        <v>80004</v>
      </c>
      <c r="R436" s="5"/>
      <c r="S436" s="5"/>
      <c r="T436" s="3" t="s">
        <v>38</v>
      </c>
      <c r="U436" s="3" t="s">
        <v>153</v>
      </c>
      <c r="V436" s="3"/>
      <c r="W436" s="6"/>
      <c r="X436" s="6"/>
      <c r="Y436" s="3"/>
      <c r="Z436" s="3"/>
      <c r="AA436" s="3"/>
      <c r="AB436" s="3" t="s">
        <v>42</v>
      </c>
    </row>
    <row r="437" spans="1:28" ht="33" customHeight="1" x14ac:dyDescent="0.25">
      <c r="A437" s="7" t="s">
        <v>1172</v>
      </c>
      <c r="B437" s="3" t="s">
        <v>747</v>
      </c>
      <c r="C437" s="3" t="s">
        <v>1171</v>
      </c>
      <c r="D437" s="6">
        <v>43520</v>
      </c>
      <c r="E437" s="6">
        <v>45493</v>
      </c>
      <c r="F437" s="3"/>
      <c r="G437" s="6"/>
      <c r="H437" s="3"/>
      <c r="I437" s="6"/>
      <c r="J437" s="3" t="s">
        <v>1109</v>
      </c>
      <c r="K437" s="3"/>
      <c r="L437" s="3"/>
      <c r="M437" s="3" t="s">
        <v>34</v>
      </c>
      <c r="N437" s="3" t="s">
        <v>750</v>
      </c>
      <c r="O437" s="3" t="s">
        <v>441</v>
      </c>
      <c r="P437" s="3" t="s">
        <v>37</v>
      </c>
      <c r="Q437" s="5">
        <v>34818</v>
      </c>
      <c r="R437" s="5"/>
      <c r="S437" s="5"/>
      <c r="T437" s="3" t="s">
        <v>38</v>
      </c>
      <c r="U437" s="3" t="s">
        <v>153</v>
      </c>
      <c r="V437" s="3"/>
      <c r="W437" s="6"/>
      <c r="X437" s="6"/>
      <c r="Y437" s="3"/>
      <c r="Z437" s="3"/>
      <c r="AA437" s="3"/>
      <c r="AB437" s="3" t="s">
        <v>42</v>
      </c>
    </row>
    <row r="438" spans="1:28" ht="33" customHeight="1" x14ac:dyDescent="0.25">
      <c r="A438" s="7" t="s">
        <v>1173</v>
      </c>
      <c r="B438" s="3" t="s">
        <v>747</v>
      </c>
      <c r="C438" s="3" t="s">
        <v>1171</v>
      </c>
      <c r="D438" s="6">
        <v>39868</v>
      </c>
      <c r="E438" s="6">
        <v>45493</v>
      </c>
      <c r="F438" s="3"/>
      <c r="G438" s="6"/>
      <c r="H438" s="3"/>
      <c r="I438" s="6"/>
      <c r="J438" s="3" t="s">
        <v>1109</v>
      </c>
      <c r="K438" s="3"/>
      <c r="L438" s="3"/>
      <c r="M438" s="3" t="s">
        <v>34</v>
      </c>
      <c r="N438" s="3" t="s">
        <v>750</v>
      </c>
      <c r="O438" s="3" t="s">
        <v>441</v>
      </c>
      <c r="P438" s="3" t="s">
        <v>37</v>
      </c>
      <c r="Q438" s="5">
        <v>12822</v>
      </c>
      <c r="R438" s="5"/>
      <c r="S438" s="5"/>
      <c r="T438" s="3" t="s">
        <v>38</v>
      </c>
      <c r="U438" s="3" t="s">
        <v>153</v>
      </c>
      <c r="V438" s="3"/>
      <c r="W438" s="6"/>
      <c r="X438" s="6"/>
      <c r="Y438" s="3"/>
      <c r="Z438" s="3"/>
      <c r="AA438" s="3"/>
      <c r="AB438" s="3" t="s">
        <v>42</v>
      </c>
    </row>
    <row r="439" spans="1:28" ht="33" customHeight="1" x14ac:dyDescent="0.25">
      <c r="A439" s="7" t="s">
        <v>1174</v>
      </c>
      <c r="B439" s="3" t="s">
        <v>747</v>
      </c>
      <c r="C439" s="3" t="s">
        <v>1175</v>
      </c>
      <c r="D439" s="6">
        <v>43520</v>
      </c>
      <c r="E439" s="6">
        <v>45430</v>
      </c>
      <c r="F439" s="3"/>
      <c r="G439" s="6"/>
      <c r="H439" s="3"/>
      <c r="I439" s="6"/>
      <c r="J439" s="3" t="s">
        <v>1106</v>
      </c>
      <c r="K439" s="3"/>
      <c r="L439" s="3"/>
      <c r="M439" s="3" t="s">
        <v>34</v>
      </c>
      <c r="N439" s="3" t="s">
        <v>750</v>
      </c>
      <c r="O439" s="3" t="s">
        <v>441</v>
      </c>
      <c r="P439" s="3" t="s">
        <v>37</v>
      </c>
      <c r="Q439" s="5">
        <v>199194</v>
      </c>
      <c r="R439" s="5"/>
      <c r="S439" s="5"/>
      <c r="T439" s="3" t="s">
        <v>38</v>
      </c>
      <c r="U439" s="3" t="s">
        <v>153</v>
      </c>
      <c r="V439" s="3"/>
      <c r="W439" s="6"/>
      <c r="X439" s="6"/>
      <c r="Y439" s="3"/>
      <c r="Z439" s="3"/>
      <c r="AA439" s="3"/>
      <c r="AB439" s="3" t="s">
        <v>42</v>
      </c>
    </row>
    <row r="440" spans="1:28" ht="33" customHeight="1" x14ac:dyDescent="0.25">
      <c r="A440" s="7" t="s">
        <v>1176</v>
      </c>
      <c r="B440" s="3" t="s">
        <v>747</v>
      </c>
      <c r="C440" s="3" t="s">
        <v>1177</v>
      </c>
      <c r="D440" s="6">
        <v>43804</v>
      </c>
      <c r="E440" s="6">
        <v>45430</v>
      </c>
      <c r="F440" s="3"/>
      <c r="G440" s="6"/>
      <c r="H440" s="3"/>
      <c r="I440" s="6"/>
      <c r="J440" s="3" t="s">
        <v>1106</v>
      </c>
      <c r="K440" s="3"/>
      <c r="L440" s="3"/>
      <c r="M440" s="3" t="s">
        <v>34</v>
      </c>
      <c r="N440" s="3" t="s">
        <v>750</v>
      </c>
      <c r="O440" s="3" t="s">
        <v>441</v>
      </c>
      <c r="P440" s="3" t="s">
        <v>37</v>
      </c>
      <c r="Q440" s="5">
        <v>51975</v>
      </c>
      <c r="R440" s="5"/>
      <c r="S440" s="5"/>
      <c r="T440" s="3" t="s">
        <v>38</v>
      </c>
      <c r="U440" s="3" t="s">
        <v>153</v>
      </c>
      <c r="V440" s="3"/>
      <c r="W440" s="6"/>
      <c r="X440" s="6"/>
      <c r="Y440" s="3"/>
      <c r="Z440" s="3"/>
      <c r="AA440" s="3"/>
      <c r="AB440" s="3" t="s">
        <v>42</v>
      </c>
    </row>
    <row r="441" spans="1:28" ht="33" customHeight="1" x14ac:dyDescent="0.25">
      <c r="A441" s="7" t="s">
        <v>1178</v>
      </c>
      <c r="B441" s="3" t="s">
        <v>747</v>
      </c>
      <c r="C441" s="3" t="s">
        <v>1179</v>
      </c>
      <c r="D441" s="6">
        <v>43520</v>
      </c>
      <c r="E441" s="6">
        <v>45430</v>
      </c>
      <c r="F441" s="3"/>
      <c r="G441" s="6"/>
      <c r="H441" s="3"/>
      <c r="I441" s="6"/>
      <c r="J441" s="3" t="s">
        <v>1106</v>
      </c>
      <c r="K441" s="3"/>
      <c r="L441" s="3"/>
      <c r="M441" s="3" t="s">
        <v>34</v>
      </c>
      <c r="N441" s="3" t="s">
        <v>750</v>
      </c>
      <c r="O441" s="3" t="s">
        <v>441</v>
      </c>
      <c r="P441" s="3" t="s">
        <v>37</v>
      </c>
      <c r="Q441" s="5">
        <v>183988</v>
      </c>
      <c r="R441" s="5"/>
      <c r="S441" s="5"/>
      <c r="T441" s="3" t="s">
        <v>38</v>
      </c>
      <c r="U441" s="3" t="s">
        <v>153</v>
      </c>
      <c r="V441" s="3"/>
      <c r="W441" s="6"/>
      <c r="X441" s="6"/>
      <c r="Y441" s="3"/>
      <c r="Z441" s="3"/>
      <c r="AA441" s="3"/>
      <c r="AB441" s="3" t="s">
        <v>42</v>
      </c>
    </row>
    <row r="442" spans="1:28" ht="33" customHeight="1" x14ac:dyDescent="0.25">
      <c r="A442" s="7" t="s">
        <v>1180</v>
      </c>
      <c r="B442" s="3" t="s">
        <v>747</v>
      </c>
      <c r="C442" s="3" t="s">
        <v>1181</v>
      </c>
      <c r="D442" s="6">
        <v>43520</v>
      </c>
      <c r="E442" s="6">
        <v>45430</v>
      </c>
      <c r="F442" s="3"/>
      <c r="G442" s="6"/>
      <c r="H442" s="3"/>
      <c r="I442" s="6"/>
      <c r="J442" s="3" t="s">
        <v>1106</v>
      </c>
      <c r="K442" s="3"/>
      <c r="L442" s="3"/>
      <c r="M442" s="3" t="s">
        <v>34</v>
      </c>
      <c r="N442" s="3" t="s">
        <v>750</v>
      </c>
      <c r="O442" s="3" t="s">
        <v>441</v>
      </c>
      <c r="P442" s="3" t="s">
        <v>37</v>
      </c>
      <c r="Q442" s="5">
        <v>7485</v>
      </c>
      <c r="R442" s="5"/>
      <c r="S442" s="5"/>
      <c r="T442" s="3" t="s">
        <v>38</v>
      </c>
      <c r="U442" s="3" t="s">
        <v>153</v>
      </c>
      <c r="V442" s="3"/>
      <c r="W442" s="6"/>
      <c r="X442" s="6"/>
      <c r="Y442" s="3"/>
      <c r="Z442" s="3"/>
      <c r="AA442" s="3"/>
      <c r="AB442" s="3" t="s">
        <v>42</v>
      </c>
    </row>
    <row r="443" spans="1:28" ht="33" customHeight="1" x14ac:dyDescent="0.25">
      <c r="A443" s="7" t="s">
        <v>1182</v>
      </c>
      <c r="B443" s="3" t="s">
        <v>747</v>
      </c>
      <c r="C443" s="3" t="s">
        <v>1183</v>
      </c>
      <c r="D443" s="6">
        <v>43520</v>
      </c>
      <c r="E443" s="6">
        <v>45430</v>
      </c>
      <c r="F443" s="3"/>
      <c r="G443" s="6"/>
      <c r="H443" s="3"/>
      <c r="I443" s="6"/>
      <c r="J443" s="3" t="s">
        <v>1106</v>
      </c>
      <c r="K443" s="3"/>
      <c r="L443" s="3"/>
      <c r="M443" s="3" t="s">
        <v>34</v>
      </c>
      <c r="N443" s="3" t="s">
        <v>750</v>
      </c>
      <c r="O443" s="3" t="s">
        <v>441</v>
      </c>
      <c r="P443" s="3" t="s">
        <v>37</v>
      </c>
      <c r="Q443" s="5">
        <v>166483</v>
      </c>
      <c r="R443" s="5"/>
      <c r="S443" s="5"/>
      <c r="T443" s="3" t="s">
        <v>38</v>
      </c>
      <c r="U443" s="3" t="s">
        <v>153</v>
      </c>
      <c r="V443" s="3"/>
      <c r="W443" s="6"/>
      <c r="X443" s="6"/>
      <c r="Y443" s="3"/>
      <c r="Z443" s="3"/>
      <c r="AA443" s="3"/>
      <c r="AB443" s="3" t="s">
        <v>42</v>
      </c>
    </row>
    <row r="444" spans="1:28" ht="33" customHeight="1" x14ac:dyDescent="0.25">
      <c r="A444" s="7" t="s">
        <v>1184</v>
      </c>
      <c r="B444" s="3" t="s">
        <v>747</v>
      </c>
      <c r="C444" s="3" t="s">
        <v>1185</v>
      </c>
      <c r="D444" s="6">
        <v>43520</v>
      </c>
      <c r="E444" s="6">
        <v>45430</v>
      </c>
      <c r="F444" s="3"/>
      <c r="G444" s="6"/>
      <c r="H444" s="3"/>
      <c r="I444" s="6"/>
      <c r="J444" s="3" t="s">
        <v>1106</v>
      </c>
      <c r="K444" s="3"/>
      <c r="L444" s="3"/>
      <c r="M444" s="3" t="s">
        <v>34</v>
      </c>
      <c r="N444" s="3" t="s">
        <v>750</v>
      </c>
      <c r="O444" s="3" t="s">
        <v>441</v>
      </c>
      <c r="P444" s="3" t="s">
        <v>37</v>
      </c>
      <c r="Q444" s="5">
        <v>29208</v>
      </c>
      <c r="R444" s="5"/>
      <c r="S444" s="5"/>
      <c r="T444" s="3" t="s">
        <v>38</v>
      </c>
      <c r="U444" s="3" t="s">
        <v>153</v>
      </c>
      <c r="V444" s="3"/>
      <c r="W444" s="6"/>
      <c r="X444" s="6"/>
      <c r="Y444" s="3"/>
      <c r="Z444" s="3"/>
      <c r="AA444" s="3"/>
      <c r="AB444" s="3" t="s">
        <v>42</v>
      </c>
    </row>
    <row r="445" spans="1:28" ht="33" customHeight="1" x14ac:dyDescent="0.25">
      <c r="A445" s="7" t="s">
        <v>1186</v>
      </c>
      <c r="B445" s="3" t="s">
        <v>747</v>
      </c>
      <c r="C445" s="3" t="s">
        <v>1185</v>
      </c>
      <c r="D445" s="6">
        <v>43520</v>
      </c>
      <c r="E445" s="6">
        <v>45430</v>
      </c>
      <c r="F445" s="3"/>
      <c r="G445" s="6"/>
      <c r="H445" s="3"/>
      <c r="I445" s="6"/>
      <c r="J445" s="3" t="s">
        <v>1106</v>
      </c>
      <c r="K445" s="3"/>
      <c r="L445" s="3"/>
      <c r="M445" s="3" t="s">
        <v>34</v>
      </c>
      <c r="N445" s="3" t="s">
        <v>750</v>
      </c>
      <c r="O445" s="3" t="s">
        <v>441</v>
      </c>
      <c r="P445" s="3" t="s">
        <v>37</v>
      </c>
      <c r="Q445" s="5">
        <v>17380</v>
      </c>
      <c r="R445" s="5"/>
      <c r="S445" s="5"/>
      <c r="T445" s="3" t="s">
        <v>38</v>
      </c>
      <c r="U445" s="3" t="s">
        <v>153</v>
      </c>
      <c r="V445" s="3"/>
      <c r="W445" s="6"/>
      <c r="X445" s="6"/>
      <c r="Y445" s="3"/>
      <c r="Z445" s="3"/>
      <c r="AA445" s="3"/>
      <c r="AB445" s="3" t="s">
        <v>42</v>
      </c>
    </row>
    <row r="446" spans="1:28" ht="33" customHeight="1" x14ac:dyDescent="0.25">
      <c r="A446" s="7" t="s">
        <v>1187</v>
      </c>
      <c r="B446" s="3" t="s">
        <v>747</v>
      </c>
      <c r="C446" s="3" t="s">
        <v>1188</v>
      </c>
      <c r="D446" s="6">
        <v>43520</v>
      </c>
      <c r="E446" s="6">
        <v>45346</v>
      </c>
      <c r="F446" s="3"/>
      <c r="G446" s="6"/>
      <c r="H446" s="3"/>
      <c r="I446" s="6"/>
      <c r="J446" s="3" t="s">
        <v>1098</v>
      </c>
      <c r="K446" s="3"/>
      <c r="L446" s="3"/>
      <c r="M446" s="3" t="s">
        <v>34</v>
      </c>
      <c r="N446" s="3" t="s">
        <v>750</v>
      </c>
      <c r="O446" s="3" t="s">
        <v>441</v>
      </c>
      <c r="P446" s="3" t="s">
        <v>37</v>
      </c>
      <c r="Q446" s="5">
        <v>106085</v>
      </c>
      <c r="R446" s="5"/>
      <c r="S446" s="5"/>
      <c r="T446" s="3" t="s">
        <v>38</v>
      </c>
      <c r="U446" s="3" t="s">
        <v>153</v>
      </c>
      <c r="V446" s="3"/>
      <c r="W446" s="6"/>
      <c r="X446" s="6"/>
      <c r="Y446" s="3"/>
      <c r="Z446" s="3"/>
      <c r="AA446" s="3"/>
      <c r="AB446" s="3" t="s">
        <v>477</v>
      </c>
    </row>
    <row r="447" spans="1:28" ht="33" customHeight="1" x14ac:dyDescent="0.25">
      <c r="A447" s="7" t="s">
        <v>1189</v>
      </c>
      <c r="B447" s="3" t="s">
        <v>747</v>
      </c>
      <c r="C447" s="3" t="s">
        <v>1190</v>
      </c>
      <c r="D447" s="6">
        <v>43520</v>
      </c>
      <c r="E447" s="6">
        <v>45346</v>
      </c>
      <c r="F447" s="3"/>
      <c r="G447" s="6"/>
      <c r="H447" s="3"/>
      <c r="I447" s="6"/>
      <c r="J447" s="3" t="s">
        <v>1098</v>
      </c>
      <c r="K447" s="3"/>
      <c r="L447" s="3"/>
      <c r="M447" s="3" t="s">
        <v>34</v>
      </c>
      <c r="N447" s="3" t="s">
        <v>750</v>
      </c>
      <c r="O447" s="3" t="s">
        <v>441</v>
      </c>
      <c r="P447" s="3" t="s">
        <v>37</v>
      </c>
      <c r="Q447" s="5">
        <v>310538</v>
      </c>
      <c r="R447" s="5"/>
      <c r="S447" s="5"/>
      <c r="T447" s="3" t="s">
        <v>38</v>
      </c>
      <c r="U447" s="3" t="s">
        <v>153</v>
      </c>
      <c r="V447" s="3"/>
      <c r="W447" s="6"/>
      <c r="X447" s="6"/>
      <c r="Y447" s="3"/>
      <c r="Z447" s="3"/>
      <c r="AA447" s="3"/>
      <c r="AB447" s="3" t="s">
        <v>477</v>
      </c>
    </row>
    <row r="448" spans="1:28" ht="33" customHeight="1" x14ac:dyDescent="0.25">
      <c r="A448" s="7" t="s">
        <v>1191</v>
      </c>
      <c r="B448" s="3" t="s">
        <v>747</v>
      </c>
      <c r="C448" s="3" t="s">
        <v>1192</v>
      </c>
      <c r="D448" s="6">
        <v>43765</v>
      </c>
      <c r="E448" s="6">
        <v>45493</v>
      </c>
      <c r="F448" s="3"/>
      <c r="G448" s="6"/>
      <c r="H448" s="3"/>
      <c r="I448" s="6"/>
      <c r="J448" s="3" t="s">
        <v>1070</v>
      </c>
      <c r="K448" s="3"/>
      <c r="L448" s="3"/>
      <c r="M448" s="3" t="s">
        <v>34</v>
      </c>
      <c r="N448" s="3" t="s">
        <v>750</v>
      </c>
      <c r="O448" s="3" t="s">
        <v>441</v>
      </c>
      <c r="P448" s="3" t="s">
        <v>37</v>
      </c>
      <c r="Q448" s="5">
        <v>44341</v>
      </c>
      <c r="R448" s="5"/>
      <c r="S448" s="5"/>
      <c r="T448" s="3" t="s">
        <v>38</v>
      </c>
      <c r="U448" s="3" t="s">
        <v>153</v>
      </c>
      <c r="V448" s="3"/>
      <c r="W448" s="6"/>
      <c r="X448" s="6"/>
      <c r="Y448" s="3"/>
      <c r="Z448" s="3"/>
      <c r="AA448" s="3"/>
      <c r="AB448" s="3" t="s">
        <v>477</v>
      </c>
    </row>
    <row r="449" spans="1:28" ht="33" customHeight="1" x14ac:dyDescent="0.25">
      <c r="A449" s="7" t="s">
        <v>1193</v>
      </c>
      <c r="B449" s="3" t="s">
        <v>747</v>
      </c>
      <c r="C449" s="3" t="s">
        <v>1194</v>
      </c>
      <c r="D449" s="6">
        <v>43765</v>
      </c>
      <c r="E449" s="6">
        <v>45585</v>
      </c>
      <c r="F449" s="3"/>
      <c r="G449" s="6"/>
      <c r="H449" s="3"/>
      <c r="I449" s="6"/>
      <c r="J449" s="3" t="s">
        <v>1109</v>
      </c>
      <c r="K449" s="3"/>
      <c r="L449" s="3"/>
      <c r="M449" s="3" t="s">
        <v>34</v>
      </c>
      <c r="N449" s="3" t="s">
        <v>750</v>
      </c>
      <c r="O449" s="3" t="s">
        <v>441</v>
      </c>
      <c r="P449" s="3" t="s">
        <v>37</v>
      </c>
      <c r="Q449" s="5">
        <v>8755</v>
      </c>
      <c r="R449" s="5"/>
      <c r="S449" s="5"/>
      <c r="T449" s="3" t="s">
        <v>38</v>
      </c>
      <c r="U449" s="3" t="s">
        <v>153</v>
      </c>
      <c r="V449" s="3"/>
      <c r="W449" s="6"/>
      <c r="X449" s="6"/>
      <c r="Y449" s="3"/>
      <c r="Z449" s="3"/>
      <c r="AA449" s="3"/>
      <c r="AB449" s="3" t="s">
        <v>42</v>
      </c>
    </row>
    <row r="450" spans="1:28" ht="33" customHeight="1" x14ac:dyDescent="0.25">
      <c r="A450" s="7" t="s">
        <v>1195</v>
      </c>
      <c r="B450" s="3" t="s">
        <v>747</v>
      </c>
      <c r="C450" s="3" t="s">
        <v>1196</v>
      </c>
      <c r="D450" s="6">
        <v>43765</v>
      </c>
      <c r="E450" s="6">
        <v>45585</v>
      </c>
      <c r="F450" s="3"/>
      <c r="G450" s="6"/>
      <c r="H450" s="3"/>
      <c r="I450" s="6"/>
      <c r="J450" s="3" t="s">
        <v>1109</v>
      </c>
      <c r="K450" s="3"/>
      <c r="L450" s="3"/>
      <c r="M450" s="3" t="s">
        <v>34</v>
      </c>
      <c r="N450" s="3" t="s">
        <v>750</v>
      </c>
      <c r="O450" s="3" t="s">
        <v>441</v>
      </c>
      <c r="P450" s="3" t="s">
        <v>37</v>
      </c>
      <c r="Q450" s="5">
        <v>891</v>
      </c>
      <c r="R450" s="5"/>
      <c r="S450" s="5"/>
      <c r="T450" s="3" t="s">
        <v>38</v>
      </c>
      <c r="U450" s="3" t="s">
        <v>153</v>
      </c>
      <c r="V450" s="3"/>
      <c r="W450" s="6"/>
      <c r="X450" s="6"/>
      <c r="Y450" s="3"/>
      <c r="Z450" s="3"/>
      <c r="AA450" s="3"/>
      <c r="AB450" s="3" t="s">
        <v>42</v>
      </c>
    </row>
    <row r="451" spans="1:28" ht="33" customHeight="1" x14ac:dyDescent="0.25">
      <c r="A451" s="7" t="s">
        <v>1197</v>
      </c>
      <c r="B451" s="3" t="s">
        <v>747</v>
      </c>
      <c r="C451" s="3" t="s">
        <v>1194</v>
      </c>
      <c r="D451" s="6">
        <v>43765</v>
      </c>
      <c r="E451" s="6">
        <v>45585</v>
      </c>
      <c r="F451" s="3"/>
      <c r="G451" s="6"/>
      <c r="H451" s="3"/>
      <c r="I451" s="6"/>
      <c r="J451" s="3" t="s">
        <v>1109</v>
      </c>
      <c r="K451" s="3"/>
      <c r="L451" s="3"/>
      <c r="M451" s="3" t="s">
        <v>34</v>
      </c>
      <c r="N451" s="3" t="s">
        <v>750</v>
      </c>
      <c r="O451" s="3" t="s">
        <v>441</v>
      </c>
      <c r="P451" s="3" t="s">
        <v>37</v>
      </c>
      <c r="Q451" s="5">
        <v>1906</v>
      </c>
      <c r="R451" s="5"/>
      <c r="S451" s="5"/>
      <c r="T451" s="3" t="s">
        <v>38</v>
      </c>
      <c r="U451" s="3" t="s">
        <v>153</v>
      </c>
      <c r="V451" s="3"/>
      <c r="W451" s="6"/>
      <c r="X451" s="6"/>
      <c r="Y451" s="3"/>
      <c r="Z451" s="3"/>
      <c r="AA451" s="3"/>
      <c r="AB451" s="3" t="s">
        <v>42</v>
      </c>
    </row>
    <row r="452" spans="1:28" ht="33" customHeight="1" x14ac:dyDescent="0.25">
      <c r="A452" s="7" t="s">
        <v>1198</v>
      </c>
      <c r="B452" s="3" t="s">
        <v>747</v>
      </c>
      <c r="C452" s="3" t="s">
        <v>1194</v>
      </c>
      <c r="D452" s="6">
        <v>43765</v>
      </c>
      <c r="E452" s="6">
        <v>45585</v>
      </c>
      <c r="F452" s="3"/>
      <c r="G452" s="6"/>
      <c r="H452" s="3"/>
      <c r="I452" s="6"/>
      <c r="J452" s="3" t="s">
        <v>1109</v>
      </c>
      <c r="K452" s="3"/>
      <c r="L452" s="3"/>
      <c r="M452" s="3" t="s">
        <v>34</v>
      </c>
      <c r="N452" s="3" t="s">
        <v>750</v>
      </c>
      <c r="O452" s="3" t="s">
        <v>441</v>
      </c>
      <c r="P452" s="3" t="s">
        <v>37</v>
      </c>
      <c r="Q452" s="5">
        <v>1906</v>
      </c>
      <c r="R452" s="5"/>
      <c r="S452" s="5"/>
      <c r="T452" s="3" t="s">
        <v>38</v>
      </c>
      <c r="U452" s="3" t="s">
        <v>153</v>
      </c>
      <c r="V452" s="3"/>
      <c r="W452" s="6"/>
      <c r="X452" s="6"/>
      <c r="Y452" s="3"/>
      <c r="Z452" s="3"/>
      <c r="AA452" s="3"/>
      <c r="AB452" s="3" t="s">
        <v>42</v>
      </c>
    </row>
    <row r="453" spans="1:28" ht="33" customHeight="1" x14ac:dyDescent="0.25">
      <c r="A453" s="7" t="s">
        <v>1199</v>
      </c>
      <c r="B453" s="3" t="s">
        <v>747</v>
      </c>
      <c r="C453" s="3" t="s">
        <v>1200</v>
      </c>
      <c r="D453" s="6">
        <v>43765</v>
      </c>
      <c r="E453" s="6">
        <v>45585</v>
      </c>
      <c r="F453" s="3"/>
      <c r="G453" s="6"/>
      <c r="H453" s="3"/>
      <c r="I453" s="6"/>
      <c r="J453" s="3" t="s">
        <v>1109</v>
      </c>
      <c r="K453" s="3"/>
      <c r="L453" s="3"/>
      <c r="M453" s="3" t="s">
        <v>34</v>
      </c>
      <c r="N453" s="3" t="s">
        <v>750</v>
      </c>
      <c r="O453" s="3" t="s">
        <v>441</v>
      </c>
      <c r="P453" s="3" t="s">
        <v>37</v>
      </c>
      <c r="Q453" s="5">
        <v>4775</v>
      </c>
      <c r="R453" s="5"/>
      <c r="S453" s="5"/>
      <c r="T453" s="3" t="s">
        <v>38</v>
      </c>
      <c r="U453" s="3" t="s">
        <v>153</v>
      </c>
      <c r="V453" s="3"/>
      <c r="W453" s="6"/>
      <c r="X453" s="6"/>
      <c r="Y453" s="3"/>
      <c r="Z453" s="3"/>
      <c r="AA453" s="3"/>
      <c r="AB453" s="3" t="s">
        <v>42</v>
      </c>
    </row>
    <row r="454" spans="1:28" ht="33" customHeight="1" x14ac:dyDescent="0.25">
      <c r="A454" s="7" t="s">
        <v>1201</v>
      </c>
      <c r="B454" s="3" t="s">
        <v>747</v>
      </c>
      <c r="C454" s="3" t="s">
        <v>1202</v>
      </c>
      <c r="D454" s="6">
        <v>43765</v>
      </c>
      <c r="E454" s="6">
        <v>45585</v>
      </c>
      <c r="F454" s="3"/>
      <c r="G454" s="6"/>
      <c r="H454" s="3"/>
      <c r="I454" s="6"/>
      <c r="J454" s="3" t="s">
        <v>1109</v>
      </c>
      <c r="K454" s="3"/>
      <c r="L454" s="3"/>
      <c r="M454" s="3" t="s">
        <v>34</v>
      </c>
      <c r="N454" s="3" t="s">
        <v>750</v>
      </c>
      <c r="O454" s="3" t="s">
        <v>441</v>
      </c>
      <c r="P454" s="3" t="s">
        <v>37</v>
      </c>
      <c r="Q454" s="5">
        <v>6490</v>
      </c>
      <c r="R454" s="5"/>
      <c r="S454" s="5"/>
      <c r="T454" s="3" t="s">
        <v>38</v>
      </c>
      <c r="U454" s="3" t="s">
        <v>153</v>
      </c>
      <c r="V454" s="3"/>
      <c r="W454" s="6"/>
      <c r="X454" s="6"/>
      <c r="Y454" s="3"/>
      <c r="Z454" s="3"/>
      <c r="AA454" s="3"/>
      <c r="AB454" s="3" t="s">
        <v>42</v>
      </c>
    </row>
    <row r="455" spans="1:28" ht="33" customHeight="1" x14ac:dyDescent="0.25">
      <c r="A455" s="7" t="s">
        <v>1203</v>
      </c>
      <c r="B455" s="3" t="s">
        <v>747</v>
      </c>
      <c r="C455" s="3" t="s">
        <v>1202</v>
      </c>
      <c r="D455" s="6">
        <v>43765</v>
      </c>
      <c r="E455" s="6">
        <v>45585</v>
      </c>
      <c r="F455" s="3"/>
      <c r="G455" s="6"/>
      <c r="H455" s="3"/>
      <c r="I455" s="6"/>
      <c r="J455" s="3" t="s">
        <v>1109</v>
      </c>
      <c r="K455" s="3"/>
      <c r="L455" s="3"/>
      <c r="M455" s="3" t="s">
        <v>34</v>
      </c>
      <c r="N455" s="3" t="s">
        <v>750</v>
      </c>
      <c r="O455" s="3" t="s">
        <v>441</v>
      </c>
      <c r="P455" s="3" t="s">
        <v>37</v>
      </c>
      <c r="Q455" s="5">
        <v>4144</v>
      </c>
      <c r="R455" s="5"/>
      <c r="S455" s="5"/>
      <c r="T455" s="3" t="s">
        <v>38</v>
      </c>
      <c r="U455" s="3" t="s">
        <v>153</v>
      </c>
      <c r="V455" s="3"/>
      <c r="W455" s="6"/>
      <c r="X455" s="6"/>
      <c r="Y455" s="3"/>
      <c r="Z455" s="3"/>
      <c r="AA455" s="3"/>
      <c r="AB455" s="3" t="s">
        <v>42</v>
      </c>
    </row>
    <row r="456" spans="1:28" ht="33" customHeight="1" x14ac:dyDescent="0.25">
      <c r="A456" s="7" t="s">
        <v>1204</v>
      </c>
      <c r="B456" s="3" t="s">
        <v>747</v>
      </c>
      <c r="C456" s="3" t="s">
        <v>1205</v>
      </c>
      <c r="D456" s="6">
        <v>43765</v>
      </c>
      <c r="E456" s="6">
        <v>45585</v>
      </c>
      <c r="F456" s="3"/>
      <c r="G456" s="6"/>
      <c r="H456" s="3"/>
      <c r="I456" s="6"/>
      <c r="J456" s="3" t="s">
        <v>1109</v>
      </c>
      <c r="K456" s="3"/>
      <c r="L456" s="3"/>
      <c r="M456" s="3" t="s">
        <v>34</v>
      </c>
      <c r="N456" s="3" t="s">
        <v>750</v>
      </c>
      <c r="O456" s="3" t="s">
        <v>441</v>
      </c>
      <c r="P456" s="3" t="s">
        <v>37</v>
      </c>
      <c r="Q456" s="5">
        <v>9562</v>
      </c>
      <c r="R456" s="5"/>
      <c r="S456" s="5"/>
      <c r="T456" s="3" t="s">
        <v>38</v>
      </c>
      <c r="U456" s="3" t="s">
        <v>153</v>
      </c>
      <c r="V456" s="3"/>
      <c r="W456" s="6"/>
      <c r="X456" s="6"/>
      <c r="Y456" s="3"/>
      <c r="Z456" s="3"/>
      <c r="AA456" s="3"/>
      <c r="AB456" s="3" t="s">
        <v>42</v>
      </c>
    </row>
    <row r="457" spans="1:28" ht="33" customHeight="1" x14ac:dyDescent="0.25">
      <c r="A457" s="7" t="s">
        <v>1206</v>
      </c>
      <c r="B457" s="3" t="s">
        <v>747</v>
      </c>
      <c r="C457" s="3" t="s">
        <v>1205</v>
      </c>
      <c r="D457" s="6">
        <v>43765</v>
      </c>
      <c r="E457" s="6">
        <v>45585</v>
      </c>
      <c r="F457" s="3"/>
      <c r="G457" s="6"/>
      <c r="H457" s="3"/>
      <c r="I457" s="6"/>
      <c r="J457" s="3" t="s">
        <v>1109</v>
      </c>
      <c r="K457" s="3"/>
      <c r="L457" s="3"/>
      <c r="M457" s="3" t="s">
        <v>34</v>
      </c>
      <c r="N457" s="3" t="s">
        <v>750</v>
      </c>
      <c r="O457" s="3" t="s">
        <v>441</v>
      </c>
      <c r="P457" s="3" t="s">
        <v>37</v>
      </c>
      <c r="Q457" s="5">
        <v>5073</v>
      </c>
      <c r="R457" s="5"/>
      <c r="S457" s="5"/>
      <c r="T457" s="3" t="s">
        <v>38</v>
      </c>
      <c r="U457" s="3" t="s">
        <v>153</v>
      </c>
      <c r="V457" s="3"/>
      <c r="W457" s="6"/>
      <c r="X457" s="6"/>
      <c r="Y457" s="3"/>
      <c r="Z457" s="3"/>
      <c r="AA457" s="3"/>
      <c r="AB457" s="3" t="s">
        <v>42</v>
      </c>
    </row>
    <row r="458" spans="1:28" ht="33" customHeight="1" x14ac:dyDescent="0.25">
      <c r="A458" s="7" t="s">
        <v>1207</v>
      </c>
      <c r="B458" s="3" t="s">
        <v>747</v>
      </c>
      <c r="C458" s="3" t="s">
        <v>1108</v>
      </c>
      <c r="D458" s="6">
        <v>44073</v>
      </c>
      <c r="E458" s="6">
        <v>45318</v>
      </c>
      <c r="F458" s="3"/>
      <c r="G458" s="6"/>
      <c r="H458" s="3"/>
      <c r="I458" s="6"/>
      <c r="J458" s="3" t="s">
        <v>1109</v>
      </c>
      <c r="K458" s="3"/>
      <c r="L458" s="3"/>
      <c r="M458" s="3" t="s">
        <v>34</v>
      </c>
      <c r="N458" s="3" t="s">
        <v>750</v>
      </c>
      <c r="O458" s="3" t="s">
        <v>441</v>
      </c>
      <c r="P458" s="3" t="s">
        <v>37</v>
      </c>
      <c r="Q458" s="5">
        <v>21048</v>
      </c>
      <c r="R458" s="5"/>
      <c r="S458" s="5"/>
      <c r="T458" s="3" t="s">
        <v>38</v>
      </c>
      <c r="U458" s="3" t="s">
        <v>153</v>
      </c>
      <c r="V458" s="3"/>
      <c r="W458" s="6"/>
      <c r="X458" s="6"/>
      <c r="Y458" s="3"/>
      <c r="Z458" s="3"/>
      <c r="AA458" s="3"/>
      <c r="AB458" s="3" t="s">
        <v>42</v>
      </c>
    </row>
    <row r="459" spans="1:28" ht="33" customHeight="1" x14ac:dyDescent="0.25">
      <c r="A459" s="7" t="s">
        <v>1208</v>
      </c>
      <c r="B459" s="3" t="s">
        <v>747</v>
      </c>
      <c r="C459" s="3" t="s">
        <v>1209</v>
      </c>
      <c r="D459" s="6">
        <v>44073</v>
      </c>
      <c r="E459" s="6">
        <v>45318</v>
      </c>
      <c r="F459" s="3"/>
      <c r="G459" s="6"/>
      <c r="H459" s="3"/>
      <c r="I459" s="6"/>
      <c r="J459" s="3" t="s">
        <v>1109</v>
      </c>
      <c r="K459" s="3"/>
      <c r="L459" s="3"/>
      <c r="M459" s="3" t="s">
        <v>34</v>
      </c>
      <c r="N459" s="3" t="s">
        <v>750</v>
      </c>
      <c r="O459" s="3" t="s">
        <v>441</v>
      </c>
      <c r="P459" s="3" t="s">
        <v>37</v>
      </c>
      <c r="Q459" s="5">
        <v>96874</v>
      </c>
      <c r="R459" s="5"/>
      <c r="S459" s="5"/>
      <c r="T459" s="3" t="s">
        <v>38</v>
      </c>
      <c r="U459" s="3" t="s">
        <v>153</v>
      </c>
      <c r="V459" s="3"/>
      <c r="W459" s="6"/>
      <c r="X459" s="6"/>
      <c r="Y459" s="3"/>
      <c r="Z459" s="3"/>
      <c r="AA459" s="3"/>
      <c r="AB459" s="3" t="s">
        <v>42</v>
      </c>
    </row>
    <row r="460" spans="1:28" ht="33" customHeight="1" x14ac:dyDescent="0.25">
      <c r="A460" s="7" t="s">
        <v>1210</v>
      </c>
      <c r="B460" s="3" t="s">
        <v>747</v>
      </c>
      <c r="C460" s="3" t="s">
        <v>1211</v>
      </c>
      <c r="D460" s="6">
        <v>44073</v>
      </c>
      <c r="E460" s="6">
        <v>45318</v>
      </c>
      <c r="F460" s="3"/>
      <c r="G460" s="6"/>
      <c r="H460" s="3"/>
      <c r="I460" s="6"/>
      <c r="J460" s="3" t="s">
        <v>1109</v>
      </c>
      <c r="K460" s="3"/>
      <c r="L460" s="3"/>
      <c r="M460" s="3" t="s">
        <v>34</v>
      </c>
      <c r="N460" s="3" t="s">
        <v>750</v>
      </c>
      <c r="O460" s="3" t="s">
        <v>441</v>
      </c>
      <c r="P460" s="3" t="s">
        <v>37</v>
      </c>
      <c r="Q460" s="5">
        <v>16139</v>
      </c>
      <c r="R460" s="5"/>
      <c r="S460" s="5"/>
      <c r="T460" s="3" t="s">
        <v>38</v>
      </c>
      <c r="U460" s="3" t="s">
        <v>153</v>
      </c>
      <c r="V460" s="3"/>
      <c r="W460" s="6"/>
      <c r="X460" s="6"/>
      <c r="Y460" s="3"/>
      <c r="Z460" s="3"/>
      <c r="AA460" s="3"/>
      <c r="AB460" s="3" t="s">
        <v>42</v>
      </c>
    </row>
    <row r="461" spans="1:28" ht="33" customHeight="1" x14ac:dyDescent="0.25">
      <c r="A461" s="7" t="s">
        <v>1212</v>
      </c>
      <c r="B461" s="3" t="s">
        <v>747</v>
      </c>
      <c r="C461" s="3" t="s">
        <v>1213</v>
      </c>
      <c r="D461" s="6">
        <v>44073</v>
      </c>
      <c r="E461" s="6">
        <v>45318</v>
      </c>
      <c r="F461" s="3"/>
      <c r="G461" s="6"/>
      <c r="H461" s="3"/>
      <c r="I461" s="6"/>
      <c r="J461" s="3" t="s">
        <v>1109</v>
      </c>
      <c r="K461" s="3"/>
      <c r="L461" s="3"/>
      <c r="M461" s="3" t="s">
        <v>34</v>
      </c>
      <c r="N461" s="3" t="s">
        <v>750</v>
      </c>
      <c r="O461" s="3" t="s">
        <v>441</v>
      </c>
      <c r="P461" s="3" t="s">
        <v>37</v>
      </c>
      <c r="Q461" s="5">
        <v>85107</v>
      </c>
      <c r="R461" s="5"/>
      <c r="S461" s="5"/>
      <c r="T461" s="3" t="s">
        <v>38</v>
      </c>
      <c r="U461" s="3" t="s">
        <v>153</v>
      </c>
      <c r="V461" s="3"/>
      <c r="W461" s="6"/>
      <c r="X461" s="6"/>
      <c r="Y461" s="3"/>
      <c r="Z461" s="3"/>
      <c r="AA461" s="3"/>
      <c r="AB461" s="3" t="s">
        <v>42</v>
      </c>
    </row>
    <row r="462" spans="1:28" ht="33" customHeight="1" x14ac:dyDescent="0.25">
      <c r="A462" s="7" t="s">
        <v>1214</v>
      </c>
      <c r="B462" s="3" t="s">
        <v>747</v>
      </c>
      <c r="C462" s="3" t="s">
        <v>1213</v>
      </c>
      <c r="D462" s="6">
        <v>44073</v>
      </c>
      <c r="E462" s="6">
        <v>45318</v>
      </c>
      <c r="F462" s="3"/>
      <c r="G462" s="6"/>
      <c r="H462" s="3"/>
      <c r="I462" s="6"/>
      <c r="J462" s="3" t="s">
        <v>1109</v>
      </c>
      <c r="K462" s="3"/>
      <c r="L462" s="3"/>
      <c r="M462" s="3" t="s">
        <v>34</v>
      </c>
      <c r="N462" s="3" t="s">
        <v>750</v>
      </c>
      <c r="O462" s="3" t="s">
        <v>441</v>
      </c>
      <c r="P462" s="3" t="s">
        <v>37</v>
      </c>
      <c r="Q462" s="5">
        <v>3494</v>
      </c>
      <c r="R462" s="5"/>
      <c r="S462" s="5"/>
      <c r="T462" s="3" t="s">
        <v>38</v>
      </c>
      <c r="U462" s="3" t="s">
        <v>153</v>
      </c>
      <c r="V462" s="3"/>
      <c r="W462" s="6"/>
      <c r="X462" s="6"/>
      <c r="Y462" s="3"/>
      <c r="Z462" s="3"/>
      <c r="AA462" s="3"/>
      <c r="AB462" s="3" t="s">
        <v>42</v>
      </c>
    </row>
    <row r="463" spans="1:28" ht="33" customHeight="1" x14ac:dyDescent="0.25">
      <c r="A463" s="7" t="s">
        <v>1215</v>
      </c>
      <c r="B463" s="3" t="s">
        <v>747</v>
      </c>
      <c r="C463" s="3" t="s">
        <v>1216</v>
      </c>
      <c r="D463" s="6">
        <v>44073</v>
      </c>
      <c r="E463" s="6">
        <v>45318</v>
      </c>
      <c r="F463" s="3"/>
      <c r="G463" s="6"/>
      <c r="H463" s="3"/>
      <c r="I463" s="6"/>
      <c r="J463" s="3" t="s">
        <v>1109</v>
      </c>
      <c r="K463" s="3"/>
      <c r="L463" s="3"/>
      <c r="M463" s="3" t="s">
        <v>34</v>
      </c>
      <c r="N463" s="3" t="s">
        <v>750</v>
      </c>
      <c r="O463" s="3" t="s">
        <v>441</v>
      </c>
      <c r="P463" s="3" t="s">
        <v>37</v>
      </c>
      <c r="Q463" s="5">
        <v>461020</v>
      </c>
      <c r="R463" s="5"/>
      <c r="S463" s="5"/>
      <c r="T463" s="3" t="s">
        <v>38</v>
      </c>
      <c r="U463" s="3" t="s">
        <v>153</v>
      </c>
      <c r="V463" s="3"/>
      <c r="W463" s="6"/>
      <c r="X463" s="6"/>
      <c r="Y463" s="3"/>
      <c r="Z463" s="3"/>
      <c r="AA463" s="3"/>
      <c r="AB463" s="3" t="s">
        <v>42</v>
      </c>
    </row>
    <row r="464" spans="1:28" ht="33" customHeight="1" x14ac:dyDescent="0.25">
      <c r="A464" s="7" t="s">
        <v>1217</v>
      </c>
      <c r="B464" s="3" t="s">
        <v>747</v>
      </c>
      <c r="C464" s="3" t="s">
        <v>1218</v>
      </c>
      <c r="D464" s="6">
        <v>44073</v>
      </c>
      <c r="E464" s="6">
        <v>45318</v>
      </c>
      <c r="F464" s="3"/>
      <c r="G464" s="6"/>
      <c r="H464" s="3"/>
      <c r="I464" s="6"/>
      <c r="J464" s="3" t="s">
        <v>1109</v>
      </c>
      <c r="K464" s="3"/>
      <c r="L464" s="3"/>
      <c r="M464" s="3" t="s">
        <v>34</v>
      </c>
      <c r="N464" s="3" t="s">
        <v>750</v>
      </c>
      <c r="O464" s="3" t="s">
        <v>441</v>
      </c>
      <c r="P464" s="3" t="s">
        <v>37</v>
      </c>
      <c r="Q464" s="5">
        <v>41575</v>
      </c>
      <c r="R464" s="5"/>
      <c r="S464" s="5"/>
      <c r="T464" s="3" t="s">
        <v>38</v>
      </c>
      <c r="U464" s="3" t="s">
        <v>153</v>
      </c>
      <c r="V464" s="3"/>
      <c r="W464" s="6"/>
      <c r="X464" s="6"/>
      <c r="Y464" s="3"/>
      <c r="Z464" s="3"/>
      <c r="AA464" s="3"/>
      <c r="AB464" s="3" t="s">
        <v>42</v>
      </c>
    </row>
    <row r="465" spans="1:28" ht="33" customHeight="1" x14ac:dyDescent="0.25">
      <c r="A465" s="7" t="s">
        <v>1219</v>
      </c>
      <c r="B465" s="3" t="s">
        <v>747</v>
      </c>
      <c r="C465" s="3" t="s">
        <v>1220</v>
      </c>
      <c r="D465" s="6">
        <v>44073</v>
      </c>
      <c r="E465" s="6">
        <v>45318</v>
      </c>
      <c r="F465" s="3"/>
      <c r="G465" s="6"/>
      <c r="H465" s="3"/>
      <c r="I465" s="6"/>
      <c r="J465" s="3" t="s">
        <v>1109</v>
      </c>
      <c r="K465" s="3"/>
      <c r="L465" s="3"/>
      <c r="M465" s="3" t="s">
        <v>34</v>
      </c>
      <c r="N465" s="3" t="s">
        <v>750</v>
      </c>
      <c r="O465" s="3" t="s">
        <v>441</v>
      </c>
      <c r="P465" s="3" t="s">
        <v>37</v>
      </c>
      <c r="Q465" s="5">
        <v>70147</v>
      </c>
      <c r="R465" s="5"/>
      <c r="S465" s="5"/>
      <c r="T465" s="3" t="s">
        <v>38</v>
      </c>
      <c r="U465" s="3" t="s">
        <v>153</v>
      </c>
      <c r="V465" s="3"/>
      <c r="W465" s="6"/>
      <c r="X465" s="6"/>
      <c r="Y465" s="3"/>
      <c r="Z465" s="3"/>
      <c r="AA465" s="3"/>
      <c r="AB465" s="3" t="s">
        <v>42</v>
      </c>
    </row>
    <row r="466" spans="1:28" ht="33" customHeight="1" x14ac:dyDescent="0.25">
      <c r="A466" s="7" t="s">
        <v>1221</v>
      </c>
      <c r="B466" s="3" t="s">
        <v>747</v>
      </c>
      <c r="C466" s="3" t="s">
        <v>1220</v>
      </c>
      <c r="D466" s="6">
        <v>44073</v>
      </c>
      <c r="E466" s="6">
        <v>45318</v>
      </c>
      <c r="F466" s="3"/>
      <c r="G466" s="6"/>
      <c r="H466" s="3"/>
      <c r="I466" s="6"/>
      <c r="J466" s="3" t="s">
        <v>1109</v>
      </c>
      <c r="K466" s="3"/>
      <c r="L466" s="3"/>
      <c r="M466" s="3" t="s">
        <v>34</v>
      </c>
      <c r="N466" s="3" t="s">
        <v>750</v>
      </c>
      <c r="O466" s="3" t="s">
        <v>441</v>
      </c>
      <c r="P466" s="3" t="s">
        <v>37</v>
      </c>
      <c r="Q466" s="5">
        <v>17382</v>
      </c>
      <c r="R466" s="5"/>
      <c r="S466" s="5"/>
      <c r="T466" s="3" t="s">
        <v>38</v>
      </c>
      <c r="U466" s="3" t="s">
        <v>153</v>
      </c>
      <c r="V466" s="3"/>
      <c r="W466" s="6"/>
      <c r="X466" s="6"/>
      <c r="Y466" s="3"/>
      <c r="Z466" s="3"/>
      <c r="AA466" s="3"/>
      <c r="AB466" s="3" t="s">
        <v>42</v>
      </c>
    </row>
    <row r="467" spans="1:28" ht="33" customHeight="1" x14ac:dyDescent="0.25">
      <c r="A467" s="7" t="s">
        <v>1222</v>
      </c>
      <c r="B467" s="3" t="s">
        <v>747</v>
      </c>
      <c r="C467" s="3" t="s">
        <v>1223</v>
      </c>
      <c r="D467" s="6">
        <v>44073</v>
      </c>
      <c r="E467" s="6">
        <v>45318</v>
      </c>
      <c r="F467" s="3"/>
      <c r="G467" s="6"/>
      <c r="H467" s="3"/>
      <c r="I467" s="6"/>
      <c r="J467" s="3" t="s">
        <v>1109</v>
      </c>
      <c r="K467" s="3"/>
      <c r="L467" s="3"/>
      <c r="M467" s="3" t="s">
        <v>34</v>
      </c>
      <c r="N467" s="3" t="s">
        <v>750</v>
      </c>
      <c r="O467" s="3" t="s">
        <v>441</v>
      </c>
      <c r="P467" s="3" t="s">
        <v>37</v>
      </c>
      <c r="Q467" s="5">
        <v>34754</v>
      </c>
      <c r="R467" s="5"/>
      <c r="S467" s="5"/>
      <c r="T467" s="3" t="s">
        <v>38</v>
      </c>
      <c r="U467" s="3" t="s">
        <v>153</v>
      </c>
      <c r="V467" s="3"/>
      <c r="W467" s="6"/>
      <c r="X467" s="6"/>
      <c r="Y467" s="3"/>
      <c r="Z467" s="3"/>
      <c r="AA467" s="3"/>
      <c r="AB467" s="3" t="s">
        <v>42</v>
      </c>
    </row>
    <row r="468" spans="1:28" ht="33" customHeight="1" x14ac:dyDescent="0.25">
      <c r="A468" s="7" t="s">
        <v>1224</v>
      </c>
      <c r="B468" s="3" t="s">
        <v>747</v>
      </c>
      <c r="C468" s="3" t="s">
        <v>1225</v>
      </c>
      <c r="D468" s="6">
        <v>44766</v>
      </c>
      <c r="E468" s="6">
        <v>45318</v>
      </c>
      <c r="F468" s="3"/>
      <c r="G468" s="6"/>
      <c r="H468" s="3"/>
      <c r="I468" s="6"/>
      <c r="J468" s="3" t="s">
        <v>1109</v>
      </c>
      <c r="K468" s="3"/>
      <c r="L468" s="3"/>
      <c r="M468" s="3" t="s">
        <v>34</v>
      </c>
      <c r="N468" s="3" t="s">
        <v>750</v>
      </c>
      <c r="O468" s="3" t="s">
        <v>441</v>
      </c>
      <c r="P468" s="3" t="s">
        <v>37</v>
      </c>
      <c r="Q468" s="5">
        <v>86743</v>
      </c>
      <c r="R468" s="5"/>
      <c r="S468" s="5"/>
      <c r="T468" s="3" t="s">
        <v>38</v>
      </c>
      <c r="U468" s="3" t="s">
        <v>153</v>
      </c>
      <c r="V468" s="3"/>
      <c r="W468" s="6"/>
      <c r="X468" s="6"/>
      <c r="Y468" s="3"/>
      <c r="Z468" s="3"/>
      <c r="AA468" s="3"/>
      <c r="AB468" s="3" t="s">
        <v>42</v>
      </c>
    </row>
    <row r="469" spans="1:28" ht="33" customHeight="1" x14ac:dyDescent="0.25">
      <c r="A469" s="7" t="s">
        <v>1226</v>
      </c>
      <c r="B469" s="3" t="s">
        <v>747</v>
      </c>
      <c r="C469" s="3" t="s">
        <v>1108</v>
      </c>
      <c r="D469" s="6">
        <v>44073</v>
      </c>
      <c r="E469" s="6">
        <v>45318</v>
      </c>
      <c r="F469" s="3"/>
      <c r="G469" s="6"/>
      <c r="H469" s="3"/>
      <c r="I469" s="6"/>
      <c r="J469" s="3" t="s">
        <v>1109</v>
      </c>
      <c r="K469" s="3"/>
      <c r="L469" s="3"/>
      <c r="M469" s="3" t="s">
        <v>34</v>
      </c>
      <c r="N469" s="3" t="s">
        <v>750</v>
      </c>
      <c r="O469" s="3" t="s">
        <v>441</v>
      </c>
      <c r="P469" s="3" t="s">
        <v>37</v>
      </c>
      <c r="Q469" s="5">
        <v>8040</v>
      </c>
      <c r="R469" s="5"/>
      <c r="S469" s="5"/>
      <c r="T469" s="3" t="s">
        <v>38</v>
      </c>
      <c r="U469" s="3" t="s">
        <v>153</v>
      </c>
      <c r="V469" s="3"/>
      <c r="W469" s="6"/>
      <c r="X469" s="6"/>
      <c r="Y469" s="3"/>
      <c r="Z469" s="3"/>
      <c r="AA469" s="3"/>
      <c r="AB469" s="3" t="s">
        <v>42</v>
      </c>
    </row>
    <row r="470" spans="1:28" ht="33" customHeight="1" x14ac:dyDescent="0.25">
      <c r="A470" s="7" t="s">
        <v>1227</v>
      </c>
      <c r="B470" s="3" t="s">
        <v>747</v>
      </c>
      <c r="C470" s="3" t="s">
        <v>1228</v>
      </c>
      <c r="D470" s="6">
        <v>44073</v>
      </c>
      <c r="E470" s="6">
        <v>45318</v>
      </c>
      <c r="F470" s="3"/>
      <c r="G470" s="6"/>
      <c r="H470" s="3"/>
      <c r="I470" s="6"/>
      <c r="J470" s="3" t="s">
        <v>1109</v>
      </c>
      <c r="K470" s="3"/>
      <c r="L470" s="3"/>
      <c r="M470" s="3" t="s">
        <v>34</v>
      </c>
      <c r="N470" s="3" t="s">
        <v>750</v>
      </c>
      <c r="O470" s="3" t="s">
        <v>441</v>
      </c>
      <c r="P470" s="3" t="s">
        <v>37</v>
      </c>
      <c r="Q470" s="5">
        <v>5976</v>
      </c>
      <c r="R470" s="5"/>
      <c r="S470" s="5"/>
      <c r="T470" s="3" t="s">
        <v>38</v>
      </c>
      <c r="U470" s="3" t="s">
        <v>153</v>
      </c>
      <c r="V470" s="3"/>
      <c r="W470" s="6"/>
      <c r="X470" s="6"/>
      <c r="Y470" s="3"/>
      <c r="Z470" s="3"/>
      <c r="AA470" s="3"/>
      <c r="AB470" s="3" t="s">
        <v>42</v>
      </c>
    </row>
    <row r="471" spans="1:28" ht="33" customHeight="1" x14ac:dyDescent="0.25">
      <c r="A471" s="7" t="s">
        <v>1229</v>
      </c>
      <c r="B471" s="3" t="s">
        <v>747</v>
      </c>
      <c r="C471" s="3" t="s">
        <v>1108</v>
      </c>
      <c r="D471" s="6">
        <v>44073</v>
      </c>
      <c r="E471" s="6">
        <v>45318</v>
      </c>
      <c r="F471" s="3"/>
      <c r="G471" s="6"/>
      <c r="H471" s="3"/>
      <c r="I471" s="6"/>
      <c r="J471" s="3" t="s">
        <v>1109</v>
      </c>
      <c r="K471" s="3"/>
      <c r="L471" s="3"/>
      <c r="M471" s="3" t="s">
        <v>34</v>
      </c>
      <c r="N471" s="3" t="s">
        <v>750</v>
      </c>
      <c r="O471" s="3" t="s">
        <v>441</v>
      </c>
      <c r="P471" s="3" t="s">
        <v>37</v>
      </c>
      <c r="Q471" s="5">
        <v>6970</v>
      </c>
      <c r="R471" s="5"/>
      <c r="S471" s="5"/>
      <c r="T471" s="3" t="s">
        <v>38</v>
      </c>
      <c r="U471" s="3" t="s">
        <v>153</v>
      </c>
      <c r="V471" s="3"/>
      <c r="W471" s="6"/>
      <c r="X471" s="6"/>
      <c r="Y471" s="3"/>
      <c r="Z471" s="3"/>
      <c r="AA471" s="3"/>
      <c r="AB471" s="3" t="s">
        <v>42</v>
      </c>
    </row>
    <row r="472" spans="1:28" ht="33" customHeight="1" x14ac:dyDescent="0.25">
      <c r="A472" s="7" t="s">
        <v>1230</v>
      </c>
      <c r="B472" s="3" t="s">
        <v>747</v>
      </c>
      <c r="C472" s="3" t="s">
        <v>1223</v>
      </c>
      <c r="D472" s="6">
        <v>44073</v>
      </c>
      <c r="E472" s="6">
        <v>45318</v>
      </c>
      <c r="F472" s="3"/>
      <c r="G472" s="6"/>
      <c r="H472" s="3"/>
      <c r="I472" s="6"/>
      <c r="J472" s="3" t="s">
        <v>1109</v>
      </c>
      <c r="K472" s="3"/>
      <c r="L472" s="3"/>
      <c r="M472" s="3" t="s">
        <v>34</v>
      </c>
      <c r="N472" s="3" t="s">
        <v>750</v>
      </c>
      <c r="O472" s="3" t="s">
        <v>441</v>
      </c>
      <c r="P472" s="3" t="s">
        <v>37</v>
      </c>
      <c r="Q472" s="5">
        <v>147960</v>
      </c>
      <c r="R472" s="5"/>
      <c r="S472" s="5"/>
      <c r="T472" s="3" t="s">
        <v>38</v>
      </c>
      <c r="U472" s="3" t="s">
        <v>153</v>
      </c>
      <c r="V472" s="3"/>
      <c r="W472" s="6"/>
      <c r="X472" s="6"/>
      <c r="Y472" s="3"/>
      <c r="Z472" s="3"/>
      <c r="AA472" s="3"/>
      <c r="AB472" s="3" t="s">
        <v>42</v>
      </c>
    </row>
    <row r="473" spans="1:28" ht="33" customHeight="1" x14ac:dyDescent="0.25">
      <c r="A473" s="7" t="s">
        <v>1231</v>
      </c>
      <c r="B473" s="3" t="s">
        <v>747</v>
      </c>
      <c r="C473" s="3" t="s">
        <v>1232</v>
      </c>
      <c r="D473" s="6">
        <v>44073</v>
      </c>
      <c r="E473" s="6">
        <v>45318</v>
      </c>
      <c r="F473" s="3"/>
      <c r="G473" s="6"/>
      <c r="H473" s="3"/>
      <c r="I473" s="6"/>
      <c r="J473" s="3" t="s">
        <v>1109</v>
      </c>
      <c r="K473" s="3"/>
      <c r="L473" s="3"/>
      <c r="M473" s="3" t="s">
        <v>34</v>
      </c>
      <c r="N473" s="3" t="s">
        <v>750</v>
      </c>
      <c r="O473" s="3" t="s">
        <v>441</v>
      </c>
      <c r="P473" s="3" t="s">
        <v>37</v>
      </c>
      <c r="Q473" s="5">
        <v>220381</v>
      </c>
      <c r="R473" s="5"/>
      <c r="S473" s="5"/>
      <c r="T473" s="3" t="s">
        <v>38</v>
      </c>
      <c r="U473" s="3" t="s">
        <v>153</v>
      </c>
      <c r="V473" s="3"/>
      <c r="W473" s="6"/>
      <c r="X473" s="6"/>
      <c r="Y473" s="3"/>
      <c r="Z473" s="3"/>
      <c r="AA473" s="3"/>
      <c r="AB473" s="3" t="s">
        <v>42</v>
      </c>
    </row>
    <row r="474" spans="1:28" ht="33" customHeight="1" x14ac:dyDescent="0.25">
      <c r="A474" s="7" t="s">
        <v>1233</v>
      </c>
      <c r="B474" s="3" t="s">
        <v>747</v>
      </c>
      <c r="C474" s="3" t="s">
        <v>1234</v>
      </c>
      <c r="D474" s="6">
        <v>44073</v>
      </c>
      <c r="E474" s="6">
        <v>45318</v>
      </c>
      <c r="F474" s="3"/>
      <c r="G474" s="6"/>
      <c r="H474" s="3"/>
      <c r="I474" s="6"/>
      <c r="J474" s="3" t="s">
        <v>1109</v>
      </c>
      <c r="K474" s="3"/>
      <c r="L474" s="3"/>
      <c r="M474" s="3" t="s">
        <v>34</v>
      </c>
      <c r="N474" s="3" t="s">
        <v>750</v>
      </c>
      <c r="O474" s="3" t="s">
        <v>441</v>
      </c>
      <c r="P474" s="3" t="s">
        <v>37</v>
      </c>
      <c r="Q474" s="5">
        <v>143836</v>
      </c>
      <c r="R474" s="5"/>
      <c r="S474" s="5"/>
      <c r="T474" s="3" t="s">
        <v>38</v>
      </c>
      <c r="U474" s="3" t="s">
        <v>153</v>
      </c>
      <c r="V474" s="3"/>
      <c r="W474" s="6"/>
      <c r="X474" s="6"/>
      <c r="Y474" s="3"/>
      <c r="Z474" s="3"/>
      <c r="AA474" s="3"/>
      <c r="AB474" s="3" t="s">
        <v>42</v>
      </c>
    </row>
    <row r="475" spans="1:28" ht="33" customHeight="1" x14ac:dyDescent="0.25">
      <c r="A475" s="7" t="s">
        <v>1235</v>
      </c>
      <c r="B475" s="3" t="s">
        <v>747</v>
      </c>
      <c r="C475" s="3" t="s">
        <v>1236</v>
      </c>
      <c r="D475" s="6">
        <v>44073</v>
      </c>
      <c r="E475" s="6">
        <v>45318</v>
      </c>
      <c r="F475" s="3"/>
      <c r="G475" s="6"/>
      <c r="H475" s="3"/>
      <c r="I475" s="6"/>
      <c r="J475" s="3" t="s">
        <v>1109</v>
      </c>
      <c r="K475" s="3"/>
      <c r="L475" s="3"/>
      <c r="M475" s="3" t="s">
        <v>34</v>
      </c>
      <c r="N475" s="3" t="s">
        <v>750</v>
      </c>
      <c r="O475" s="3" t="s">
        <v>441</v>
      </c>
      <c r="P475" s="3" t="s">
        <v>37</v>
      </c>
      <c r="Q475" s="5">
        <v>250079</v>
      </c>
      <c r="R475" s="5"/>
      <c r="S475" s="5"/>
      <c r="T475" s="3" t="s">
        <v>38</v>
      </c>
      <c r="U475" s="3" t="s">
        <v>153</v>
      </c>
      <c r="V475" s="3"/>
      <c r="W475" s="6"/>
      <c r="X475" s="6"/>
      <c r="Y475" s="3"/>
      <c r="Z475" s="3"/>
      <c r="AA475" s="3"/>
      <c r="AB475" s="3" t="s">
        <v>42</v>
      </c>
    </row>
    <row r="476" spans="1:28" ht="33" customHeight="1" x14ac:dyDescent="0.25">
      <c r="A476" s="7" t="s">
        <v>1237</v>
      </c>
      <c r="B476" s="3" t="s">
        <v>747</v>
      </c>
      <c r="C476" s="3" t="s">
        <v>1236</v>
      </c>
      <c r="D476" s="6">
        <v>44073</v>
      </c>
      <c r="E476" s="6">
        <v>45318</v>
      </c>
      <c r="F476" s="3"/>
      <c r="G476" s="6"/>
      <c r="H476" s="3"/>
      <c r="I476" s="6"/>
      <c r="J476" s="3" t="s">
        <v>1109</v>
      </c>
      <c r="K476" s="3"/>
      <c r="L476" s="3"/>
      <c r="M476" s="3" t="s">
        <v>34</v>
      </c>
      <c r="N476" s="3" t="s">
        <v>750</v>
      </c>
      <c r="O476" s="3" t="s">
        <v>441</v>
      </c>
      <c r="P476" s="3" t="s">
        <v>37</v>
      </c>
      <c r="Q476" s="5">
        <v>48158</v>
      </c>
      <c r="R476" s="5"/>
      <c r="S476" s="5"/>
      <c r="T476" s="3" t="s">
        <v>38</v>
      </c>
      <c r="U476" s="3" t="s">
        <v>153</v>
      </c>
      <c r="V476" s="3"/>
      <c r="W476" s="6"/>
      <c r="X476" s="6"/>
      <c r="Y476" s="3"/>
      <c r="Z476" s="3"/>
      <c r="AA476" s="3"/>
      <c r="AB476" s="3" t="s">
        <v>42</v>
      </c>
    </row>
    <row r="477" spans="1:28" ht="33" customHeight="1" x14ac:dyDescent="0.25">
      <c r="A477" s="7" t="s">
        <v>1238</v>
      </c>
      <c r="B477" s="3" t="s">
        <v>747</v>
      </c>
      <c r="C477" s="3" t="s">
        <v>1236</v>
      </c>
      <c r="D477" s="6">
        <v>44073</v>
      </c>
      <c r="E477" s="6">
        <v>45318</v>
      </c>
      <c r="F477" s="3"/>
      <c r="G477" s="6"/>
      <c r="H477" s="3"/>
      <c r="I477" s="6"/>
      <c r="J477" s="3" t="s">
        <v>1109</v>
      </c>
      <c r="K477" s="3"/>
      <c r="L477" s="3"/>
      <c r="M477" s="3" t="s">
        <v>34</v>
      </c>
      <c r="N477" s="3" t="s">
        <v>750</v>
      </c>
      <c r="O477" s="3" t="s">
        <v>441</v>
      </c>
      <c r="P477" s="3" t="s">
        <v>37</v>
      </c>
      <c r="Q477" s="5">
        <v>10408</v>
      </c>
      <c r="R477" s="5"/>
      <c r="S477" s="5"/>
      <c r="T477" s="3" t="s">
        <v>38</v>
      </c>
      <c r="U477" s="3" t="s">
        <v>153</v>
      </c>
      <c r="V477" s="3"/>
      <c r="W477" s="6"/>
      <c r="X477" s="6"/>
      <c r="Y477" s="3"/>
      <c r="Z477" s="3"/>
      <c r="AA477" s="3"/>
      <c r="AB477" s="3" t="s">
        <v>42</v>
      </c>
    </row>
    <row r="478" spans="1:28" ht="33" customHeight="1" x14ac:dyDescent="0.25">
      <c r="A478" s="7" t="s">
        <v>1239</v>
      </c>
      <c r="B478" s="3" t="s">
        <v>747</v>
      </c>
      <c r="C478" s="3" t="s">
        <v>1240</v>
      </c>
      <c r="D478" s="6">
        <v>44073</v>
      </c>
      <c r="E478" s="6">
        <v>45542</v>
      </c>
      <c r="F478" s="3"/>
      <c r="G478" s="6"/>
      <c r="H478" s="3"/>
      <c r="I478" s="6"/>
      <c r="J478" s="3" t="s">
        <v>1013</v>
      </c>
      <c r="K478" s="3"/>
      <c r="L478" s="3"/>
      <c r="M478" s="3" t="s">
        <v>34</v>
      </c>
      <c r="N478" s="3" t="s">
        <v>750</v>
      </c>
      <c r="O478" s="3" t="s">
        <v>441</v>
      </c>
      <c r="P478" s="3" t="s">
        <v>37</v>
      </c>
      <c r="Q478" s="5">
        <v>220955</v>
      </c>
      <c r="R478" s="5"/>
      <c r="S478" s="5"/>
      <c r="T478" s="3" t="s">
        <v>38</v>
      </c>
      <c r="U478" s="3" t="s">
        <v>153</v>
      </c>
      <c r="V478" s="3"/>
      <c r="W478" s="6"/>
      <c r="X478" s="6"/>
      <c r="Y478" s="3"/>
      <c r="Z478" s="3"/>
      <c r="AA478" s="3"/>
      <c r="AB478" s="3" t="s">
        <v>42</v>
      </c>
    </row>
    <row r="479" spans="1:28" ht="33" customHeight="1" x14ac:dyDescent="0.25">
      <c r="A479" s="7" t="s">
        <v>1241</v>
      </c>
      <c r="B479" s="3" t="s">
        <v>747</v>
      </c>
      <c r="C479" s="3" t="s">
        <v>1242</v>
      </c>
      <c r="D479" s="6">
        <v>44073</v>
      </c>
      <c r="E479" s="6">
        <v>45542</v>
      </c>
      <c r="F479" s="3"/>
      <c r="G479" s="6"/>
      <c r="H479" s="3"/>
      <c r="I479" s="6"/>
      <c r="J479" s="3" t="s">
        <v>1013</v>
      </c>
      <c r="K479" s="3"/>
      <c r="L479" s="3"/>
      <c r="M479" s="3" t="s">
        <v>34</v>
      </c>
      <c r="N479" s="3" t="s">
        <v>750</v>
      </c>
      <c r="O479" s="3" t="s">
        <v>441</v>
      </c>
      <c r="P479" s="3" t="s">
        <v>37</v>
      </c>
      <c r="Q479" s="5">
        <v>362764</v>
      </c>
      <c r="R479" s="5"/>
      <c r="S479" s="5"/>
      <c r="T479" s="3" t="s">
        <v>38</v>
      </c>
      <c r="U479" s="3" t="s">
        <v>153</v>
      </c>
      <c r="V479" s="3"/>
      <c r="W479" s="6"/>
      <c r="X479" s="6"/>
      <c r="Y479" s="3"/>
      <c r="Z479" s="3"/>
      <c r="AA479" s="3"/>
      <c r="AB479" s="3" t="s">
        <v>42</v>
      </c>
    </row>
    <row r="480" spans="1:28" ht="33" customHeight="1" x14ac:dyDescent="0.25">
      <c r="A480" s="7" t="s">
        <v>1243</v>
      </c>
      <c r="B480" s="3" t="s">
        <v>747</v>
      </c>
      <c r="C480" s="3" t="s">
        <v>1244</v>
      </c>
      <c r="D480" s="6">
        <v>44073</v>
      </c>
      <c r="E480" s="6">
        <v>45899</v>
      </c>
      <c r="F480" s="3"/>
      <c r="G480" s="6"/>
      <c r="H480" s="3"/>
      <c r="I480" s="6"/>
      <c r="J480" s="3" t="s">
        <v>1070</v>
      </c>
      <c r="K480" s="3"/>
      <c r="L480" s="3"/>
      <c r="M480" s="3" t="s">
        <v>34</v>
      </c>
      <c r="N480" s="3" t="s">
        <v>750</v>
      </c>
      <c r="O480" s="3" t="s">
        <v>441</v>
      </c>
      <c r="P480" s="3" t="s">
        <v>37</v>
      </c>
      <c r="Q480" s="5">
        <v>46176</v>
      </c>
      <c r="R480" s="5"/>
      <c r="S480" s="5"/>
      <c r="T480" s="3" t="s">
        <v>38</v>
      </c>
      <c r="U480" s="3" t="s">
        <v>153</v>
      </c>
      <c r="V480" s="3"/>
      <c r="W480" s="6"/>
      <c r="X480" s="6"/>
      <c r="Y480" s="3"/>
      <c r="Z480" s="3"/>
      <c r="AA480" s="3"/>
      <c r="AB480" s="3" t="s">
        <v>477</v>
      </c>
    </row>
    <row r="481" spans="1:28" ht="33" customHeight="1" x14ac:dyDescent="0.25">
      <c r="A481" s="7" t="s">
        <v>1245</v>
      </c>
      <c r="B481" s="3" t="s">
        <v>747</v>
      </c>
      <c r="C481" s="3" t="s">
        <v>1244</v>
      </c>
      <c r="D481" s="6">
        <v>44073</v>
      </c>
      <c r="E481" s="6">
        <v>45899</v>
      </c>
      <c r="F481" s="3"/>
      <c r="G481" s="6"/>
      <c r="H481" s="3"/>
      <c r="I481" s="6"/>
      <c r="J481" s="3" t="s">
        <v>1070</v>
      </c>
      <c r="K481" s="3"/>
      <c r="L481" s="3"/>
      <c r="M481" s="3" t="s">
        <v>34</v>
      </c>
      <c r="N481" s="3" t="s">
        <v>750</v>
      </c>
      <c r="O481" s="3" t="s">
        <v>441</v>
      </c>
      <c r="P481" s="3" t="s">
        <v>37</v>
      </c>
      <c r="Q481" s="5">
        <v>6505</v>
      </c>
      <c r="R481" s="5"/>
      <c r="S481" s="5"/>
      <c r="T481" s="3" t="s">
        <v>38</v>
      </c>
      <c r="U481" s="3" t="s">
        <v>153</v>
      </c>
      <c r="V481" s="3"/>
      <c r="W481" s="6"/>
      <c r="X481" s="6"/>
      <c r="Y481" s="3"/>
      <c r="Z481" s="3"/>
      <c r="AA481" s="3"/>
      <c r="AB481" s="3" t="s">
        <v>477</v>
      </c>
    </row>
    <row r="482" spans="1:28" ht="33" customHeight="1" x14ac:dyDescent="0.25">
      <c r="A482" s="7" t="s">
        <v>1246</v>
      </c>
      <c r="B482" s="3" t="s">
        <v>747</v>
      </c>
      <c r="C482" s="3" t="s">
        <v>1244</v>
      </c>
      <c r="D482" s="6">
        <v>44073</v>
      </c>
      <c r="E482" s="6">
        <v>45899</v>
      </c>
      <c r="F482" s="3"/>
      <c r="G482" s="6"/>
      <c r="H482" s="3"/>
      <c r="I482" s="6"/>
      <c r="J482" s="3" t="s">
        <v>1070</v>
      </c>
      <c r="K482" s="3"/>
      <c r="L482" s="3"/>
      <c r="M482" s="3" t="s">
        <v>34</v>
      </c>
      <c r="N482" s="3" t="s">
        <v>750</v>
      </c>
      <c r="O482" s="3" t="s">
        <v>441</v>
      </c>
      <c r="P482" s="3" t="s">
        <v>37</v>
      </c>
      <c r="Q482" s="5">
        <v>121577</v>
      </c>
      <c r="R482" s="5"/>
      <c r="S482" s="5"/>
      <c r="T482" s="3" t="s">
        <v>38</v>
      </c>
      <c r="U482" s="3" t="s">
        <v>153</v>
      </c>
      <c r="V482" s="3"/>
      <c r="W482" s="6"/>
      <c r="X482" s="6"/>
      <c r="Y482" s="3"/>
      <c r="Z482" s="3"/>
      <c r="AA482" s="3"/>
      <c r="AB482" s="3" t="s">
        <v>477</v>
      </c>
    </row>
    <row r="483" spans="1:28" ht="33" customHeight="1" x14ac:dyDescent="0.25">
      <c r="A483" s="7" t="s">
        <v>1247</v>
      </c>
      <c r="B483" s="3" t="s">
        <v>747</v>
      </c>
      <c r="C483" s="3" t="s">
        <v>1248</v>
      </c>
      <c r="D483" s="6">
        <v>44073</v>
      </c>
      <c r="E483" s="6">
        <v>45318</v>
      </c>
      <c r="F483" s="3"/>
      <c r="G483" s="6"/>
      <c r="H483" s="3"/>
      <c r="I483" s="6"/>
      <c r="J483" s="3" t="s">
        <v>1109</v>
      </c>
      <c r="K483" s="3"/>
      <c r="L483" s="3"/>
      <c r="M483" s="3" t="s">
        <v>34</v>
      </c>
      <c r="N483" s="3" t="s">
        <v>750</v>
      </c>
      <c r="O483" s="3" t="s">
        <v>441</v>
      </c>
      <c r="P483" s="3" t="s">
        <v>37</v>
      </c>
      <c r="Q483" s="5">
        <v>66117</v>
      </c>
      <c r="R483" s="5"/>
      <c r="S483" s="5"/>
      <c r="T483" s="3" t="s">
        <v>38</v>
      </c>
      <c r="U483" s="3" t="s">
        <v>153</v>
      </c>
      <c r="V483" s="3"/>
      <c r="W483" s="6"/>
      <c r="X483" s="6"/>
      <c r="Y483" s="3"/>
      <c r="Z483" s="3"/>
      <c r="AA483" s="3"/>
      <c r="AB483" s="3" t="s">
        <v>42</v>
      </c>
    </row>
    <row r="484" spans="1:28" ht="33" customHeight="1" x14ac:dyDescent="0.25">
      <c r="A484" s="7" t="s">
        <v>1249</v>
      </c>
      <c r="B484" s="3" t="s">
        <v>747</v>
      </c>
      <c r="C484" s="3" t="s">
        <v>1250</v>
      </c>
      <c r="D484" s="6">
        <v>44073</v>
      </c>
      <c r="E484" s="6">
        <v>38125</v>
      </c>
      <c r="F484" s="3"/>
      <c r="G484" s="6"/>
      <c r="H484" s="3"/>
      <c r="I484" s="6"/>
      <c r="J484" s="3" t="s">
        <v>1106</v>
      </c>
      <c r="K484" s="3"/>
      <c r="L484" s="3"/>
      <c r="M484" s="3" t="s">
        <v>34</v>
      </c>
      <c r="N484" s="3" t="s">
        <v>750</v>
      </c>
      <c r="O484" s="3" t="s">
        <v>441</v>
      </c>
      <c r="P484" s="3" t="s">
        <v>37</v>
      </c>
      <c r="Q484" s="5">
        <v>127439</v>
      </c>
      <c r="R484" s="5"/>
      <c r="S484" s="5"/>
      <c r="T484" s="3" t="s">
        <v>38</v>
      </c>
      <c r="U484" s="3" t="s">
        <v>153</v>
      </c>
      <c r="V484" s="3"/>
      <c r="W484" s="6"/>
      <c r="X484" s="6"/>
      <c r="Y484" s="3"/>
      <c r="Z484" s="3"/>
      <c r="AA484" s="3"/>
      <c r="AB484" s="3" t="s">
        <v>42</v>
      </c>
    </row>
    <row r="485" spans="1:28" ht="33" customHeight="1" x14ac:dyDescent="0.25">
      <c r="A485" s="7" t="s">
        <v>1251</v>
      </c>
      <c r="B485" s="3" t="s">
        <v>747</v>
      </c>
      <c r="C485" s="3" t="s">
        <v>1252</v>
      </c>
      <c r="D485" s="6">
        <v>44073</v>
      </c>
      <c r="E485" s="6">
        <v>45430</v>
      </c>
      <c r="F485" s="3"/>
      <c r="G485" s="6"/>
      <c r="H485" s="3"/>
      <c r="I485" s="6"/>
      <c r="J485" s="3" t="s">
        <v>1106</v>
      </c>
      <c r="K485" s="3"/>
      <c r="L485" s="3"/>
      <c r="M485" s="3" t="s">
        <v>34</v>
      </c>
      <c r="N485" s="3" t="s">
        <v>750</v>
      </c>
      <c r="O485" s="3" t="s">
        <v>441</v>
      </c>
      <c r="P485" s="3" t="s">
        <v>37</v>
      </c>
      <c r="Q485" s="5">
        <v>331353</v>
      </c>
      <c r="R485" s="5"/>
      <c r="S485" s="5"/>
      <c r="T485" s="3" t="s">
        <v>38</v>
      </c>
      <c r="U485" s="3" t="s">
        <v>153</v>
      </c>
      <c r="V485" s="3"/>
      <c r="W485" s="6"/>
      <c r="X485" s="6"/>
      <c r="Y485" s="3"/>
      <c r="Z485" s="3"/>
      <c r="AA485" s="3"/>
      <c r="AB485" s="3" t="s">
        <v>42</v>
      </c>
    </row>
    <row r="486" spans="1:28" ht="33" customHeight="1" x14ac:dyDescent="0.25">
      <c r="A486" s="7" t="s">
        <v>1253</v>
      </c>
      <c r="B486" s="3" t="s">
        <v>747</v>
      </c>
      <c r="C486" s="3" t="s">
        <v>1254</v>
      </c>
      <c r="D486" s="6">
        <v>44073</v>
      </c>
      <c r="E486" s="6">
        <v>45430</v>
      </c>
      <c r="F486" s="3"/>
      <c r="G486" s="6"/>
      <c r="H486" s="3"/>
      <c r="I486" s="6"/>
      <c r="J486" s="3" t="s">
        <v>1106</v>
      </c>
      <c r="K486" s="3"/>
      <c r="L486" s="3"/>
      <c r="M486" s="3" t="s">
        <v>34</v>
      </c>
      <c r="N486" s="3" t="s">
        <v>750</v>
      </c>
      <c r="O486" s="3" t="s">
        <v>441</v>
      </c>
      <c r="P486" s="3" t="s">
        <v>37</v>
      </c>
      <c r="Q486" s="5">
        <v>101830</v>
      </c>
      <c r="R486" s="5"/>
      <c r="S486" s="5"/>
      <c r="T486" s="3" t="s">
        <v>38</v>
      </c>
      <c r="U486" s="3" t="s">
        <v>153</v>
      </c>
      <c r="V486" s="3"/>
      <c r="W486" s="6"/>
      <c r="X486" s="6"/>
      <c r="Y486" s="3"/>
      <c r="Z486" s="3"/>
      <c r="AA486" s="3"/>
      <c r="AB486" s="3" t="s">
        <v>42</v>
      </c>
    </row>
    <row r="487" spans="1:28" ht="33" customHeight="1" x14ac:dyDescent="0.25">
      <c r="A487" s="7" t="s">
        <v>1255</v>
      </c>
      <c r="B487" s="3" t="s">
        <v>747</v>
      </c>
      <c r="C487" s="3" t="s">
        <v>1254</v>
      </c>
      <c r="D487" s="6">
        <v>44073</v>
      </c>
      <c r="E487" s="6">
        <v>45430</v>
      </c>
      <c r="F487" s="3"/>
      <c r="G487" s="6"/>
      <c r="H487" s="3"/>
      <c r="I487" s="6"/>
      <c r="J487" s="3" t="s">
        <v>1106</v>
      </c>
      <c r="K487" s="3"/>
      <c r="L487" s="3"/>
      <c r="M487" s="3" t="s">
        <v>34</v>
      </c>
      <c r="N487" s="3" t="s">
        <v>750</v>
      </c>
      <c r="O487" s="3" t="s">
        <v>441</v>
      </c>
      <c r="P487" s="3" t="s">
        <v>37</v>
      </c>
      <c r="Q487" s="5">
        <v>79928</v>
      </c>
      <c r="R487" s="5"/>
      <c r="S487" s="5"/>
      <c r="T487" s="3" t="s">
        <v>38</v>
      </c>
      <c r="U487" s="3" t="s">
        <v>153</v>
      </c>
      <c r="V487" s="3"/>
      <c r="W487" s="6"/>
      <c r="X487" s="6"/>
      <c r="Y487" s="3"/>
      <c r="Z487" s="3"/>
      <c r="AA487" s="3"/>
      <c r="AB487" s="3" t="s">
        <v>42</v>
      </c>
    </row>
    <row r="488" spans="1:28" ht="33" customHeight="1" x14ac:dyDescent="0.25">
      <c r="A488" s="7" t="s">
        <v>1256</v>
      </c>
      <c r="B488" s="3" t="s">
        <v>747</v>
      </c>
      <c r="C488" s="3" t="s">
        <v>1257</v>
      </c>
      <c r="D488" s="6">
        <v>44073</v>
      </c>
      <c r="E488" s="6">
        <v>45430</v>
      </c>
      <c r="F488" s="3"/>
      <c r="G488" s="6"/>
      <c r="H488" s="3"/>
      <c r="I488" s="6"/>
      <c r="J488" s="3" t="s">
        <v>1106</v>
      </c>
      <c r="K488" s="3"/>
      <c r="L488" s="3"/>
      <c r="M488" s="3" t="s">
        <v>34</v>
      </c>
      <c r="N488" s="3" t="s">
        <v>750</v>
      </c>
      <c r="O488" s="3" t="s">
        <v>441</v>
      </c>
      <c r="P488" s="3" t="s">
        <v>37</v>
      </c>
      <c r="Q488" s="5">
        <v>112443</v>
      </c>
      <c r="R488" s="5"/>
      <c r="S488" s="5"/>
      <c r="T488" s="3" t="s">
        <v>38</v>
      </c>
      <c r="U488" s="3" t="s">
        <v>153</v>
      </c>
      <c r="V488" s="3"/>
      <c r="W488" s="6"/>
      <c r="X488" s="6"/>
      <c r="Y488" s="3"/>
      <c r="Z488" s="3"/>
      <c r="AA488" s="3"/>
      <c r="AB488" s="3" t="s">
        <v>42</v>
      </c>
    </row>
    <row r="489" spans="1:28" ht="33" customHeight="1" x14ac:dyDescent="0.25">
      <c r="A489" s="7" t="s">
        <v>1258</v>
      </c>
      <c r="B489" s="3" t="s">
        <v>747</v>
      </c>
      <c r="C489" s="3" t="s">
        <v>1257</v>
      </c>
      <c r="D489" s="6">
        <v>44073</v>
      </c>
      <c r="E489" s="6">
        <v>45430</v>
      </c>
      <c r="F489" s="3"/>
      <c r="G489" s="6"/>
      <c r="H489" s="3"/>
      <c r="I489" s="6"/>
      <c r="J489" s="3" t="s">
        <v>1106</v>
      </c>
      <c r="K489" s="3"/>
      <c r="L489" s="3"/>
      <c r="M489" s="3" t="s">
        <v>34</v>
      </c>
      <c r="N489" s="3" t="s">
        <v>750</v>
      </c>
      <c r="O489" s="3" t="s">
        <v>441</v>
      </c>
      <c r="P489" s="3" t="s">
        <v>37</v>
      </c>
      <c r="Q489" s="5">
        <v>81663</v>
      </c>
      <c r="R489" s="5"/>
      <c r="S489" s="5"/>
      <c r="T489" s="3" t="s">
        <v>38</v>
      </c>
      <c r="U489" s="3" t="s">
        <v>153</v>
      </c>
      <c r="V489" s="3"/>
      <c r="W489" s="6"/>
      <c r="X489" s="6"/>
      <c r="Y489" s="3"/>
      <c r="Z489" s="3"/>
      <c r="AA489" s="3"/>
      <c r="AB489" s="3" t="s">
        <v>42</v>
      </c>
    </row>
    <row r="490" spans="1:28" ht="33" customHeight="1" x14ac:dyDescent="0.25">
      <c r="A490" s="7" t="s">
        <v>1259</v>
      </c>
      <c r="B490" s="3" t="s">
        <v>747</v>
      </c>
      <c r="C490" s="3" t="s">
        <v>1260</v>
      </c>
      <c r="D490" s="6">
        <v>44073</v>
      </c>
      <c r="E490" s="6">
        <v>45430</v>
      </c>
      <c r="F490" s="3"/>
      <c r="G490" s="6"/>
      <c r="H490" s="3"/>
      <c r="I490" s="6"/>
      <c r="J490" s="3" t="s">
        <v>1106</v>
      </c>
      <c r="K490" s="3"/>
      <c r="L490" s="3"/>
      <c r="M490" s="3" t="s">
        <v>34</v>
      </c>
      <c r="N490" s="3" t="s">
        <v>750</v>
      </c>
      <c r="O490" s="3" t="s">
        <v>441</v>
      </c>
      <c r="P490" s="3" t="s">
        <v>37</v>
      </c>
      <c r="Q490" s="5">
        <v>479154</v>
      </c>
      <c r="R490" s="5"/>
      <c r="S490" s="5"/>
      <c r="T490" s="3" t="s">
        <v>38</v>
      </c>
      <c r="U490" s="3" t="s">
        <v>153</v>
      </c>
      <c r="V490" s="3"/>
      <c r="W490" s="6"/>
      <c r="X490" s="6"/>
      <c r="Y490" s="3"/>
      <c r="Z490" s="3"/>
      <c r="AA490" s="3"/>
      <c r="AB490" s="3" t="s">
        <v>42</v>
      </c>
    </row>
    <row r="491" spans="1:28" ht="33" customHeight="1" x14ac:dyDescent="0.25">
      <c r="A491" s="7" t="s">
        <v>1261</v>
      </c>
      <c r="B491" s="3" t="s">
        <v>747</v>
      </c>
      <c r="C491" s="3" t="s">
        <v>1262</v>
      </c>
      <c r="D491" s="6">
        <v>44068</v>
      </c>
      <c r="E491" s="6">
        <v>45493</v>
      </c>
      <c r="F491" s="3"/>
      <c r="G491" s="6"/>
      <c r="H491" s="3"/>
      <c r="I491" s="6"/>
      <c r="J491" s="3" t="s">
        <v>1090</v>
      </c>
      <c r="K491" s="3"/>
      <c r="L491" s="3">
        <v>10799374</v>
      </c>
      <c r="M491" s="3" t="s">
        <v>48</v>
      </c>
      <c r="N491" s="3" t="s">
        <v>750</v>
      </c>
      <c r="O491" s="3" t="s">
        <v>441</v>
      </c>
      <c r="P491" s="3" t="s">
        <v>37</v>
      </c>
      <c r="Q491" s="5">
        <v>58022</v>
      </c>
      <c r="R491" s="5"/>
      <c r="S491" s="5"/>
      <c r="T491" s="3" t="s">
        <v>38</v>
      </c>
      <c r="U491" s="3" t="s">
        <v>153</v>
      </c>
      <c r="V491" s="3"/>
      <c r="W491" s="6"/>
      <c r="X491" s="6"/>
      <c r="Y491" s="3"/>
      <c r="Z491" s="3"/>
      <c r="AA491" s="3"/>
      <c r="AB491" s="3" t="s">
        <v>42</v>
      </c>
    </row>
    <row r="492" spans="1:28" ht="33" customHeight="1" x14ac:dyDescent="0.25">
      <c r="A492" s="7" t="s">
        <v>1263</v>
      </c>
      <c r="B492" s="3" t="s">
        <v>747</v>
      </c>
      <c r="C492" s="3" t="s">
        <v>1264</v>
      </c>
      <c r="D492" s="6">
        <v>44402</v>
      </c>
      <c r="E492" s="6">
        <v>45493</v>
      </c>
      <c r="F492" s="3"/>
      <c r="G492" s="6"/>
      <c r="H492" s="3"/>
      <c r="I492" s="6"/>
      <c r="J492" s="3" t="s">
        <v>1265</v>
      </c>
      <c r="K492" s="3"/>
      <c r="L492" s="3"/>
      <c r="M492" s="3" t="s">
        <v>92</v>
      </c>
      <c r="N492" s="3" t="s">
        <v>750</v>
      </c>
      <c r="O492" s="3" t="s">
        <v>441</v>
      </c>
      <c r="P492" s="3" t="s">
        <v>37</v>
      </c>
      <c r="Q492" s="5">
        <v>79500</v>
      </c>
      <c r="R492" s="5"/>
      <c r="S492" s="5"/>
      <c r="T492" s="3" t="s">
        <v>38</v>
      </c>
      <c r="U492" s="3" t="s">
        <v>153</v>
      </c>
      <c r="V492" s="3"/>
      <c r="W492" s="6"/>
      <c r="X492" s="6"/>
      <c r="Y492" s="3"/>
      <c r="Z492" s="3"/>
      <c r="AA492" s="3"/>
      <c r="AB492" s="3" t="s">
        <v>42</v>
      </c>
    </row>
    <row r="493" spans="1:28" ht="33" customHeight="1" x14ac:dyDescent="0.25">
      <c r="A493" s="7" t="s">
        <v>1266</v>
      </c>
      <c r="B493" s="3" t="s">
        <v>747</v>
      </c>
      <c r="C493" s="3" t="s">
        <v>1267</v>
      </c>
      <c r="D493" s="6">
        <v>44493</v>
      </c>
      <c r="E493" s="6">
        <v>45584</v>
      </c>
      <c r="F493" s="3"/>
      <c r="G493" s="6"/>
      <c r="H493" s="3"/>
      <c r="I493" s="6"/>
      <c r="J493" s="3" t="s">
        <v>749</v>
      </c>
      <c r="K493" s="3"/>
      <c r="L493" s="3"/>
      <c r="M493" s="3" t="s">
        <v>34</v>
      </c>
      <c r="N493" s="3" t="s">
        <v>750</v>
      </c>
      <c r="O493" s="3" t="s">
        <v>441</v>
      </c>
      <c r="P493" s="3" t="s">
        <v>37</v>
      </c>
      <c r="Q493" s="5">
        <v>3795</v>
      </c>
      <c r="R493" s="5"/>
      <c r="S493" s="5"/>
      <c r="T493" s="3" t="s">
        <v>38</v>
      </c>
      <c r="U493" s="3" t="s">
        <v>153</v>
      </c>
      <c r="V493" s="3"/>
      <c r="W493" s="6"/>
      <c r="X493" s="6"/>
      <c r="Y493" s="3"/>
      <c r="Z493" s="3"/>
      <c r="AA493" s="3"/>
      <c r="AB493" s="3" t="s">
        <v>42</v>
      </c>
    </row>
    <row r="494" spans="1:28" ht="33" customHeight="1" x14ac:dyDescent="0.25">
      <c r="A494" s="7" t="s">
        <v>1268</v>
      </c>
      <c r="B494" s="3" t="s">
        <v>747</v>
      </c>
      <c r="C494" s="3" t="s">
        <v>1269</v>
      </c>
      <c r="D494" s="6">
        <v>44494</v>
      </c>
      <c r="E494" s="6">
        <v>45745</v>
      </c>
      <c r="F494" s="3"/>
      <c r="G494" s="6"/>
      <c r="H494" s="3"/>
      <c r="I494" s="6"/>
      <c r="J494" s="3" t="s">
        <v>1106</v>
      </c>
      <c r="K494" s="3"/>
      <c r="L494" s="3">
        <v>3914156</v>
      </c>
      <c r="M494" s="3" t="s">
        <v>34</v>
      </c>
      <c r="N494" s="3" t="s">
        <v>750</v>
      </c>
      <c r="O494" s="3" t="s">
        <v>441</v>
      </c>
      <c r="P494" s="3" t="s">
        <v>37</v>
      </c>
      <c r="Q494" s="5">
        <v>212519</v>
      </c>
      <c r="R494" s="5"/>
      <c r="S494" s="5"/>
      <c r="T494" s="3" t="s">
        <v>38</v>
      </c>
      <c r="U494" s="3" t="s">
        <v>153</v>
      </c>
      <c r="V494" s="3"/>
      <c r="W494" s="6"/>
      <c r="X494" s="6"/>
      <c r="Y494" s="3"/>
      <c r="Z494" s="3"/>
      <c r="AA494" s="3"/>
      <c r="AB494" s="3" t="s">
        <v>42</v>
      </c>
    </row>
    <row r="495" spans="1:28" ht="33" customHeight="1" x14ac:dyDescent="0.25">
      <c r="A495" s="7" t="s">
        <v>1270</v>
      </c>
      <c r="B495" s="3" t="s">
        <v>747</v>
      </c>
      <c r="C495" s="3" t="s">
        <v>1269</v>
      </c>
      <c r="D495" s="6">
        <v>44494</v>
      </c>
      <c r="E495" s="6">
        <v>45745</v>
      </c>
      <c r="F495" s="3"/>
      <c r="G495" s="6"/>
      <c r="H495" s="3"/>
      <c r="I495" s="6"/>
      <c r="J495" s="3" t="s">
        <v>1106</v>
      </c>
      <c r="K495" s="3"/>
      <c r="L495" s="3">
        <v>3914156</v>
      </c>
      <c r="M495" s="3" t="s">
        <v>34</v>
      </c>
      <c r="N495" s="3" t="s">
        <v>750</v>
      </c>
      <c r="O495" s="3" t="s">
        <v>441</v>
      </c>
      <c r="P495" s="3" t="s">
        <v>37</v>
      </c>
      <c r="Q495" s="5">
        <v>29542</v>
      </c>
      <c r="R495" s="5"/>
      <c r="S495" s="5"/>
      <c r="T495" s="3" t="s">
        <v>38</v>
      </c>
      <c r="U495" s="3" t="s">
        <v>153</v>
      </c>
      <c r="V495" s="3"/>
      <c r="W495" s="6"/>
      <c r="X495" s="6"/>
      <c r="Y495" s="3"/>
      <c r="Z495" s="3"/>
      <c r="AA495" s="3"/>
      <c r="AB495" s="3" t="s">
        <v>42</v>
      </c>
    </row>
    <row r="496" spans="1:28" ht="33" customHeight="1" x14ac:dyDescent="0.25">
      <c r="A496" s="7" t="s">
        <v>1271</v>
      </c>
      <c r="B496" s="3" t="s">
        <v>747</v>
      </c>
      <c r="C496" s="3" t="s">
        <v>1272</v>
      </c>
      <c r="D496" s="6">
        <v>44619</v>
      </c>
      <c r="E496" s="6">
        <v>45710</v>
      </c>
      <c r="F496" s="3"/>
      <c r="G496" s="6"/>
      <c r="H496" s="3"/>
      <c r="I496" s="6"/>
      <c r="J496" s="3" t="s">
        <v>1106</v>
      </c>
      <c r="K496" s="3"/>
      <c r="L496" s="3"/>
      <c r="M496" s="3" t="s">
        <v>34</v>
      </c>
      <c r="N496" s="3" t="s">
        <v>750</v>
      </c>
      <c r="O496" s="3" t="s">
        <v>441</v>
      </c>
      <c r="P496" s="3" t="s">
        <v>37</v>
      </c>
      <c r="Q496" s="5">
        <v>124299</v>
      </c>
      <c r="R496" s="5"/>
      <c r="S496" s="5"/>
      <c r="T496" s="3" t="s">
        <v>38</v>
      </c>
      <c r="U496" s="3" t="s">
        <v>153</v>
      </c>
      <c r="V496" s="3"/>
      <c r="W496" s="6"/>
      <c r="X496" s="6"/>
      <c r="Y496" s="3"/>
      <c r="Z496" s="3"/>
      <c r="AA496" s="3"/>
      <c r="AB496" s="3" t="s">
        <v>42</v>
      </c>
    </row>
    <row r="497" spans="1:28" ht="33" customHeight="1" x14ac:dyDescent="0.25">
      <c r="A497" s="7" t="s">
        <v>1273</v>
      </c>
      <c r="B497" s="3" t="s">
        <v>747</v>
      </c>
      <c r="C497" s="3" t="s">
        <v>1272</v>
      </c>
      <c r="D497" s="6">
        <v>44619</v>
      </c>
      <c r="E497" s="6">
        <v>45710</v>
      </c>
      <c r="F497" s="3"/>
      <c r="G497" s="6"/>
      <c r="H497" s="3"/>
      <c r="I497" s="6"/>
      <c r="J497" s="3" t="s">
        <v>1106</v>
      </c>
      <c r="K497" s="3"/>
      <c r="L497" s="3"/>
      <c r="M497" s="3" t="s">
        <v>34</v>
      </c>
      <c r="N497" s="3" t="s">
        <v>750</v>
      </c>
      <c r="O497" s="3" t="s">
        <v>441</v>
      </c>
      <c r="P497" s="3" t="s">
        <v>37</v>
      </c>
      <c r="Q497" s="5">
        <v>106561</v>
      </c>
      <c r="R497" s="5"/>
      <c r="S497" s="5"/>
      <c r="T497" s="3" t="s">
        <v>38</v>
      </c>
      <c r="U497" s="3" t="s">
        <v>153</v>
      </c>
      <c r="V497" s="3"/>
      <c r="W497" s="6"/>
      <c r="X497" s="6"/>
      <c r="Y497" s="3"/>
      <c r="Z497" s="3"/>
      <c r="AA497" s="3"/>
      <c r="AB497" s="3" t="s">
        <v>42</v>
      </c>
    </row>
    <row r="498" spans="1:28" ht="33" customHeight="1" x14ac:dyDescent="0.25">
      <c r="A498" s="7" t="s">
        <v>1274</v>
      </c>
      <c r="B498" s="3" t="s">
        <v>747</v>
      </c>
      <c r="C498" s="3" t="s">
        <v>1272</v>
      </c>
      <c r="D498" s="6">
        <v>44619</v>
      </c>
      <c r="E498" s="6">
        <v>45710</v>
      </c>
      <c r="F498" s="3"/>
      <c r="G498" s="6"/>
      <c r="H498" s="3"/>
      <c r="I498" s="6"/>
      <c r="J498" s="3" t="s">
        <v>1106</v>
      </c>
      <c r="K498" s="3"/>
      <c r="L498" s="3"/>
      <c r="M498" s="3" t="s">
        <v>34</v>
      </c>
      <c r="N498" s="3" t="s">
        <v>750</v>
      </c>
      <c r="O498" s="3" t="s">
        <v>441</v>
      </c>
      <c r="P498" s="3" t="s">
        <v>37</v>
      </c>
      <c r="Q498" s="5">
        <v>356191</v>
      </c>
      <c r="R498" s="5"/>
      <c r="S498" s="5"/>
      <c r="T498" s="3" t="s">
        <v>38</v>
      </c>
      <c r="U498" s="3" t="s">
        <v>153</v>
      </c>
      <c r="V498" s="3"/>
      <c r="W498" s="6"/>
      <c r="X498" s="6"/>
      <c r="Y498" s="3"/>
      <c r="Z498" s="3"/>
      <c r="AA498" s="3"/>
      <c r="AB498" s="3" t="s">
        <v>42</v>
      </c>
    </row>
    <row r="499" spans="1:28" ht="33" customHeight="1" x14ac:dyDescent="0.25">
      <c r="A499" s="7" t="s">
        <v>1275</v>
      </c>
      <c r="B499" s="3" t="s">
        <v>747</v>
      </c>
      <c r="C499" s="3" t="s">
        <v>1272</v>
      </c>
      <c r="D499" s="6">
        <v>44619</v>
      </c>
      <c r="E499" s="6">
        <v>45710</v>
      </c>
      <c r="F499" s="3"/>
      <c r="G499" s="6"/>
      <c r="H499" s="3"/>
      <c r="I499" s="6"/>
      <c r="J499" s="3" t="s">
        <v>1106</v>
      </c>
      <c r="K499" s="3"/>
      <c r="L499" s="3"/>
      <c r="M499" s="3" t="s">
        <v>34</v>
      </c>
      <c r="N499" s="3" t="s">
        <v>750</v>
      </c>
      <c r="O499" s="3" t="s">
        <v>441</v>
      </c>
      <c r="P499" s="3" t="s">
        <v>37</v>
      </c>
      <c r="Q499" s="5">
        <v>115559</v>
      </c>
      <c r="R499" s="5"/>
      <c r="S499" s="5"/>
      <c r="T499" s="3" t="s">
        <v>38</v>
      </c>
      <c r="U499" s="3" t="s">
        <v>153</v>
      </c>
      <c r="V499" s="3"/>
      <c r="W499" s="6"/>
      <c r="X499" s="6"/>
      <c r="Y499" s="3"/>
      <c r="Z499" s="3"/>
      <c r="AA499" s="3"/>
      <c r="AB499" s="3" t="s">
        <v>42</v>
      </c>
    </row>
    <row r="500" spans="1:28" ht="33" customHeight="1" x14ac:dyDescent="0.25">
      <c r="A500" s="7" t="s">
        <v>1276</v>
      </c>
      <c r="B500" s="3" t="s">
        <v>747</v>
      </c>
      <c r="C500" s="3" t="s">
        <v>1277</v>
      </c>
      <c r="D500" s="6">
        <v>44619</v>
      </c>
      <c r="E500" s="6">
        <v>45710</v>
      </c>
      <c r="F500" s="3"/>
      <c r="G500" s="6"/>
      <c r="H500" s="3"/>
      <c r="I500" s="6"/>
      <c r="J500" s="3" t="s">
        <v>1106</v>
      </c>
      <c r="K500" s="3"/>
      <c r="L500" s="3"/>
      <c r="M500" s="3" t="s">
        <v>34</v>
      </c>
      <c r="N500" s="3" t="s">
        <v>750</v>
      </c>
      <c r="O500" s="3" t="s">
        <v>441</v>
      </c>
      <c r="P500" s="3" t="s">
        <v>37</v>
      </c>
      <c r="Q500" s="5">
        <v>223504</v>
      </c>
      <c r="R500" s="5"/>
      <c r="S500" s="5"/>
      <c r="T500" s="3" t="s">
        <v>38</v>
      </c>
      <c r="U500" s="3" t="s">
        <v>153</v>
      </c>
      <c r="V500" s="3"/>
      <c r="W500" s="6"/>
      <c r="X500" s="6"/>
      <c r="Y500" s="3"/>
      <c r="Z500" s="3"/>
      <c r="AA500" s="3"/>
      <c r="AB500" s="3" t="s">
        <v>42</v>
      </c>
    </row>
    <row r="501" spans="1:28" ht="33" customHeight="1" x14ac:dyDescent="0.25">
      <c r="A501" s="7" t="s">
        <v>1278</v>
      </c>
      <c r="B501" s="3" t="s">
        <v>747</v>
      </c>
      <c r="C501" s="3" t="s">
        <v>1277</v>
      </c>
      <c r="D501" s="6">
        <v>44619</v>
      </c>
      <c r="E501" s="6">
        <v>45710</v>
      </c>
      <c r="F501" s="3"/>
      <c r="G501" s="6"/>
      <c r="H501" s="3"/>
      <c r="I501" s="6"/>
      <c r="J501" s="3" t="s">
        <v>1106</v>
      </c>
      <c r="K501" s="3"/>
      <c r="L501" s="3"/>
      <c r="M501" s="3" t="s">
        <v>34</v>
      </c>
      <c r="N501" s="3" t="s">
        <v>750</v>
      </c>
      <c r="O501" s="3" t="s">
        <v>441</v>
      </c>
      <c r="P501" s="3" t="s">
        <v>37</v>
      </c>
      <c r="Q501" s="5">
        <v>82602</v>
      </c>
      <c r="R501" s="5"/>
      <c r="S501" s="5"/>
      <c r="T501" s="3" t="s">
        <v>38</v>
      </c>
      <c r="U501" s="3" t="s">
        <v>153</v>
      </c>
      <c r="V501" s="3"/>
      <c r="W501" s="6"/>
      <c r="X501" s="6"/>
      <c r="Y501" s="3"/>
      <c r="Z501" s="3"/>
      <c r="AA501" s="3"/>
      <c r="AB501" s="3" t="s">
        <v>42</v>
      </c>
    </row>
    <row r="502" spans="1:28" ht="33" customHeight="1" x14ac:dyDescent="0.25">
      <c r="A502" s="7" t="s">
        <v>1279</v>
      </c>
      <c r="B502" s="3" t="s">
        <v>747</v>
      </c>
      <c r="C502" s="3" t="s">
        <v>1280</v>
      </c>
      <c r="D502" s="6">
        <v>44619</v>
      </c>
      <c r="E502" s="6">
        <v>45710</v>
      </c>
      <c r="F502" s="3"/>
      <c r="G502" s="6"/>
      <c r="H502" s="3"/>
      <c r="I502" s="6"/>
      <c r="J502" s="3" t="s">
        <v>749</v>
      </c>
      <c r="K502" s="3"/>
      <c r="L502" s="3"/>
      <c r="M502" s="3" t="s">
        <v>34</v>
      </c>
      <c r="N502" s="3" t="s">
        <v>750</v>
      </c>
      <c r="O502" s="3" t="s">
        <v>441</v>
      </c>
      <c r="P502" s="3" t="s">
        <v>37</v>
      </c>
      <c r="Q502" s="5">
        <v>39638</v>
      </c>
      <c r="R502" s="5"/>
      <c r="S502" s="5"/>
      <c r="T502" s="3" t="s">
        <v>38</v>
      </c>
      <c r="U502" s="3" t="s">
        <v>153</v>
      </c>
      <c r="V502" s="3"/>
      <c r="W502" s="6"/>
      <c r="X502" s="6"/>
      <c r="Y502" s="3"/>
      <c r="Z502" s="3"/>
      <c r="AA502" s="3"/>
      <c r="AB502" s="3" t="s">
        <v>42</v>
      </c>
    </row>
    <row r="503" spans="1:28" ht="33" customHeight="1" x14ac:dyDescent="0.25">
      <c r="A503" s="7" t="s">
        <v>1281</v>
      </c>
      <c r="B503" s="3" t="s">
        <v>747</v>
      </c>
      <c r="C503" s="3" t="s">
        <v>1282</v>
      </c>
      <c r="D503" s="6">
        <v>44619</v>
      </c>
      <c r="E503" s="6">
        <v>45710</v>
      </c>
      <c r="F503" s="3"/>
      <c r="G503" s="6"/>
      <c r="H503" s="3"/>
      <c r="I503" s="6"/>
      <c r="J503" s="3" t="s">
        <v>1073</v>
      </c>
      <c r="K503" s="3"/>
      <c r="L503" s="3">
        <v>9431407</v>
      </c>
      <c r="M503" s="3" t="s">
        <v>34</v>
      </c>
      <c r="N503" s="3" t="s">
        <v>750</v>
      </c>
      <c r="O503" s="3" t="s">
        <v>441</v>
      </c>
      <c r="P503" s="3" t="s">
        <v>37</v>
      </c>
      <c r="Q503" s="5">
        <v>69300</v>
      </c>
      <c r="R503" s="5"/>
      <c r="S503" s="5"/>
      <c r="T503" s="3" t="s">
        <v>38</v>
      </c>
      <c r="U503" s="3" t="s">
        <v>153</v>
      </c>
      <c r="V503" s="3"/>
      <c r="W503" s="6"/>
      <c r="X503" s="6"/>
      <c r="Y503" s="3"/>
      <c r="Z503" s="3"/>
      <c r="AA503" s="3"/>
      <c r="AB503" s="3" t="s">
        <v>477</v>
      </c>
    </row>
    <row r="504" spans="1:28" ht="33" customHeight="1" x14ac:dyDescent="0.25">
      <c r="A504" s="7" t="s">
        <v>1283</v>
      </c>
      <c r="B504" s="3" t="s">
        <v>747</v>
      </c>
      <c r="C504" s="3" t="s">
        <v>791</v>
      </c>
      <c r="D504" s="6">
        <v>44766</v>
      </c>
      <c r="E504" s="6">
        <v>45864</v>
      </c>
      <c r="F504" s="3"/>
      <c r="G504" s="6"/>
      <c r="H504" s="3"/>
      <c r="I504" s="6"/>
      <c r="J504" s="3" t="s">
        <v>749</v>
      </c>
      <c r="K504" s="3"/>
      <c r="L504" s="3"/>
      <c r="M504" s="3" t="s">
        <v>34</v>
      </c>
      <c r="N504" s="3" t="s">
        <v>750</v>
      </c>
      <c r="O504" s="3" t="s">
        <v>441</v>
      </c>
      <c r="P504" s="3" t="s">
        <v>37</v>
      </c>
      <c r="Q504" s="5">
        <v>8648</v>
      </c>
      <c r="R504" s="5"/>
      <c r="S504" s="5"/>
      <c r="T504" s="3" t="s">
        <v>38</v>
      </c>
      <c r="U504" s="3" t="s">
        <v>153</v>
      </c>
      <c r="V504" s="3"/>
      <c r="W504" s="6"/>
      <c r="X504" s="6"/>
      <c r="Y504" s="3"/>
      <c r="Z504" s="3"/>
      <c r="AA504" s="3"/>
      <c r="AB504" s="3" t="s">
        <v>42</v>
      </c>
    </row>
    <row r="505" spans="1:28" ht="33" customHeight="1" x14ac:dyDescent="0.25">
      <c r="A505" s="7" t="s">
        <v>1284</v>
      </c>
      <c r="B505" s="3" t="s">
        <v>747</v>
      </c>
      <c r="C505" s="3" t="s">
        <v>1285</v>
      </c>
      <c r="D505" s="6">
        <v>44766</v>
      </c>
      <c r="E505" s="6">
        <v>45864</v>
      </c>
      <c r="F505" s="3"/>
      <c r="G505" s="6"/>
      <c r="H505" s="3"/>
      <c r="I505" s="6"/>
      <c r="J505" s="3" t="s">
        <v>749</v>
      </c>
      <c r="K505" s="3"/>
      <c r="L505" s="3"/>
      <c r="M505" s="3" t="s">
        <v>34</v>
      </c>
      <c r="N505" s="3" t="s">
        <v>750</v>
      </c>
      <c r="O505" s="3" t="s">
        <v>441</v>
      </c>
      <c r="P505" s="3" t="s">
        <v>37</v>
      </c>
      <c r="Q505" s="5">
        <v>39525</v>
      </c>
      <c r="R505" s="5"/>
      <c r="S505" s="5"/>
      <c r="T505" s="3" t="s">
        <v>38</v>
      </c>
      <c r="U505" s="3" t="s">
        <v>153</v>
      </c>
      <c r="V505" s="3"/>
      <c r="W505" s="6"/>
      <c r="X505" s="6"/>
      <c r="Y505" s="3"/>
      <c r="Z505" s="3"/>
      <c r="AA505" s="3"/>
      <c r="AB505" s="3" t="s">
        <v>42</v>
      </c>
    </row>
    <row r="506" spans="1:28" ht="33" customHeight="1" x14ac:dyDescent="0.25">
      <c r="A506" s="7" t="s">
        <v>1286</v>
      </c>
      <c r="B506" s="3" t="s">
        <v>747</v>
      </c>
      <c r="C506" s="3" t="s">
        <v>1285</v>
      </c>
      <c r="D506" s="6">
        <v>44766</v>
      </c>
      <c r="E506" s="6">
        <v>45864</v>
      </c>
      <c r="F506" s="3"/>
      <c r="G506" s="6"/>
      <c r="H506" s="3"/>
      <c r="I506" s="6"/>
      <c r="J506" s="3" t="s">
        <v>749</v>
      </c>
      <c r="K506" s="3"/>
      <c r="L506" s="3"/>
      <c r="M506" s="3" t="s">
        <v>34</v>
      </c>
      <c r="N506" s="3" t="s">
        <v>750</v>
      </c>
      <c r="O506" s="3" t="s">
        <v>441</v>
      </c>
      <c r="P506" s="3" t="s">
        <v>37</v>
      </c>
      <c r="Q506" s="5">
        <v>6281</v>
      </c>
      <c r="R506" s="5"/>
      <c r="S506" s="5"/>
      <c r="T506" s="3" t="s">
        <v>38</v>
      </c>
      <c r="U506" s="3" t="s">
        <v>153</v>
      </c>
      <c r="V506" s="3"/>
      <c r="W506" s="6"/>
      <c r="X506" s="6"/>
      <c r="Y506" s="3"/>
      <c r="Z506" s="3"/>
      <c r="AA506" s="3"/>
      <c r="AB506" s="3" t="s">
        <v>42</v>
      </c>
    </row>
    <row r="507" spans="1:28" ht="33" customHeight="1" x14ac:dyDescent="0.25">
      <c r="A507" s="7" t="s">
        <v>1287</v>
      </c>
      <c r="B507" s="3" t="s">
        <v>747</v>
      </c>
      <c r="C507" s="3" t="s">
        <v>1288</v>
      </c>
      <c r="D507" s="6">
        <v>44766</v>
      </c>
      <c r="E507" s="6">
        <v>45864</v>
      </c>
      <c r="F507" s="3"/>
      <c r="G507" s="6"/>
      <c r="H507" s="3"/>
      <c r="I507" s="6"/>
      <c r="J507" s="3" t="s">
        <v>1090</v>
      </c>
      <c r="K507" s="3"/>
      <c r="L507" s="3">
        <v>10799374</v>
      </c>
      <c r="M507" s="3" t="s">
        <v>48</v>
      </c>
      <c r="N507" s="3" t="s">
        <v>750</v>
      </c>
      <c r="O507" s="3" t="s">
        <v>441</v>
      </c>
      <c r="P507" s="3" t="s">
        <v>37</v>
      </c>
      <c r="Q507" s="5">
        <v>103179</v>
      </c>
      <c r="R507" s="5"/>
      <c r="S507" s="5"/>
      <c r="T507" s="3" t="s">
        <v>38</v>
      </c>
      <c r="U507" s="3" t="s">
        <v>153</v>
      </c>
      <c r="V507" s="3"/>
      <c r="W507" s="6"/>
      <c r="X507" s="6"/>
      <c r="Y507" s="3"/>
      <c r="Z507" s="3"/>
      <c r="AA507" s="3"/>
      <c r="AB507" s="3" t="s">
        <v>42</v>
      </c>
    </row>
    <row r="508" spans="1:28" ht="33" customHeight="1" x14ac:dyDescent="0.25">
      <c r="A508" s="7" t="s">
        <v>1289</v>
      </c>
      <c r="B508" s="3" t="s">
        <v>747</v>
      </c>
      <c r="C508" s="3" t="s">
        <v>1288</v>
      </c>
      <c r="D508" s="6">
        <v>44766</v>
      </c>
      <c r="E508" s="6">
        <v>45864</v>
      </c>
      <c r="F508" s="3"/>
      <c r="G508" s="6"/>
      <c r="H508" s="3"/>
      <c r="I508" s="6"/>
      <c r="J508" s="3" t="s">
        <v>1090</v>
      </c>
      <c r="K508" s="3"/>
      <c r="L508" s="3">
        <v>10799374</v>
      </c>
      <c r="M508" s="3" t="s">
        <v>48</v>
      </c>
      <c r="N508" s="3" t="s">
        <v>750</v>
      </c>
      <c r="O508" s="3" t="s">
        <v>441</v>
      </c>
      <c r="P508" s="3" t="s">
        <v>37</v>
      </c>
      <c r="Q508" s="5">
        <v>-22088</v>
      </c>
      <c r="R508" s="5"/>
      <c r="S508" s="5"/>
      <c r="T508" s="3" t="s">
        <v>38</v>
      </c>
      <c r="U508" s="3" t="s">
        <v>153</v>
      </c>
      <c r="V508" s="3"/>
      <c r="W508" s="6"/>
      <c r="X508" s="6"/>
      <c r="Y508" s="3"/>
      <c r="Z508" s="3"/>
      <c r="AA508" s="3"/>
      <c r="AB508" s="3" t="s">
        <v>42</v>
      </c>
    </row>
    <row r="509" spans="1:28" ht="33" customHeight="1" x14ac:dyDescent="0.25">
      <c r="A509" s="7" t="s">
        <v>1290</v>
      </c>
      <c r="B509" s="3" t="s">
        <v>747</v>
      </c>
      <c r="C509" s="3" t="s">
        <v>1285</v>
      </c>
      <c r="D509" s="6">
        <v>44766</v>
      </c>
      <c r="E509" s="6">
        <v>45864</v>
      </c>
      <c r="F509" s="3"/>
      <c r="G509" s="6"/>
      <c r="H509" s="3"/>
      <c r="I509" s="6"/>
      <c r="J509" s="3" t="s">
        <v>1090</v>
      </c>
      <c r="K509" s="3"/>
      <c r="L509" s="3">
        <v>10799374</v>
      </c>
      <c r="M509" s="3" t="s">
        <v>48</v>
      </c>
      <c r="N509" s="3" t="s">
        <v>750</v>
      </c>
      <c r="O509" s="3" t="s">
        <v>441</v>
      </c>
      <c r="P509" s="3" t="s">
        <v>37</v>
      </c>
      <c r="Q509" s="5">
        <v>73831</v>
      </c>
      <c r="R509" s="5"/>
      <c r="S509" s="5"/>
      <c r="T509" s="3" t="s">
        <v>38</v>
      </c>
      <c r="U509" s="3" t="s">
        <v>153</v>
      </c>
      <c r="V509" s="3"/>
      <c r="W509" s="6"/>
      <c r="X509" s="6"/>
      <c r="Y509" s="3"/>
      <c r="Z509" s="3"/>
      <c r="AA509" s="3"/>
      <c r="AB509" s="3" t="s">
        <v>42</v>
      </c>
    </row>
    <row r="510" spans="1:28" ht="33" customHeight="1" x14ac:dyDescent="0.25">
      <c r="A510" s="7" t="s">
        <v>1291</v>
      </c>
      <c r="B510" s="3" t="s">
        <v>747</v>
      </c>
      <c r="C510" s="3" t="s">
        <v>1292</v>
      </c>
      <c r="D510" s="6">
        <v>44824</v>
      </c>
      <c r="E510" s="6">
        <v>45934</v>
      </c>
      <c r="F510" s="3"/>
      <c r="G510" s="6"/>
      <c r="H510" s="3"/>
      <c r="I510" s="6"/>
      <c r="J510" s="3" t="s">
        <v>1293</v>
      </c>
      <c r="K510" s="3"/>
      <c r="L510" s="3">
        <v>11768296</v>
      </c>
      <c r="M510" s="3" t="s">
        <v>360</v>
      </c>
      <c r="N510" s="3" t="s">
        <v>750</v>
      </c>
      <c r="O510" s="3" t="s">
        <v>441</v>
      </c>
      <c r="P510" s="3" t="s">
        <v>37</v>
      </c>
      <c r="Q510" s="5">
        <v>114575</v>
      </c>
      <c r="R510" s="5"/>
      <c r="S510" s="5"/>
      <c r="T510" s="3" t="s">
        <v>38</v>
      </c>
      <c r="U510" s="3" t="s">
        <v>153</v>
      </c>
      <c r="V510" s="3"/>
      <c r="W510" s="6"/>
      <c r="X510" s="6"/>
      <c r="Y510" s="3"/>
      <c r="Z510" s="3"/>
      <c r="AA510" s="3"/>
      <c r="AB510" s="3" t="s">
        <v>477</v>
      </c>
    </row>
    <row r="511" spans="1:28" ht="33" customHeight="1" x14ac:dyDescent="0.25">
      <c r="A511" s="7" t="s">
        <v>1294</v>
      </c>
      <c r="B511" s="3" t="s">
        <v>747</v>
      </c>
      <c r="C511" s="3" t="s">
        <v>1295</v>
      </c>
      <c r="D511" s="6">
        <v>44836</v>
      </c>
      <c r="E511" s="6">
        <v>45934</v>
      </c>
      <c r="F511" s="3"/>
      <c r="G511" s="6"/>
      <c r="H511" s="3"/>
      <c r="I511" s="6"/>
      <c r="J511" s="3" t="s">
        <v>749</v>
      </c>
      <c r="K511" s="3"/>
      <c r="L511" s="3"/>
      <c r="M511" s="3" t="s">
        <v>34</v>
      </c>
      <c r="N511" s="3" t="s">
        <v>750</v>
      </c>
      <c r="O511" s="3" t="s">
        <v>441</v>
      </c>
      <c r="P511" s="3" t="s">
        <v>37</v>
      </c>
      <c r="Q511" s="5">
        <v>70859</v>
      </c>
      <c r="R511" s="5"/>
      <c r="S511" s="5"/>
      <c r="T511" s="3" t="s">
        <v>38</v>
      </c>
      <c r="U511" s="3" t="s">
        <v>153</v>
      </c>
      <c r="V511" s="3"/>
      <c r="W511" s="6"/>
      <c r="X511" s="6"/>
      <c r="Y511" s="3"/>
      <c r="Z511" s="3"/>
      <c r="AA511" s="3"/>
      <c r="AB511" s="3" t="s">
        <v>42</v>
      </c>
    </row>
    <row r="512" spans="1:28" ht="33" customHeight="1" x14ac:dyDescent="0.25">
      <c r="A512" s="7" t="s">
        <v>1296</v>
      </c>
      <c r="B512" s="3" t="s">
        <v>747</v>
      </c>
      <c r="C512" s="3" t="s">
        <v>1295</v>
      </c>
      <c r="D512" s="6">
        <v>44836</v>
      </c>
      <c r="E512" s="6">
        <v>45934</v>
      </c>
      <c r="F512" s="3"/>
      <c r="G512" s="6"/>
      <c r="H512" s="3"/>
      <c r="I512" s="6"/>
      <c r="J512" s="3" t="s">
        <v>749</v>
      </c>
      <c r="K512" s="3"/>
      <c r="L512" s="3"/>
      <c r="M512" s="3" t="s">
        <v>34</v>
      </c>
      <c r="N512" s="3" t="s">
        <v>750</v>
      </c>
      <c r="O512" s="3" t="s">
        <v>441</v>
      </c>
      <c r="P512" s="3" t="s">
        <v>37</v>
      </c>
      <c r="Q512" s="5">
        <v>20419</v>
      </c>
      <c r="R512" s="5"/>
      <c r="S512" s="5"/>
      <c r="T512" s="3" t="s">
        <v>38</v>
      </c>
      <c r="U512" s="3" t="s">
        <v>153</v>
      </c>
      <c r="V512" s="3"/>
      <c r="W512" s="6"/>
      <c r="X512" s="6"/>
      <c r="Y512" s="3"/>
      <c r="Z512" s="3"/>
      <c r="AA512" s="3"/>
      <c r="AB512" s="3" t="s">
        <v>42</v>
      </c>
    </row>
    <row r="513" spans="1:28" ht="33" customHeight="1" x14ac:dyDescent="0.25">
      <c r="A513" s="7" t="s">
        <v>1297</v>
      </c>
      <c r="B513" s="3" t="s">
        <v>747</v>
      </c>
      <c r="C513" s="3" t="s">
        <v>1295</v>
      </c>
      <c r="D513" s="6">
        <v>44836</v>
      </c>
      <c r="E513" s="6">
        <v>45934</v>
      </c>
      <c r="F513" s="3"/>
      <c r="G513" s="6"/>
      <c r="H513" s="3"/>
      <c r="I513" s="6"/>
      <c r="J513" s="3" t="s">
        <v>749</v>
      </c>
      <c r="K513" s="3"/>
      <c r="L513" s="3"/>
      <c r="M513" s="3" t="s">
        <v>34</v>
      </c>
      <c r="N513" s="3" t="s">
        <v>750</v>
      </c>
      <c r="O513" s="3" t="s">
        <v>441</v>
      </c>
      <c r="P513" s="3" t="s">
        <v>37</v>
      </c>
      <c r="Q513" s="5">
        <v>25225</v>
      </c>
      <c r="R513" s="5"/>
      <c r="S513" s="5"/>
      <c r="T513" s="3" t="s">
        <v>38</v>
      </c>
      <c r="U513" s="3" t="s">
        <v>153</v>
      </c>
      <c r="V513" s="3"/>
      <c r="W513" s="6"/>
      <c r="X513" s="6"/>
      <c r="Y513" s="3"/>
      <c r="Z513" s="3"/>
      <c r="AA513" s="3"/>
      <c r="AB513" s="3" t="s">
        <v>42</v>
      </c>
    </row>
    <row r="514" spans="1:28" ht="33" customHeight="1" x14ac:dyDescent="0.25">
      <c r="A514" s="7" t="s">
        <v>1298</v>
      </c>
      <c r="B514" s="3" t="s">
        <v>747</v>
      </c>
      <c r="C514" s="3" t="s">
        <v>1299</v>
      </c>
      <c r="D514" s="6">
        <v>44836</v>
      </c>
      <c r="E514" s="6">
        <v>45934</v>
      </c>
      <c r="F514" s="3"/>
      <c r="G514" s="6"/>
      <c r="H514" s="3"/>
      <c r="I514" s="6"/>
      <c r="J514" s="3" t="s">
        <v>749</v>
      </c>
      <c r="K514" s="3"/>
      <c r="L514" s="3"/>
      <c r="M514" s="3" t="s">
        <v>34</v>
      </c>
      <c r="N514" s="3" t="s">
        <v>750</v>
      </c>
      <c r="O514" s="3" t="s">
        <v>441</v>
      </c>
      <c r="P514" s="3" t="s">
        <v>37</v>
      </c>
      <c r="Q514" s="5">
        <v>105925</v>
      </c>
      <c r="R514" s="5"/>
      <c r="S514" s="5"/>
      <c r="T514" s="3" t="s">
        <v>38</v>
      </c>
      <c r="U514" s="3" t="s">
        <v>153</v>
      </c>
      <c r="V514" s="3"/>
      <c r="W514" s="6"/>
      <c r="X514" s="6"/>
      <c r="Y514" s="3"/>
      <c r="Z514" s="3"/>
      <c r="AA514" s="3"/>
      <c r="AB514" s="3" t="s">
        <v>42</v>
      </c>
    </row>
    <row r="515" spans="1:28" ht="33" customHeight="1" x14ac:dyDescent="0.25">
      <c r="A515" s="7" t="s">
        <v>1300</v>
      </c>
      <c r="B515" s="3" t="s">
        <v>747</v>
      </c>
      <c r="C515" s="3" t="s">
        <v>1299</v>
      </c>
      <c r="D515" s="6">
        <v>44836</v>
      </c>
      <c r="E515" s="6">
        <v>45934</v>
      </c>
      <c r="F515" s="3"/>
      <c r="G515" s="6"/>
      <c r="H515" s="3"/>
      <c r="I515" s="6"/>
      <c r="J515" s="3" t="s">
        <v>749</v>
      </c>
      <c r="K515" s="3"/>
      <c r="L515" s="3"/>
      <c r="M515" s="3" t="s">
        <v>34</v>
      </c>
      <c r="N515" s="3" t="s">
        <v>750</v>
      </c>
      <c r="O515" s="3" t="s">
        <v>441</v>
      </c>
      <c r="P515" s="3" t="s">
        <v>37</v>
      </c>
      <c r="Q515" s="5">
        <v>129088</v>
      </c>
      <c r="R515" s="5"/>
      <c r="S515" s="5"/>
      <c r="T515" s="3" t="s">
        <v>38</v>
      </c>
      <c r="U515" s="3" t="s">
        <v>153</v>
      </c>
      <c r="V515" s="3"/>
      <c r="W515" s="6"/>
      <c r="X515" s="6"/>
      <c r="Y515" s="3"/>
      <c r="Z515" s="3"/>
      <c r="AA515" s="3"/>
      <c r="AB515" s="3" t="s">
        <v>42</v>
      </c>
    </row>
    <row r="516" spans="1:28" ht="33" customHeight="1" x14ac:dyDescent="0.25">
      <c r="A516" s="7" t="s">
        <v>1301</v>
      </c>
      <c r="B516" s="3" t="s">
        <v>747</v>
      </c>
      <c r="C516" s="3" t="s">
        <v>1302</v>
      </c>
      <c r="D516" s="6">
        <v>44836</v>
      </c>
      <c r="E516" s="6">
        <v>45934</v>
      </c>
      <c r="F516" s="3"/>
      <c r="G516" s="6"/>
      <c r="H516" s="3"/>
      <c r="I516" s="6"/>
      <c r="J516" s="3" t="s">
        <v>1050</v>
      </c>
      <c r="K516" s="3"/>
      <c r="L516" s="3">
        <v>4367719</v>
      </c>
      <c r="M516" s="3" t="s">
        <v>34</v>
      </c>
      <c r="N516" s="3" t="s">
        <v>750</v>
      </c>
      <c r="O516" s="3" t="s">
        <v>441</v>
      </c>
      <c r="P516" s="3" t="s">
        <v>37</v>
      </c>
      <c r="Q516" s="5">
        <v>181843</v>
      </c>
      <c r="R516" s="5"/>
      <c r="S516" s="5"/>
      <c r="T516" s="3" t="s">
        <v>38</v>
      </c>
      <c r="U516" s="3" t="s">
        <v>153</v>
      </c>
      <c r="V516" s="3"/>
      <c r="W516" s="6"/>
      <c r="X516" s="6"/>
      <c r="Y516" s="3"/>
      <c r="Z516" s="3"/>
      <c r="AA516" s="3"/>
      <c r="AB516" s="3" t="s">
        <v>42</v>
      </c>
    </row>
    <row r="517" spans="1:28" ht="33" customHeight="1" x14ac:dyDescent="0.25">
      <c r="A517" s="7" t="s">
        <v>1303</v>
      </c>
      <c r="B517" s="3" t="s">
        <v>747</v>
      </c>
      <c r="C517" s="3" t="s">
        <v>1302</v>
      </c>
      <c r="D517" s="6">
        <v>44836</v>
      </c>
      <c r="E517" s="6">
        <v>45934</v>
      </c>
      <c r="F517" s="3"/>
      <c r="G517" s="6"/>
      <c r="H517" s="3"/>
      <c r="I517" s="6"/>
      <c r="J517" s="3" t="s">
        <v>1050</v>
      </c>
      <c r="K517" s="3"/>
      <c r="L517" s="3">
        <v>4367719</v>
      </c>
      <c r="M517" s="3" t="s">
        <v>34</v>
      </c>
      <c r="N517" s="3" t="s">
        <v>750</v>
      </c>
      <c r="O517" s="3" t="s">
        <v>441</v>
      </c>
      <c r="P517" s="3" t="s">
        <v>37</v>
      </c>
      <c r="Q517" s="5">
        <v>93157</v>
      </c>
      <c r="R517" s="5"/>
      <c r="S517" s="5"/>
      <c r="T517" s="3" t="s">
        <v>38</v>
      </c>
      <c r="U517" s="3" t="s">
        <v>153</v>
      </c>
      <c r="V517" s="3"/>
      <c r="W517" s="6"/>
      <c r="X517" s="6"/>
      <c r="Y517" s="3"/>
      <c r="Z517" s="3"/>
      <c r="AA517" s="3"/>
      <c r="AB517" s="3" t="s">
        <v>42</v>
      </c>
    </row>
    <row r="518" spans="1:28" ht="33" customHeight="1" x14ac:dyDescent="0.25">
      <c r="A518" s="7" t="s">
        <v>1304</v>
      </c>
      <c r="B518" s="3" t="s">
        <v>747</v>
      </c>
      <c r="C518" s="3" t="s">
        <v>1305</v>
      </c>
      <c r="D518" s="6">
        <v>44836</v>
      </c>
      <c r="E518" s="6">
        <v>45934</v>
      </c>
      <c r="F518" s="3"/>
      <c r="G518" s="6"/>
      <c r="H518" s="3"/>
      <c r="I518" s="6"/>
      <c r="J518" s="3" t="s">
        <v>1070</v>
      </c>
      <c r="K518" s="3"/>
      <c r="L518" s="3"/>
      <c r="M518" s="3" t="s">
        <v>34</v>
      </c>
      <c r="N518" s="3" t="s">
        <v>750</v>
      </c>
      <c r="O518" s="3" t="s">
        <v>441</v>
      </c>
      <c r="P518" s="3" t="s">
        <v>37</v>
      </c>
      <c r="Q518" s="5">
        <v>7551</v>
      </c>
      <c r="R518" s="5"/>
      <c r="S518" s="5"/>
      <c r="T518" s="3" t="s">
        <v>38</v>
      </c>
      <c r="U518" s="3" t="s">
        <v>153</v>
      </c>
      <c r="V518" s="3"/>
      <c r="W518" s="6"/>
      <c r="X518" s="6"/>
      <c r="Y518" s="3"/>
      <c r="Z518" s="3"/>
      <c r="AA518" s="3"/>
      <c r="AB518" s="3" t="s">
        <v>477</v>
      </c>
    </row>
    <row r="519" spans="1:28" ht="33" customHeight="1" x14ac:dyDescent="0.25">
      <c r="A519" s="7" t="s">
        <v>1306</v>
      </c>
      <c r="B519" s="3" t="s">
        <v>747</v>
      </c>
      <c r="C519" s="3" t="s">
        <v>1307</v>
      </c>
      <c r="D519" s="6">
        <v>44836</v>
      </c>
      <c r="E519" s="6">
        <v>45934</v>
      </c>
      <c r="F519" s="3"/>
      <c r="G519" s="6"/>
      <c r="H519" s="3"/>
      <c r="I519" s="6"/>
      <c r="J519" s="3" t="s">
        <v>1070</v>
      </c>
      <c r="K519" s="3"/>
      <c r="L519" s="3"/>
      <c r="M519" s="3" t="s">
        <v>34</v>
      </c>
      <c r="N519" s="3" t="s">
        <v>750</v>
      </c>
      <c r="O519" s="3" t="s">
        <v>441</v>
      </c>
      <c r="P519" s="3" t="s">
        <v>37</v>
      </c>
      <c r="Q519" s="5">
        <v>72891</v>
      </c>
      <c r="R519" s="5"/>
      <c r="S519" s="5"/>
      <c r="T519" s="3" t="s">
        <v>38</v>
      </c>
      <c r="U519" s="3" t="s">
        <v>153</v>
      </c>
      <c r="V519" s="3"/>
      <c r="W519" s="6"/>
      <c r="X519" s="6"/>
      <c r="Y519" s="3"/>
      <c r="Z519" s="3"/>
      <c r="AA519" s="3"/>
      <c r="AB519" s="3" t="s">
        <v>477</v>
      </c>
    </row>
    <row r="520" spans="1:28" ht="33" customHeight="1" x14ac:dyDescent="0.25">
      <c r="A520" s="7" t="s">
        <v>1308</v>
      </c>
      <c r="B520" s="3" t="s">
        <v>747</v>
      </c>
      <c r="C520" s="3" t="s">
        <v>1307</v>
      </c>
      <c r="D520" s="6">
        <v>44836</v>
      </c>
      <c r="E520" s="6">
        <v>45934</v>
      </c>
      <c r="F520" s="3"/>
      <c r="G520" s="6"/>
      <c r="H520" s="3"/>
      <c r="I520" s="6"/>
      <c r="J520" s="3" t="s">
        <v>1070</v>
      </c>
      <c r="K520" s="3"/>
      <c r="L520" s="3"/>
      <c r="M520" s="3" t="s">
        <v>34</v>
      </c>
      <c r="N520" s="3" t="s">
        <v>750</v>
      </c>
      <c r="O520" s="3" t="s">
        <v>441</v>
      </c>
      <c r="P520" s="3" t="s">
        <v>37</v>
      </c>
      <c r="Q520" s="5">
        <v>11497</v>
      </c>
      <c r="R520" s="5"/>
      <c r="S520" s="5"/>
      <c r="T520" s="3" t="s">
        <v>38</v>
      </c>
      <c r="U520" s="3" t="s">
        <v>153</v>
      </c>
      <c r="V520" s="3"/>
      <c r="W520" s="6"/>
      <c r="X520" s="6"/>
      <c r="Y520" s="3"/>
      <c r="Z520" s="3"/>
      <c r="AA520" s="3"/>
      <c r="AB520" s="3" t="s">
        <v>477</v>
      </c>
    </row>
    <row r="521" spans="1:28" ht="33" customHeight="1" x14ac:dyDescent="0.25">
      <c r="A521" s="7" t="s">
        <v>1309</v>
      </c>
      <c r="B521" s="3" t="s">
        <v>747</v>
      </c>
      <c r="C521" s="3" t="s">
        <v>1305</v>
      </c>
      <c r="D521" s="6">
        <v>44836</v>
      </c>
      <c r="E521" s="6">
        <v>45934</v>
      </c>
      <c r="F521" s="3"/>
      <c r="G521" s="6"/>
      <c r="H521" s="3"/>
      <c r="I521" s="6"/>
      <c r="J521" s="3" t="s">
        <v>1070</v>
      </c>
      <c r="K521" s="3"/>
      <c r="L521" s="3"/>
      <c r="M521" s="3" t="s">
        <v>34</v>
      </c>
      <c r="N521" s="3" t="s">
        <v>750</v>
      </c>
      <c r="O521" s="3" t="s">
        <v>441</v>
      </c>
      <c r="P521" s="3" t="s">
        <v>37</v>
      </c>
      <c r="Q521" s="5">
        <v>42519</v>
      </c>
      <c r="R521" s="5"/>
      <c r="S521" s="5"/>
      <c r="T521" s="3" t="s">
        <v>38</v>
      </c>
      <c r="U521" s="3" t="s">
        <v>153</v>
      </c>
      <c r="V521" s="3"/>
      <c r="W521" s="6"/>
      <c r="X521" s="6"/>
      <c r="Y521" s="3"/>
      <c r="Z521" s="3"/>
      <c r="AA521" s="3"/>
      <c r="AB521" s="3" t="s">
        <v>477</v>
      </c>
    </row>
    <row r="522" spans="1:28" ht="33" customHeight="1" x14ac:dyDescent="0.25">
      <c r="A522" s="7" t="s">
        <v>1310</v>
      </c>
      <c r="B522" s="3" t="s">
        <v>747</v>
      </c>
      <c r="C522" s="3" t="s">
        <v>1311</v>
      </c>
      <c r="D522" s="6">
        <v>44836</v>
      </c>
      <c r="E522" s="6">
        <v>45934</v>
      </c>
      <c r="F522" s="3"/>
      <c r="G522" s="6"/>
      <c r="H522" s="3"/>
      <c r="I522" s="6"/>
      <c r="J522" s="3" t="s">
        <v>1070</v>
      </c>
      <c r="K522" s="3"/>
      <c r="L522" s="3"/>
      <c r="M522" s="3" t="s">
        <v>34</v>
      </c>
      <c r="N522" s="3" t="s">
        <v>750</v>
      </c>
      <c r="O522" s="3" t="s">
        <v>441</v>
      </c>
      <c r="P522" s="3" t="s">
        <v>37</v>
      </c>
      <c r="Q522" s="5">
        <v>38261</v>
      </c>
      <c r="R522" s="5"/>
      <c r="S522" s="5"/>
      <c r="T522" s="3" t="s">
        <v>38</v>
      </c>
      <c r="U522" s="3" t="s">
        <v>153</v>
      </c>
      <c r="V522" s="3"/>
      <c r="W522" s="6"/>
      <c r="X522" s="6"/>
      <c r="Y522" s="3"/>
      <c r="Z522" s="3"/>
      <c r="AA522" s="3"/>
      <c r="AB522" s="3" t="s">
        <v>477</v>
      </c>
    </row>
    <row r="523" spans="1:28" ht="33" customHeight="1" x14ac:dyDescent="0.25">
      <c r="A523" s="7" t="s">
        <v>1312</v>
      </c>
      <c r="B523" s="3" t="s">
        <v>747</v>
      </c>
      <c r="C523" s="3" t="s">
        <v>1313</v>
      </c>
      <c r="D523" s="6">
        <v>45018</v>
      </c>
      <c r="E523" s="6">
        <v>46116</v>
      </c>
      <c r="F523" s="3"/>
      <c r="G523" s="6"/>
      <c r="H523" s="3"/>
      <c r="I523" s="6"/>
      <c r="J523" s="3" t="s">
        <v>1098</v>
      </c>
      <c r="K523" s="3"/>
      <c r="L523" s="3"/>
      <c r="M523" s="3" t="s">
        <v>34</v>
      </c>
      <c r="N523" s="3" t="s">
        <v>750</v>
      </c>
      <c r="O523" s="3" t="s">
        <v>441</v>
      </c>
      <c r="P523" s="3" t="s">
        <v>37</v>
      </c>
      <c r="Q523" s="5">
        <v>107186</v>
      </c>
      <c r="R523" s="5"/>
      <c r="S523" s="5"/>
      <c r="T523" s="3" t="s">
        <v>38</v>
      </c>
      <c r="U523" s="3" t="s">
        <v>153</v>
      </c>
      <c r="V523" s="3"/>
      <c r="W523" s="6"/>
      <c r="X523" s="6"/>
      <c r="Y523" s="3"/>
      <c r="Z523" s="3"/>
      <c r="AA523" s="3"/>
      <c r="AB523" s="3" t="s">
        <v>477</v>
      </c>
    </row>
    <row r="524" spans="1:28" ht="33" customHeight="1" x14ac:dyDescent="0.25">
      <c r="A524" s="7" t="s">
        <v>1314</v>
      </c>
      <c r="B524" s="3" t="s">
        <v>1315</v>
      </c>
      <c r="C524" s="3" t="s">
        <v>1316</v>
      </c>
      <c r="D524" s="6"/>
      <c r="E524" s="6">
        <v>45535</v>
      </c>
      <c r="F524" s="3"/>
      <c r="G524" s="6"/>
      <c r="H524" s="3"/>
      <c r="I524" s="6"/>
      <c r="J524" s="3" t="s">
        <v>68</v>
      </c>
      <c r="K524" s="3"/>
      <c r="L524" s="3">
        <v>1990370</v>
      </c>
      <c r="M524" s="3" t="s">
        <v>34</v>
      </c>
      <c r="N524" s="3" t="s">
        <v>1317</v>
      </c>
      <c r="O524" s="3" t="s">
        <v>441</v>
      </c>
      <c r="P524" s="3" t="s">
        <v>1318</v>
      </c>
      <c r="Q524" s="5">
        <v>43929.48</v>
      </c>
      <c r="R524" s="5"/>
      <c r="S524" s="5"/>
      <c r="T524" s="3"/>
      <c r="U524" s="3" t="s">
        <v>153</v>
      </c>
      <c r="V524" s="3"/>
      <c r="W524" s="6"/>
      <c r="X524" s="6"/>
      <c r="Y524" s="3"/>
      <c r="Z524" s="3"/>
      <c r="AA524" s="3"/>
      <c r="AB524" s="3" t="s">
        <v>42</v>
      </c>
    </row>
    <row r="525" spans="1:28" ht="33" customHeight="1" x14ac:dyDescent="0.25">
      <c r="A525" s="7" t="s">
        <v>1319</v>
      </c>
      <c r="B525" s="3" t="s">
        <v>1315</v>
      </c>
      <c r="C525" s="3" t="s">
        <v>1316</v>
      </c>
      <c r="D525" s="6"/>
      <c r="E525" s="6">
        <v>45900</v>
      </c>
      <c r="F525" s="3"/>
      <c r="G525" s="6"/>
      <c r="H525" s="3"/>
      <c r="I525" s="6"/>
      <c r="J525" s="3" t="s">
        <v>1320</v>
      </c>
      <c r="K525" s="3"/>
      <c r="L525" s="3" t="s">
        <v>1321</v>
      </c>
      <c r="M525" s="3" t="s">
        <v>48</v>
      </c>
      <c r="N525" s="3" t="s">
        <v>1317</v>
      </c>
      <c r="O525" s="3" t="s">
        <v>441</v>
      </c>
      <c r="P525" s="3" t="s">
        <v>1318</v>
      </c>
      <c r="Q525" s="5">
        <v>43460</v>
      </c>
      <c r="R525" s="5"/>
      <c r="S525" s="5"/>
      <c r="T525" s="3"/>
      <c r="U525" s="3" t="s">
        <v>153</v>
      </c>
      <c r="V525" s="3"/>
      <c r="W525" s="6"/>
      <c r="X525" s="6"/>
      <c r="Y525" s="3"/>
      <c r="Z525" s="3"/>
      <c r="AA525" s="3"/>
      <c r="AB525" s="3" t="s">
        <v>42</v>
      </c>
    </row>
    <row r="526" spans="1:28" ht="33" customHeight="1" x14ac:dyDescent="0.25">
      <c r="A526" s="7" t="s">
        <v>1322</v>
      </c>
      <c r="B526" s="3" t="s">
        <v>1315</v>
      </c>
      <c r="C526" s="3" t="s">
        <v>1316</v>
      </c>
      <c r="D526" s="6"/>
      <c r="E526" s="6">
        <v>45900</v>
      </c>
      <c r="F526" s="3"/>
      <c r="G526" s="6"/>
      <c r="H526" s="3"/>
      <c r="I526" s="6"/>
      <c r="J526" s="3" t="s">
        <v>1320</v>
      </c>
      <c r="K526" s="3"/>
      <c r="L526" s="3" t="s">
        <v>1321</v>
      </c>
      <c r="M526" s="3" t="s">
        <v>48</v>
      </c>
      <c r="N526" s="3" t="s">
        <v>1317</v>
      </c>
      <c r="O526" s="3" t="s">
        <v>441</v>
      </c>
      <c r="P526" s="3" t="s">
        <v>1318</v>
      </c>
      <c r="Q526" s="5">
        <v>43460</v>
      </c>
      <c r="R526" s="5"/>
      <c r="S526" s="5"/>
      <c r="T526" s="3"/>
      <c r="U526" s="3" t="s">
        <v>153</v>
      </c>
      <c r="V526" s="3"/>
      <c r="W526" s="6"/>
      <c r="X526" s="6"/>
      <c r="Y526" s="3"/>
      <c r="Z526" s="3"/>
      <c r="AA526" s="3"/>
      <c r="AB526" s="3" t="s">
        <v>42</v>
      </c>
    </row>
    <row r="527" spans="1:28" ht="33" customHeight="1" x14ac:dyDescent="0.25">
      <c r="A527" s="7" t="s">
        <v>1323</v>
      </c>
      <c r="B527" s="3" t="s">
        <v>1315</v>
      </c>
      <c r="C527" s="3" t="s">
        <v>1316</v>
      </c>
      <c r="D527" s="6"/>
      <c r="E527" s="6">
        <v>45900</v>
      </c>
      <c r="F527" s="3"/>
      <c r="G527" s="6"/>
      <c r="H527" s="3"/>
      <c r="I527" s="6"/>
      <c r="J527" s="3" t="s">
        <v>1320</v>
      </c>
      <c r="K527" s="3"/>
      <c r="L527" s="3" t="s">
        <v>1321</v>
      </c>
      <c r="M527" s="3" t="s">
        <v>48</v>
      </c>
      <c r="N527" s="3" t="s">
        <v>1317</v>
      </c>
      <c r="O527" s="3" t="s">
        <v>441</v>
      </c>
      <c r="P527" s="3" t="s">
        <v>1318</v>
      </c>
      <c r="Q527" s="5">
        <v>43460</v>
      </c>
      <c r="R527" s="5"/>
      <c r="S527" s="5"/>
      <c r="T527" s="3"/>
      <c r="U527" s="3" t="s">
        <v>153</v>
      </c>
      <c r="V527" s="3"/>
      <c r="W527" s="6"/>
      <c r="X527" s="6"/>
      <c r="Y527" s="3"/>
      <c r="Z527" s="3"/>
      <c r="AA527" s="3"/>
      <c r="AB527" s="3" t="s">
        <v>42</v>
      </c>
    </row>
    <row r="528" spans="1:28" ht="33" customHeight="1" x14ac:dyDescent="0.25">
      <c r="A528" s="7" t="s">
        <v>1324</v>
      </c>
      <c r="B528" s="3" t="s">
        <v>1315</v>
      </c>
      <c r="C528" s="3" t="s">
        <v>1316</v>
      </c>
      <c r="D528" s="6"/>
      <c r="E528" s="6">
        <v>45900</v>
      </c>
      <c r="F528" s="3"/>
      <c r="G528" s="6"/>
      <c r="H528" s="3"/>
      <c r="I528" s="6"/>
      <c r="J528" s="3" t="s">
        <v>1320</v>
      </c>
      <c r="K528" s="3"/>
      <c r="L528" s="3" t="s">
        <v>1321</v>
      </c>
      <c r="M528" s="3" t="s">
        <v>48</v>
      </c>
      <c r="N528" s="3" t="s">
        <v>1317</v>
      </c>
      <c r="O528" s="3" t="s">
        <v>441</v>
      </c>
      <c r="P528" s="3" t="s">
        <v>1318</v>
      </c>
      <c r="Q528" s="5">
        <v>43460</v>
      </c>
      <c r="R528" s="5"/>
      <c r="S528" s="5"/>
      <c r="T528" s="3"/>
      <c r="U528" s="3" t="s">
        <v>153</v>
      </c>
      <c r="V528" s="3"/>
      <c r="W528" s="6"/>
      <c r="X528" s="6"/>
      <c r="Y528" s="3"/>
      <c r="Z528" s="3"/>
      <c r="AA528" s="3"/>
      <c r="AB528" s="3" t="s">
        <v>42</v>
      </c>
    </row>
    <row r="529" spans="1:28" ht="33" customHeight="1" x14ac:dyDescent="0.25">
      <c r="A529" s="7" t="s">
        <v>1325</v>
      </c>
      <c r="B529" s="3" t="s">
        <v>1315</v>
      </c>
      <c r="C529" s="3" t="s">
        <v>1316</v>
      </c>
      <c r="D529" s="6"/>
      <c r="E529" s="6">
        <v>45900</v>
      </c>
      <c r="F529" s="3"/>
      <c r="G529" s="6"/>
      <c r="H529" s="3"/>
      <c r="I529" s="6"/>
      <c r="J529" s="3" t="s">
        <v>1320</v>
      </c>
      <c r="K529" s="3"/>
      <c r="L529" s="3" t="s">
        <v>1321</v>
      </c>
      <c r="M529" s="3" t="s">
        <v>48</v>
      </c>
      <c r="N529" s="3" t="s">
        <v>1317</v>
      </c>
      <c r="O529" s="3" t="s">
        <v>441</v>
      </c>
      <c r="P529" s="3" t="s">
        <v>1318</v>
      </c>
      <c r="Q529" s="5">
        <v>43460</v>
      </c>
      <c r="R529" s="5"/>
      <c r="S529" s="5"/>
      <c r="T529" s="3"/>
      <c r="U529" s="3" t="s">
        <v>153</v>
      </c>
      <c r="V529" s="3"/>
      <c r="W529" s="6"/>
      <c r="X529" s="6"/>
      <c r="Y529" s="3"/>
      <c r="Z529" s="3"/>
      <c r="AA529" s="3"/>
      <c r="AB529" s="3" t="s">
        <v>42</v>
      </c>
    </row>
    <row r="530" spans="1:28" ht="33" customHeight="1" x14ac:dyDescent="0.25">
      <c r="A530" s="7" t="s">
        <v>1326</v>
      </c>
      <c r="B530" s="3" t="s">
        <v>1315</v>
      </c>
      <c r="C530" s="3" t="s">
        <v>1316</v>
      </c>
      <c r="D530" s="6"/>
      <c r="E530" s="6">
        <v>45900</v>
      </c>
      <c r="F530" s="3"/>
      <c r="G530" s="6"/>
      <c r="H530" s="3"/>
      <c r="I530" s="6"/>
      <c r="J530" s="3" t="s">
        <v>1320</v>
      </c>
      <c r="K530" s="3"/>
      <c r="L530" s="3" t="s">
        <v>1321</v>
      </c>
      <c r="M530" s="3" t="s">
        <v>48</v>
      </c>
      <c r="N530" s="3" t="s">
        <v>1317</v>
      </c>
      <c r="O530" s="3" t="s">
        <v>441</v>
      </c>
      <c r="P530" s="3" t="s">
        <v>1318</v>
      </c>
      <c r="Q530" s="5">
        <v>21730</v>
      </c>
      <c r="R530" s="5"/>
      <c r="S530" s="5"/>
      <c r="T530" s="3"/>
      <c r="U530" s="3" t="s">
        <v>153</v>
      </c>
      <c r="V530" s="3"/>
      <c r="W530" s="6"/>
      <c r="X530" s="6"/>
      <c r="Y530" s="3"/>
      <c r="Z530" s="3"/>
      <c r="AA530" s="3"/>
      <c r="AB530" s="3" t="s">
        <v>42</v>
      </c>
    </row>
    <row r="531" spans="1:28" ht="33" customHeight="1" x14ac:dyDescent="0.25">
      <c r="A531" s="7" t="s">
        <v>1327</v>
      </c>
      <c r="B531" s="3" t="s">
        <v>1315</v>
      </c>
      <c r="C531" s="3" t="s">
        <v>1316</v>
      </c>
      <c r="D531" s="6"/>
      <c r="E531" s="6">
        <v>45900</v>
      </c>
      <c r="F531" s="3"/>
      <c r="G531" s="6"/>
      <c r="H531" s="3"/>
      <c r="I531" s="6"/>
      <c r="J531" s="3" t="s">
        <v>1320</v>
      </c>
      <c r="K531" s="3"/>
      <c r="L531" s="3" t="s">
        <v>1321</v>
      </c>
      <c r="M531" s="3" t="s">
        <v>48</v>
      </c>
      <c r="N531" s="3" t="s">
        <v>1317</v>
      </c>
      <c r="O531" s="3" t="s">
        <v>441</v>
      </c>
      <c r="P531" s="3" t="s">
        <v>1318</v>
      </c>
      <c r="Q531" s="5">
        <v>43460</v>
      </c>
      <c r="R531" s="5"/>
      <c r="S531" s="5"/>
      <c r="T531" s="3"/>
      <c r="U531" s="3" t="s">
        <v>153</v>
      </c>
      <c r="V531" s="3"/>
      <c r="W531" s="6"/>
      <c r="X531" s="6"/>
      <c r="Y531" s="3"/>
      <c r="Z531" s="3"/>
      <c r="AA531" s="3"/>
      <c r="AB531" s="3" t="s">
        <v>42</v>
      </c>
    </row>
    <row r="532" spans="1:28" ht="33" customHeight="1" x14ac:dyDescent="0.25">
      <c r="A532" s="7" t="s">
        <v>1328</v>
      </c>
      <c r="B532" s="3" t="s">
        <v>1315</v>
      </c>
      <c r="C532" s="3" t="s">
        <v>1316</v>
      </c>
      <c r="D532" s="6"/>
      <c r="E532" s="6">
        <v>45900</v>
      </c>
      <c r="F532" s="3"/>
      <c r="G532" s="6"/>
      <c r="H532" s="3"/>
      <c r="I532" s="6"/>
      <c r="J532" s="3" t="s">
        <v>1320</v>
      </c>
      <c r="K532" s="3"/>
      <c r="L532" s="3" t="s">
        <v>1321</v>
      </c>
      <c r="M532" s="3" t="s">
        <v>48</v>
      </c>
      <c r="N532" s="3" t="s">
        <v>1317</v>
      </c>
      <c r="O532" s="3" t="s">
        <v>441</v>
      </c>
      <c r="P532" s="3" t="s">
        <v>1318</v>
      </c>
      <c r="Q532" s="5">
        <v>43460</v>
      </c>
      <c r="R532" s="5"/>
      <c r="S532" s="5"/>
      <c r="T532" s="3"/>
      <c r="U532" s="3" t="s">
        <v>153</v>
      </c>
      <c r="V532" s="3"/>
      <c r="W532" s="6"/>
      <c r="X532" s="6"/>
      <c r="Y532" s="3"/>
      <c r="Z532" s="3"/>
      <c r="AA532" s="3"/>
      <c r="AB532" s="3" t="s">
        <v>42</v>
      </c>
    </row>
    <row r="533" spans="1:28" ht="33" customHeight="1" x14ac:dyDescent="0.25">
      <c r="A533" s="7" t="s">
        <v>1329</v>
      </c>
      <c r="B533" s="3" t="s">
        <v>1315</v>
      </c>
      <c r="C533" s="3" t="s">
        <v>1316</v>
      </c>
      <c r="D533" s="6"/>
      <c r="E533" s="6">
        <v>45900</v>
      </c>
      <c r="F533" s="3"/>
      <c r="G533" s="6"/>
      <c r="H533" s="3"/>
      <c r="I533" s="6"/>
      <c r="J533" s="3" t="s">
        <v>991</v>
      </c>
      <c r="K533" s="3"/>
      <c r="L533" s="3">
        <v>2778802</v>
      </c>
      <c r="M533" s="3" t="s">
        <v>48</v>
      </c>
      <c r="N533" s="3" t="s">
        <v>1317</v>
      </c>
      <c r="O533" s="3" t="s">
        <v>441</v>
      </c>
      <c r="P533" s="3" t="s">
        <v>1318</v>
      </c>
      <c r="Q533" s="5">
        <v>40536.969696969696</v>
      </c>
      <c r="R533" s="5"/>
      <c r="S533" s="5"/>
      <c r="T533" s="3"/>
      <c r="U533" s="3" t="s">
        <v>153</v>
      </c>
      <c r="V533" s="3"/>
      <c r="W533" s="6"/>
      <c r="X533" s="6"/>
      <c r="Y533" s="3"/>
      <c r="Z533" s="3"/>
      <c r="AA533" s="3"/>
      <c r="AB533" s="3" t="s">
        <v>42</v>
      </c>
    </row>
    <row r="534" spans="1:28" ht="33" customHeight="1" x14ac:dyDescent="0.25">
      <c r="A534" s="7" t="s">
        <v>1330</v>
      </c>
      <c r="B534" s="3" t="s">
        <v>1315</v>
      </c>
      <c r="C534" s="3" t="s">
        <v>1316</v>
      </c>
      <c r="D534" s="6"/>
      <c r="E534" s="6">
        <v>45900</v>
      </c>
      <c r="F534" s="3"/>
      <c r="G534" s="6"/>
      <c r="H534" s="3"/>
      <c r="I534" s="6"/>
      <c r="J534" s="3" t="s">
        <v>991</v>
      </c>
      <c r="K534" s="3"/>
      <c r="L534" s="3">
        <v>2778802</v>
      </c>
      <c r="M534" s="3" t="s">
        <v>48</v>
      </c>
      <c r="N534" s="3" t="s">
        <v>1317</v>
      </c>
      <c r="O534" s="3" t="s">
        <v>441</v>
      </c>
      <c r="P534" s="3" t="s">
        <v>1318</v>
      </c>
      <c r="Q534" s="5">
        <v>32480.9696969697</v>
      </c>
      <c r="R534" s="5"/>
      <c r="S534" s="5"/>
      <c r="T534" s="3"/>
      <c r="U534" s="3" t="s">
        <v>153</v>
      </c>
      <c r="V534" s="3"/>
      <c r="W534" s="6"/>
      <c r="X534" s="6"/>
      <c r="Y534" s="3"/>
      <c r="Z534" s="3"/>
      <c r="AA534" s="3"/>
      <c r="AB534" s="3" t="s">
        <v>42</v>
      </c>
    </row>
    <row r="535" spans="1:28" ht="33" customHeight="1" x14ac:dyDescent="0.25">
      <c r="A535" s="7" t="s">
        <v>1331</v>
      </c>
      <c r="B535" s="3" t="s">
        <v>1315</v>
      </c>
      <c r="C535" s="3" t="s">
        <v>1316</v>
      </c>
      <c r="D535" s="6"/>
      <c r="E535" s="6">
        <v>45900</v>
      </c>
      <c r="F535" s="3"/>
      <c r="G535" s="6"/>
      <c r="H535" s="3"/>
      <c r="I535" s="6"/>
      <c r="J535" s="3" t="s">
        <v>991</v>
      </c>
      <c r="K535" s="3"/>
      <c r="L535" s="3">
        <v>2778802</v>
      </c>
      <c r="M535" s="3" t="s">
        <v>48</v>
      </c>
      <c r="N535" s="3" t="s">
        <v>1317</v>
      </c>
      <c r="O535" s="3" t="s">
        <v>441</v>
      </c>
      <c r="P535" s="3" t="s">
        <v>1318</v>
      </c>
      <c r="Q535" s="5">
        <v>40536.969696969696</v>
      </c>
      <c r="R535" s="5"/>
      <c r="S535" s="5"/>
      <c r="T535" s="3"/>
      <c r="U535" s="3" t="s">
        <v>153</v>
      </c>
      <c r="V535" s="3"/>
      <c r="W535" s="6"/>
      <c r="X535" s="6"/>
      <c r="Y535" s="3"/>
      <c r="Z535" s="3"/>
      <c r="AA535" s="3"/>
      <c r="AB535" s="3" t="s">
        <v>42</v>
      </c>
    </row>
    <row r="536" spans="1:28" ht="33" customHeight="1" x14ac:dyDescent="0.25">
      <c r="A536" s="7" t="s">
        <v>1332</v>
      </c>
      <c r="B536" s="3" t="s">
        <v>1315</v>
      </c>
      <c r="C536" s="3" t="s">
        <v>1316</v>
      </c>
      <c r="D536" s="6"/>
      <c r="E536" s="6">
        <v>45900</v>
      </c>
      <c r="F536" s="3"/>
      <c r="G536" s="6"/>
      <c r="H536" s="3"/>
      <c r="I536" s="6"/>
      <c r="J536" s="3" t="s">
        <v>1333</v>
      </c>
      <c r="K536" s="3"/>
      <c r="L536" s="3">
        <v>8618209</v>
      </c>
      <c r="M536" s="3" t="s">
        <v>34</v>
      </c>
      <c r="N536" s="3" t="s">
        <v>1317</v>
      </c>
      <c r="O536" s="3" t="s">
        <v>441</v>
      </c>
      <c r="P536" s="3" t="s">
        <v>1318</v>
      </c>
      <c r="Q536" s="5">
        <v>65000</v>
      </c>
      <c r="R536" s="5"/>
      <c r="S536" s="5"/>
      <c r="T536" s="3"/>
      <c r="U536" s="3" t="s">
        <v>153</v>
      </c>
      <c r="V536" s="3"/>
      <c r="W536" s="6"/>
      <c r="X536" s="6"/>
      <c r="Y536" s="3"/>
      <c r="Z536" s="3"/>
      <c r="AA536" s="3"/>
      <c r="AB536" s="3" t="s">
        <v>42</v>
      </c>
    </row>
    <row r="537" spans="1:28" ht="33" customHeight="1" x14ac:dyDescent="0.25">
      <c r="A537" s="7" t="s">
        <v>1334</v>
      </c>
      <c r="B537" s="3" t="s">
        <v>1315</v>
      </c>
      <c r="C537" s="3" t="s">
        <v>1335</v>
      </c>
      <c r="D537" s="6"/>
      <c r="E537" s="6">
        <v>45900</v>
      </c>
      <c r="F537" s="3"/>
      <c r="G537" s="6"/>
      <c r="H537" s="3"/>
      <c r="I537" s="6"/>
      <c r="J537" s="3" t="s">
        <v>1336</v>
      </c>
      <c r="K537" s="3"/>
      <c r="L537" s="3">
        <v>5021863</v>
      </c>
      <c r="M537" s="3" t="s">
        <v>48</v>
      </c>
      <c r="N537" s="3" t="s">
        <v>1317</v>
      </c>
      <c r="O537" s="3" t="s">
        <v>441</v>
      </c>
      <c r="P537" s="3" t="s">
        <v>1318</v>
      </c>
      <c r="Q537" s="5">
        <v>26600</v>
      </c>
      <c r="R537" s="5"/>
      <c r="S537" s="5"/>
      <c r="T537" s="3"/>
      <c r="U537" s="3" t="s">
        <v>153</v>
      </c>
      <c r="V537" s="3"/>
      <c r="W537" s="6"/>
      <c r="X537" s="6"/>
      <c r="Y537" s="3"/>
      <c r="Z537" s="3"/>
      <c r="AA537" s="3"/>
      <c r="AB537" s="3" t="s">
        <v>477</v>
      </c>
    </row>
    <row r="538" spans="1:28" ht="33" customHeight="1" x14ac:dyDescent="0.25">
      <c r="A538" s="7" t="s">
        <v>1337</v>
      </c>
      <c r="B538" s="3" t="s">
        <v>1315</v>
      </c>
      <c r="C538" s="3" t="s">
        <v>1335</v>
      </c>
      <c r="D538" s="6"/>
      <c r="E538" s="6">
        <v>45900</v>
      </c>
      <c r="F538" s="3"/>
      <c r="G538" s="6"/>
      <c r="H538" s="3"/>
      <c r="I538" s="6"/>
      <c r="J538" s="3" t="s">
        <v>1336</v>
      </c>
      <c r="K538" s="3"/>
      <c r="L538" s="3">
        <v>5021863</v>
      </c>
      <c r="M538" s="3" t="s">
        <v>48</v>
      </c>
      <c r="N538" s="3" t="s">
        <v>1317</v>
      </c>
      <c r="O538" s="3" t="s">
        <v>441</v>
      </c>
      <c r="P538" s="3" t="s">
        <v>1318</v>
      </c>
      <c r="Q538" s="5">
        <v>8000</v>
      </c>
      <c r="R538" s="5"/>
      <c r="S538" s="5"/>
      <c r="T538" s="3"/>
      <c r="U538" s="3" t="s">
        <v>153</v>
      </c>
      <c r="V538" s="3"/>
      <c r="W538" s="6"/>
      <c r="X538" s="6"/>
      <c r="Y538" s="3"/>
      <c r="Z538" s="3"/>
      <c r="AA538" s="3"/>
      <c r="AB538" s="3" t="s">
        <v>477</v>
      </c>
    </row>
    <row r="539" spans="1:28" ht="33" customHeight="1" x14ac:dyDescent="0.25">
      <c r="A539" s="7" t="s">
        <v>1338</v>
      </c>
      <c r="B539" s="3" t="s">
        <v>1315</v>
      </c>
      <c r="C539" s="3" t="s">
        <v>1335</v>
      </c>
      <c r="D539" s="6"/>
      <c r="E539" s="6">
        <v>45900</v>
      </c>
      <c r="F539" s="3"/>
      <c r="G539" s="6"/>
      <c r="H539" s="3"/>
      <c r="I539" s="6"/>
      <c r="J539" s="3" t="s">
        <v>1333</v>
      </c>
      <c r="K539" s="3"/>
      <c r="L539" s="3">
        <v>8618209</v>
      </c>
      <c r="M539" s="3" t="s">
        <v>34</v>
      </c>
      <c r="N539" s="3" t="s">
        <v>1317</v>
      </c>
      <c r="O539" s="3" t="s">
        <v>441</v>
      </c>
      <c r="P539" s="3" t="s">
        <v>1318</v>
      </c>
      <c r="Q539" s="5">
        <v>72600</v>
      </c>
      <c r="R539" s="5"/>
      <c r="S539" s="5"/>
      <c r="T539" s="3"/>
      <c r="U539" s="3" t="s">
        <v>153</v>
      </c>
      <c r="V539" s="3"/>
      <c r="W539" s="6"/>
      <c r="X539" s="6"/>
      <c r="Y539" s="3"/>
      <c r="Z539" s="3"/>
      <c r="AA539" s="3"/>
      <c r="AB539" s="3" t="s">
        <v>42</v>
      </c>
    </row>
    <row r="540" spans="1:28" ht="33" customHeight="1" x14ac:dyDescent="0.25">
      <c r="A540" s="7" t="s">
        <v>1339</v>
      </c>
      <c r="B540" s="3" t="s">
        <v>1315</v>
      </c>
      <c r="C540" s="3" t="s">
        <v>1316</v>
      </c>
      <c r="D540" s="6"/>
      <c r="E540" s="6">
        <v>45900</v>
      </c>
      <c r="F540" s="3"/>
      <c r="G540" s="6"/>
      <c r="H540" s="3"/>
      <c r="I540" s="6"/>
      <c r="J540" s="3" t="s">
        <v>1333</v>
      </c>
      <c r="K540" s="3"/>
      <c r="L540" s="3">
        <v>8618209</v>
      </c>
      <c r="M540" s="3" t="s">
        <v>34</v>
      </c>
      <c r="N540" s="3" t="s">
        <v>1317</v>
      </c>
      <c r="O540" s="3" t="s">
        <v>441</v>
      </c>
      <c r="P540" s="3" t="s">
        <v>1318</v>
      </c>
      <c r="Q540" s="5">
        <v>38000</v>
      </c>
      <c r="R540" s="5"/>
      <c r="S540" s="5"/>
      <c r="T540" s="3"/>
      <c r="U540" s="3" t="s">
        <v>153</v>
      </c>
      <c r="V540" s="3"/>
      <c r="W540" s="6"/>
      <c r="X540" s="6"/>
      <c r="Y540" s="3"/>
      <c r="Z540" s="3"/>
      <c r="AA540" s="3"/>
      <c r="AB540" s="3" t="s">
        <v>42</v>
      </c>
    </row>
    <row r="541" spans="1:28" ht="33" customHeight="1" x14ac:dyDescent="0.25">
      <c r="A541" s="7" t="s">
        <v>1340</v>
      </c>
      <c r="B541" s="3" t="s">
        <v>1315</v>
      </c>
      <c r="C541" s="3" t="s">
        <v>1335</v>
      </c>
      <c r="D541" s="6"/>
      <c r="E541" s="6">
        <v>45900</v>
      </c>
      <c r="F541" s="3"/>
      <c r="G541" s="6"/>
      <c r="H541" s="3"/>
      <c r="I541" s="6"/>
      <c r="J541" s="3" t="s">
        <v>1333</v>
      </c>
      <c r="K541" s="3"/>
      <c r="L541" s="3">
        <v>8618209</v>
      </c>
      <c r="M541" s="3" t="s">
        <v>34</v>
      </c>
      <c r="N541" s="3" t="s">
        <v>1317</v>
      </c>
      <c r="O541" s="3" t="s">
        <v>441</v>
      </c>
      <c r="P541" s="3" t="s">
        <v>1318</v>
      </c>
      <c r="Q541" s="5">
        <v>13200</v>
      </c>
      <c r="R541" s="5"/>
      <c r="S541" s="5"/>
      <c r="T541" s="3"/>
      <c r="U541" s="3" t="s">
        <v>153</v>
      </c>
      <c r="V541" s="3"/>
      <c r="W541" s="6"/>
      <c r="X541" s="6"/>
      <c r="Y541" s="3"/>
      <c r="Z541" s="3"/>
      <c r="AA541" s="3"/>
      <c r="AB541" s="3" t="s">
        <v>42</v>
      </c>
    </row>
    <row r="542" spans="1:28" ht="33" customHeight="1" x14ac:dyDescent="0.25">
      <c r="A542" s="7" t="s">
        <v>1341</v>
      </c>
      <c r="B542" s="3" t="s">
        <v>1315</v>
      </c>
      <c r="C542" s="3" t="s">
        <v>1316</v>
      </c>
      <c r="D542" s="6"/>
      <c r="E542" s="6">
        <v>45900</v>
      </c>
      <c r="F542" s="3"/>
      <c r="G542" s="6"/>
      <c r="H542" s="3"/>
      <c r="I542" s="6"/>
      <c r="J542" s="3" t="s">
        <v>1342</v>
      </c>
      <c r="K542" s="3"/>
      <c r="L542" s="3">
        <v>9378475</v>
      </c>
      <c r="M542" s="3" t="s">
        <v>48</v>
      </c>
      <c r="N542" s="3" t="s">
        <v>1317</v>
      </c>
      <c r="O542" s="3" t="s">
        <v>441</v>
      </c>
      <c r="P542" s="3" t="s">
        <v>1318</v>
      </c>
      <c r="Q542" s="5">
        <v>61939.222462734928</v>
      </c>
      <c r="R542" s="5"/>
      <c r="S542" s="5"/>
      <c r="T542" s="3"/>
      <c r="U542" s="3" t="s">
        <v>153</v>
      </c>
      <c r="V542" s="3"/>
      <c r="W542" s="6"/>
      <c r="X542" s="6"/>
      <c r="Y542" s="3"/>
      <c r="Z542" s="3"/>
      <c r="AA542" s="3"/>
      <c r="AB542" s="3" t="s">
        <v>477</v>
      </c>
    </row>
    <row r="543" spans="1:28" ht="33" customHeight="1" x14ac:dyDescent="0.25">
      <c r="A543" s="7" t="s">
        <v>1343</v>
      </c>
      <c r="B543" s="3" t="s">
        <v>1315</v>
      </c>
      <c r="C543" s="3" t="s">
        <v>1316</v>
      </c>
      <c r="D543" s="6"/>
      <c r="E543" s="6">
        <v>45900</v>
      </c>
      <c r="F543" s="3"/>
      <c r="G543" s="6"/>
      <c r="H543" s="3"/>
      <c r="I543" s="6"/>
      <c r="J543" s="3" t="s">
        <v>1344</v>
      </c>
      <c r="K543" s="3"/>
      <c r="L543" s="3">
        <v>9452067</v>
      </c>
      <c r="M543" s="3" t="s">
        <v>92</v>
      </c>
      <c r="N543" s="3" t="s">
        <v>1317</v>
      </c>
      <c r="O543" s="3" t="s">
        <v>441</v>
      </c>
      <c r="P543" s="3" t="s">
        <v>1318</v>
      </c>
      <c r="Q543" s="5">
        <v>64600</v>
      </c>
      <c r="R543" s="5"/>
      <c r="S543" s="5"/>
      <c r="T543" s="3"/>
      <c r="U543" s="3" t="s">
        <v>153</v>
      </c>
      <c r="V543" s="3"/>
      <c r="W543" s="6"/>
      <c r="X543" s="6"/>
      <c r="Y543" s="3"/>
      <c r="Z543" s="3"/>
      <c r="AA543" s="3"/>
      <c r="AB543" s="3" t="s">
        <v>477</v>
      </c>
    </row>
    <row r="544" spans="1:28" ht="33" customHeight="1" x14ac:dyDescent="0.25">
      <c r="A544" s="7" t="s">
        <v>1345</v>
      </c>
      <c r="B544" s="3" t="s">
        <v>1315</v>
      </c>
      <c r="C544" s="3" t="s">
        <v>1316</v>
      </c>
      <c r="D544" s="6"/>
      <c r="E544" s="6">
        <v>45900</v>
      </c>
      <c r="F544" s="3"/>
      <c r="G544" s="6"/>
      <c r="H544" s="3"/>
      <c r="I544" s="6"/>
      <c r="J544" s="3" t="s">
        <v>68</v>
      </c>
      <c r="K544" s="3"/>
      <c r="L544" s="3">
        <v>1990370</v>
      </c>
      <c r="M544" s="3" t="s">
        <v>34</v>
      </c>
      <c r="N544" s="3" t="s">
        <v>1317</v>
      </c>
      <c r="O544" s="3" t="s">
        <v>441</v>
      </c>
      <c r="P544" s="3" t="s">
        <v>1318</v>
      </c>
      <c r="Q544" s="5">
        <v>68313.629401916973</v>
      </c>
      <c r="R544" s="5"/>
      <c r="S544" s="5"/>
      <c r="T544" s="3"/>
      <c r="U544" s="3" t="s">
        <v>153</v>
      </c>
      <c r="V544" s="3"/>
      <c r="W544" s="6"/>
      <c r="X544" s="6"/>
      <c r="Y544" s="3"/>
      <c r="Z544" s="3"/>
      <c r="AA544" s="3"/>
      <c r="AB544" s="3" t="s">
        <v>42</v>
      </c>
    </row>
    <row r="545" spans="1:28" ht="33" customHeight="1" x14ac:dyDescent="0.25">
      <c r="A545" s="7" t="s">
        <v>1346</v>
      </c>
      <c r="B545" s="3" t="s">
        <v>1315</v>
      </c>
      <c r="C545" s="3" t="s">
        <v>1316</v>
      </c>
      <c r="D545" s="6"/>
      <c r="E545" s="6">
        <v>45900</v>
      </c>
      <c r="F545" s="3"/>
      <c r="G545" s="6"/>
      <c r="H545" s="3"/>
      <c r="I545" s="6"/>
      <c r="J545" s="3" t="s">
        <v>68</v>
      </c>
      <c r="K545" s="3"/>
      <c r="L545" s="3">
        <v>1990370</v>
      </c>
      <c r="M545" s="3" t="s">
        <v>34</v>
      </c>
      <c r="N545" s="3" t="s">
        <v>1317</v>
      </c>
      <c r="O545" s="3" t="s">
        <v>441</v>
      </c>
      <c r="P545" s="3" t="s">
        <v>1318</v>
      </c>
      <c r="Q545" s="5">
        <v>68313.629401916973</v>
      </c>
      <c r="R545" s="5"/>
      <c r="S545" s="5"/>
      <c r="T545" s="3"/>
      <c r="U545" s="3" t="s">
        <v>153</v>
      </c>
      <c r="V545" s="3"/>
      <c r="W545" s="6"/>
      <c r="X545" s="6"/>
      <c r="Y545" s="3"/>
      <c r="Z545" s="3"/>
      <c r="AA545" s="3"/>
      <c r="AB545" s="3" t="s">
        <v>42</v>
      </c>
    </row>
    <row r="546" spans="1:28" ht="33" customHeight="1" x14ac:dyDescent="0.25">
      <c r="A546" s="7" t="s">
        <v>1347</v>
      </c>
      <c r="B546" s="3" t="s">
        <v>1315</v>
      </c>
      <c r="C546" s="3" t="s">
        <v>1316</v>
      </c>
      <c r="D546" s="6"/>
      <c r="E546" s="6">
        <v>45900</v>
      </c>
      <c r="F546" s="3"/>
      <c r="G546" s="6"/>
      <c r="H546" s="3"/>
      <c r="I546" s="6"/>
      <c r="J546" s="3" t="s">
        <v>68</v>
      </c>
      <c r="K546" s="3"/>
      <c r="L546" s="3">
        <v>1990370</v>
      </c>
      <c r="M546" s="3" t="s">
        <v>34</v>
      </c>
      <c r="N546" s="3" t="s">
        <v>1317</v>
      </c>
      <c r="O546" s="3" t="s">
        <v>441</v>
      </c>
      <c r="P546" s="3" t="s">
        <v>1318</v>
      </c>
      <c r="Q546" s="5">
        <v>21938.448476992871</v>
      </c>
      <c r="R546" s="5"/>
      <c r="S546" s="5"/>
      <c r="T546" s="3"/>
      <c r="U546" s="3" t="s">
        <v>153</v>
      </c>
      <c r="V546" s="3"/>
      <c r="W546" s="6"/>
      <c r="X546" s="6"/>
      <c r="Y546" s="3"/>
      <c r="Z546" s="3"/>
      <c r="AA546" s="3"/>
      <c r="AB546" s="3" t="s">
        <v>42</v>
      </c>
    </row>
    <row r="547" spans="1:28" ht="33" customHeight="1" x14ac:dyDescent="0.25">
      <c r="A547" s="7" t="s">
        <v>1348</v>
      </c>
      <c r="B547" s="3" t="s">
        <v>1315</v>
      </c>
      <c r="C547" s="3" t="s">
        <v>1316</v>
      </c>
      <c r="D547" s="6"/>
      <c r="E547" s="6">
        <v>45900</v>
      </c>
      <c r="F547" s="3"/>
      <c r="G547" s="6"/>
      <c r="H547" s="3"/>
      <c r="I547" s="6"/>
      <c r="J547" s="3" t="s">
        <v>68</v>
      </c>
      <c r="K547" s="3"/>
      <c r="L547" s="3">
        <v>1990370</v>
      </c>
      <c r="M547" s="3" t="s">
        <v>34</v>
      </c>
      <c r="N547" s="3" t="s">
        <v>1317</v>
      </c>
      <c r="O547" s="3" t="s">
        <v>441</v>
      </c>
      <c r="P547" s="3" t="s">
        <v>1318</v>
      </c>
      <c r="Q547" s="5">
        <v>69409.569980557353</v>
      </c>
      <c r="R547" s="5"/>
      <c r="S547" s="5"/>
      <c r="T547" s="3"/>
      <c r="U547" s="3" t="s">
        <v>153</v>
      </c>
      <c r="V547" s="3"/>
      <c r="W547" s="6"/>
      <c r="X547" s="6"/>
      <c r="Y547" s="3"/>
      <c r="Z547" s="3"/>
      <c r="AA547" s="3"/>
      <c r="AB547" s="3" t="s">
        <v>42</v>
      </c>
    </row>
    <row r="548" spans="1:28" ht="33" customHeight="1" x14ac:dyDescent="0.25">
      <c r="A548" s="7" t="s">
        <v>1349</v>
      </c>
      <c r="B548" s="3" t="s">
        <v>1315</v>
      </c>
      <c r="C548" s="3" t="s">
        <v>1316</v>
      </c>
      <c r="D548" s="6"/>
      <c r="E548" s="6">
        <v>45900</v>
      </c>
      <c r="F548" s="3"/>
      <c r="G548" s="6"/>
      <c r="H548" s="3"/>
      <c r="I548" s="6"/>
      <c r="J548" s="3" t="s">
        <v>68</v>
      </c>
      <c r="K548" s="3"/>
      <c r="L548" s="3">
        <v>1990370</v>
      </c>
      <c r="M548" s="3" t="s">
        <v>34</v>
      </c>
      <c r="N548" s="3" t="s">
        <v>1317</v>
      </c>
      <c r="O548" s="3" t="s">
        <v>441</v>
      </c>
      <c r="P548" s="3" t="s">
        <v>1318</v>
      </c>
      <c r="Q548" s="5">
        <v>69409.569980557353</v>
      </c>
      <c r="R548" s="5"/>
      <c r="S548" s="5"/>
      <c r="T548" s="3"/>
      <c r="U548" s="3" t="s">
        <v>153</v>
      </c>
      <c r="V548" s="3"/>
      <c r="W548" s="6"/>
      <c r="X548" s="6"/>
      <c r="Y548" s="3"/>
      <c r="Z548" s="3"/>
      <c r="AA548" s="3"/>
      <c r="AB548" s="3" t="s">
        <v>42</v>
      </c>
    </row>
    <row r="549" spans="1:28" ht="33" customHeight="1" x14ac:dyDescent="0.25">
      <c r="A549" s="7" t="s">
        <v>1350</v>
      </c>
      <c r="B549" s="3" t="s">
        <v>1315</v>
      </c>
      <c r="C549" s="3" t="s">
        <v>1316</v>
      </c>
      <c r="D549" s="6"/>
      <c r="E549" s="6">
        <v>45900</v>
      </c>
      <c r="F549" s="3"/>
      <c r="G549" s="6"/>
      <c r="H549" s="3"/>
      <c r="I549" s="6"/>
      <c r="J549" s="3" t="s">
        <v>68</v>
      </c>
      <c r="K549" s="3"/>
      <c r="L549" s="3">
        <v>1990370</v>
      </c>
      <c r="M549" s="3" t="s">
        <v>34</v>
      </c>
      <c r="N549" s="3" t="s">
        <v>1317</v>
      </c>
      <c r="O549" s="3" t="s">
        <v>441</v>
      </c>
      <c r="P549" s="3" t="s">
        <v>1318</v>
      </c>
      <c r="Q549" s="5">
        <v>24183.318211276732</v>
      </c>
      <c r="R549" s="5"/>
      <c r="S549" s="5"/>
      <c r="T549" s="3"/>
      <c r="U549" s="3" t="s">
        <v>153</v>
      </c>
      <c r="V549" s="3"/>
      <c r="W549" s="6"/>
      <c r="X549" s="6"/>
      <c r="Y549" s="3"/>
      <c r="Z549" s="3"/>
      <c r="AA549" s="3"/>
      <c r="AB549" s="3" t="s">
        <v>42</v>
      </c>
    </row>
    <row r="550" spans="1:28" ht="33" customHeight="1" x14ac:dyDescent="0.25">
      <c r="A550" s="7" t="s">
        <v>1351</v>
      </c>
      <c r="B550" s="3" t="s">
        <v>1315</v>
      </c>
      <c r="C550" s="3" t="s">
        <v>1316</v>
      </c>
      <c r="D550" s="6"/>
      <c r="E550" s="6">
        <v>45900</v>
      </c>
      <c r="F550" s="3"/>
      <c r="G550" s="6"/>
      <c r="H550" s="3"/>
      <c r="I550" s="6"/>
      <c r="J550" s="3" t="s">
        <v>68</v>
      </c>
      <c r="K550" s="3"/>
      <c r="L550" s="3">
        <v>1990370</v>
      </c>
      <c r="M550" s="3" t="s">
        <v>34</v>
      </c>
      <c r="N550" s="3" t="s">
        <v>1317</v>
      </c>
      <c r="O550" s="3" t="s">
        <v>441</v>
      </c>
      <c r="P550" s="3" t="s">
        <v>1318</v>
      </c>
      <c r="Q550" s="5">
        <v>69409.569980557353</v>
      </c>
      <c r="R550" s="5"/>
      <c r="S550" s="5"/>
      <c r="T550" s="3"/>
      <c r="U550" s="3" t="s">
        <v>153</v>
      </c>
      <c r="V550" s="3"/>
      <c r="W550" s="6"/>
      <c r="X550" s="6"/>
      <c r="Y550" s="3"/>
      <c r="Z550" s="3"/>
      <c r="AA550" s="3"/>
      <c r="AB550" s="3" t="s">
        <v>42</v>
      </c>
    </row>
    <row r="551" spans="1:28" ht="33" customHeight="1" x14ac:dyDescent="0.25">
      <c r="A551" s="7" t="s">
        <v>1352</v>
      </c>
      <c r="B551" s="3" t="s">
        <v>1315</v>
      </c>
      <c r="C551" s="3" t="s">
        <v>1316</v>
      </c>
      <c r="D551" s="6"/>
      <c r="E551" s="6">
        <v>45900</v>
      </c>
      <c r="F551" s="3"/>
      <c r="G551" s="6"/>
      <c r="H551" s="3"/>
      <c r="I551" s="6"/>
      <c r="J551" s="3" t="s">
        <v>68</v>
      </c>
      <c r="K551" s="3"/>
      <c r="L551" s="3">
        <v>1990370</v>
      </c>
      <c r="M551" s="3" t="s">
        <v>34</v>
      </c>
      <c r="N551" s="3" t="s">
        <v>1317</v>
      </c>
      <c r="O551" s="3" t="s">
        <v>441</v>
      </c>
      <c r="P551" s="3" t="s">
        <v>1318</v>
      </c>
      <c r="Q551" s="5">
        <v>19038.275022683087</v>
      </c>
      <c r="R551" s="5"/>
      <c r="S551" s="5"/>
      <c r="T551" s="3"/>
      <c r="U551" s="3" t="s">
        <v>153</v>
      </c>
      <c r="V551" s="3"/>
      <c r="W551" s="6"/>
      <c r="X551" s="6"/>
      <c r="Y551" s="3"/>
      <c r="Z551" s="3"/>
      <c r="AA551" s="3"/>
      <c r="AB551" s="3" t="s">
        <v>42</v>
      </c>
    </row>
    <row r="552" spans="1:28" ht="33" customHeight="1" x14ac:dyDescent="0.25">
      <c r="A552" s="7" t="s">
        <v>1353</v>
      </c>
      <c r="B552" s="3" t="s">
        <v>1315</v>
      </c>
      <c r="C552" s="3" t="s">
        <v>1316</v>
      </c>
      <c r="D552" s="6"/>
      <c r="E552" s="6">
        <v>45900</v>
      </c>
      <c r="F552" s="3"/>
      <c r="G552" s="6"/>
      <c r="H552" s="3"/>
      <c r="I552" s="6"/>
      <c r="J552" s="3" t="s">
        <v>68</v>
      </c>
      <c r="K552" s="3"/>
      <c r="L552" s="3">
        <v>1990370</v>
      </c>
      <c r="M552" s="3" t="s">
        <v>34</v>
      </c>
      <c r="N552" s="3" t="s">
        <v>1317</v>
      </c>
      <c r="O552" s="3" t="s">
        <v>441</v>
      </c>
      <c r="P552" s="3" t="s">
        <v>1318</v>
      </c>
      <c r="Q552" s="5">
        <v>11499.999999999998</v>
      </c>
      <c r="R552" s="5"/>
      <c r="S552" s="5"/>
      <c r="T552" s="3"/>
      <c r="U552" s="3" t="s">
        <v>153</v>
      </c>
      <c r="V552" s="3"/>
      <c r="W552" s="6"/>
      <c r="X552" s="6"/>
      <c r="Y552" s="3"/>
      <c r="Z552" s="3"/>
      <c r="AA552" s="3"/>
      <c r="AB552" s="3" t="s">
        <v>42</v>
      </c>
    </row>
    <row r="553" spans="1:28" ht="33" customHeight="1" x14ac:dyDescent="0.25">
      <c r="A553" s="7" t="s">
        <v>1354</v>
      </c>
      <c r="B553" s="3" t="s">
        <v>1315</v>
      </c>
      <c r="C553" s="3" t="s">
        <v>1316</v>
      </c>
      <c r="D553" s="6"/>
      <c r="E553" s="6">
        <v>45900</v>
      </c>
      <c r="F553" s="3"/>
      <c r="G553" s="6"/>
      <c r="H553" s="3"/>
      <c r="I553" s="6"/>
      <c r="J553" s="3" t="s">
        <v>68</v>
      </c>
      <c r="K553" s="3"/>
      <c r="L553" s="3">
        <v>1990370</v>
      </c>
      <c r="M553" s="3" t="s">
        <v>34</v>
      </c>
      <c r="N553" s="3" t="s">
        <v>1317</v>
      </c>
      <c r="O553" s="3" t="s">
        <v>441</v>
      </c>
      <c r="P553" s="3" t="s">
        <v>1318</v>
      </c>
      <c r="Q553" s="5">
        <v>68313.629401916973</v>
      </c>
      <c r="R553" s="5"/>
      <c r="S553" s="5"/>
      <c r="T553" s="3"/>
      <c r="U553" s="3" t="s">
        <v>153</v>
      </c>
      <c r="V553" s="3"/>
      <c r="W553" s="6"/>
      <c r="X553" s="6"/>
      <c r="Y553" s="3"/>
      <c r="Z553" s="3"/>
      <c r="AA553" s="3"/>
      <c r="AB553" s="3" t="s">
        <v>42</v>
      </c>
    </row>
    <row r="554" spans="1:28" ht="33" customHeight="1" x14ac:dyDescent="0.25">
      <c r="A554" s="7" t="s">
        <v>1355</v>
      </c>
      <c r="B554" s="3" t="s">
        <v>1315</v>
      </c>
      <c r="C554" s="3" t="s">
        <v>1316</v>
      </c>
      <c r="D554" s="6"/>
      <c r="E554" s="6">
        <v>45900</v>
      </c>
      <c r="F554" s="3"/>
      <c r="G554" s="6"/>
      <c r="H554" s="3"/>
      <c r="I554" s="6"/>
      <c r="J554" s="3" t="s">
        <v>68</v>
      </c>
      <c r="K554" s="3"/>
      <c r="L554" s="3">
        <v>1990370</v>
      </c>
      <c r="M554" s="3" t="s">
        <v>34</v>
      </c>
      <c r="N554" s="3" t="s">
        <v>1317</v>
      </c>
      <c r="O554" s="3" t="s">
        <v>441</v>
      </c>
      <c r="P554" s="3" t="s">
        <v>1318</v>
      </c>
      <c r="Q554" s="5">
        <v>68313.629401916973</v>
      </c>
      <c r="R554" s="5"/>
      <c r="S554" s="5"/>
      <c r="T554" s="3"/>
      <c r="U554" s="3" t="s">
        <v>153</v>
      </c>
      <c r="V554" s="3"/>
      <c r="W554" s="6"/>
      <c r="X554" s="6"/>
      <c r="Y554" s="3"/>
      <c r="Z554" s="3"/>
      <c r="AA554" s="3"/>
      <c r="AB554" s="3" t="s">
        <v>42</v>
      </c>
    </row>
    <row r="555" spans="1:28" ht="33" customHeight="1" x14ac:dyDescent="0.25">
      <c r="A555" s="7" t="s">
        <v>1356</v>
      </c>
      <c r="B555" s="3" t="s">
        <v>1315</v>
      </c>
      <c r="C555" s="3" t="s">
        <v>1316</v>
      </c>
      <c r="D555" s="6"/>
      <c r="E555" s="6">
        <v>45900</v>
      </c>
      <c r="F555" s="3"/>
      <c r="G555" s="6"/>
      <c r="H555" s="3"/>
      <c r="I555" s="6"/>
      <c r="J555" s="3" t="s">
        <v>68</v>
      </c>
      <c r="K555" s="3"/>
      <c r="L555" s="3">
        <v>1990370</v>
      </c>
      <c r="M555" s="3" t="s">
        <v>34</v>
      </c>
      <c r="N555" s="3" t="s">
        <v>1317</v>
      </c>
      <c r="O555" s="3" t="s">
        <v>441</v>
      </c>
      <c r="P555" s="3" t="s">
        <v>1318</v>
      </c>
      <c r="Q555" s="5">
        <v>69409.569980557353</v>
      </c>
      <c r="R555" s="5"/>
      <c r="S555" s="5"/>
      <c r="T555" s="3"/>
      <c r="U555" s="3" t="s">
        <v>153</v>
      </c>
      <c r="V555" s="3"/>
      <c r="W555" s="6"/>
      <c r="X555" s="6"/>
      <c r="Y555" s="3"/>
      <c r="Z555" s="3"/>
      <c r="AA555" s="3"/>
      <c r="AB555" s="3" t="s">
        <v>42</v>
      </c>
    </row>
    <row r="556" spans="1:28" ht="33" customHeight="1" x14ac:dyDescent="0.25">
      <c r="A556" s="7" t="s">
        <v>1357</v>
      </c>
      <c r="B556" s="3" t="s">
        <v>1315</v>
      </c>
      <c r="C556" s="3" t="s">
        <v>1316</v>
      </c>
      <c r="D556" s="6"/>
      <c r="E556" s="6">
        <v>45900</v>
      </c>
      <c r="F556" s="3"/>
      <c r="G556" s="6"/>
      <c r="H556" s="3"/>
      <c r="I556" s="6"/>
      <c r="J556" s="3" t="s">
        <v>68</v>
      </c>
      <c r="K556" s="3"/>
      <c r="L556" s="3">
        <v>1990370</v>
      </c>
      <c r="M556" s="3" t="s">
        <v>34</v>
      </c>
      <c r="N556" s="3" t="s">
        <v>1317</v>
      </c>
      <c r="O556" s="3" t="s">
        <v>441</v>
      </c>
      <c r="P556" s="3" t="s">
        <v>1318</v>
      </c>
      <c r="Q556" s="5">
        <v>69409.569980557353</v>
      </c>
      <c r="R556" s="5"/>
      <c r="S556" s="5"/>
      <c r="T556" s="3"/>
      <c r="U556" s="3" t="s">
        <v>153</v>
      </c>
      <c r="V556" s="3"/>
      <c r="W556" s="6"/>
      <c r="X556" s="6"/>
      <c r="Y556" s="3"/>
      <c r="Z556" s="3"/>
      <c r="AA556" s="3"/>
      <c r="AB556" s="3" t="s">
        <v>42</v>
      </c>
    </row>
    <row r="557" spans="1:28" ht="33" customHeight="1" x14ac:dyDescent="0.25">
      <c r="A557" s="7" t="s">
        <v>1358</v>
      </c>
      <c r="B557" s="3" t="s">
        <v>1315</v>
      </c>
      <c r="C557" s="3" t="s">
        <v>1316</v>
      </c>
      <c r="D557" s="6"/>
      <c r="E557" s="6">
        <v>45900</v>
      </c>
      <c r="F557" s="3"/>
      <c r="G557" s="6"/>
      <c r="H557" s="3"/>
      <c r="I557" s="6"/>
      <c r="J557" s="3" t="s">
        <v>68</v>
      </c>
      <c r="K557" s="3"/>
      <c r="L557" s="3">
        <v>1990370</v>
      </c>
      <c r="M557" s="3" t="s">
        <v>34</v>
      </c>
      <c r="N557" s="3" t="s">
        <v>1317</v>
      </c>
      <c r="O557" s="3" t="s">
        <v>441</v>
      </c>
      <c r="P557" s="3" t="s">
        <v>1318</v>
      </c>
      <c r="Q557" s="5">
        <v>69409.569980557353</v>
      </c>
      <c r="R557" s="5"/>
      <c r="S557" s="5"/>
      <c r="T557" s="3"/>
      <c r="U557" s="3" t="s">
        <v>153</v>
      </c>
      <c r="V557" s="3"/>
      <c r="W557" s="6"/>
      <c r="X557" s="6"/>
      <c r="Y557" s="3"/>
      <c r="Z557" s="3"/>
      <c r="AA557" s="3"/>
      <c r="AB557" s="3" t="s">
        <v>42</v>
      </c>
    </row>
    <row r="558" spans="1:28" ht="33" customHeight="1" x14ac:dyDescent="0.25">
      <c r="A558" s="7" t="s">
        <v>1359</v>
      </c>
      <c r="B558" s="3" t="s">
        <v>1315</v>
      </c>
      <c r="C558" s="3" t="s">
        <v>1316</v>
      </c>
      <c r="D558" s="6"/>
      <c r="E558" s="6">
        <v>45900</v>
      </c>
      <c r="F558" s="3"/>
      <c r="G558" s="6"/>
      <c r="H558" s="3"/>
      <c r="I558" s="6"/>
      <c r="J558" s="3" t="s">
        <v>68</v>
      </c>
      <c r="K558" s="3"/>
      <c r="L558" s="3">
        <v>1990370</v>
      </c>
      <c r="M558" s="3" t="s">
        <v>34</v>
      </c>
      <c r="N558" s="3" t="s">
        <v>1317</v>
      </c>
      <c r="O558" s="3" t="s">
        <v>441</v>
      </c>
      <c r="P558" s="3" t="s">
        <v>1318</v>
      </c>
      <c r="Q558" s="5">
        <v>69409.569980557353</v>
      </c>
      <c r="R558" s="5"/>
      <c r="S558" s="5"/>
      <c r="T558" s="3"/>
      <c r="U558" s="3" t="s">
        <v>153</v>
      </c>
      <c r="V558" s="3"/>
      <c r="W558" s="6"/>
      <c r="X558" s="6"/>
      <c r="Y558" s="3"/>
      <c r="Z558" s="3"/>
      <c r="AA558" s="3"/>
      <c r="AB558" s="3" t="s">
        <v>42</v>
      </c>
    </row>
    <row r="559" spans="1:28" ht="33" customHeight="1" x14ac:dyDescent="0.25">
      <c r="A559" s="7" t="s">
        <v>1360</v>
      </c>
      <c r="B559" s="3" t="s">
        <v>1315</v>
      </c>
      <c r="C559" s="3" t="s">
        <v>1316</v>
      </c>
      <c r="D559" s="6"/>
      <c r="E559" s="6">
        <v>45900</v>
      </c>
      <c r="F559" s="3"/>
      <c r="G559" s="6"/>
      <c r="H559" s="3"/>
      <c r="I559" s="6"/>
      <c r="J559" s="3" t="s">
        <v>68</v>
      </c>
      <c r="K559" s="3"/>
      <c r="L559" s="3">
        <v>1990370</v>
      </c>
      <c r="M559" s="3" t="s">
        <v>34</v>
      </c>
      <c r="N559" s="3" t="s">
        <v>1317</v>
      </c>
      <c r="O559" s="3" t="s">
        <v>441</v>
      </c>
      <c r="P559" s="3" t="s">
        <v>1318</v>
      </c>
      <c r="Q559" s="5">
        <v>69409.569980557353</v>
      </c>
      <c r="R559" s="5"/>
      <c r="S559" s="5"/>
      <c r="T559" s="3"/>
      <c r="U559" s="3" t="s">
        <v>153</v>
      </c>
      <c r="V559" s="3"/>
      <c r="W559" s="6"/>
      <c r="X559" s="6"/>
      <c r="Y559" s="3"/>
      <c r="Z559" s="3"/>
      <c r="AA559" s="3"/>
      <c r="AB559" s="3" t="s">
        <v>42</v>
      </c>
    </row>
    <row r="560" spans="1:28" ht="33" customHeight="1" x14ac:dyDescent="0.25">
      <c r="A560" s="7" t="s">
        <v>1361</v>
      </c>
      <c r="B560" s="3" t="s">
        <v>1315</v>
      </c>
      <c r="C560" s="3" t="s">
        <v>1316</v>
      </c>
      <c r="D560" s="6"/>
      <c r="E560" s="6">
        <v>45900</v>
      </c>
      <c r="F560" s="3"/>
      <c r="G560" s="6"/>
      <c r="H560" s="3"/>
      <c r="I560" s="6"/>
      <c r="J560" s="3" t="s">
        <v>68</v>
      </c>
      <c r="K560" s="3"/>
      <c r="L560" s="3">
        <v>1990370</v>
      </c>
      <c r="M560" s="3" t="s">
        <v>34</v>
      </c>
      <c r="N560" s="3" t="s">
        <v>1317</v>
      </c>
      <c r="O560" s="3" t="s">
        <v>441</v>
      </c>
      <c r="P560" s="3" t="s">
        <v>1318</v>
      </c>
      <c r="Q560" s="5">
        <v>69409.569980557353</v>
      </c>
      <c r="R560" s="5"/>
      <c r="S560" s="5"/>
      <c r="T560" s="3"/>
      <c r="U560" s="3" t="s">
        <v>153</v>
      </c>
      <c r="V560" s="3"/>
      <c r="W560" s="6"/>
      <c r="X560" s="6"/>
      <c r="Y560" s="3"/>
      <c r="Z560" s="3"/>
      <c r="AA560" s="3"/>
      <c r="AB560" s="3" t="s">
        <v>42</v>
      </c>
    </row>
    <row r="561" spans="1:28" ht="33" customHeight="1" x14ac:dyDescent="0.25">
      <c r="A561" s="7" t="s">
        <v>1362</v>
      </c>
      <c r="B561" s="3" t="s">
        <v>1315</v>
      </c>
      <c r="C561" s="3" t="s">
        <v>1316</v>
      </c>
      <c r="D561" s="6"/>
      <c r="E561" s="6">
        <v>45900</v>
      </c>
      <c r="F561" s="3"/>
      <c r="G561" s="6"/>
      <c r="H561" s="3"/>
      <c r="I561" s="6"/>
      <c r="J561" s="3" t="s">
        <v>991</v>
      </c>
      <c r="K561" s="3"/>
      <c r="L561" s="3">
        <v>2778802</v>
      </c>
      <c r="M561" s="3" t="s">
        <v>48</v>
      </c>
      <c r="N561" s="3" t="s">
        <v>1317</v>
      </c>
      <c r="O561" s="3" t="s">
        <v>441</v>
      </c>
      <c r="P561" s="3" t="s">
        <v>1318</v>
      </c>
      <c r="Q561" s="5">
        <v>32000</v>
      </c>
      <c r="R561" s="5"/>
      <c r="S561" s="5"/>
      <c r="T561" s="3"/>
      <c r="U561" s="3" t="s">
        <v>153</v>
      </c>
      <c r="V561" s="3"/>
      <c r="W561" s="6"/>
      <c r="X561" s="6"/>
      <c r="Y561" s="3"/>
      <c r="Z561" s="3"/>
      <c r="AA561" s="3"/>
      <c r="AB561" s="3" t="s">
        <v>42</v>
      </c>
    </row>
    <row r="562" spans="1:28" ht="33" customHeight="1" x14ac:dyDescent="0.25">
      <c r="A562" s="7" t="s">
        <v>1363</v>
      </c>
      <c r="B562" s="3" t="s">
        <v>1315</v>
      </c>
      <c r="C562" s="3" t="s">
        <v>1316</v>
      </c>
      <c r="D562" s="6"/>
      <c r="E562" s="6">
        <v>45900</v>
      </c>
      <c r="F562" s="3"/>
      <c r="G562" s="6"/>
      <c r="H562" s="3"/>
      <c r="I562" s="6"/>
      <c r="J562" s="3" t="s">
        <v>991</v>
      </c>
      <c r="K562" s="3"/>
      <c r="L562" s="3">
        <v>2778802</v>
      </c>
      <c r="M562" s="3" t="s">
        <v>48</v>
      </c>
      <c r="N562" s="3" t="s">
        <v>1317</v>
      </c>
      <c r="O562" s="3" t="s">
        <v>441</v>
      </c>
      <c r="P562" s="3" t="s">
        <v>1318</v>
      </c>
      <c r="Q562" s="5">
        <v>54780</v>
      </c>
      <c r="R562" s="5"/>
      <c r="S562" s="5"/>
      <c r="T562" s="3"/>
      <c r="U562" s="3" t="s">
        <v>153</v>
      </c>
      <c r="V562" s="3"/>
      <c r="W562" s="6"/>
      <c r="X562" s="6"/>
      <c r="Y562" s="3"/>
      <c r="Z562" s="3"/>
      <c r="AA562" s="3"/>
      <c r="AB562" s="3" t="s">
        <v>42</v>
      </c>
    </row>
    <row r="563" spans="1:28" ht="33" customHeight="1" x14ac:dyDescent="0.25">
      <c r="A563" s="7" t="s">
        <v>1364</v>
      </c>
      <c r="B563" s="3" t="s">
        <v>1315</v>
      </c>
      <c r="C563" s="3" t="s">
        <v>1316</v>
      </c>
      <c r="D563" s="6"/>
      <c r="E563" s="6">
        <v>45900</v>
      </c>
      <c r="F563" s="3"/>
      <c r="G563" s="6"/>
      <c r="H563" s="3"/>
      <c r="I563" s="6"/>
      <c r="J563" s="3" t="s">
        <v>1050</v>
      </c>
      <c r="K563" s="3"/>
      <c r="L563" s="3">
        <v>4367719</v>
      </c>
      <c r="M563" s="3" t="s">
        <v>34</v>
      </c>
      <c r="N563" s="3" t="s">
        <v>1317</v>
      </c>
      <c r="O563" s="3" t="s">
        <v>441</v>
      </c>
      <c r="P563" s="3" t="s">
        <v>1318</v>
      </c>
      <c r="Q563" s="5">
        <v>50350</v>
      </c>
      <c r="R563" s="5"/>
      <c r="S563" s="5"/>
      <c r="T563" s="3"/>
      <c r="U563" s="3" t="s">
        <v>153</v>
      </c>
      <c r="V563" s="3"/>
      <c r="W563" s="6"/>
      <c r="X563" s="6"/>
      <c r="Y563" s="3"/>
      <c r="Z563" s="3"/>
      <c r="AA563" s="3"/>
      <c r="AB563" s="3" t="s">
        <v>477</v>
      </c>
    </row>
    <row r="564" spans="1:28" ht="33" customHeight="1" x14ac:dyDescent="0.25">
      <c r="A564" s="7" t="s">
        <v>1365</v>
      </c>
      <c r="B564" s="3" t="s">
        <v>1315</v>
      </c>
      <c r="C564" s="3" t="s">
        <v>1316</v>
      </c>
      <c r="D564" s="6"/>
      <c r="E564" s="6">
        <v>45900</v>
      </c>
      <c r="F564" s="3"/>
      <c r="G564" s="6"/>
      <c r="H564" s="3"/>
      <c r="I564" s="6"/>
      <c r="J564" s="3" t="s">
        <v>1050</v>
      </c>
      <c r="K564" s="3"/>
      <c r="L564" s="3">
        <v>4367719</v>
      </c>
      <c r="M564" s="3" t="s">
        <v>34</v>
      </c>
      <c r="N564" s="3" t="s">
        <v>1317</v>
      </c>
      <c r="O564" s="3" t="s">
        <v>441</v>
      </c>
      <c r="P564" s="3" t="s">
        <v>1318</v>
      </c>
      <c r="Q564" s="5">
        <v>50350</v>
      </c>
      <c r="R564" s="5"/>
      <c r="S564" s="5"/>
      <c r="T564" s="3"/>
      <c r="U564" s="3" t="s">
        <v>153</v>
      </c>
      <c r="V564" s="3"/>
      <c r="W564" s="6"/>
      <c r="X564" s="6"/>
      <c r="Y564" s="3"/>
      <c r="Z564" s="3"/>
      <c r="AA564" s="3"/>
      <c r="AB564" s="3" t="s">
        <v>477</v>
      </c>
    </row>
    <row r="565" spans="1:28" ht="33" customHeight="1" x14ac:dyDescent="0.25">
      <c r="A565" s="7" t="s">
        <v>1366</v>
      </c>
      <c r="B565" s="3" t="s">
        <v>1315</v>
      </c>
      <c r="C565" s="3" t="s">
        <v>1316</v>
      </c>
      <c r="D565" s="6"/>
      <c r="E565" s="6">
        <v>45900</v>
      </c>
      <c r="F565" s="3"/>
      <c r="G565" s="6"/>
      <c r="H565" s="3"/>
      <c r="I565" s="6"/>
      <c r="J565" s="3" t="s">
        <v>1050</v>
      </c>
      <c r="K565" s="3"/>
      <c r="L565" s="3">
        <v>4367719</v>
      </c>
      <c r="M565" s="3" t="s">
        <v>34</v>
      </c>
      <c r="N565" s="3" t="s">
        <v>1317</v>
      </c>
      <c r="O565" s="3" t="s">
        <v>441</v>
      </c>
      <c r="P565" s="3" t="s">
        <v>1318</v>
      </c>
      <c r="Q565" s="5">
        <v>50350</v>
      </c>
      <c r="R565" s="5"/>
      <c r="S565" s="5"/>
      <c r="T565" s="3"/>
      <c r="U565" s="3" t="s">
        <v>153</v>
      </c>
      <c r="V565" s="3"/>
      <c r="W565" s="6"/>
      <c r="X565" s="6"/>
      <c r="Y565" s="3"/>
      <c r="Z565" s="3"/>
      <c r="AA565" s="3"/>
      <c r="AB565" s="3" t="s">
        <v>477</v>
      </c>
    </row>
    <row r="566" spans="1:28" ht="33" customHeight="1" x14ac:dyDescent="0.25">
      <c r="A566" s="7" t="s">
        <v>1367</v>
      </c>
      <c r="B566" s="3" t="s">
        <v>1315</v>
      </c>
      <c r="C566" s="3" t="s">
        <v>1316</v>
      </c>
      <c r="D566" s="6"/>
      <c r="E566" s="6">
        <v>45900</v>
      </c>
      <c r="F566" s="3"/>
      <c r="G566" s="6"/>
      <c r="H566" s="3"/>
      <c r="I566" s="6"/>
      <c r="J566" s="3" t="s">
        <v>1050</v>
      </c>
      <c r="K566" s="3"/>
      <c r="L566" s="3">
        <v>4367719</v>
      </c>
      <c r="M566" s="3" t="s">
        <v>34</v>
      </c>
      <c r="N566" s="3" t="s">
        <v>1317</v>
      </c>
      <c r="O566" s="3" t="s">
        <v>441</v>
      </c>
      <c r="P566" s="3" t="s">
        <v>1318</v>
      </c>
      <c r="Q566" s="5">
        <v>50350</v>
      </c>
      <c r="R566" s="5"/>
      <c r="S566" s="5"/>
      <c r="T566" s="3"/>
      <c r="U566" s="3" t="s">
        <v>153</v>
      </c>
      <c r="V566" s="3"/>
      <c r="W566" s="6"/>
      <c r="X566" s="6"/>
      <c r="Y566" s="3"/>
      <c r="Z566" s="3"/>
      <c r="AA566" s="3"/>
      <c r="AB566" s="3" t="s">
        <v>477</v>
      </c>
    </row>
    <row r="567" spans="1:28" ht="33" customHeight="1" x14ac:dyDescent="0.25">
      <c r="A567" s="7" t="s">
        <v>1368</v>
      </c>
      <c r="B567" s="3" t="s">
        <v>1315</v>
      </c>
      <c r="C567" s="3" t="s">
        <v>1316</v>
      </c>
      <c r="D567" s="6"/>
      <c r="E567" s="6">
        <v>45900</v>
      </c>
      <c r="F567" s="3"/>
      <c r="G567" s="6"/>
      <c r="H567" s="3"/>
      <c r="I567" s="6"/>
      <c r="J567" s="3" t="s">
        <v>1050</v>
      </c>
      <c r="K567" s="3"/>
      <c r="L567" s="3">
        <v>4367719</v>
      </c>
      <c r="M567" s="3" t="s">
        <v>34</v>
      </c>
      <c r="N567" s="3" t="s">
        <v>1317</v>
      </c>
      <c r="O567" s="3" t="s">
        <v>441</v>
      </c>
      <c r="P567" s="3" t="s">
        <v>1318</v>
      </c>
      <c r="Q567" s="5">
        <v>50350</v>
      </c>
      <c r="R567" s="5"/>
      <c r="S567" s="5"/>
      <c r="T567" s="3"/>
      <c r="U567" s="3" t="s">
        <v>153</v>
      </c>
      <c r="V567" s="3"/>
      <c r="W567" s="6"/>
      <c r="X567" s="6"/>
      <c r="Y567" s="3"/>
      <c r="Z567" s="3"/>
      <c r="AA567" s="3"/>
      <c r="AB567" s="3" t="s">
        <v>477</v>
      </c>
    </row>
    <row r="568" spans="1:28" ht="33" customHeight="1" x14ac:dyDescent="0.25">
      <c r="A568" s="7" t="s">
        <v>1369</v>
      </c>
      <c r="B568" s="3" t="s">
        <v>1315</v>
      </c>
      <c r="C568" s="3" t="s">
        <v>1316</v>
      </c>
      <c r="D568" s="6"/>
      <c r="E568" s="6">
        <v>45900</v>
      </c>
      <c r="F568" s="3"/>
      <c r="G568" s="6"/>
      <c r="H568" s="3"/>
      <c r="I568" s="6"/>
      <c r="J568" s="3" t="s">
        <v>1050</v>
      </c>
      <c r="K568" s="3"/>
      <c r="L568" s="3">
        <v>4367719</v>
      </c>
      <c r="M568" s="3" t="s">
        <v>34</v>
      </c>
      <c r="N568" s="3" t="s">
        <v>1317</v>
      </c>
      <c r="O568" s="3" t="s">
        <v>441</v>
      </c>
      <c r="P568" s="3" t="s">
        <v>1318</v>
      </c>
      <c r="Q568" s="5">
        <v>50350</v>
      </c>
      <c r="R568" s="5"/>
      <c r="S568" s="5"/>
      <c r="T568" s="3"/>
      <c r="U568" s="3" t="s">
        <v>153</v>
      </c>
      <c r="V568" s="3"/>
      <c r="W568" s="6"/>
      <c r="X568" s="6"/>
      <c r="Y568" s="3"/>
      <c r="Z568" s="3"/>
      <c r="AA568" s="3"/>
      <c r="AB568" s="3" t="s">
        <v>477</v>
      </c>
    </row>
    <row r="569" spans="1:28" ht="33" customHeight="1" x14ac:dyDescent="0.25">
      <c r="A569" s="7" t="s">
        <v>1370</v>
      </c>
      <c r="B569" s="3" t="s">
        <v>1315</v>
      </c>
      <c r="C569" s="3" t="s">
        <v>1316</v>
      </c>
      <c r="D569" s="6"/>
      <c r="E569" s="6">
        <v>45900</v>
      </c>
      <c r="F569" s="3"/>
      <c r="G569" s="6"/>
      <c r="H569" s="3"/>
      <c r="I569" s="6"/>
      <c r="J569" s="3" t="s">
        <v>1050</v>
      </c>
      <c r="K569" s="3"/>
      <c r="L569" s="3">
        <v>4367719</v>
      </c>
      <c r="M569" s="3" t="s">
        <v>34</v>
      </c>
      <c r="N569" s="3" t="s">
        <v>1317</v>
      </c>
      <c r="O569" s="3" t="s">
        <v>441</v>
      </c>
      <c r="P569" s="3" t="s">
        <v>1318</v>
      </c>
      <c r="Q569" s="5">
        <v>50350</v>
      </c>
      <c r="R569" s="5"/>
      <c r="S569" s="5"/>
      <c r="T569" s="3"/>
      <c r="U569" s="3" t="s">
        <v>153</v>
      </c>
      <c r="V569" s="3"/>
      <c r="W569" s="6"/>
      <c r="X569" s="6"/>
      <c r="Y569" s="3"/>
      <c r="Z569" s="3"/>
      <c r="AA569" s="3"/>
      <c r="AB569" s="3" t="s">
        <v>477</v>
      </c>
    </row>
    <row r="570" spans="1:28" ht="33" customHeight="1" x14ac:dyDescent="0.25">
      <c r="A570" s="7" t="s">
        <v>1371</v>
      </c>
      <c r="B570" s="3" t="s">
        <v>1315</v>
      </c>
      <c r="C570" s="3" t="s">
        <v>1316</v>
      </c>
      <c r="D570" s="6"/>
      <c r="E570" s="6">
        <v>45900</v>
      </c>
      <c r="F570" s="3"/>
      <c r="G570" s="6"/>
      <c r="H570" s="3"/>
      <c r="I570" s="6"/>
      <c r="J570" s="3" t="s">
        <v>1372</v>
      </c>
      <c r="K570" s="3"/>
      <c r="L570" s="3">
        <v>2008295</v>
      </c>
      <c r="M570" s="3" t="s">
        <v>34</v>
      </c>
      <c r="N570" s="3" t="s">
        <v>1317</v>
      </c>
      <c r="O570" s="3" t="s">
        <v>441</v>
      </c>
      <c r="P570" s="3" t="s">
        <v>1318</v>
      </c>
      <c r="Q570" s="5">
        <v>65148.07958522359</v>
      </c>
      <c r="R570" s="5"/>
      <c r="S570" s="5"/>
      <c r="T570" s="3"/>
      <c r="U570" s="3" t="s">
        <v>153</v>
      </c>
      <c r="V570" s="3"/>
      <c r="W570" s="6"/>
      <c r="X570" s="6"/>
      <c r="Y570" s="3"/>
      <c r="Z570" s="3"/>
      <c r="AA570" s="3"/>
      <c r="AB570" s="3" t="s">
        <v>42</v>
      </c>
    </row>
    <row r="571" spans="1:28" ht="33" customHeight="1" x14ac:dyDescent="0.25">
      <c r="A571" s="7" t="s">
        <v>1373</v>
      </c>
      <c r="B571" s="3" t="s">
        <v>1315</v>
      </c>
      <c r="C571" s="3" t="s">
        <v>1316</v>
      </c>
      <c r="D571" s="6"/>
      <c r="E571" s="6">
        <v>45900</v>
      </c>
      <c r="F571" s="3"/>
      <c r="G571" s="6"/>
      <c r="H571" s="3"/>
      <c r="I571" s="6"/>
      <c r="J571" s="3" t="s">
        <v>1372</v>
      </c>
      <c r="K571" s="3"/>
      <c r="L571" s="3">
        <v>2008295</v>
      </c>
      <c r="M571" s="3" t="s">
        <v>34</v>
      </c>
      <c r="N571" s="3" t="s">
        <v>1317</v>
      </c>
      <c r="O571" s="3" t="s">
        <v>441</v>
      </c>
      <c r="P571" s="3" t="s">
        <v>1318</v>
      </c>
      <c r="Q571" s="5">
        <v>65148.07958522359</v>
      </c>
      <c r="R571" s="5"/>
      <c r="S571" s="5"/>
      <c r="T571" s="3"/>
      <c r="U571" s="3" t="s">
        <v>153</v>
      </c>
      <c r="V571" s="3"/>
      <c r="W571" s="6"/>
      <c r="X571" s="6"/>
      <c r="Y571" s="3"/>
      <c r="Z571" s="3"/>
      <c r="AA571" s="3"/>
      <c r="AB571" s="3" t="s">
        <v>42</v>
      </c>
    </row>
    <row r="572" spans="1:28" ht="33" customHeight="1" x14ac:dyDescent="0.25">
      <c r="A572" s="7" t="s">
        <v>1374</v>
      </c>
      <c r="B572" s="3" t="s">
        <v>1315</v>
      </c>
      <c r="C572" s="3" t="s">
        <v>1316</v>
      </c>
      <c r="D572" s="6"/>
      <c r="E572" s="6">
        <v>45900</v>
      </c>
      <c r="F572" s="3"/>
      <c r="G572" s="6"/>
      <c r="H572" s="3"/>
      <c r="I572" s="6"/>
      <c r="J572" s="3" t="s">
        <v>1372</v>
      </c>
      <c r="K572" s="3"/>
      <c r="L572" s="3">
        <v>2008295</v>
      </c>
      <c r="M572" s="3" t="s">
        <v>34</v>
      </c>
      <c r="N572" s="3" t="s">
        <v>1317</v>
      </c>
      <c r="O572" s="3" t="s">
        <v>441</v>
      </c>
      <c r="P572" s="3" t="s">
        <v>1318</v>
      </c>
      <c r="Q572" s="5">
        <v>65148.079585223597</v>
      </c>
      <c r="R572" s="5"/>
      <c r="S572" s="5"/>
      <c r="T572" s="3"/>
      <c r="U572" s="3" t="s">
        <v>153</v>
      </c>
      <c r="V572" s="3"/>
      <c r="W572" s="6"/>
      <c r="X572" s="6"/>
      <c r="Y572" s="3"/>
      <c r="Z572" s="3"/>
      <c r="AA572" s="3"/>
      <c r="AB572" s="3" t="s">
        <v>42</v>
      </c>
    </row>
    <row r="573" spans="1:28" ht="33" customHeight="1" x14ac:dyDescent="0.25">
      <c r="A573" s="7" t="s">
        <v>1375</v>
      </c>
      <c r="B573" s="3" t="s">
        <v>1315</v>
      </c>
      <c r="C573" s="3" t="s">
        <v>1316</v>
      </c>
      <c r="D573" s="6"/>
      <c r="E573" s="6">
        <v>45900</v>
      </c>
      <c r="F573" s="3"/>
      <c r="G573" s="6"/>
      <c r="H573" s="3"/>
      <c r="I573" s="6"/>
      <c r="J573" s="3" t="s">
        <v>1372</v>
      </c>
      <c r="K573" s="3"/>
      <c r="L573" s="3">
        <v>2008295</v>
      </c>
      <c r="M573" s="3" t="s">
        <v>34</v>
      </c>
      <c r="N573" s="3" t="s">
        <v>1317</v>
      </c>
      <c r="O573" s="3" t="s">
        <v>441</v>
      </c>
      <c r="P573" s="3" t="s">
        <v>1318</v>
      </c>
      <c r="Q573" s="5">
        <v>65148.07958522359</v>
      </c>
      <c r="R573" s="5"/>
      <c r="S573" s="5"/>
      <c r="T573" s="3"/>
      <c r="U573" s="3" t="s">
        <v>153</v>
      </c>
      <c r="V573" s="3"/>
      <c r="W573" s="6"/>
      <c r="X573" s="6"/>
      <c r="Y573" s="3"/>
      <c r="Z573" s="3"/>
      <c r="AA573" s="3"/>
      <c r="AB573" s="3" t="s">
        <v>42</v>
      </c>
    </row>
    <row r="574" spans="1:28" ht="33" customHeight="1" x14ac:dyDescent="0.25">
      <c r="A574" s="7" t="s">
        <v>1376</v>
      </c>
      <c r="B574" s="3" t="s">
        <v>1315</v>
      </c>
      <c r="C574" s="3" t="s">
        <v>1316</v>
      </c>
      <c r="D574" s="6"/>
      <c r="E574" s="6">
        <v>45900</v>
      </c>
      <c r="F574" s="3"/>
      <c r="G574" s="6"/>
      <c r="H574" s="3"/>
      <c r="I574" s="6"/>
      <c r="J574" s="3" t="s">
        <v>1372</v>
      </c>
      <c r="K574" s="3"/>
      <c r="L574" s="3">
        <v>2008295</v>
      </c>
      <c r="M574" s="3" t="s">
        <v>34</v>
      </c>
      <c r="N574" s="3" t="s">
        <v>1317</v>
      </c>
      <c r="O574" s="3" t="s">
        <v>441</v>
      </c>
      <c r="P574" s="3" t="s">
        <v>1318</v>
      </c>
      <c r="Q574" s="5">
        <v>65148.07958522359</v>
      </c>
      <c r="R574" s="5"/>
      <c r="S574" s="5"/>
      <c r="T574" s="3"/>
      <c r="U574" s="3" t="s">
        <v>153</v>
      </c>
      <c r="V574" s="3"/>
      <c r="W574" s="6"/>
      <c r="X574" s="6"/>
      <c r="Y574" s="3"/>
      <c r="Z574" s="3"/>
      <c r="AA574" s="3"/>
      <c r="AB574" s="3" t="s">
        <v>42</v>
      </c>
    </row>
    <row r="575" spans="1:28" ht="33" customHeight="1" x14ac:dyDescent="0.25">
      <c r="A575" s="7" t="s">
        <v>1377</v>
      </c>
      <c r="B575" s="3" t="s">
        <v>1315</v>
      </c>
      <c r="C575" s="3" t="s">
        <v>1316</v>
      </c>
      <c r="D575" s="6"/>
      <c r="E575" s="6">
        <v>45900</v>
      </c>
      <c r="F575" s="3"/>
      <c r="G575" s="6"/>
      <c r="H575" s="3"/>
      <c r="I575" s="6"/>
      <c r="J575" s="3" t="s">
        <v>1372</v>
      </c>
      <c r="K575" s="3"/>
      <c r="L575" s="3">
        <v>2008295</v>
      </c>
      <c r="M575" s="3" t="s">
        <v>34</v>
      </c>
      <c r="N575" s="3" t="s">
        <v>1317</v>
      </c>
      <c r="O575" s="3" t="s">
        <v>441</v>
      </c>
      <c r="P575" s="3" t="s">
        <v>1318</v>
      </c>
      <c r="Q575" s="5">
        <v>65148.07958522359</v>
      </c>
      <c r="R575" s="5"/>
      <c r="S575" s="5"/>
      <c r="T575" s="3"/>
      <c r="U575" s="3" t="s">
        <v>153</v>
      </c>
      <c r="V575" s="3"/>
      <c r="W575" s="6"/>
      <c r="X575" s="6"/>
      <c r="Y575" s="3"/>
      <c r="Z575" s="3"/>
      <c r="AA575" s="3"/>
      <c r="AB575" s="3" t="s">
        <v>42</v>
      </c>
    </row>
    <row r="576" spans="1:28" ht="33" customHeight="1" x14ac:dyDescent="0.25">
      <c r="A576" s="7" t="s">
        <v>1378</v>
      </c>
      <c r="B576" s="3" t="s">
        <v>1315</v>
      </c>
      <c r="C576" s="3" t="s">
        <v>1316</v>
      </c>
      <c r="D576" s="6"/>
      <c r="E576" s="6">
        <v>45900</v>
      </c>
      <c r="F576" s="3"/>
      <c r="G576" s="6"/>
      <c r="H576" s="3"/>
      <c r="I576" s="6"/>
      <c r="J576" s="3" t="s">
        <v>1372</v>
      </c>
      <c r="K576" s="3"/>
      <c r="L576" s="3">
        <v>2008295</v>
      </c>
      <c r="M576" s="3" t="s">
        <v>34</v>
      </c>
      <c r="N576" s="3" t="s">
        <v>1317</v>
      </c>
      <c r="O576" s="3" t="s">
        <v>441</v>
      </c>
      <c r="P576" s="3" t="s">
        <v>1318</v>
      </c>
      <c r="Q576" s="5">
        <v>65148.07958522359</v>
      </c>
      <c r="R576" s="5"/>
      <c r="S576" s="5"/>
      <c r="T576" s="3"/>
      <c r="U576" s="3" t="s">
        <v>153</v>
      </c>
      <c r="V576" s="3"/>
      <c r="W576" s="6"/>
      <c r="X576" s="6"/>
      <c r="Y576" s="3"/>
      <c r="Z576" s="3"/>
      <c r="AA576" s="3"/>
      <c r="AB576" s="3" t="s">
        <v>42</v>
      </c>
    </row>
    <row r="577" spans="1:28" ht="33" customHeight="1" x14ac:dyDescent="0.25">
      <c r="A577" s="7" t="s">
        <v>1379</v>
      </c>
      <c r="B577" s="3" t="s">
        <v>1315</v>
      </c>
      <c r="C577" s="3" t="s">
        <v>1316</v>
      </c>
      <c r="D577" s="6"/>
      <c r="E577" s="6">
        <v>45900</v>
      </c>
      <c r="F577" s="3"/>
      <c r="G577" s="6"/>
      <c r="H577" s="3"/>
      <c r="I577" s="6"/>
      <c r="J577" s="3" t="s">
        <v>1372</v>
      </c>
      <c r="K577" s="3"/>
      <c r="L577" s="3">
        <v>2008295</v>
      </c>
      <c r="M577" s="3" t="s">
        <v>34</v>
      </c>
      <c r="N577" s="3" t="s">
        <v>1317</v>
      </c>
      <c r="O577" s="3" t="s">
        <v>441</v>
      </c>
      <c r="P577" s="3" t="s">
        <v>1318</v>
      </c>
      <c r="Q577" s="5">
        <v>65148.079585223597</v>
      </c>
      <c r="R577" s="5"/>
      <c r="S577" s="5"/>
      <c r="T577" s="3"/>
      <c r="U577" s="3" t="s">
        <v>153</v>
      </c>
      <c r="V577" s="3"/>
      <c r="W577" s="6"/>
      <c r="X577" s="6"/>
      <c r="Y577" s="3"/>
      <c r="Z577" s="3"/>
      <c r="AA577" s="3"/>
      <c r="AB577" s="3" t="s">
        <v>42</v>
      </c>
    </row>
    <row r="578" spans="1:28" ht="33" customHeight="1" x14ac:dyDescent="0.25">
      <c r="A578" s="7" t="s">
        <v>1380</v>
      </c>
      <c r="B578" s="3" t="s">
        <v>1315</v>
      </c>
      <c r="C578" s="3" t="s">
        <v>1316</v>
      </c>
      <c r="D578" s="6"/>
      <c r="E578" s="6">
        <v>45900</v>
      </c>
      <c r="F578" s="3"/>
      <c r="G578" s="6"/>
      <c r="H578" s="3"/>
      <c r="I578" s="6"/>
      <c r="J578" s="3" t="s">
        <v>1372</v>
      </c>
      <c r="K578" s="3"/>
      <c r="L578" s="3">
        <v>2008295</v>
      </c>
      <c r="M578" s="3" t="s">
        <v>34</v>
      </c>
      <c r="N578" s="3" t="s">
        <v>1317</v>
      </c>
      <c r="O578" s="3" t="s">
        <v>441</v>
      </c>
      <c r="P578" s="3" t="s">
        <v>1318</v>
      </c>
      <c r="Q578" s="5">
        <v>65148.07958522359</v>
      </c>
      <c r="R578" s="5"/>
      <c r="S578" s="5"/>
      <c r="T578" s="3"/>
      <c r="U578" s="3" t="s">
        <v>153</v>
      </c>
      <c r="V578" s="3"/>
      <c r="W578" s="6"/>
      <c r="X578" s="6"/>
      <c r="Y578" s="3"/>
      <c r="Z578" s="3"/>
      <c r="AA578" s="3"/>
      <c r="AB578" s="3" t="s">
        <v>42</v>
      </c>
    </row>
    <row r="579" spans="1:28" ht="33" customHeight="1" x14ac:dyDescent="0.25">
      <c r="A579" s="7" t="s">
        <v>1381</v>
      </c>
      <c r="B579" s="3" t="s">
        <v>1315</v>
      </c>
      <c r="C579" s="3" t="s">
        <v>1316</v>
      </c>
      <c r="D579" s="6"/>
      <c r="E579" s="6">
        <v>45900</v>
      </c>
      <c r="F579" s="3"/>
      <c r="G579" s="6"/>
      <c r="H579" s="3"/>
      <c r="I579" s="6"/>
      <c r="J579" s="3" t="s">
        <v>1372</v>
      </c>
      <c r="K579" s="3"/>
      <c r="L579" s="3">
        <v>2008295</v>
      </c>
      <c r="M579" s="3" t="s">
        <v>34</v>
      </c>
      <c r="N579" s="3" t="s">
        <v>1317</v>
      </c>
      <c r="O579" s="3" t="s">
        <v>441</v>
      </c>
      <c r="P579" s="3" t="s">
        <v>1318</v>
      </c>
      <c r="Q579" s="5">
        <v>65148.079585223597</v>
      </c>
      <c r="R579" s="5"/>
      <c r="S579" s="5"/>
      <c r="T579" s="3"/>
      <c r="U579" s="3" t="s">
        <v>153</v>
      </c>
      <c r="V579" s="3"/>
      <c r="W579" s="6"/>
      <c r="X579" s="6"/>
      <c r="Y579" s="3"/>
      <c r="Z579" s="3"/>
      <c r="AA579" s="3"/>
      <c r="AB579" s="3" t="s">
        <v>42</v>
      </c>
    </row>
    <row r="580" spans="1:28" ht="33" customHeight="1" x14ac:dyDescent="0.25">
      <c r="A580" s="7" t="s">
        <v>1382</v>
      </c>
      <c r="B580" s="3" t="s">
        <v>1315</v>
      </c>
      <c r="C580" s="3" t="s">
        <v>1316</v>
      </c>
      <c r="D580" s="6"/>
      <c r="E580" s="6">
        <v>45900</v>
      </c>
      <c r="F580" s="3"/>
      <c r="G580" s="6"/>
      <c r="H580" s="3"/>
      <c r="I580" s="6"/>
      <c r="J580" s="3" t="s">
        <v>1383</v>
      </c>
      <c r="K580" s="3"/>
      <c r="L580" s="3">
        <v>3800176</v>
      </c>
      <c r="M580" s="3" t="s">
        <v>34</v>
      </c>
      <c r="N580" s="3" t="s">
        <v>1317</v>
      </c>
      <c r="O580" s="3" t="s">
        <v>441</v>
      </c>
      <c r="P580" s="3" t="s">
        <v>1318</v>
      </c>
      <c r="Q580" s="5">
        <v>64600</v>
      </c>
      <c r="R580" s="5"/>
      <c r="S580" s="5"/>
      <c r="T580" s="3"/>
      <c r="U580" s="3" t="s">
        <v>153</v>
      </c>
      <c r="V580" s="3"/>
      <c r="W580" s="6"/>
      <c r="X580" s="6"/>
      <c r="Y580" s="3"/>
      <c r="Z580" s="3"/>
      <c r="AA580" s="3"/>
      <c r="AB580" s="3" t="s">
        <v>477</v>
      </c>
    </row>
    <row r="581" spans="1:28" ht="33" customHeight="1" x14ac:dyDescent="0.25">
      <c r="A581" s="7" t="s">
        <v>1384</v>
      </c>
      <c r="B581" s="3" t="s">
        <v>1315</v>
      </c>
      <c r="C581" s="3" t="s">
        <v>1316</v>
      </c>
      <c r="D581" s="6"/>
      <c r="E581" s="6">
        <v>45900</v>
      </c>
      <c r="F581" s="3"/>
      <c r="G581" s="6"/>
      <c r="H581" s="3"/>
      <c r="I581" s="6"/>
      <c r="J581" s="3" t="s">
        <v>1383</v>
      </c>
      <c r="K581" s="3"/>
      <c r="L581" s="3">
        <v>3800176</v>
      </c>
      <c r="M581" s="3" t="s">
        <v>34</v>
      </c>
      <c r="N581" s="3" t="s">
        <v>1317</v>
      </c>
      <c r="O581" s="3" t="s">
        <v>441</v>
      </c>
      <c r="P581" s="3" t="s">
        <v>1318</v>
      </c>
      <c r="Q581" s="5">
        <v>64600</v>
      </c>
      <c r="R581" s="5"/>
      <c r="S581" s="5"/>
      <c r="T581" s="3"/>
      <c r="U581" s="3" t="s">
        <v>153</v>
      </c>
      <c r="V581" s="3"/>
      <c r="W581" s="6"/>
      <c r="X581" s="6"/>
      <c r="Y581" s="3"/>
      <c r="Z581" s="3"/>
      <c r="AA581" s="3"/>
      <c r="AB581" s="3" t="s">
        <v>477</v>
      </c>
    </row>
    <row r="582" spans="1:28" ht="33" customHeight="1" x14ac:dyDescent="0.25">
      <c r="A582" s="7" t="s">
        <v>1385</v>
      </c>
      <c r="B582" s="3" t="s">
        <v>1315</v>
      </c>
      <c r="C582" s="3" t="s">
        <v>1316</v>
      </c>
      <c r="D582" s="6"/>
      <c r="E582" s="6">
        <v>45900</v>
      </c>
      <c r="F582" s="3"/>
      <c r="G582" s="6"/>
      <c r="H582" s="3"/>
      <c r="I582" s="6"/>
      <c r="J582" s="3" t="s">
        <v>1386</v>
      </c>
      <c r="K582" s="3"/>
      <c r="L582" s="3">
        <v>11532302</v>
      </c>
      <c r="M582" s="3" t="s">
        <v>92</v>
      </c>
      <c r="N582" s="3" t="s">
        <v>1317</v>
      </c>
      <c r="O582" s="3" t="s">
        <v>441</v>
      </c>
      <c r="P582" s="3" t="s">
        <v>1318</v>
      </c>
      <c r="Q582" s="5">
        <v>64600</v>
      </c>
      <c r="R582" s="5"/>
      <c r="S582" s="5"/>
      <c r="T582" s="3"/>
      <c r="U582" s="3" t="s">
        <v>153</v>
      </c>
      <c r="V582" s="3"/>
      <c r="W582" s="6"/>
      <c r="X582" s="6"/>
      <c r="Y582" s="3"/>
      <c r="Z582" s="3"/>
      <c r="AA582" s="3"/>
      <c r="AB582" s="3" t="s">
        <v>42</v>
      </c>
    </row>
    <row r="583" spans="1:28" ht="33" customHeight="1" x14ac:dyDescent="0.25">
      <c r="A583" s="7" t="s">
        <v>1387</v>
      </c>
      <c r="B583" s="3" t="s">
        <v>1315</v>
      </c>
      <c r="C583" s="3" t="s">
        <v>1316</v>
      </c>
      <c r="D583" s="6"/>
      <c r="E583" s="6">
        <v>45900</v>
      </c>
      <c r="F583" s="3"/>
      <c r="G583" s="6"/>
      <c r="H583" s="3"/>
      <c r="I583" s="6"/>
      <c r="J583" s="3" t="s">
        <v>1386</v>
      </c>
      <c r="K583" s="3"/>
      <c r="L583" s="3">
        <v>11532302</v>
      </c>
      <c r="M583" s="3" t="s">
        <v>92</v>
      </c>
      <c r="N583" s="3" t="s">
        <v>1317</v>
      </c>
      <c r="O583" s="3" t="s">
        <v>441</v>
      </c>
      <c r="P583" s="3" t="s">
        <v>1318</v>
      </c>
      <c r="Q583" s="5">
        <v>64600</v>
      </c>
      <c r="R583" s="5"/>
      <c r="S583" s="5"/>
      <c r="T583" s="3"/>
      <c r="U583" s="3" t="s">
        <v>153</v>
      </c>
      <c r="V583" s="3"/>
      <c r="W583" s="6"/>
      <c r="X583" s="6"/>
      <c r="Y583" s="3"/>
      <c r="Z583" s="3"/>
      <c r="AA583" s="3"/>
      <c r="AB583" s="3" t="s">
        <v>42</v>
      </c>
    </row>
    <row r="584" spans="1:28" ht="33" customHeight="1" x14ac:dyDescent="0.25">
      <c r="A584" s="7" t="s">
        <v>1388</v>
      </c>
      <c r="B584" s="3" t="s">
        <v>1315</v>
      </c>
      <c r="C584" s="3" t="s">
        <v>1316</v>
      </c>
      <c r="D584" s="6"/>
      <c r="E584" s="6">
        <v>45900</v>
      </c>
      <c r="F584" s="3"/>
      <c r="G584" s="6"/>
      <c r="H584" s="3"/>
      <c r="I584" s="6"/>
      <c r="J584" s="3" t="s">
        <v>1389</v>
      </c>
      <c r="K584" s="3"/>
      <c r="L584" s="3">
        <v>14277901</v>
      </c>
      <c r="M584" s="3" t="s">
        <v>48</v>
      </c>
      <c r="N584" s="3" t="s">
        <v>1317</v>
      </c>
      <c r="O584" s="3" t="s">
        <v>441</v>
      </c>
      <c r="P584" s="3" t="s">
        <v>1318</v>
      </c>
      <c r="Q584" s="5">
        <v>64600</v>
      </c>
      <c r="R584" s="5"/>
      <c r="S584" s="5"/>
      <c r="T584" s="3"/>
      <c r="U584" s="3" t="s">
        <v>153</v>
      </c>
      <c r="V584" s="3"/>
      <c r="W584" s="6"/>
      <c r="X584" s="6"/>
      <c r="Y584" s="3"/>
      <c r="Z584" s="3"/>
      <c r="AA584" s="3"/>
      <c r="AB584" s="3" t="s">
        <v>477</v>
      </c>
    </row>
    <row r="585" spans="1:28" ht="33" customHeight="1" x14ac:dyDescent="0.25">
      <c r="A585" s="7" t="s">
        <v>1390</v>
      </c>
      <c r="B585" s="3" t="s">
        <v>1315</v>
      </c>
      <c r="C585" s="3" t="s">
        <v>1316</v>
      </c>
      <c r="D585" s="6"/>
      <c r="E585" s="6">
        <v>45900</v>
      </c>
      <c r="F585" s="3"/>
      <c r="G585" s="6"/>
      <c r="H585" s="3"/>
      <c r="I585" s="6"/>
      <c r="J585" s="3" t="s">
        <v>1389</v>
      </c>
      <c r="K585" s="3"/>
      <c r="L585" s="3">
        <v>14277900</v>
      </c>
      <c r="M585" s="3" t="s">
        <v>48</v>
      </c>
      <c r="N585" s="3" t="s">
        <v>1317</v>
      </c>
      <c r="O585" s="3" t="s">
        <v>441</v>
      </c>
      <c r="P585" s="3" t="s">
        <v>1318</v>
      </c>
      <c r="Q585" s="5">
        <v>64600</v>
      </c>
      <c r="R585" s="5"/>
      <c r="S585" s="5"/>
      <c r="T585" s="3"/>
      <c r="U585" s="3" t="s">
        <v>153</v>
      </c>
      <c r="V585" s="3"/>
      <c r="W585" s="6"/>
      <c r="X585" s="6"/>
      <c r="Y585" s="3"/>
      <c r="Z585" s="3"/>
      <c r="AA585" s="3"/>
      <c r="AB585" s="3" t="s">
        <v>477</v>
      </c>
    </row>
    <row r="586" spans="1:28" ht="33" customHeight="1" x14ac:dyDescent="0.25">
      <c r="A586" s="7" t="s">
        <v>1391</v>
      </c>
      <c r="B586" s="3" t="s">
        <v>1315</v>
      </c>
      <c r="C586" s="3" t="s">
        <v>1316</v>
      </c>
      <c r="D586" s="6"/>
      <c r="E586" s="6">
        <v>45900</v>
      </c>
      <c r="F586" s="3"/>
      <c r="G586" s="6"/>
      <c r="H586" s="3"/>
      <c r="I586" s="6"/>
      <c r="J586" s="3" t="s">
        <v>1336</v>
      </c>
      <c r="K586" s="3"/>
      <c r="L586" s="3">
        <v>5021863</v>
      </c>
      <c r="M586" s="3" t="s">
        <v>48</v>
      </c>
      <c r="N586" s="3" t="s">
        <v>1317</v>
      </c>
      <c r="O586" s="3" t="s">
        <v>441</v>
      </c>
      <c r="P586" s="3" t="s">
        <v>1318</v>
      </c>
      <c r="Q586" s="5">
        <v>69409.569980557353</v>
      </c>
      <c r="R586" s="5"/>
      <c r="S586" s="5"/>
      <c r="T586" s="3"/>
      <c r="U586" s="3" t="s">
        <v>153</v>
      </c>
      <c r="V586" s="3"/>
      <c r="W586" s="6"/>
      <c r="X586" s="6"/>
      <c r="Y586" s="3"/>
      <c r="Z586" s="3"/>
      <c r="AA586" s="3"/>
      <c r="AB586" s="3" t="s">
        <v>477</v>
      </c>
    </row>
    <row r="587" spans="1:28" ht="33" customHeight="1" x14ac:dyDescent="0.25">
      <c r="A587" s="7" t="s">
        <v>1392</v>
      </c>
      <c r="B587" s="3" t="s">
        <v>1315</v>
      </c>
      <c r="C587" s="3" t="s">
        <v>1316</v>
      </c>
      <c r="D587" s="6"/>
      <c r="E587" s="6">
        <v>45900</v>
      </c>
      <c r="F587" s="3"/>
      <c r="G587" s="6"/>
      <c r="H587" s="3"/>
      <c r="I587" s="6"/>
      <c r="J587" s="3" t="s">
        <v>1073</v>
      </c>
      <c r="K587" s="3"/>
      <c r="L587" s="3">
        <v>9431407</v>
      </c>
      <c r="M587" s="3" t="s">
        <v>48</v>
      </c>
      <c r="N587" s="3" t="s">
        <v>1317</v>
      </c>
      <c r="O587" s="3" t="s">
        <v>441</v>
      </c>
      <c r="P587" s="3" t="s">
        <v>1318</v>
      </c>
      <c r="Q587" s="5">
        <v>61480</v>
      </c>
      <c r="R587" s="5"/>
      <c r="S587" s="5"/>
      <c r="T587" s="3"/>
      <c r="U587" s="3" t="s">
        <v>153</v>
      </c>
      <c r="V587" s="3"/>
      <c r="W587" s="6"/>
      <c r="X587" s="6"/>
      <c r="Y587" s="3"/>
      <c r="Z587" s="3"/>
      <c r="AA587" s="3"/>
      <c r="AB587" s="3" t="s">
        <v>42</v>
      </c>
    </row>
    <row r="588" spans="1:28" ht="33" customHeight="1" x14ac:dyDescent="0.25">
      <c r="A588" s="7" t="s">
        <v>1393</v>
      </c>
      <c r="B588" s="3" t="s">
        <v>1315</v>
      </c>
      <c r="C588" s="3" t="s">
        <v>1316</v>
      </c>
      <c r="D588" s="6"/>
      <c r="E588" s="6">
        <v>45900</v>
      </c>
      <c r="F588" s="3"/>
      <c r="G588" s="6"/>
      <c r="H588" s="3"/>
      <c r="I588" s="6"/>
      <c r="J588" s="3" t="s">
        <v>1073</v>
      </c>
      <c r="K588" s="3"/>
      <c r="L588" s="3">
        <v>9431407</v>
      </c>
      <c r="M588" s="3" t="s">
        <v>48</v>
      </c>
      <c r="N588" s="3" t="s">
        <v>1317</v>
      </c>
      <c r="O588" s="3" t="s">
        <v>441</v>
      </c>
      <c r="P588" s="3" t="s">
        <v>1318</v>
      </c>
      <c r="Q588" s="5">
        <v>61480</v>
      </c>
      <c r="R588" s="5"/>
      <c r="S588" s="5"/>
      <c r="T588" s="3"/>
      <c r="U588" s="3" t="s">
        <v>153</v>
      </c>
      <c r="V588" s="3"/>
      <c r="W588" s="6"/>
      <c r="X588" s="6"/>
      <c r="Y588" s="3"/>
      <c r="Z588" s="3"/>
      <c r="AA588" s="3"/>
      <c r="AB588" s="3" t="s">
        <v>42</v>
      </c>
    </row>
    <row r="589" spans="1:28" ht="33" customHeight="1" x14ac:dyDescent="0.25">
      <c r="A589" s="7" t="s">
        <v>1394</v>
      </c>
      <c r="B589" s="3" t="s">
        <v>1315</v>
      </c>
      <c r="C589" s="3" t="s">
        <v>1316</v>
      </c>
      <c r="D589" s="6"/>
      <c r="E589" s="6">
        <v>45900</v>
      </c>
      <c r="F589" s="3"/>
      <c r="G589" s="6"/>
      <c r="H589" s="3"/>
      <c r="I589" s="6"/>
      <c r="J589" s="3" t="s">
        <v>1073</v>
      </c>
      <c r="K589" s="3"/>
      <c r="L589" s="3">
        <v>9431407</v>
      </c>
      <c r="M589" s="3" t="s">
        <v>48</v>
      </c>
      <c r="N589" s="3" t="s">
        <v>1317</v>
      </c>
      <c r="O589" s="3" t="s">
        <v>441</v>
      </c>
      <c r="P589" s="3" t="s">
        <v>1318</v>
      </c>
      <c r="Q589" s="5">
        <v>61480</v>
      </c>
      <c r="R589" s="5"/>
      <c r="S589" s="5"/>
      <c r="T589" s="3"/>
      <c r="U589" s="3" t="s">
        <v>153</v>
      </c>
      <c r="V589" s="3"/>
      <c r="W589" s="6"/>
      <c r="X589" s="6"/>
      <c r="Y589" s="3"/>
      <c r="Z589" s="3"/>
      <c r="AA589" s="3"/>
      <c r="AB589" s="3" t="s">
        <v>42</v>
      </c>
    </row>
    <row r="590" spans="1:28" ht="33" customHeight="1" x14ac:dyDescent="0.25">
      <c r="A590" s="7" t="s">
        <v>1395</v>
      </c>
      <c r="B590" s="3" t="s">
        <v>1315</v>
      </c>
      <c r="C590" s="3" t="s">
        <v>1316</v>
      </c>
      <c r="D590" s="6"/>
      <c r="E590" s="6">
        <v>45900</v>
      </c>
      <c r="F590" s="3"/>
      <c r="G590" s="6"/>
      <c r="H590" s="3"/>
      <c r="I590" s="6"/>
      <c r="J590" s="3" t="s">
        <v>1073</v>
      </c>
      <c r="K590" s="3"/>
      <c r="L590" s="3">
        <v>9431407</v>
      </c>
      <c r="M590" s="3" t="s">
        <v>48</v>
      </c>
      <c r="N590" s="3" t="s">
        <v>1317</v>
      </c>
      <c r="O590" s="3" t="s">
        <v>441</v>
      </c>
      <c r="P590" s="3" t="s">
        <v>1318</v>
      </c>
      <c r="Q590" s="5">
        <v>61480</v>
      </c>
      <c r="R590" s="5"/>
      <c r="S590" s="5"/>
      <c r="T590" s="3"/>
      <c r="U590" s="3" t="s">
        <v>153</v>
      </c>
      <c r="V590" s="3"/>
      <c r="W590" s="6"/>
      <c r="X590" s="6"/>
      <c r="Y590" s="3"/>
      <c r="Z590" s="3"/>
      <c r="AA590" s="3"/>
      <c r="AB590" s="3" t="s">
        <v>42</v>
      </c>
    </row>
    <row r="591" spans="1:28" ht="33" customHeight="1" x14ac:dyDescent="0.25">
      <c r="A591" s="7" t="s">
        <v>1396</v>
      </c>
      <c r="B591" s="3" t="s">
        <v>1315</v>
      </c>
      <c r="C591" s="3" t="s">
        <v>1316</v>
      </c>
      <c r="D591" s="6"/>
      <c r="E591" s="6">
        <v>45900</v>
      </c>
      <c r="F591" s="3"/>
      <c r="G591" s="6"/>
      <c r="H591" s="3"/>
      <c r="I591" s="6"/>
      <c r="J591" s="3" t="s">
        <v>1073</v>
      </c>
      <c r="K591" s="3"/>
      <c r="L591" s="3">
        <v>9431407</v>
      </c>
      <c r="M591" s="3" t="s">
        <v>48</v>
      </c>
      <c r="N591" s="3" t="s">
        <v>1317</v>
      </c>
      <c r="O591" s="3" t="s">
        <v>441</v>
      </c>
      <c r="P591" s="3" t="s">
        <v>1318</v>
      </c>
      <c r="Q591" s="5">
        <v>61480</v>
      </c>
      <c r="R591" s="5"/>
      <c r="S591" s="5"/>
      <c r="T591" s="3"/>
      <c r="U591" s="3" t="s">
        <v>153</v>
      </c>
      <c r="V591" s="3"/>
      <c r="W591" s="6"/>
      <c r="X591" s="6"/>
      <c r="Y591" s="3"/>
      <c r="Z591" s="3"/>
      <c r="AA591" s="3"/>
      <c r="AB591" s="3" t="s">
        <v>42</v>
      </c>
    </row>
    <row r="592" spans="1:28" ht="33" customHeight="1" x14ac:dyDescent="0.25">
      <c r="A592" s="7" t="s">
        <v>1397</v>
      </c>
      <c r="B592" s="3" t="s">
        <v>1315</v>
      </c>
      <c r="C592" s="3" t="s">
        <v>1316</v>
      </c>
      <c r="D592" s="6"/>
      <c r="E592" s="6">
        <v>45900</v>
      </c>
      <c r="F592" s="3"/>
      <c r="G592" s="6"/>
      <c r="H592" s="3"/>
      <c r="I592" s="6"/>
      <c r="J592" s="3" t="s">
        <v>1073</v>
      </c>
      <c r="K592" s="3"/>
      <c r="L592" s="3">
        <v>9431407</v>
      </c>
      <c r="M592" s="3" t="s">
        <v>48</v>
      </c>
      <c r="N592" s="3" t="s">
        <v>1317</v>
      </c>
      <c r="O592" s="3" t="s">
        <v>441</v>
      </c>
      <c r="P592" s="3" t="s">
        <v>1318</v>
      </c>
      <c r="Q592" s="5">
        <v>61480</v>
      </c>
      <c r="R592" s="5"/>
      <c r="S592" s="5"/>
      <c r="T592" s="3"/>
      <c r="U592" s="3" t="s">
        <v>153</v>
      </c>
      <c r="V592" s="3"/>
      <c r="W592" s="6"/>
      <c r="X592" s="6"/>
      <c r="Y592" s="3"/>
      <c r="Z592" s="3"/>
      <c r="AA592" s="3"/>
      <c r="AB592" s="3" t="s">
        <v>42</v>
      </c>
    </row>
    <row r="593" spans="1:28" ht="33" customHeight="1" x14ac:dyDescent="0.25">
      <c r="A593" s="7" t="s">
        <v>1398</v>
      </c>
      <c r="B593" s="3" t="s">
        <v>1315</v>
      </c>
      <c r="C593" s="3" t="s">
        <v>1316</v>
      </c>
      <c r="D593" s="6"/>
      <c r="E593" s="6">
        <v>45900</v>
      </c>
      <c r="F593" s="3"/>
      <c r="G593" s="6"/>
      <c r="H593" s="3"/>
      <c r="I593" s="6"/>
      <c r="J593" s="3" t="s">
        <v>1073</v>
      </c>
      <c r="K593" s="3"/>
      <c r="L593" s="3">
        <v>9431407</v>
      </c>
      <c r="M593" s="3" t="s">
        <v>48</v>
      </c>
      <c r="N593" s="3" t="s">
        <v>1317</v>
      </c>
      <c r="O593" s="3" t="s">
        <v>441</v>
      </c>
      <c r="P593" s="3" t="s">
        <v>1318</v>
      </c>
      <c r="Q593" s="5">
        <v>47212.4</v>
      </c>
      <c r="R593" s="5"/>
      <c r="S593" s="5"/>
      <c r="T593" s="3"/>
      <c r="U593" s="3" t="s">
        <v>153</v>
      </c>
      <c r="V593" s="3"/>
      <c r="W593" s="6"/>
      <c r="X593" s="6"/>
      <c r="Y593" s="3"/>
      <c r="Z593" s="3"/>
      <c r="AA593" s="3"/>
      <c r="AB593" s="3" t="s">
        <v>42</v>
      </c>
    </row>
    <row r="594" spans="1:28" ht="33" customHeight="1" x14ac:dyDescent="0.25">
      <c r="A594" s="7" t="s">
        <v>1399</v>
      </c>
      <c r="B594" s="3" t="s">
        <v>1315</v>
      </c>
      <c r="C594" s="3" t="s">
        <v>1316</v>
      </c>
      <c r="D594" s="6"/>
      <c r="E594" s="6">
        <v>45900</v>
      </c>
      <c r="F594" s="3"/>
      <c r="G594" s="6"/>
      <c r="H594" s="3"/>
      <c r="I594" s="6"/>
      <c r="J594" s="3" t="s">
        <v>1101</v>
      </c>
      <c r="K594" s="3"/>
      <c r="L594" s="3">
        <v>3309948</v>
      </c>
      <c r="M594" s="3" t="s">
        <v>34</v>
      </c>
      <c r="N594" s="3" t="s">
        <v>1317</v>
      </c>
      <c r="O594" s="3" t="s">
        <v>441</v>
      </c>
      <c r="P594" s="3" t="s">
        <v>1318</v>
      </c>
      <c r="Q594" s="5">
        <v>61939.226426861343</v>
      </c>
      <c r="R594" s="5"/>
      <c r="S594" s="5"/>
      <c r="T594" s="3"/>
      <c r="U594" s="3" t="s">
        <v>153</v>
      </c>
      <c r="V594" s="3"/>
      <c r="W594" s="6"/>
      <c r="X594" s="6"/>
      <c r="Y594" s="3"/>
      <c r="Z594" s="3"/>
      <c r="AA594" s="3"/>
      <c r="AB594" s="3" t="s">
        <v>42</v>
      </c>
    </row>
    <row r="595" spans="1:28" ht="33" customHeight="1" x14ac:dyDescent="0.25">
      <c r="A595" s="7" t="s">
        <v>1400</v>
      </c>
      <c r="B595" s="3" t="s">
        <v>1315</v>
      </c>
      <c r="C595" s="3" t="s">
        <v>1316</v>
      </c>
      <c r="D595" s="6"/>
      <c r="E595" s="6">
        <v>45900</v>
      </c>
      <c r="F595" s="3"/>
      <c r="G595" s="6"/>
      <c r="H595" s="3"/>
      <c r="I595" s="6"/>
      <c r="J595" s="3" t="s">
        <v>1101</v>
      </c>
      <c r="K595" s="3"/>
      <c r="L595" s="3">
        <v>3309948</v>
      </c>
      <c r="M595" s="3" t="s">
        <v>34</v>
      </c>
      <c r="N595" s="3" t="s">
        <v>1317</v>
      </c>
      <c r="O595" s="3" t="s">
        <v>441</v>
      </c>
      <c r="P595" s="3" t="s">
        <v>1318</v>
      </c>
      <c r="Q595" s="5">
        <v>20900</v>
      </c>
      <c r="R595" s="5"/>
      <c r="S595" s="5"/>
      <c r="T595" s="3"/>
      <c r="U595" s="3" t="s">
        <v>153</v>
      </c>
      <c r="V595" s="3"/>
      <c r="W595" s="6"/>
      <c r="X595" s="6"/>
      <c r="Y595" s="3"/>
      <c r="Z595" s="3"/>
      <c r="AA595" s="3"/>
      <c r="AB595" s="3" t="s">
        <v>42</v>
      </c>
    </row>
    <row r="596" spans="1:28" ht="33" customHeight="1" x14ac:dyDescent="0.25">
      <c r="A596" s="7" t="s">
        <v>1401</v>
      </c>
      <c r="B596" s="3" t="s">
        <v>1315</v>
      </c>
      <c r="C596" s="3" t="s">
        <v>1316</v>
      </c>
      <c r="D596" s="6"/>
      <c r="E596" s="6">
        <v>45900</v>
      </c>
      <c r="F596" s="3"/>
      <c r="G596" s="6"/>
      <c r="H596" s="3"/>
      <c r="I596" s="6"/>
      <c r="J596" s="3" t="s">
        <v>1101</v>
      </c>
      <c r="K596" s="3"/>
      <c r="L596" s="3">
        <v>3309948</v>
      </c>
      <c r="M596" s="3" t="s">
        <v>34</v>
      </c>
      <c r="N596" s="3" t="s">
        <v>1317</v>
      </c>
      <c r="O596" s="3" t="s">
        <v>441</v>
      </c>
      <c r="P596" s="3" t="s">
        <v>1318</v>
      </c>
      <c r="Q596" s="5">
        <v>63584.34</v>
      </c>
      <c r="R596" s="5"/>
      <c r="S596" s="5"/>
      <c r="T596" s="3"/>
      <c r="U596" s="3" t="s">
        <v>153</v>
      </c>
      <c r="V596" s="3"/>
      <c r="W596" s="6"/>
      <c r="X596" s="6"/>
      <c r="Y596" s="3"/>
      <c r="Z596" s="3"/>
      <c r="AA596" s="3"/>
      <c r="AB596" s="3" t="s">
        <v>42</v>
      </c>
    </row>
    <row r="597" spans="1:28" ht="33" customHeight="1" x14ac:dyDescent="0.25">
      <c r="A597" s="7" t="s">
        <v>1402</v>
      </c>
      <c r="B597" s="3" t="s">
        <v>1315</v>
      </c>
      <c r="C597" s="3" t="s">
        <v>1316</v>
      </c>
      <c r="D597" s="6"/>
      <c r="E597" s="6">
        <v>45900</v>
      </c>
      <c r="F597" s="3"/>
      <c r="G597" s="6"/>
      <c r="H597" s="3"/>
      <c r="I597" s="6"/>
      <c r="J597" s="3" t="s">
        <v>1101</v>
      </c>
      <c r="K597" s="3"/>
      <c r="L597" s="3">
        <v>3309948</v>
      </c>
      <c r="M597" s="3" t="s">
        <v>34</v>
      </c>
      <c r="N597" s="3" t="s">
        <v>1317</v>
      </c>
      <c r="O597" s="3" t="s">
        <v>441</v>
      </c>
      <c r="P597" s="3" t="s">
        <v>1318</v>
      </c>
      <c r="Q597" s="5">
        <v>61939.226426861343</v>
      </c>
      <c r="R597" s="5"/>
      <c r="S597" s="5"/>
      <c r="T597" s="3"/>
      <c r="U597" s="3" t="s">
        <v>153</v>
      </c>
      <c r="V597" s="3"/>
      <c r="W597" s="6"/>
      <c r="X597" s="6"/>
      <c r="Y597" s="3"/>
      <c r="Z597" s="3"/>
      <c r="AA597" s="3"/>
      <c r="AB597" s="3" t="s">
        <v>42</v>
      </c>
    </row>
    <row r="598" spans="1:28" ht="33" customHeight="1" x14ac:dyDescent="0.25">
      <c r="A598" s="7" t="s">
        <v>1403</v>
      </c>
      <c r="B598" s="3" t="s">
        <v>1315</v>
      </c>
      <c r="C598" s="3" t="s">
        <v>1316</v>
      </c>
      <c r="D598" s="6"/>
      <c r="E598" s="6">
        <v>45900</v>
      </c>
      <c r="F598" s="3"/>
      <c r="G598" s="6"/>
      <c r="H598" s="3"/>
      <c r="I598" s="6"/>
      <c r="J598" s="3" t="s">
        <v>1101</v>
      </c>
      <c r="K598" s="3"/>
      <c r="L598" s="3">
        <v>3309948</v>
      </c>
      <c r="M598" s="3" t="s">
        <v>34</v>
      </c>
      <c r="N598" s="3" t="s">
        <v>1317</v>
      </c>
      <c r="O598" s="3" t="s">
        <v>441</v>
      </c>
      <c r="P598" s="3" t="s">
        <v>1318</v>
      </c>
      <c r="Q598" s="5">
        <v>63584.34</v>
      </c>
      <c r="R598" s="5"/>
      <c r="S598" s="5"/>
      <c r="T598" s="3"/>
      <c r="U598" s="3" t="s">
        <v>153</v>
      </c>
      <c r="V598" s="3"/>
      <c r="W598" s="6"/>
      <c r="X598" s="6"/>
      <c r="Y598" s="3"/>
      <c r="Z598" s="3"/>
      <c r="AA598" s="3"/>
      <c r="AB598" s="3" t="s">
        <v>42</v>
      </c>
    </row>
    <row r="599" spans="1:28" ht="33" customHeight="1" x14ac:dyDescent="0.25">
      <c r="A599" s="7" t="s">
        <v>1404</v>
      </c>
      <c r="B599" s="3" t="s">
        <v>1315</v>
      </c>
      <c r="C599" s="3" t="s">
        <v>1316</v>
      </c>
      <c r="D599" s="6"/>
      <c r="E599" s="6">
        <v>45900</v>
      </c>
      <c r="F599" s="3"/>
      <c r="G599" s="6"/>
      <c r="H599" s="3"/>
      <c r="I599" s="6"/>
      <c r="J599" s="3" t="s">
        <v>1101</v>
      </c>
      <c r="K599" s="3"/>
      <c r="L599" s="3">
        <v>3309948</v>
      </c>
      <c r="M599" s="3" t="s">
        <v>34</v>
      </c>
      <c r="N599" s="3" t="s">
        <v>1317</v>
      </c>
      <c r="O599" s="3" t="s">
        <v>441</v>
      </c>
      <c r="P599" s="3" t="s">
        <v>1318</v>
      </c>
      <c r="Q599" s="5">
        <v>61939.226426861343</v>
      </c>
      <c r="R599" s="5"/>
      <c r="S599" s="5"/>
      <c r="T599" s="3"/>
      <c r="U599" s="3" t="s">
        <v>153</v>
      </c>
      <c r="V599" s="3"/>
      <c r="W599" s="6"/>
      <c r="X599" s="6"/>
      <c r="Y599" s="3"/>
      <c r="Z599" s="3"/>
      <c r="AA599" s="3"/>
      <c r="AB599" s="3" t="s">
        <v>42</v>
      </c>
    </row>
    <row r="600" spans="1:28" ht="33" customHeight="1" x14ac:dyDescent="0.25">
      <c r="A600" s="7" t="s">
        <v>1405</v>
      </c>
      <c r="B600" s="3" t="s">
        <v>1315</v>
      </c>
      <c r="C600" s="3" t="s">
        <v>1316</v>
      </c>
      <c r="D600" s="6"/>
      <c r="E600" s="6">
        <v>45900</v>
      </c>
      <c r="F600" s="3"/>
      <c r="G600" s="6"/>
      <c r="H600" s="3"/>
      <c r="I600" s="6"/>
      <c r="J600" s="3" t="s">
        <v>1101</v>
      </c>
      <c r="K600" s="3"/>
      <c r="L600" s="3">
        <v>3309948</v>
      </c>
      <c r="M600" s="3" t="s">
        <v>34</v>
      </c>
      <c r="N600" s="3" t="s">
        <v>1317</v>
      </c>
      <c r="O600" s="3" t="s">
        <v>441</v>
      </c>
      <c r="P600" s="3" t="s">
        <v>1318</v>
      </c>
      <c r="Q600" s="5">
        <v>57600.4</v>
      </c>
      <c r="R600" s="5"/>
      <c r="S600" s="5"/>
      <c r="T600" s="3"/>
      <c r="U600" s="3" t="s">
        <v>153</v>
      </c>
      <c r="V600" s="3"/>
      <c r="W600" s="6"/>
      <c r="X600" s="6"/>
      <c r="Y600" s="3"/>
      <c r="Z600" s="3"/>
      <c r="AA600" s="3"/>
      <c r="AB600" s="3" t="s">
        <v>42</v>
      </c>
    </row>
    <row r="601" spans="1:28" ht="33" customHeight="1" x14ac:dyDescent="0.25">
      <c r="A601" s="7" t="s">
        <v>1406</v>
      </c>
      <c r="B601" s="3" t="s">
        <v>1315</v>
      </c>
      <c r="C601" s="3" t="s">
        <v>1316</v>
      </c>
      <c r="D601" s="6"/>
      <c r="E601" s="6">
        <v>45900</v>
      </c>
      <c r="F601" s="3"/>
      <c r="G601" s="6"/>
      <c r="H601" s="3"/>
      <c r="I601" s="6"/>
      <c r="J601" s="3" t="s">
        <v>1101</v>
      </c>
      <c r="K601" s="3"/>
      <c r="L601" s="3">
        <v>3309948</v>
      </c>
      <c r="M601" s="3" t="s">
        <v>34</v>
      </c>
      <c r="N601" s="3" t="s">
        <v>1317</v>
      </c>
      <c r="O601" s="3" t="s">
        <v>441</v>
      </c>
      <c r="P601" s="3" t="s">
        <v>1318</v>
      </c>
      <c r="Q601" s="5">
        <v>57600.4</v>
      </c>
      <c r="R601" s="5"/>
      <c r="S601" s="5"/>
      <c r="T601" s="3"/>
      <c r="U601" s="3" t="s">
        <v>153</v>
      </c>
      <c r="V601" s="3"/>
      <c r="W601" s="6"/>
      <c r="X601" s="6"/>
      <c r="Y601" s="3"/>
      <c r="Z601" s="3"/>
      <c r="AA601" s="3"/>
      <c r="AB601" s="3" t="s">
        <v>42</v>
      </c>
    </row>
    <row r="602" spans="1:28" ht="33" customHeight="1" x14ac:dyDescent="0.25">
      <c r="A602" s="7" t="s">
        <v>1407</v>
      </c>
      <c r="B602" s="3" t="s">
        <v>1315</v>
      </c>
      <c r="C602" s="3" t="s">
        <v>1316</v>
      </c>
      <c r="D602" s="6"/>
      <c r="E602" s="6">
        <v>45900</v>
      </c>
      <c r="F602" s="3"/>
      <c r="G602" s="6"/>
      <c r="H602" s="3"/>
      <c r="I602" s="6"/>
      <c r="J602" s="3" t="s">
        <v>1101</v>
      </c>
      <c r="K602" s="3"/>
      <c r="L602" s="3">
        <v>3309948</v>
      </c>
      <c r="M602" s="3" t="s">
        <v>34</v>
      </c>
      <c r="N602" s="3" t="s">
        <v>1317</v>
      </c>
      <c r="O602" s="3" t="s">
        <v>441</v>
      </c>
      <c r="P602" s="3" t="s">
        <v>1318</v>
      </c>
      <c r="Q602" s="5">
        <v>57600.4</v>
      </c>
      <c r="R602" s="5"/>
      <c r="S602" s="5"/>
      <c r="T602" s="3"/>
      <c r="U602" s="3" t="s">
        <v>153</v>
      </c>
      <c r="V602" s="3"/>
      <c r="W602" s="6"/>
      <c r="X602" s="6"/>
      <c r="Y602" s="3"/>
      <c r="Z602" s="3"/>
      <c r="AA602" s="3"/>
      <c r="AB602" s="3" t="s">
        <v>42</v>
      </c>
    </row>
    <row r="603" spans="1:28" ht="33" customHeight="1" x14ac:dyDescent="0.25">
      <c r="A603" s="7" t="s">
        <v>1408</v>
      </c>
      <c r="B603" s="3" t="s">
        <v>1315</v>
      </c>
      <c r="C603" s="3" t="s">
        <v>1316</v>
      </c>
      <c r="D603" s="6"/>
      <c r="E603" s="6">
        <v>45900</v>
      </c>
      <c r="F603" s="3"/>
      <c r="G603" s="6"/>
      <c r="H603" s="3"/>
      <c r="I603" s="6"/>
      <c r="J603" s="3" t="s">
        <v>1101</v>
      </c>
      <c r="K603" s="3"/>
      <c r="L603" s="3">
        <v>3309948</v>
      </c>
      <c r="M603" s="3" t="s">
        <v>34</v>
      </c>
      <c r="N603" s="3" t="s">
        <v>1317</v>
      </c>
      <c r="O603" s="3" t="s">
        <v>441</v>
      </c>
      <c r="P603" s="3" t="s">
        <v>1318</v>
      </c>
      <c r="Q603" s="5">
        <v>52364</v>
      </c>
      <c r="R603" s="5"/>
      <c r="S603" s="5"/>
      <c r="T603" s="3"/>
      <c r="U603" s="3" t="s">
        <v>153</v>
      </c>
      <c r="V603" s="3"/>
      <c r="W603" s="6"/>
      <c r="X603" s="6"/>
      <c r="Y603" s="3"/>
      <c r="Z603" s="3"/>
      <c r="AA603" s="3"/>
      <c r="AB603" s="3" t="s">
        <v>42</v>
      </c>
    </row>
    <row r="604" spans="1:28" ht="33" customHeight="1" x14ac:dyDescent="0.25">
      <c r="A604" s="7" t="s">
        <v>1409</v>
      </c>
      <c r="B604" s="3" t="s">
        <v>1315</v>
      </c>
      <c r="C604" s="3" t="s">
        <v>1316</v>
      </c>
      <c r="D604" s="6"/>
      <c r="E604" s="6">
        <v>45900</v>
      </c>
      <c r="F604" s="3"/>
      <c r="G604" s="6"/>
      <c r="H604" s="3"/>
      <c r="I604" s="6"/>
      <c r="J604" s="3" t="s">
        <v>1101</v>
      </c>
      <c r="K604" s="3"/>
      <c r="L604" s="3">
        <v>3309948</v>
      </c>
      <c r="M604" s="3" t="s">
        <v>34</v>
      </c>
      <c r="N604" s="3" t="s">
        <v>1317</v>
      </c>
      <c r="O604" s="3" t="s">
        <v>441</v>
      </c>
      <c r="P604" s="3" t="s">
        <v>1318</v>
      </c>
      <c r="Q604" s="5">
        <v>61939.226426861343</v>
      </c>
      <c r="R604" s="5"/>
      <c r="S604" s="5"/>
      <c r="T604" s="3"/>
      <c r="U604" s="3" t="s">
        <v>153</v>
      </c>
      <c r="V604" s="3"/>
      <c r="W604" s="6"/>
      <c r="X604" s="6"/>
      <c r="Y604" s="3"/>
      <c r="Z604" s="3"/>
      <c r="AA604" s="3"/>
      <c r="AB604" s="3" t="s">
        <v>42</v>
      </c>
    </row>
    <row r="605" spans="1:28" ht="33" customHeight="1" x14ac:dyDescent="0.25">
      <c r="A605" s="7" t="s">
        <v>1410</v>
      </c>
      <c r="B605" s="3" t="s">
        <v>1315</v>
      </c>
      <c r="C605" s="3" t="s">
        <v>1411</v>
      </c>
      <c r="D605" s="6"/>
      <c r="E605" s="6">
        <v>45900</v>
      </c>
      <c r="F605" s="3"/>
      <c r="G605" s="6"/>
      <c r="H605" s="3"/>
      <c r="I605" s="6"/>
      <c r="J605" s="3" t="s">
        <v>1101</v>
      </c>
      <c r="K605" s="3"/>
      <c r="L605" s="3">
        <v>3309948</v>
      </c>
      <c r="M605" s="3" t="s">
        <v>34</v>
      </c>
      <c r="N605" s="3" t="s">
        <v>1317</v>
      </c>
      <c r="O605" s="3" t="s">
        <v>441</v>
      </c>
      <c r="P605" s="3" t="s">
        <v>1318</v>
      </c>
      <c r="Q605" s="5">
        <v>12558</v>
      </c>
      <c r="R605" s="5"/>
      <c r="S605" s="5"/>
      <c r="T605" s="3"/>
      <c r="U605" s="3" t="s">
        <v>153</v>
      </c>
      <c r="V605" s="3"/>
      <c r="W605" s="6"/>
      <c r="X605" s="6"/>
      <c r="Y605" s="3"/>
      <c r="Z605" s="3"/>
      <c r="AA605" s="3"/>
      <c r="AB605" s="3" t="s">
        <v>42</v>
      </c>
    </row>
    <row r="606" spans="1:28" ht="33" customHeight="1" x14ac:dyDescent="0.25">
      <c r="A606" s="7" t="s">
        <v>1412</v>
      </c>
      <c r="B606" s="3" t="s">
        <v>1315</v>
      </c>
      <c r="C606" s="3" t="s">
        <v>1316</v>
      </c>
      <c r="D606" s="6"/>
      <c r="E606" s="6">
        <v>45900</v>
      </c>
      <c r="F606" s="3"/>
      <c r="G606" s="6"/>
      <c r="H606" s="3"/>
      <c r="I606" s="6"/>
      <c r="J606" s="3" t="s">
        <v>1101</v>
      </c>
      <c r="K606" s="3"/>
      <c r="L606" s="3">
        <v>3309948</v>
      </c>
      <c r="M606" s="3" t="s">
        <v>34</v>
      </c>
      <c r="N606" s="3" t="s">
        <v>1317</v>
      </c>
      <c r="O606" s="3" t="s">
        <v>441</v>
      </c>
      <c r="P606" s="3" t="s">
        <v>1318</v>
      </c>
      <c r="Q606" s="5">
        <v>51933.880412371145</v>
      </c>
      <c r="R606" s="5"/>
      <c r="S606" s="5"/>
      <c r="T606" s="3"/>
      <c r="U606" s="3" t="s">
        <v>153</v>
      </c>
      <c r="V606" s="3"/>
      <c r="W606" s="6"/>
      <c r="X606" s="6"/>
      <c r="Y606" s="3"/>
      <c r="Z606" s="3"/>
      <c r="AA606" s="3"/>
      <c r="AB606" s="3" t="s">
        <v>42</v>
      </c>
    </row>
    <row r="607" spans="1:28" ht="33" customHeight="1" x14ac:dyDescent="0.25">
      <c r="A607" s="7" t="s">
        <v>1413</v>
      </c>
      <c r="B607" s="3" t="s">
        <v>1315</v>
      </c>
      <c r="C607" s="3" t="s">
        <v>1316</v>
      </c>
      <c r="D607" s="6"/>
      <c r="E607" s="6">
        <v>45900</v>
      </c>
      <c r="F607" s="3"/>
      <c r="G607" s="6"/>
      <c r="H607" s="3"/>
      <c r="I607" s="6"/>
      <c r="J607" s="3" t="s">
        <v>1101</v>
      </c>
      <c r="K607" s="3"/>
      <c r="L607" s="3">
        <v>3309948</v>
      </c>
      <c r="M607" s="3" t="s">
        <v>34</v>
      </c>
      <c r="N607" s="3" t="s">
        <v>1317</v>
      </c>
      <c r="O607" s="3" t="s">
        <v>441</v>
      </c>
      <c r="P607" s="3" t="s">
        <v>1318</v>
      </c>
      <c r="Q607" s="5">
        <v>53257.557861801244</v>
      </c>
      <c r="R607" s="5"/>
      <c r="S607" s="5"/>
      <c r="T607" s="3"/>
      <c r="U607" s="3" t="s">
        <v>153</v>
      </c>
      <c r="V607" s="3"/>
      <c r="W607" s="6"/>
      <c r="X607" s="6"/>
      <c r="Y607" s="3"/>
      <c r="Z607" s="3"/>
      <c r="AA607" s="3"/>
      <c r="AB607" s="3" t="s">
        <v>42</v>
      </c>
    </row>
    <row r="608" spans="1:28" ht="33" customHeight="1" x14ac:dyDescent="0.25">
      <c r="A608" s="7" t="s">
        <v>1414</v>
      </c>
      <c r="B608" s="3" t="s">
        <v>1315</v>
      </c>
      <c r="C608" s="3" t="s">
        <v>1316</v>
      </c>
      <c r="D608" s="6"/>
      <c r="E608" s="6">
        <v>45900</v>
      </c>
      <c r="F608" s="3"/>
      <c r="G608" s="6"/>
      <c r="H608" s="3"/>
      <c r="I608" s="6"/>
      <c r="J608" s="3" t="s">
        <v>1101</v>
      </c>
      <c r="K608" s="3"/>
      <c r="L608" s="3">
        <v>3309948</v>
      </c>
      <c r="M608" s="3" t="s">
        <v>34</v>
      </c>
      <c r="N608" s="3" t="s">
        <v>1317</v>
      </c>
      <c r="O608" s="3" t="s">
        <v>441</v>
      </c>
      <c r="P608" s="3" t="s">
        <v>1318</v>
      </c>
      <c r="Q608" s="5">
        <v>53950.393613354048</v>
      </c>
      <c r="R608" s="5"/>
      <c r="S608" s="5"/>
      <c r="T608" s="3"/>
      <c r="U608" s="3" t="s">
        <v>153</v>
      </c>
      <c r="V608" s="3"/>
      <c r="W608" s="6"/>
      <c r="X608" s="6"/>
      <c r="Y608" s="3"/>
      <c r="Z608" s="3"/>
      <c r="AA608" s="3"/>
      <c r="AB608" s="3" t="s">
        <v>42</v>
      </c>
    </row>
    <row r="609" spans="1:28" ht="33" customHeight="1" x14ac:dyDescent="0.25">
      <c r="A609" s="7" t="s">
        <v>1415</v>
      </c>
      <c r="B609" s="3" t="s">
        <v>1315</v>
      </c>
      <c r="C609" s="3" t="s">
        <v>1316</v>
      </c>
      <c r="D609" s="6"/>
      <c r="E609" s="6">
        <v>45900</v>
      </c>
      <c r="F609" s="3"/>
      <c r="G609" s="6"/>
      <c r="H609" s="3"/>
      <c r="I609" s="6"/>
      <c r="J609" s="3" t="s">
        <v>1101</v>
      </c>
      <c r="K609" s="3"/>
      <c r="L609" s="3">
        <v>3309948</v>
      </c>
      <c r="M609" s="3" t="s">
        <v>34</v>
      </c>
      <c r="N609" s="3" t="s">
        <v>1317</v>
      </c>
      <c r="O609" s="3" t="s">
        <v>441</v>
      </c>
      <c r="P609" s="3" t="s">
        <v>1318</v>
      </c>
      <c r="Q609" s="5">
        <v>51933.880412371145</v>
      </c>
      <c r="R609" s="5"/>
      <c r="S609" s="5"/>
      <c r="T609" s="3"/>
      <c r="U609" s="3" t="s">
        <v>153</v>
      </c>
      <c r="V609" s="3"/>
      <c r="W609" s="6"/>
      <c r="X609" s="6"/>
      <c r="Y609" s="3"/>
      <c r="Z609" s="3"/>
      <c r="AA609" s="3"/>
      <c r="AB609" s="3" t="s">
        <v>42</v>
      </c>
    </row>
    <row r="610" spans="1:28" ht="33" customHeight="1" x14ac:dyDescent="0.25">
      <c r="A610" s="7" t="s">
        <v>1416</v>
      </c>
      <c r="B610" s="3" t="s">
        <v>1315</v>
      </c>
      <c r="C610" s="3" t="s">
        <v>1316</v>
      </c>
      <c r="D610" s="6"/>
      <c r="E610" s="6">
        <v>45900</v>
      </c>
      <c r="F610" s="3"/>
      <c r="G610" s="6"/>
      <c r="H610" s="3"/>
      <c r="I610" s="6"/>
      <c r="J610" s="3" t="s">
        <v>1101</v>
      </c>
      <c r="K610" s="3"/>
      <c r="L610" s="3">
        <v>3309948</v>
      </c>
      <c r="M610" s="3" t="s">
        <v>34</v>
      </c>
      <c r="N610" s="3" t="s">
        <v>1317</v>
      </c>
      <c r="O610" s="3" t="s">
        <v>441</v>
      </c>
      <c r="P610" s="3" t="s">
        <v>1318</v>
      </c>
      <c r="Q610" s="5">
        <v>51933.880412371145</v>
      </c>
      <c r="R610" s="5"/>
      <c r="S610" s="5"/>
      <c r="T610" s="3"/>
      <c r="U610" s="3" t="s">
        <v>153</v>
      </c>
      <c r="V610" s="3"/>
      <c r="W610" s="6"/>
      <c r="X610" s="6"/>
      <c r="Y610" s="3"/>
      <c r="Z610" s="3"/>
      <c r="AA610" s="3"/>
      <c r="AB610" s="3" t="s">
        <v>42</v>
      </c>
    </row>
    <row r="611" spans="1:28" ht="33" customHeight="1" x14ac:dyDescent="0.25">
      <c r="A611" s="7" t="s">
        <v>1417</v>
      </c>
      <c r="B611" s="3" t="s">
        <v>1315</v>
      </c>
      <c r="C611" s="3" t="s">
        <v>1316</v>
      </c>
      <c r="D611" s="6"/>
      <c r="E611" s="6">
        <v>45900</v>
      </c>
      <c r="F611" s="3"/>
      <c r="G611" s="6"/>
      <c r="H611" s="3"/>
      <c r="I611" s="6"/>
      <c r="J611" s="3" t="s">
        <v>1101</v>
      </c>
      <c r="K611" s="3"/>
      <c r="L611" s="3">
        <v>3309948</v>
      </c>
      <c r="M611" s="3" t="s">
        <v>34</v>
      </c>
      <c r="N611" s="3" t="s">
        <v>1317</v>
      </c>
      <c r="O611" s="3" t="s">
        <v>441</v>
      </c>
      <c r="P611" s="3" t="s">
        <v>1318</v>
      </c>
      <c r="Q611" s="5">
        <v>63584.34</v>
      </c>
      <c r="R611" s="5"/>
      <c r="S611" s="5"/>
      <c r="T611" s="3"/>
      <c r="U611" s="3" t="s">
        <v>153</v>
      </c>
      <c r="V611" s="3"/>
      <c r="W611" s="6"/>
      <c r="X611" s="6"/>
      <c r="Y611" s="3"/>
      <c r="Z611" s="3"/>
      <c r="AA611" s="3"/>
      <c r="AB611" s="3" t="s">
        <v>42</v>
      </c>
    </row>
    <row r="612" spans="1:28" ht="33" customHeight="1" x14ac:dyDescent="0.25">
      <c r="A612" s="7" t="s">
        <v>1418</v>
      </c>
      <c r="B612" s="3" t="s">
        <v>1315</v>
      </c>
      <c r="C612" s="3" t="s">
        <v>1316</v>
      </c>
      <c r="D612" s="6"/>
      <c r="E612" s="6">
        <v>45900</v>
      </c>
      <c r="F612" s="3"/>
      <c r="G612" s="6"/>
      <c r="H612" s="3"/>
      <c r="I612" s="6"/>
      <c r="J612" s="3" t="s">
        <v>1333</v>
      </c>
      <c r="K612" s="3"/>
      <c r="L612" s="3">
        <v>8618209</v>
      </c>
      <c r="M612" s="3" t="s">
        <v>34</v>
      </c>
      <c r="N612" s="3" t="s">
        <v>1317</v>
      </c>
      <c r="O612" s="3" t="s">
        <v>441</v>
      </c>
      <c r="P612" s="3" t="s">
        <v>1318</v>
      </c>
      <c r="Q612" s="5">
        <v>61939.226426861343</v>
      </c>
      <c r="R612" s="5"/>
      <c r="S612" s="5"/>
      <c r="T612" s="3"/>
      <c r="U612" s="3" t="s">
        <v>153</v>
      </c>
      <c r="V612" s="3"/>
      <c r="W612" s="6"/>
      <c r="X612" s="6"/>
      <c r="Y612" s="3"/>
      <c r="Z612" s="3"/>
      <c r="AA612" s="3"/>
      <c r="AB612" s="3" t="s">
        <v>42</v>
      </c>
    </row>
    <row r="613" spans="1:28" ht="33" customHeight="1" x14ac:dyDescent="0.25">
      <c r="A613" s="7" t="s">
        <v>1419</v>
      </c>
      <c r="B613" s="3" t="s">
        <v>1315</v>
      </c>
      <c r="C613" s="3" t="s">
        <v>1316</v>
      </c>
      <c r="D613" s="6"/>
      <c r="E613" s="6">
        <v>45900</v>
      </c>
      <c r="F613" s="3"/>
      <c r="G613" s="6"/>
      <c r="H613" s="3"/>
      <c r="I613" s="6"/>
      <c r="J613" s="3" t="s">
        <v>1333</v>
      </c>
      <c r="K613" s="3"/>
      <c r="L613" s="3">
        <v>8618209</v>
      </c>
      <c r="M613" s="3" t="s">
        <v>34</v>
      </c>
      <c r="N613" s="3" t="s">
        <v>1317</v>
      </c>
      <c r="O613" s="3" t="s">
        <v>441</v>
      </c>
      <c r="P613" s="3" t="s">
        <v>1318</v>
      </c>
      <c r="Q613" s="5">
        <v>65000</v>
      </c>
      <c r="R613" s="5"/>
      <c r="S613" s="5"/>
      <c r="T613" s="3"/>
      <c r="U613" s="3" t="s">
        <v>153</v>
      </c>
      <c r="V613" s="3"/>
      <c r="W613" s="6"/>
      <c r="X613" s="6"/>
      <c r="Y613" s="3"/>
      <c r="Z613" s="3"/>
      <c r="AA613" s="3"/>
      <c r="AB613" s="3" t="s">
        <v>42</v>
      </c>
    </row>
    <row r="614" spans="1:28" ht="33" customHeight="1" x14ac:dyDescent="0.25">
      <c r="A614" s="7" t="s">
        <v>1420</v>
      </c>
      <c r="B614" s="3" t="s">
        <v>1315</v>
      </c>
      <c r="C614" s="3" t="s">
        <v>1411</v>
      </c>
      <c r="D614" s="6"/>
      <c r="E614" s="6">
        <v>45900</v>
      </c>
      <c r="F614" s="3"/>
      <c r="G614" s="6"/>
      <c r="H614" s="3"/>
      <c r="I614" s="6"/>
      <c r="J614" s="3" t="s">
        <v>1333</v>
      </c>
      <c r="K614" s="3"/>
      <c r="L614" s="3">
        <v>8618209</v>
      </c>
      <c r="M614" s="3" t="s">
        <v>34</v>
      </c>
      <c r="N614" s="3" t="s">
        <v>1317</v>
      </c>
      <c r="O614" s="3" t="s">
        <v>441</v>
      </c>
      <c r="P614" s="3" t="s">
        <v>1318</v>
      </c>
      <c r="Q614" s="5">
        <v>11378.669482576557</v>
      </c>
      <c r="R614" s="5"/>
      <c r="S614" s="5"/>
      <c r="T614" s="3"/>
      <c r="U614" s="3" t="s">
        <v>153</v>
      </c>
      <c r="V614" s="3"/>
      <c r="W614" s="6"/>
      <c r="X614" s="6"/>
      <c r="Y614" s="3"/>
      <c r="Z614" s="3"/>
      <c r="AA614" s="3"/>
      <c r="AB614" s="3" t="s">
        <v>42</v>
      </c>
    </row>
    <row r="615" spans="1:28" ht="33" customHeight="1" x14ac:dyDescent="0.25">
      <c r="A615" s="7" t="s">
        <v>1421</v>
      </c>
      <c r="B615" s="3" t="s">
        <v>1315</v>
      </c>
      <c r="C615" s="3" t="s">
        <v>1316</v>
      </c>
      <c r="D615" s="6"/>
      <c r="E615" s="6">
        <v>45657</v>
      </c>
      <c r="F615" s="3"/>
      <c r="G615" s="6"/>
      <c r="H615" s="3"/>
      <c r="I615" s="6"/>
      <c r="J615" s="3" t="s">
        <v>1422</v>
      </c>
      <c r="K615" s="3"/>
      <c r="L615" s="3" t="s">
        <v>1321</v>
      </c>
      <c r="M615" s="3" t="s">
        <v>48</v>
      </c>
      <c r="N615" s="3" t="s">
        <v>1317</v>
      </c>
      <c r="O615" s="3" t="s">
        <v>441</v>
      </c>
      <c r="P615" s="3" t="s">
        <v>1318</v>
      </c>
      <c r="Q615" s="5">
        <v>47500</v>
      </c>
      <c r="R615" s="5"/>
      <c r="S615" s="5"/>
      <c r="T615" s="3"/>
      <c r="U615" s="3" t="s">
        <v>153</v>
      </c>
      <c r="V615" s="3"/>
      <c r="W615" s="6"/>
      <c r="X615" s="6"/>
      <c r="Y615" s="3"/>
      <c r="Z615" s="3"/>
      <c r="AA615" s="3"/>
      <c r="AB615" s="3" t="s">
        <v>477</v>
      </c>
    </row>
    <row r="616" spans="1:28" ht="33" customHeight="1" x14ac:dyDescent="0.25">
      <c r="A616" s="7" t="s">
        <v>1421</v>
      </c>
      <c r="B616" s="3" t="s">
        <v>1315</v>
      </c>
      <c r="C616" s="3" t="s">
        <v>1316</v>
      </c>
      <c r="D616" s="6"/>
      <c r="E616" s="6">
        <v>45657</v>
      </c>
      <c r="F616" s="3"/>
      <c r="G616" s="6"/>
      <c r="H616" s="3"/>
      <c r="I616" s="6"/>
      <c r="J616" s="3" t="s">
        <v>1422</v>
      </c>
      <c r="K616" s="3"/>
      <c r="L616" s="3" t="s">
        <v>1321</v>
      </c>
      <c r="M616" s="3" t="s">
        <v>48</v>
      </c>
      <c r="N616" s="3" t="s">
        <v>1317</v>
      </c>
      <c r="O616" s="3" t="s">
        <v>441</v>
      </c>
      <c r="P616" s="3" t="s">
        <v>1318</v>
      </c>
      <c r="Q616" s="5">
        <v>70490</v>
      </c>
      <c r="R616" s="5"/>
      <c r="S616" s="5"/>
      <c r="T616" s="3"/>
      <c r="U616" s="3" t="s">
        <v>153</v>
      </c>
      <c r="V616" s="3"/>
      <c r="W616" s="6"/>
      <c r="X616" s="6"/>
      <c r="Y616" s="3"/>
      <c r="Z616" s="3"/>
      <c r="AA616" s="3"/>
      <c r="AB616" s="3" t="s">
        <v>477</v>
      </c>
    </row>
    <row r="617" spans="1:28" ht="33" customHeight="1" x14ac:dyDescent="0.25">
      <c r="A617" s="7" t="s">
        <v>1423</v>
      </c>
      <c r="B617" s="3" t="s">
        <v>1315</v>
      </c>
      <c r="C617" s="3" t="s">
        <v>1316</v>
      </c>
      <c r="D617" s="6"/>
      <c r="E617" s="6">
        <v>45657</v>
      </c>
      <c r="F617" s="3"/>
      <c r="G617" s="6"/>
      <c r="H617" s="3"/>
      <c r="I617" s="6"/>
      <c r="J617" s="3" t="s">
        <v>1422</v>
      </c>
      <c r="K617" s="3"/>
      <c r="L617" s="3" t="s">
        <v>1321</v>
      </c>
      <c r="M617" s="3" t="s">
        <v>48</v>
      </c>
      <c r="N617" s="3" t="s">
        <v>1317</v>
      </c>
      <c r="O617" s="3" t="s">
        <v>441</v>
      </c>
      <c r="P617" s="3" t="s">
        <v>1318</v>
      </c>
      <c r="Q617" s="5">
        <v>66500</v>
      </c>
      <c r="R617" s="5"/>
      <c r="S617" s="5"/>
      <c r="T617" s="3"/>
      <c r="U617" s="3" t="s">
        <v>153</v>
      </c>
      <c r="V617" s="3"/>
      <c r="W617" s="6"/>
      <c r="X617" s="6"/>
      <c r="Y617" s="3"/>
      <c r="Z617" s="3"/>
      <c r="AA617" s="3"/>
      <c r="AB617" s="3" t="s">
        <v>477</v>
      </c>
    </row>
    <row r="618" spans="1:28" ht="33" customHeight="1" x14ac:dyDescent="0.25">
      <c r="A618" s="7" t="s">
        <v>1424</v>
      </c>
      <c r="B618" s="3" t="s">
        <v>1315</v>
      </c>
      <c r="C618" s="3" t="s">
        <v>1316</v>
      </c>
      <c r="D618" s="6"/>
      <c r="E618" s="6">
        <v>45900</v>
      </c>
      <c r="F618" s="3"/>
      <c r="G618" s="6"/>
      <c r="H618" s="3"/>
      <c r="I618" s="6"/>
      <c r="J618" s="3" t="s">
        <v>1118</v>
      </c>
      <c r="K618" s="3"/>
      <c r="L618" s="3">
        <v>12850883</v>
      </c>
      <c r="M618" s="3" t="s">
        <v>48</v>
      </c>
      <c r="N618" s="3" t="s">
        <v>1317</v>
      </c>
      <c r="O618" s="3" t="s">
        <v>441</v>
      </c>
      <c r="P618" s="3" t="s">
        <v>1318</v>
      </c>
      <c r="Q618" s="5">
        <v>61960.230582938224</v>
      </c>
      <c r="R618" s="5"/>
      <c r="S618" s="5"/>
      <c r="T618" s="3"/>
      <c r="U618" s="3" t="s">
        <v>153</v>
      </c>
      <c r="V618" s="3"/>
      <c r="W618" s="6"/>
      <c r="X618" s="6"/>
      <c r="Y618" s="3"/>
      <c r="Z618" s="3"/>
      <c r="AA618" s="3"/>
      <c r="AB618" s="3" t="s">
        <v>477</v>
      </c>
    </row>
    <row r="619" spans="1:28" ht="33" customHeight="1" x14ac:dyDescent="0.25">
      <c r="A619" s="7" t="s">
        <v>1425</v>
      </c>
      <c r="B619" s="3" t="s">
        <v>1315</v>
      </c>
      <c r="C619" s="3" t="s">
        <v>1316</v>
      </c>
      <c r="D619" s="6"/>
      <c r="E619" s="6">
        <v>45657</v>
      </c>
      <c r="F619" s="3"/>
      <c r="G619" s="6"/>
      <c r="H619" s="3"/>
      <c r="I619" s="6"/>
      <c r="J619" s="3" t="s">
        <v>68</v>
      </c>
      <c r="K619" s="3"/>
      <c r="L619" s="3">
        <v>1990370</v>
      </c>
      <c r="M619" s="3" t="s">
        <v>34</v>
      </c>
      <c r="N619" s="3" t="s">
        <v>1317</v>
      </c>
      <c r="O619" s="3" t="s">
        <v>441</v>
      </c>
      <c r="P619" s="3" t="s">
        <v>1318</v>
      </c>
      <c r="Q619" s="5">
        <v>50674.231608588525</v>
      </c>
      <c r="R619" s="5"/>
      <c r="S619" s="5"/>
      <c r="T619" s="3"/>
      <c r="U619" s="3" t="s">
        <v>153</v>
      </c>
      <c r="V619" s="3"/>
      <c r="W619" s="6"/>
      <c r="X619" s="6"/>
      <c r="Y619" s="3"/>
      <c r="Z619" s="3"/>
      <c r="AA619" s="3"/>
      <c r="AB619" s="3" t="s">
        <v>42</v>
      </c>
    </row>
    <row r="620" spans="1:28" ht="33" customHeight="1" x14ac:dyDescent="0.25">
      <c r="A620" s="7" t="s">
        <v>1426</v>
      </c>
      <c r="B620" s="3" t="s">
        <v>1315</v>
      </c>
      <c r="C620" s="3" t="s">
        <v>1316</v>
      </c>
      <c r="D620" s="6"/>
      <c r="E620" s="6">
        <v>45657</v>
      </c>
      <c r="F620" s="3"/>
      <c r="G620" s="6"/>
      <c r="H620" s="3"/>
      <c r="I620" s="6"/>
      <c r="J620" s="3" t="s">
        <v>68</v>
      </c>
      <c r="K620" s="3"/>
      <c r="L620" s="3">
        <v>1990370</v>
      </c>
      <c r="M620" s="3" t="s">
        <v>34</v>
      </c>
      <c r="N620" s="3" t="s">
        <v>1317</v>
      </c>
      <c r="O620" s="3" t="s">
        <v>441</v>
      </c>
      <c r="P620" s="3" t="s">
        <v>1318</v>
      </c>
      <c r="Q620" s="5">
        <v>27642.1195913478</v>
      </c>
      <c r="R620" s="5"/>
      <c r="S620" s="5"/>
      <c r="T620" s="3"/>
      <c r="U620" s="3" t="s">
        <v>153</v>
      </c>
      <c r="V620" s="3"/>
      <c r="W620" s="6"/>
      <c r="X620" s="6"/>
      <c r="Y620" s="3"/>
      <c r="Z620" s="3"/>
      <c r="AA620" s="3"/>
      <c r="AB620" s="3" t="s">
        <v>42</v>
      </c>
    </row>
    <row r="621" spans="1:28" ht="33" customHeight="1" x14ac:dyDescent="0.25">
      <c r="A621" s="7" t="s">
        <v>1427</v>
      </c>
      <c r="B621" s="3" t="s">
        <v>1315</v>
      </c>
      <c r="C621" s="3" t="s">
        <v>1316</v>
      </c>
      <c r="D621" s="6"/>
      <c r="E621" s="6">
        <v>45657</v>
      </c>
      <c r="F621" s="3"/>
      <c r="G621" s="6"/>
      <c r="H621" s="3"/>
      <c r="I621" s="6"/>
      <c r="J621" s="3" t="s">
        <v>68</v>
      </c>
      <c r="K621" s="3"/>
      <c r="L621" s="3">
        <v>1990370</v>
      </c>
      <c r="M621" s="3" t="s">
        <v>34</v>
      </c>
      <c r="N621" s="3" t="s">
        <v>1317</v>
      </c>
      <c r="O621" s="3" t="s">
        <v>441</v>
      </c>
      <c r="P621" s="3" t="s">
        <v>1318</v>
      </c>
      <c r="Q621" s="5">
        <v>50674.231608588525</v>
      </c>
      <c r="R621" s="5"/>
      <c r="S621" s="5"/>
      <c r="T621" s="3"/>
      <c r="U621" s="3" t="s">
        <v>153</v>
      </c>
      <c r="V621" s="3"/>
      <c r="W621" s="6"/>
      <c r="X621" s="6"/>
      <c r="Y621" s="3"/>
      <c r="Z621" s="3"/>
      <c r="AA621" s="3"/>
      <c r="AB621" s="3" t="s">
        <v>42</v>
      </c>
    </row>
    <row r="622" spans="1:28" ht="33" customHeight="1" x14ac:dyDescent="0.25">
      <c r="A622" s="7" t="s">
        <v>1428</v>
      </c>
      <c r="B622" s="3" t="s">
        <v>1315</v>
      </c>
      <c r="C622" s="3" t="s">
        <v>1316</v>
      </c>
      <c r="D622" s="6"/>
      <c r="E622" s="6">
        <v>45657</v>
      </c>
      <c r="F622" s="3"/>
      <c r="G622" s="6"/>
      <c r="H622" s="3"/>
      <c r="I622" s="6"/>
      <c r="J622" s="3" t="s">
        <v>68</v>
      </c>
      <c r="K622" s="3"/>
      <c r="L622" s="3">
        <v>1990370</v>
      </c>
      <c r="M622" s="3" t="s">
        <v>34</v>
      </c>
      <c r="N622" s="3" t="s">
        <v>1317</v>
      </c>
      <c r="O622" s="3" t="s">
        <v>441</v>
      </c>
      <c r="P622" s="3" t="s">
        <v>1318</v>
      </c>
      <c r="Q622" s="5">
        <v>33643.405117965704</v>
      </c>
      <c r="R622" s="5"/>
      <c r="S622" s="5"/>
      <c r="T622" s="3"/>
      <c r="U622" s="3" t="s">
        <v>153</v>
      </c>
      <c r="V622" s="3"/>
      <c r="W622" s="6"/>
      <c r="X622" s="6"/>
      <c r="Y622" s="3"/>
      <c r="Z622" s="3"/>
      <c r="AA622" s="3"/>
      <c r="AB622" s="3" t="s">
        <v>42</v>
      </c>
    </row>
    <row r="623" spans="1:28" ht="33" customHeight="1" x14ac:dyDescent="0.25">
      <c r="A623" s="7" t="s">
        <v>1429</v>
      </c>
      <c r="B623" s="3" t="s">
        <v>1315</v>
      </c>
      <c r="C623" s="3" t="s">
        <v>1316</v>
      </c>
      <c r="D623" s="6"/>
      <c r="E623" s="6">
        <v>45657</v>
      </c>
      <c r="F623" s="3"/>
      <c r="G623" s="6"/>
      <c r="H623" s="3"/>
      <c r="I623" s="6"/>
      <c r="J623" s="3" t="s">
        <v>68</v>
      </c>
      <c r="K623" s="3"/>
      <c r="L623" s="3">
        <v>1990370</v>
      </c>
      <c r="M623" s="3" t="s">
        <v>34</v>
      </c>
      <c r="N623" s="3" t="s">
        <v>1317</v>
      </c>
      <c r="O623" s="3" t="s">
        <v>441</v>
      </c>
      <c r="P623" s="3" t="s">
        <v>1318</v>
      </c>
      <c r="Q623" s="5">
        <v>33643.405117965704</v>
      </c>
      <c r="R623" s="5"/>
      <c r="S623" s="5"/>
      <c r="T623" s="3"/>
      <c r="U623" s="3" t="s">
        <v>153</v>
      </c>
      <c r="V623" s="3"/>
      <c r="W623" s="6"/>
      <c r="X623" s="6"/>
      <c r="Y623" s="3"/>
      <c r="Z623" s="3"/>
      <c r="AA623" s="3"/>
      <c r="AB623" s="3" t="s">
        <v>42</v>
      </c>
    </row>
    <row r="624" spans="1:28" ht="33" customHeight="1" x14ac:dyDescent="0.25">
      <c r="A624" s="7" t="s">
        <v>1430</v>
      </c>
      <c r="B624" s="3" t="s">
        <v>1315</v>
      </c>
      <c r="C624" s="3" t="s">
        <v>1316</v>
      </c>
      <c r="D624" s="6"/>
      <c r="E624" s="6">
        <v>45657</v>
      </c>
      <c r="F624" s="3"/>
      <c r="G624" s="6"/>
      <c r="H624" s="3"/>
      <c r="I624" s="6"/>
      <c r="J624" s="3" t="s">
        <v>68</v>
      </c>
      <c r="K624" s="3"/>
      <c r="L624" s="3">
        <v>1990370</v>
      </c>
      <c r="M624" s="3" t="s">
        <v>34</v>
      </c>
      <c r="N624" s="3" t="s">
        <v>1317</v>
      </c>
      <c r="O624" s="3" t="s">
        <v>441</v>
      </c>
      <c r="P624" s="3" t="s">
        <v>1318</v>
      </c>
      <c r="Q624" s="5">
        <v>41104.700946155055</v>
      </c>
      <c r="R624" s="5"/>
      <c r="S624" s="5"/>
      <c r="T624" s="3"/>
      <c r="U624" s="3" t="s">
        <v>153</v>
      </c>
      <c r="V624" s="3"/>
      <c r="W624" s="6"/>
      <c r="X624" s="6"/>
      <c r="Y624" s="3"/>
      <c r="Z624" s="3"/>
      <c r="AA624" s="3"/>
      <c r="AB624" s="3" t="s">
        <v>42</v>
      </c>
    </row>
    <row r="625" spans="1:28" ht="33" customHeight="1" x14ac:dyDescent="0.25">
      <c r="A625" s="7" t="s">
        <v>1431</v>
      </c>
      <c r="B625" s="3" t="s">
        <v>1315</v>
      </c>
      <c r="C625" s="3" t="s">
        <v>1411</v>
      </c>
      <c r="D625" s="6"/>
      <c r="E625" s="6">
        <v>45657</v>
      </c>
      <c r="F625" s="3"/>
      <c r="G625" s="6"/>
      <c r="H625" s="3"/>
      <c r="I625" s="6"/>
      <c r="J625" s="3" t="s">
        <v>68</v>
      </c>
      <c r="K625" s="3"/>
      <c r="L625" s="3">
        <v>1990370</v>
      </c>
      <c r="M625" s="3" t="s">
        <v>34</v>
      </c>
      <c r="N625" s="3" t="s">
        <v>1317</v>
      </c>
      <c r="O625" s="3" t="s">
        <v>441</v>
      </c>
      <c r="P625" s="3" t="s">
        <v>1318</v>
      </c>
      <c r="Q625" s="5">
        <v>6603.1642520239302</v>
      </c>
      <c r="R625" s="5"/>
      <c r="S625" s="5"/>
      <c r="T625" s="3"/>
      <c r="U625" s="3" t="s">
        <v>153</v>
      </c>
      <c r="V625" s="3"/>
      <c r="W625" s="6"/>
      <c r="X625" s="6"/>
      <c r="Y625" s="3"/>
      <c r="Z625" s="3"/>
      <c r="AA625" s="3"/>
      <c r="AB625" s="3" t="s">
        <v>42</v>
      </c>
    </row>
    <row r="626" spans="1:28" ht="33" customHeight="1" x14ac:dyDescent="0.25">
      <c r="A626" s="7" t="s">
        <v>1432</v>
      </c>
      <c r="B626" s="3" t="s">
        <v>1315</v>
      </c>
      <c r="C626" s="3" t="s">
        <v>1316</v>
      </c>
      <c r="D626" s="6"/>
      <c r="E626" s="6">
        <v>45657</v>
      </c>
      <c r="F626" s="3"/>
      <c r="G626" s="6"/>
      <c r="H626" s="3"/>
      <c r="I626" s="6"/>
      <c r="J626" s="3" t="s">
        <v>68</v>
      </c>
      <c r="K626" s="3"/>
      <c r="L626" s="3">
        <v>1990370</v>
      </c>
      <c r="M626" s="3" t="s">
        <v>34</v>
      </c>
      <c r="N626" s="3" t="s">
        <v>1317</v>
      </c>
      <c r="O626" s="3" t="s">
        <v>441</v>
      </c>
      <c r="P626" s="3" t="s">
        <v>1318</v>
      </c>
      <c r="Q626" s="5">
        <v>38709.883034390819</v>
      </c>
      <c r="R626" s="5"/>
      <c r="S626" s="5"/>
      <c r="T626" s="3"/>
      <c r="U626" s="3" t="s">
        <v>153</v>
      </c>
      <c r="V626" s="3"/>
      <c r="W626" s="6"/>
      <c r="X626" s="6"/>
      <c r="Y626" s="3"/>
      <c r="Z626" s="3"/>
      <c r="AA626" s="3"/>
      <c r="AB626" s="3" t="s">
        <v>42</v>
      </c>
    </row>
    <row r="627" spans="1:28" ht="33" customHeight="1" x14ac:dyDescent="0.25">
      <c r="A627" s="7" t="s">
        <v>1433</v>
      </c>
      <c r="B627" s="3" t="s">
        <v>1315</v>
      </c>
      <c r="C627" s="3" t="s">
        <v>1316</v>
      </c>
      <c r="D627" s="6"/>
      <c r="E627" s="6">
        <v>45657</v>
      </c>
      <c r="F627" s="3"/>
      <c r="G627" s="6"/>
      <c r="H627" s="3"/>
      <c r="I627" s="6"/>
      <c r="J627" s="3" t="s">
        <v>68</v>
      </c>
      <c r="K627" s="3"/>
      <c r="L627" s="3">
        <v>1990370</v>
      </c>
      <c r="M627" s="3" t="s">
        <v>34</v>
      </c>
      <c r="N627" s="3" t="s">
        <v>1317</v>
      </c>
      <c r="O627" s="3" t="s">
        <v>441</v>
      </c>
      <c r="P627" s="3" t="s">
        <v>1318</v>
      </c>
      <c r="Q627" s="5">
        <v>39303.438713195203</v>
      </c>
      <c r="R627" s="5"/>
      <c r="S627" s="5"/>
      <c r="T627" s="3"/>
      <c r="U627" s="3" t="s">
        <v>153</v>
      </c>
      <c r="V627" s="3"/>
      <c r="W627" s="6"/>
      <c r="X627" s="6"/>
      <c r="Y627" s="3"/>
      <c r="Z627" s="3"/>
      <c r="AA627" s="3"/>
      <c r="AB627" s="3" t="s">
        <v>42</v>
      </c>
    </row>
    <row r="628" spans="1:28" ht="33" customHeight="1" x14ac:dyDescent="0.25">
      <c r="A628" s="7" t="s">
        <v>1434</v>
      </c>
      <c r="B628" s="3" t="s">
        <v>1315</v>
      </c>
      <c r="C628" s="3" t="s">
        <v>1316</v>
      </c>
      <c r="D628" s="6"/>
      <c r="E628" s="6">
        <v>45657</v>
      </c>
      <c r="F628" s="3"/>
      <c r="G628" s="6"/>
      <c r="H628" s="3"/>
      <c r="I628" s="6"/>
      <c r="J628" s="3" t="s">
        <v>68</v>
      </c>
      <c r="K628" s="3"/>
      <c r="L628" s="3">
        <v>1990370</v>
      </c>
      <c r="M628" s="3" t="s">
        <v>34</v>
      </c>
      <c r="N628" s="3" t="s">
        <v>1317</v>
      </c>
      <c r="O628" s="3" t="s">
        <v>441</v>
      </c>
      <c r="P628" s="3" t="s">
        <v>1318</v>
      </c>
      <c r="Q628" s="5">
        <v>33643.405117965704</v>
      </c>
      <c r="R628" s="5"/>
      <c r="S628" s="5"/>
      <c r="T628" s="3"/>
      <c r="U628" s="3" t="s">
        <v>153</v>
      </c>
      <c r="V628" s="3"/>
      <c r="W628" s="6"/>
      <c r="X628" s="6"/>
      <c r="Y628" s="3"/>
      <c r="Z628" s="3"/>
      <c r="AA628" s="3"/>
      <c r="AB628" s="3" t="s">
        <v>42</v>
      </c>
    </row>
    <row r="629" spans="1:28" ht="33" customHeight="1" x14ac:dyDescent="0.25">
      <c r="A629" s="7" t="s">
        <v>1435</v>
      </c>
      <c r="B629" s="3" t="s">
        <v>1315</v>
      </c>
      <c r="C629" s="3" t="s">
        <v>1316</v>
      </c>
      <c r="D629" s="6"/>
      <c r="E629" s="6">
        <v>45657</v>
      </c>
      <c r="F629" s="3"/>
      <c r="G629" s="6"/>
      <c r="H629" s="3"/>
      <c r="I629" s="6"/>
      <c r="J629" s="3" t="s">
        <v>68</v>
      </c>
      <c r="K629" s="3"/>
      <c r="L629" s="3">
        <v>1990370</v>
      </c>
      <c r="M629" s="3" t="s">
        <v>34</v>
      </c>
      <c r="N629" s="3" t="s">
        <v>1317</v>
      </c>
      <c r="O629" s="3" t="s">
        <v>441</v>
      </c>
      <c r="P629" s="3" t="s">
        <v>1318</v>
      </c>
      <c r="Q629" s="5">
        <v>54393.624924763943</v>
      </c>
      <c r="R629" s="5"/>
      <c r="S629" s="5"/>
      <c r="T629" s="3"/>
      <c r="U629" s="3" t="s">
        <v>153</v>
      </c>
      <c r="V629" s="3"/>
      <c r="W629" s="6"/>
      <c r="X629" s="6"/>
      <c r="Y629" s="3"/>
      <c r="Z629" s="3"/>
      <c r="AA629" s="3"/>
      <c r="AB629" s="3" t="s">
        <v>42</v>
      </c>
    </row>
    <row r="630" spans="1:28" ht="33" customHeight="1" x14ac:dyDescent="0.25">
      <c r="A630" s="7" t="s">
        <v>1436</v>
      </c>
      <c r="B630" s="3" t="s">
        <v>1315</v>
      </c>
      <c r="C630" s="3" t="s">
        <v>1316</v>
      </c>
      <c r="D630" s="6"/>
      <c r="E630" s="6">
        <v>45657</v>
      </c>
      <c r="F630" s="3"/>
      <c r="G630" s="6"/>
      <c r="H630" s="3"/>
      <c r="I630" s="6"/>
      <c r="J630" s="3" t="s">
        <v>68</v>
      </c>
      <c r="K630" s="3"/>
      <c r="L630" s="3">
        <v>1990370</v>
      </c>
      <c r="M630" s="3" t="s">
        <v>34</v>
      </c>
      <c r="N630" s="3" t="s">
        <v>1317</v>
      </c>
      <c r="O630" s="3" t="s">
        <v>441</v>
      </c>
      <c r="P630" s="3" t="s">
        <v>1318</v>
      </c>
      <c r="Q630" s="5">
        <v>31623.008205723847</v>
      </c>
      <c r="R630" s="5"/>
      <c r="S630" s="5"/>
      <c r="T630" s="3"/>
      <c r="U630" s="3" t="s">
        <v>153</v>
      </c>
      <c r="V630" s="3"/>
      <c r="W630" s="6"/>
      <c r="X630" s="6"/>
      <c r="Y630" s="3"/>
      <c r="Z630" s="3"/>
      <c r="AA630" s="3"/>
      <c r="AB630" s="3" t="s">
        <v>42</v>
      </c>
    </row>
    <row r="631" spans="1:28" ht="33" customHeight="1" x14ac:dyDescent="0.25">
      <c r="A631" s="7" t="s">
        <v>1437</v>
      </c>
      <c r="B631" s="3" t="s">
        <v>1315</v>
      </c>
      <c r="C631" s="3" t="s">
        <v>1316</v>
      </c>
      <c r="D631" s="6"/>
      <c r="E631" s="6">
        <v>45657</v>
      </c>
      <c r="F631" s="3"/>
      <c r="G631" s="6"/>
      <c r="H631" s="3"/>
      <c r="I631" s="6"/>
      <c r="J631" s="3" t="s">
        <v>68</v>
      </c>
      <c r="K631" s="3"/>
      <c r="L631" s="3">
        <v>1990370</v>
      </c>
      <c r="M631" s="3" t="s">
        <v>34</v>
      </c>
      <c r="N631" s="3" t="s">
        <v>1317</v>
      </c>
      <c r="O631" s="3" t="s">
        <v>441</v>
      </c>
      <c r="P631" s="3" t="s">
        <v>1318</v>
      </c>
      <c r="Q631" s="5">
        <v>39303.438713195203</v>
      </c>
      <c r="R631" s="5"/>
      <c r="S631" s="5"/>
      <c r="T631" s="3"/>
      <c r="U631" s="3" t="s">
        <v>153</v>
      </c>
      <c r="V631" s="3"/>
      <c r="W631" s="6"/>
      <c r="X631" s="6"/>
      <c r="Y631" s="3"/>
      <c r="Z631" s="3"/>
      <c r="AA631" s="3"/>
      <c r="AB631" s="3" t="s">
        <v>42</v>
      </c>
    </row>
    <row r="632" spans="1:28" ht="33" customHeight="1" x14ac:dyDescent="0.25">
      <c r="A632" s="7" t="s">
        <v>1438</v>
      </c>
      <c r="B632" s="3" t="s">
        <v>1315</v>
      </c>
      <c r="C632" s="3" t="s">
        <v>1316</v>
      </c>
      <c r="D632" s="6"/>
      <c r="E632" s="6">
        <v>45657</v>
      </c>
      <c r="F632" s="3"/>
      <c r="G632" s="6"/>
      <c r="H632" s="3"/>
      <c r="I632" s="6"/>
      <c r="J632" s="3" t="s">
        <v>68</v>
      </c>
      <c r="K632" s="3"/>
      <c r="L632" s="3">
        <v>1990370</v>
      </c>
      <c r="M632" s="3" t="s">
        <v>34</v>
      </c>
      <c r="N632" s="3" t="s">
        <v>1317</v>
      </c>
      <c r="O632" s="3" t="s">
        <v>441</v>
      </c>
      <c r="P632" s="3" t="s">
        <v>1318</v>
      </c>
      <c r="Q632" s="5">
        <v>33643.405117965704</v>
      </c>
      <c r="R632" s="5"/>
      <c r="S632" s="5"/>
      <c r="T632" s="3"/>
      <c r="U632" s="3" t="s">
        <v>153</v>
      </c>
      <c r="V632" s="3"/>
      <c r="W632" s="6"/>
      <c r="X632" s="6"/>
      <c r="Y632" s="3"/>
      <c r="Z632" s="3"/>
      <c r="AA632" s="3"/>
      <c r="AB632" s="3" t="s">
        <v>42</v>
      </c>
    </row>
    <row r="633" spans="1:28" ht="33" customHeight="1" x14ac:dyDescent="0.25">
      <c r="A633" s="7" t="s">
        <v>1439</v>
      </c>
      <c r="B633" s="3" t="s">
        <v>1315</v>
      </c>
      <c r="C633" s="3" t="s">
        <v>1316</v>
      </c>
      <c r="D633" s="6"/>
      <c r="E633" s="6">
        <v>45657</v>
      </c>
      <c r="F633" s="3"/>
      <c r="G633" s="6"/>
      <c r="H633" s="3"/>
      <c r="I633" s="6"/>
      <c r="J633" s="3" t="s">
        <v>68</v>
      </c>
      <c r="K633" s="3"/>
      <c r="L633" s="3">
        <v>1990370</v>
      </c>
      <c r="M633" s="3" t="s">
        <v>34</v>
      </c>
      <c r="N633" s="3" t="s">
        <v>1317</v>
      </c>
      <c r="O633" s="3" t="s">
        <v>441</v>
      </c>
      <c r="P633" s="3" t="s">
        <v>1318</v>
      </c>
      <c r="Q633" s="5">
        <v>87434.008096221165</v>
      </c>
      <c r="R633" s="5"/>
      <c r="S633" s="5"/>
      <c r="T633" s="3"/>
      <c r="U633" s="3" t="s">
        <v>153</v>
      </c>
      <c r="V633" s="3"/>
      <c r="W633" s="6"/>
      <c r="X633" s="6"/>
      <c r="Y633" s="3"/>
      <c r="Z633" s="3"/>
      <c r="AA633" s="3"/>
      <c r="AB633" s="3" t="s">
        <v>42</v>
      </c>
    </row>
    <row r="634" spans="1:28" ht="33" customHeight="1" x14ac:dyDescent="0.25">
      <c r="A634" s="7" t="s">
        <v>1440</v>
      </c>
      <c r="B634" s="3" t="s">
        <v>1315</v>
      </c>
      <c r="C634" s="3" t="s">
        <v>1316</v>
      </c>
      <c r="D634" s="6"/>
      <c r="E634" s="6">
        <v>45657</v>
      </c>
      <c r="F634" s="3"/>
      <c r="G634" s="6"/>
      <c r="H634" s="3"/>
      <c r="I634" s="6"/>
      <c r="J634" s="3" t="s">
        <v>68</v>
      </c>
      <c r="K634" s="3"/>
      <c r="L634" s="3">
        <v>1990370</v>
      </c>
      <c r="M634" s="3" t="s">
        <v>34</v>
      </c>
      <c r="N634" s="3" t="s">
        <v>1317</v>
      </c>
      <c r="O634" s="3" t="s">
        <v>441</v>
      </c>
      <c r="P634" s="3" t="s">
        <v>1318</v>
      </c>
      <c r="Q634" s="5">
        <v>89184.639836278133</v>
      </c>
      <c r="R634" s="5"/>
      <c r="S634" s="5"/>
      <c r="T634" s="3"/>
      <c r="U634" s="3" t="s">
        <v>153</v>
      </c>
      <c r="V634" s="3"/>
      <c r="W634" s="6"/>
      <c r="X634" s="6"/>
      <c r="Y634" s="3"/>
      <c r="Z634" s="3"/>
      <c r="AA634" s="3"/>
      <c r="AB634" s="3" t="s">
        <v>42</v>
      </c>
    </row>
    <row r="635" spans="1:28" ht="33" customHeight="1" x14ac:dyDescent="0.25">
      <c r="A635" s="7" t="s">
        <v>1441</v>
      </c>
      <c r="B635" s="3" t="s">
        <v>1315</v>
      </c>
      <c r="C635" s="3" t="s">
        <v>1316</v>
      </c>
      <c r="D635" s="6"/>
      <c r="E635" s="6">
        <v>45657</v>
      </c>
      <c r="F635" s="3"/>
      <c r="G635" s="6"/>
      <c r="H635" s="3"/>
      <c r="I635" s="6"/>
      <c r="J635" s="3" t="s">
        <v>68</v>
      </c>
      <c r="K635" s="3"/>
      <c r="L635" s="3">
        <v>1990370</v>
      </c>
      <c r="M635" s="3" t="s">
        <v>34</v>
      </c>
      <c r="N635" s="3" t="s">
        <v>1317</v>
      </c>
      <c r="O635" s="3" t="s">
        <v>441</v>
      </c>
      <c r="P635" s="3" t="s">
        <v>1318</v>
      </c>
      <c r="Q635" s="5">
        <v>37148.620528378764</v>
      </c>
      <c r="R635" s="5"/>
      <c r="S635" s="5"/>
      <c r="T635" s="3"/>
      <c r="U635" s="3" t="s">
        <v>153</v>
      </c>
      <c r="V635" s="3"/>
      <c r="W635" s="6"/>
      <c r="X635" s="6"/>
      <c r="Y635" s="3"/>
      <c r="Z635" s="3"/>
      <c r="AA635" s="3"/>
      <c r="AB635" s="3" t="s">
        <v>42</v>
      </c>
    </row>
    <row r="636" spans="1:28" ht="33" customHeight="1" x14ac:dyDescent="0.25">
      <c r="A636" s="7" t="s">
        <v>1442</v>
      </c>
      <c r="B636" s="3" t="s">
        <v>1315</v>
      </c>
      <c r="C636" s="3" t="s">
        <v>1335</v>
      </c>
      <c r="D636" s="6"/>
      <c r="E636" s="6">
        <v>45657</v>
      </c>
      <c r="F636" s="3"/>
      <c r="G636" s="6"/>
      <c r="H636" s="3"/>
      <c r="I636" s="6"/>
      <c r="J636" s="3" t="s">
        <v>68</v>
      </c>
      <c r="K636" s="3"/>
      <c r="L636" s="3">
        <v>1990370</v>
      </c>
      <c r="M636" s="3" t="s">
        <v>34</v>
      </c>
      <c r="N636" s="3" t="s">
        <v>1317</v>
      </c>
      <c r="O636" s="3" t="s">
        <v>441</v>
      </c>
      <c r="P636" s="3" t="s">
        <v>1318</v>
      </c>
      <c r="Q636" s="5">
        <v>-110116.15628299894</v>
      </c>
      <c r="R636" s="5"/>
      <c r="S636" s="5"/>
      <c r="T636" s="3"/>
      <c r="U636" s="3" t="s">
        <v>153</v>
      </c>
      <c r="V636" s="3"/>
      <c r="W636" s="6"/>
      <c r="X636" s="6"/>
      <c r="Y636" s="3"/>
      <c r="Z636" s="3"/>
      <c r="AA636" s="3"/>
      <c r="AB636" s="3" t="s">
        <v>42</v>
      </c>
    </row>
    <row r="637" spans="1:28" ht="33" customHeight="1" x14ac:dyDescent="0.25">
      <c r="A637" s="7" t="s">
        <v>1443</v>
      </c>
      <c r="B637" s="3" t="s">
        <v>1315</v>
      </c>
      <c r="C637" s="3" t="s">
        <v>1316</v>
      </c>
      <c r="D637" s="6"/>
      <c r="E637" s="6">
        <v>45657</v>
      </c>
      <c r="F637" s="3"/>
      <c r="G637" s="6"/>
      <c r="H637" s="3"/>
      <c r="I637" s="6"/>
      <c r="J637" s="3" t="s">
        <v>68</v>
      </c>
      <c r="K637" s="3"/>
      <c r="L637" s="3">
        <v>1990370</v>
      </c>
      <c r="M637" s="3" t="s">
        <v>34</v>
      </c>
      <c r="N637" s="3" t="s">
        <v>1317</v>
      </c>
      <c r="O637" s="3" t="s">
        <v>441</v>
      </c>
      <c r="P637" s="3" t="s">
        <v>1318</v>
      </c>
      <c r="Q637" s="5">
        <v>33643.405117965704</v>
      </c>
      <c r="R637" s="5"/>
      <c r="S637" s="5"/>
      <c r="T637" s="3"/>
      <c r="U637" s="3" t="s">
        <v>153</v>
      </c>
      <c r="V637" s="3"/>
      <c r="W637" s="6"/>
      <c r="X637" s="6"/>
      <c r="Y637" s="3"/>
      <c r="Z637" s="3"/>
      <c r="AA637" s="3"/>
      <c r="AB637" s="3" t="s">
        <v>42</v>
      </c>
    </row>
    <row r="638" spans="1:28" ht="33" customHeight="1" x14ac:dyDescent="0.25">
      <c r="A638" s="7" t="s">
        <v>1444</v>
      </c>
      <c r="B638" s="3" t="s">
        <v>1315</v>
      </c>
      <c r="C638" s="3" t="s">
        <v>1335</v>
      </c>
      <c r="D638" s="6"/>
      <c r="E638" s="6">
        <v>45657</v>
      </c>
      <c r="F638" s="3"/>
      <c r="G638" s="6"/>
      <c r="H638" s="3"/>
      <c r="I638" s="6"/>
      <c r="J638" s="3" t="s">
        <v>68</v>
      </c>
      <c r="K638" s="3"/>
      <c r="L638" s="3">
        <v>1990370</v>
      </c>
      <c r="M638" s="3" t="s">
        <v>34</v>
      </c>
      <c r="N638" s="3" t="s">
        <v>1317</v>
      </c>
      <c r="O638" s="3" t="s">
        <v>441</v>
      </c>
      <c r="P638" s="3" t="s">
        <v>1318</v>
      </c>
      <c r="Q638" s="5">
        <v>-58131.109526490953</v>
      </c>
      <c r="R638" s="5"/>
      <c r="S638" s="5"/>
      <c r="T638" s="3"/>
      <c r="U638" s="3" t="s">
        <v>153</v>
      </c>
      <c r="V638" s="3"/>
      <c r="W638" s="6"/>
      <c r="X638" s="6"/>
      <c r="Y638" s="3"/>
      <c r="Z638" s="3"/>
      <c r="AA638" s="3"/>
      <c r="AB638" s="3" t="s">
        <v>42</v>
      </c>
    </row>
    <row r="639" spans="1:28" ht="33" customHeight="1" x14ac:dyDescent="0.25">
      <c r="A639" s="7" t="s">
        <v>1445</v>
      </c>
      <c r="B639" s="3" t="s">
        <v>1315</v>
      </c>
      <c r="C639" s="3" t="s">
        <v>1316</v>
      </c>
      <c r="D639" s="6"/>
      <c r="E639" s="6">
        <v>45657</v>
      </c>
      <c r="F639" s="3"/>
      <c r="G639" s="6"/>
      <c r="H639" s="3"/>
      <c r="I639" s="6"/>
      <c r="J639" s="3" t="s">
        <v>68</v>
      </c>
      <c r="K639" s="3"/>
      <c r="L639" s="3">
        <v>1990370</v>
      </c>
      <c r="M639" s="3" t="s">
        <v>34</v>
      </c>
      <c r="N639" s="3" t="s">
        <v>1317</v>
      </c>
      <c r="O639" s="3" t="s">
        <v>441</v>
      </c>
      <c r="P639" s="3" t="s">
        <v>1318</v>
      </c>
      <c r="Q639" s="5">
        <v>34712.120407626062</v>
      </c>
      <c r="R639" s="5"/>
      <c r="S639" s="5"/>
      <c r="T639" s="3"/>
      <c r="U639" s="3" t="s">
        <v>153</v>
      </c>
      <c r="V639" s="3"/>
      <c r="W639" s="6"/>
      <c r="X639" s="6"/>
      <c r="Y639" s="3"/>
      <c r="Z639" s="3"/>
      <c r="AA639" s="3"/>
      <c r="AB639" s="3" t="s">
        <v>42</v>
      </c>
    </row>
    <row r="640" spans="1:28" ht="33" customHeight="1" x14ac:dyDescent="0.25">
      <c r="A640" s="7" t="s">
        <v>1446</v>
      </c>
      <c r="B640" s="3" t="s">
        <v>1315</v>
      </c>
      <c r="C640" s="3" t="s">
        <v>1316</v>
      </c>
      <c r="D640" s="6"/>
      <c r="E640" s="6">
        <v>45657</v>
      </c>
      <c r="F640" s="3"/>
      <c r="G640" s="6"/>
      <c r="H640" s="3"/>
      <c r="I640" s="6"/>
      <c r="J640" s="3" t="s">
        <v>68</v>
      </c>
      <c r="K640" s="3"/>
      <c r="L640" s="3">
        <v>1990370</v>
      </c>
      <c r="M640" s="3" t="s">
        <v>34</v>
      </c>
      <c r="N640" s="3" t="s">
        <v>1317</v>
      </c>
      <c r="O640" s="3" t="s">
        <v>441</v>
      </c>
      <c r="P640" s="3" t="s">
        <v>1318</v>
      </c>
      <c r="Q640" s="5">
        <v>33643.405117965704</v>
      </c>
      <c r="R640" s="5"/>
      <c r="S640" s="5"/>
      <c r="T640" s="3"/>
      <c r="U640" s="3" t="s">
        <v>153</v>
      </c>
      <c r="V640" s="3"/>
      <c r="W640" s="6"/>
      <c r="X640" s="6"/>
      <c r="Y640" s="3"/>
      <c r="Z640" s="3"/>
      <c r="AA640" s="3"/>
      <c r="AB640" s="3" t="s">
        <v>42</v>
      </c>
    </row>
    <row r="641" spans="1:28" ht="33" customHeight="1" x14ac:dyDescent="0.25">
      <c r="A641" s="7" t="s">
        <v>1447</v>
      </c>
      <c r="B641" s="3" t="s">
        <v>1315</v>
      </c>
      <c r="C641" s="3" t="s">
        <v>1316</v>
      </c>
      <c r="D641" s="6"/>
      <c r="E641" s="6">
        <v>45657</v>
      </c>
      <c r="F641" s="3"/>
      <c r="G641" s="6"/>
      <c r="H641" s="3"/>
      <c r="I641" s="6"/>
      <c r="J641" s="3" t="s">
        <v>68</v>
      </c>
      <c r="K641" s="3"/>
      <c r="L641" s="3">
        <v>1990370</v>
      </c>
      <c r="M641" s="3" t="s">
        <v>34</v>
      </c>
      <c r="N641" s="3" t="s">
        <v>1317</v>
      </c>
      <c r="O641" s="3" t="s">
        <v>441</v>
      </c>
      <c r="P641" s="3" t="s">
        <v>1318</v>
      </c>
      <c r="Q641" s="5">
        <v>38416.319374626895</v>
      </c>
      <c r="R641" s="5"/>
      <c r="S641" s="5"/>
      <c r="T641" s="3"/>
      <c r="U641" s="3" t="s">
        <v>153</v>
      </c>
      <c r="V641" s="3"/>
      <c r="W641" s="6"/>
      <c r="X641" s="6"/>
      <c r="Y641" s="3"/>
      <c r="Z641" s="3"/>
      <c r="AA641" s="3"/>
      <c r="AB641" s="3" t="s">
        <v>42</v>
      </c>
    </row>
    <row r="642" spans="1:28" ht="33" customHeight="1" x14ac:dyDescent="0.25">
      <c r="A642" s="7" t="s">
        <v>1448</v>
      </c>
      <c r="B642" s="3" t="s">
        <v>1315</v>
      </c>
      <c r="C642" s="3" t="s">
        <v>1316</v>
      </c>
      <c r="D642" s="6"/>
      <c r="E642" s="6">
        <v>45657</v>
      </c>
      <c r="F642" s="3"/>
      <c r="G642" s="6"/>
      <c r="H642" s="3"/>
      <c r="I642" s="6"/>
      <c r="J642" s="3" t="s">
        <v>68</v>
      </c>
      <c r="K642" s="3"/>
      <c r="L642" s="3">
        <v>1990370</v>
      </c>
      <c r="M642" s="3" t="s">
        <v>34</v>
      </c>
      <c r="N642" s="3" t="s">
        <v>1317</v>
      </c>
      <c r="O642" s="3" t="s">
        <v>441</v>
      </c>
      <c r="P642" s="3" t="s">
        <v>1318</v>
      </c>
      <c r="Q642" s="5">
        <v>33643.405117965704</v>
      </c>
      <c r="R642" s="5"/>
      <c r="S642" s="5"/>
      <c r="T642" s="3"/>
      <c r="U642" s="3" t="s">
        <v>153</v>
      </c>
      <c r="V642" s="3"/>
      <c r="W642" s="6"/>
      <c r="X642" s="6"/>
      <c r="Y642" s="3"/>
      <c r="Z642" s="3"/>
      <c r="AA642" s="3"/>
      <c r="AB642" s="3" t="s">
        <v>42</v>
      </c>
    </row>
    <row r="643" spans="1:28" ht="33" customHeight="1" x14ac:dyDescent="0.25">
      <c r="A643" s="7" t="s">
        <v>1449</v>
      </c>
      <c r="B643" s="3" t="s">
        <v>1315</v>
      </c>
      <c r="C643" s="3" t="s">
        <v>1316</v>
      </c>
      <c r="D643" s="6"/>
      <c r="E643" s="6">
        <v>45657</v>
      </c>
      <c r="F643" s="3"/>
      <c r="G643" s="6"/>
      <c r="H643" s="3"/>
      <c r="I643" s="6"/>
      <c r="J643" s="3" t="s">
        <v>68</v>
      </c>
      <c r="K643" s="3"/>
      <c r="L643" s="3">
        <v>1990370</v>
      </c>
      <c r="M643" s="3" t="s">
        <v>34</v>
      </c>
      <c r="N643" s="3" t="s">
        <v>1317</v>
      </c>
      <c r="O643" s="3" t="s">
        <v>441</v>
      </c>
      <c r="P643" s="3" t="s">
        <v>1318</v>
      </c>
      <c r="Q643" s="5">
        <v>39090.275382253923</v>
      </c>
      <c r="R643" s="5"/>
      <c r="S643" s="5"/>
      <c r="T643" s="3"/>
      <c r="U643" s="3" t="s">
        <v>153</v>
      </c>
      <c r="V643" s="3"/>
      <c r="W643" s="6"/>
      <c r="X643" s="6"/>
      <c r="Y643" s="3"/>
      <c r="Z643" s="3"/>
      <c r="AA643" s="3"/>
      <c r="AB643" s="3" t="s">
        <v>42</v>
      </c>
    </row>
    <row r="644" spans="1:28" ht="33" customHeight="1" x14ac:dyDescent="0.25">
      <c r="A644" s="7" t="s">
        <v>1450</v>
      </c>
      <c r="B644" s="3" t="s">
        <v>1315</v>
      </c>
      <c r="C644" s="3" t="s">
        <v>1316</v>
      </c>
      <c r="D644" s="6"/>
      <c r="E644" s="6">
        <v>45657</v>
      </c>
      <c r="F644" s="3"/>
      <c r="G644" s="6"/>
      <c r="H644" s="3"/>
      <c r="I644" s="6"/>
      <c r="J644" s="3" t="s">
        <v>68</v>
      </c>
      <c r="K644" s="3"/>
      <c r="L644" s="3">
        <v>1990370</v>
      </c>
      <c r="M644" s="3" t="s">
        <v>34</v>
      </c>
      <c r="N644" s="3" t="s">
        <v>1317</v>
      </c>
      <c r="O644" s="3" t="s">
        <v>441</v>
      </c>
      <c r="P644" s="3" t="s">
        <v>1318</v>
      </c>
      <c r="Q644" s="5">
        <v>40409.244501474903</v>
      </c>
      <c r="R644" s="5"/>
      <c r="S644" s="5"/>
      <c r="T644" s="3"/>
      <c r="U644" s="3" t="s">
        <v>153</v>
      </c>
      <c r="V644" s="3"/>
      <c r="W644" s="6"/>
      <c r="X644" s="6"/>
      <c r="Y644" s="3"/>
      <c r="Z644" s="3"/>
      <c r="AA644" s="3"/>
      <c r="AB644" s="3" t="s">
        <v>42</v>
      </c>
    </row>
    <row r="645" spans="1:28" ht="33" customHeight="1" x14ac:dyDescent="0.25">
      <c r="A645" s="7" t="s">
        <v>1451</v>
      </c>
      <c r="B645" s="3" t="s">
        <v>1315</v>
      </c>
      <c r="C645" s="3" t="s">
        <v>1316</v>
      </c>
      <c r="D645" s="6"/>
      <c r="E645" s="6">
        <v>45657</v>
      </c>
      <c r="F645" s="3"/>
      <c r="G645" s="6"/>
      <c r="H645" s="3"/>
      <c r="I645" s="6"/>
      <c r="J645" s="3" t="s">
        <v>68</v>
      </c>
      <c r="K645" s="3"/>
      <c r="L645" s="3">
        <v>1990370</v>
      </c>
      <c r="M645" s="3" t="s">
        <v>34</v>
      </c>
      <c r="N645" s="3" t="s">
        <v>1317</v>
      </c>
      <c r="O645" s="3" t="s">
        <v>441</v>
      </c>
      <c r="P645" s="3" t="s">
        <v>1318</v>
      </c>
      <c r="Q645" s="5">
        <v>50674.231608588525</v>
      </c>
      <c r="R645" s="5"/>
      <c r="S645" s="5"/>
      <c r="T645" s="3"/>
      <c r="U645" s="3" t="s">
        <v>153</v>
      </c>
      <c r="V645" s="3"/>
      <c r="W645" s="6"/>
      <c r="X645" s="6"/>
      <c r="Y645" s="3"/>
      <c r="Z645" s="3"/>
      <c r="AA645" s="3"/>
      <c r="AB645" s="3" t="s">
        <v>42</v>
      </c>
    </row>
    <row r="646" spans="1:28" ht="33" customHeight="1" x14ac:dyDescent="0.25">
      <c r="A646" s="7" t="s">
        <v>1452</v>
      </c>
      <c r="B646" s="3" t="s">
        <v>1315</v>
      </c>
      <c r="C646" s="3" t="s">
        <v>1316</v>
      </c>
      <c r="D646" s="6"/>
      <c r="E646" s="6">
        <v>45657</v>
      </c>
      <c r="F646" s="3"/>
      <c r="G646" s="6"/>
      <c r="H646" s="3"/>
      <c r="I646" s="6"/>
      <c r="J646" s="3" t="s">
        <v>68</v>
      </c>
      <c r="K646" s="3"/>
      <c r="L646" s="3">
        <v>1990370</v>
      </c>
      <c r="M646" s="3" t="s">
        <v>34</v>
      </c>
      <c r="N646" s="3" t="s">
        <v>1317</v>
      </c>
      <c r="O646" s="3" t="s">
        <v>441</v>
      </c>
      <c r="P646" s="3" t="s">
        <v>1318</v>
      </c>
      <c r="Q646" s="5">
        <v>33643.405117965704</v>
      </c>
      <c r="R646" s="5"/>
      <c r="S646" s="5"/>
      <c r="T646" s="3"/>
      <c r="U646" s="3" t="s">
        <v>153</v>
      </c>
      <c r="V646" s="3"/>
      <c r="W646" s="6"/>
      <c r="X646" s="6"/>
      <c r="Y646" s="3"/>
      <c r="Z646" s="3"/>
      <c r="AA646" s="3"/>
      <c r="AB646" s="3" t="s">
        <v>42</v>
      </c>
    </row>
    <row r="647" spans="1:28" ht="33" customHeight="1" x14ac:dyDescent="0.25">
      <c r="A647" s="7" t="s">
        <v>1453</v>
      </c>
      <c r="B647" s="3" t="s">
        <v>1315</v>
      </c>
      <c r="C647" s="3" t="s">
        <v>1316</v>
      </c>
      <c r="D647" s="6"/>
      <c r="E647" s="6">
        <v>45657</v>
      </c>
      <c r="F647" s="3"/>
      <c r="G647" s="6"/>
      <c r="H647" s="3"/>
      <c r="I647" s="6"/>
      <c r="J647" s="3" t="s">
        <v>68</v>
      </c>
      <c r="K647" s="3"/>
      <c r="L647" s="3">
        <v>1990370</v>
      </c>
      <c r="M647" s="3" t="s">
        <v>34</v>
      </c>
      <c r="N647" s="3" t="s">
        <v>1317</v>
      </c>
      <c r="O647" s="3" t="s">
        <v>441</v>
      </c>
      <c r="P647" s="3" t="s">
        <v>1318</v>
      </c>
      <c r="Q647" s="5">
        <v>68682.319226343447</v>
      </c>
      <c r="R647" s="5"/>
      <c r="S647" s="5"/>
      <c r="T647" s="3"/>
      <c r="U647" s="3" t="s">
        <v>153</v>
      </c>
      <c r="V647" s="3"/>
      <c r="W647" s="6"/>
      <c r="X647" s="6"/>
      <c r="Y647" s="3"/>
      <c r="Z647" s="3"/>
      <c r="AA647" s="3"/>
      <c r="AB647" s="3" t="s">
        <v>42</v>
      </c>
    </row>
    <row r="648" spans="1:28" ht="33" customHeight="1" x14ac:dyDescent="0.25">
      <c r="A648" s="7" t="s">
        <v>1454</v>
      </c>
      <c r="B648" s="3" t="s">
        <v>1315</v>
      </c>
      <c r="C648" s="3" t="s">
        <v>1316</v>
      </c>
      <c r="D648" s="6"/>
      <c r="E648" s="6">
        <v>45657</v>
      </c>
      <c r="F648" s="3"/>
      <c r="G648" s="6"/>
      <c r="H648" s="3"/>
      <c r="I648" s="6"/>
      <c r="J648" s="3" t="s">
        <v>68</v>
      </c>
      <c r="K648" s="3"/>
      <c r="L648" s="3">
        <v>1990370</v>
      </c>
      <c r="M648" s="3" t="s">
        <v>34</v>
      </c>
      <c r="N648" s="3" t="s">
        <v>1317</v>
      </c>
      <c r="O648" s="3" t="s">
        <v>441</v>
      </c>
      <c r="P648" s="3" t="s">
        <v>1318</v>
      </c>
      <c r="Q648" s="5">
        <v>33643.405117965704</v>
      </c>
      <c r="R648" s="5"/>
      <c r="S648" s="5"/>
      <c r="T648" s="3"/>
      <c r="U648" s="3" t="s">
        <v>153</v>
      </c>
      <c r="V648" s="3"/>
      <c r="W648" s="6"/>
      <c r="X648" s="6"/>
      <c r="Y648" s="3"/>
      <c r="Z648" s="3"/>
      <c r="AA648" s="3"/>
      <c r="AB648" s="3" t="s">
        <v>42</v>
      </c>
    </row>
    <row r="649" spans="1:28" ht="33" customHeight="1" x14ac:dyDescent="0.25">
      <c r="A649" s="7" t="s">
        <v>1455</v>
      </c>
      <c r="B649" s="3" t="s">
        <v>1315</v>
      </c>
      <c r="C649" s="3" t="s">
        <v>1316</v>
      </c>
      <c r="D649" s="6"/>
      <c r="E649" s="6">
        <v>45657</v>
      </c>
      <c r="F649" s="3"/>
      <c r="G649" s="6"/>
      <c r="H649" s="3"/>
      <c r="I649" s="6"/>
      <c r="J649" s="3" t="s">
        <v>68</v>
      </c>
      <c r="K649" s="3"/>
      <c r="L649" s="3">
        <v>1990370</v>
      </c>
      <c r="M649" s="3" t="s">
        <v>34</v>
      </c>
      <c r="N649" s="3" t="s">
        <v>1317</v>
      </c>
      <c r="O649" s="3" t="s">
        <v>441</v>
      </c>
      <c r="P649" s="3" t="s">
        <v>1318</v>
      </c>
      <c r="Q649" s="5">
        <v>34181.560215046557</v>
      </c>
      <c r="R649" s="5"/>
      <c r="S649" s="5"/>
      <c r="T649" s="3"/>
      <c r="U649" s="3" t="s">
        <v>153</v>
      </c>
      <c r="V649" s="3"/>
      <c r="W649" s="6"/>
      <c r="X649" s="6"/>
      <c r="Y649" s="3"/>
      <c r="Z649" s="3"/>
      <c r="AA649" s="3"/>
      <c r="AB649" s="3" t="s">
        <v>42</v>
      </c>
    </row>
    <row r="650" spans="1:28" ht="33" customHeight="1" x14ac:dyDescent="0.25">
      <c r="A650" s="7" t="s">
        <v>1456</v>
      </c>
      <c r="B650" s="3" t="s">
        <v>1315</v>
      </c>
      <c r="C650" s="3" t="s">
        <v>1316</v>
      </c>
      <c r="D650" s="6"/>
      <c r="E650" s="6">
        <v>45657</v>
      </c>
      <c r="F650" s="3"/>
      <c r="G650" s="6"/>
      <c r="H650" s="3"/>
      <c r="I650" s="6"/>
      <c r="J650" s="3" t="s">
        <v>68</v>
      </c>
      <c r="K650" s="3"/>
      <c r="L650" s="3">
        <v>1990370</v>
      </c>
      <c r="M650" s="3" t="s">
        <v>34</v>
      </c>
      <c r="N650" s="3" t="s">
        <v>1317</v>
      </c>
      <c r="O650" s="3" t="s">
        <v>441</v>
      </c>
      <c r="P650" s="3" t="s">
        <v>1318</v>
      </c>
      <c r="Q650" s="5">
        <v>33643.405117965704</v>
      </c>
      <c r="R650" s="5"/>
      <c r="S650" s="5"/>
      <c r="T650" s="3"/>
      <c r="U650" s="3" t="s">
        <v>153</v>
      </c>
      <c r="V650" s="3"/>
      <c r="W650" s="6"/>
      <c r="X650" s="6"/>
      <c r="Y650" s="3"/>
      <c r="Z650" s="3"/>
      <c r="AA650" s="3"/>
      <c r="AB650" s="3" t="s">
        <v>42</v>
      </c>
    </row>
    <row r="651" spans="1:28" ht="33" customHeight="1" x14ac:dyDescent="0.25">
      <c r="A651" s="7" t="s">
        <v>1457</v>
      </c>
      <c r="B651" s="3" t="s">
        <v>1315</v>
      </c>
      <c r="C651" s="3" t="s">
        <v>1316</v>
      </c>
      <c r="D651" s="6"/>
      <c r="E651" s="6">
        <v>45657</v>
      </c>
      <c r="F651" s="3"/>
      <c r="G651" s="6"/>
      <c r="H651" s="3"/>
      <c r="I651" s="6"/>
      <c r="J651" s="3" t="s">
        <v>68</v>
      </c>
      <c r="K651" s="3"/>
      <c r="L651" s="3">
        <v>1990370</v>
      </c>
      <c r="M651" s="3" t="s">
        <v>34</v>
      </c>
      <c r="N651" s="3" t="s">
        <v>1317</v>
      </c>
      <c r="O651" s="3" t="s">
        <v>441</v>
      </c>
      <c r="P651" s="3" t="s">
        <v>1318</v>
      </c>
      <c r="Q651" s="5">
        <v>33643.405117965704</v>
      </c>
      <c r="R651" s="5"/>
      <c r="S651" s="5"/>
      <c r="T651" s="3"/>
      <c r="U651" s="3" t="s">
        <v>153</v>
      </c>
      <c r="V651" s="3"/>
      <c r="W651" s="6"/>
      <c r="X651" s="6"/>
      <c r="Y651" s="3"/>
      <c r="Z651" s="3"/>
      <c r="AA651" s="3"/>
      <c r="AB651" s="3" t="s">
        <v>42</v>
      </c>
    </row>
    <row r="652" spans="1:28" ht="33" customHeight="1" x14ac:dyDescent="0.25">
      <c r="A652" s="7" t="s">
        <v>1458</v>
      </c>
      <c r="B652" s="3" t="s">
        <v>1315</v>
      </c>
      <c r="C652" s="3" t="s">
        <v>1316</v>
      </c>
      <c r="D652" s="6"/>
      <c r="E652" s="6">
        <v>45657</v>
      </c>
      <c r="F652" s="3"/>
      <c r="G652" s="6"/>
      <c r="H652" s="3"/>
      <c r="I652" s="6"/>
      <c r="J652" s="3" t="s">
        <v>68</v>
      </c>
      <c r="K652" s="3"/>
      <c r="L652" s="3">
        <v>1990370</v>
      </c>
      <c r="M652" s="3" t="s">
        <v>34</v>
      </c>
      <c r="N652" s="3" t="s">
        <v>1317</v>
      </c>
      <c r="O652" s="3" t="s">
        <v>441</v>
      </c>
      <c r="P652" s="3" t="s">
        <v>1318</v>
      </c>
      <c r="Q652" s="5">
        <v>40267.010840969575</v>
      </c>
      <c r="R652" s="5"/>
      <c r="S652" s="5"/>
      <c r="T652" s="3"/>
      <c r="U652" s="3" t="s">
        <v>153</v>
      </c>
      <c r="V652" s="3"/>
      <c r="W652" s="6"/>
      <c r="X652" s="6"/>
      <c r="Y652" s="3"/>
      <c r="Z652" s="3"/>
      <c r="AA652" s="3"/>
      <c r="AB652" s="3" t="s">
        <v>42</v>
      </c>
    </row>
    <row r="653" spans="1:28" ht="33" customHeight="1" x14ac:dyDescent="0.25">
      <c r="A653" s="7" t="s">
        <v>1459</v>
      </c>
      <c r="B653" s="3" t="s">
        <v>1315</v>
      </c>
      <c r="C653" s="3" t="s">
        <v>1316</v>
      </c>
      <c r="D653" s="6"/>
      <c r="E653" s="6">
        <v>45657</v>
      </c>
      <c r="F653" s="3"/>
      <c r="G653" s="6"/>
      <c r="H653" s="3"/>
      <c r="I653" s="6"/>
      <c r="J653" s="3" t="s">
        <v>68</v>
      </c>
      <c r="K653" s="3"/>
      <c r="L653" s="3">
        <v>1990370</v>
      </c>
      <c r="M653" s="3" t="s">
        <v>34</v>
      </c>
      <c r="N653" s="3" t="s">
        <v>1317</v>
      </c>
      <c r="O653" s="3" t="s">
        <v>441</v>
      </c>
      <c r="P653" s="3" t="s">
        <v>1318</v>
      </c>
      <c r="Q653" s="5">
        <v>33643.405117965704</v>
      </c>
      <c r="R653" s="5"/>
      <c r="S653" s="5"/>
      <c r="T653" s="3"/>
      <c r="U653" s="3" t="s">
        <v>153</v>
      </c>
      <c r="V653" s="3"/>
      <c r="W653" s="6"/>
      <c r="X653" s="6"/>
      <c r="Y653" s="3"/>
      <c r="Z653" s="3"/>
      <c r="AA653" s="3"/>
      <c r="AB653" s="3" t="s">
        <v>42</v>
      </c>
    </row>
    <row r="654" spans="1:28" ht="33" customHeight="1" x14ac:dyDescent="0.25">
      <c r="A654" s="7" t="s">
        <v>1460</v>
      </c>
      <c r="B654" s="3" t="s">
        <v>1315</v>
      </c>
      <c r="C654" s="3" t="s">
        <v>1316</v>
      </c>
      <c r="D654" s="6"/>
      <c r="E654" s="6">
        <v>45657</v>
      </c>
      <c r="F654" s="3"/>
      <c r="G654" s="6"/>
      <c r="H654" s="3"/>
      <c r="I654" s="6"/>
      <c r="J654" s="3" t="s">
        <v>68</v>
      </c>
      <c r="K654" s="3"/>
      <c r="L654" s="3">
        <v>1990370</v>
      </c>
      <c r="M654" s="3" t="s">
        <v>34</v>
      </c>
      <c r="N654" s="3" t="s">
        <v>1317</v>
      </c>
      <c r="O654" s="3" t="s">
        <v>441</v>
      </c>
      <c r="P654" s="3" t="s">
        <v>1318</v>
      </c>
      <c r="Q654" s="5">
        <v>50674.231608588525</v>
      </c>
      <c r="R654" s="5"/>
      <c r="S654" s="5"/>
      <c r="T654" s="3"/>
      <c r="U654" s="3" t="s">
        <v>153</v>
      </c>
      <c r="V654" s="3"/>
      <c r="W654" s="6"/>
      <c r="X654" s="6"/>
      <c r="Y654" s="3"/>
      <c r="Z654" s="3"/>
      <c r="AA654" s="3"/>
      <c r="AB654" s="3" t="s">
        <v>42</v>
      </c>
    </row>
    <row r="655" spans="1:28" ht="33" customHeight="1" x14ac:dyDescent="0.25">
      <c r="A655" s="7" t="s">
        <v>1461</v>
      </c>
      <c r="B655" s="3" t="s">
        <v>1315</v>
      </c>
      <c r="C655" s="3" t="s">
        <v>1411</v>
      </c>
      <c r="D655" s="6"/>
      <c r="E655" s="6">
        <v>45657</v>
      </c>
      <c r="F655" s="3"/>
      <c r="G655" s="6"/>
      <c r="H655" s="3"/>
      <c r="I655" s="6"/>
      <c r="J655" s="3" t="s">
        <v>68</v>
      </c>
      <c r="K655" s="3"/>
      <c r="L655" s="3">
        <v>1990370</v>
      </c>
      <c r="M655" s="3" t="s">
        <v>34</v>
      </c>
      <c r="N655" s="3" t="s">
        <v>1317</v>
      </c>
      <c r="O655" s="3" t="s">
        <v>441</v>
      </c>
      <c r="P655" s="3" t="s">
        <v>1318</v>
      </c>
      <c r="Q655" s="5">
        <v>8251.4195846532875</v>
      </c>
      <c r="R655" s="5"/>
      <c r="S655" s="5"/>
      <c r="T655" s="3"/>
      <c r="U655" s="3" t="s">
        <v>153</v>
      </c>
      <c r="V655" s="3"/>
      <c r="W655" s="6"/>
      <c r="X655" s="6"/>
      <c r="Y655" s="3"/>
      <c r="Z655" s="3"/>
      <c r="AA655" s="3"/>
      <c r="AB655" s="3" t="s">
        <v>42</v>
      </c>
    </row>
    <row r="656" spans="1:28" ht="33" customHeight="1" x14ac:dyDescent="0.25">
      <c r="A656" s="7" t="s">
        <v>1462</v>
      </c>
      <c r="B656" s="3" t="s">
        <v>1315</v>
      </c>
      <c r="C656" s="3" t="s">
        <v>1316</v>
      </c>
      <c r="D656" s="6"/>
      <c r="E656" s="6">
        <v>45657</v>
      </c>
      <c r="F656" s="3"/>
      <c r="G656" s="6"/>
      <c r="H656" s="3"/>
      <c r="I656" s="6"/>
      <c r="J656" s="3" t="s">
        <v>68</v>
      </c>
      <c r="K656" s="3"/>
      <c r="L656" s="3">
        <v>1990370</v>
      </c>
      <c r="M656" s="3" t="s">
        <v>34</v>
      </c>
      <c r="N656" s="3" t="s">
        <v>1317</v>
      </c>
      <c r="O656" s="3" t="s">
        <v>441</v>
      </c>
      <c r="P656" s="3" t="s">
        <v>1318</v>
      </c>
      <c r="Q656" s="5">
        <v>33643.405117965704</v>
      </c>
      <c r="R656" s="5"/>
      <c r="S656" s="5"/>
      <c r="T656" s="3"/>
      <c r="U656" s="3" t="s">
        <v>153</v>
      </c>
      <c r="V656" s="3"/>
      <c r="W656" s="6"/>
      <c r="X656" s="6"/>
      <c r="Y656" s="3"/>
      <c r="Z656" s="3"/>
      <c r="AA656" s="3"/>
      <c r="AB656" s="3" t="s">
        <v>42</v>
      </c>
    </row>
    <row r="657" spans="1:28" ht="33" customHeight="1" x14ac:dyDescent="0.25">
      <c r="A657" s="7" t="s">
        <v>1463</v>
      </c>
      <c r="B657" s="3" t="s">
        <v>1315</v>
      </c>
      <c r="C657" s="3" t="s">
        <v>1316</v>
      </c>
      <c r="D657" s="6"/>
      <c r="E657" s="6">
        <v>45657</v>
      </c>
      <c r="F657" s="3"/>
      <c r="G657" s="6"/>
      <c r="H657" s="3"/>
      <c r="I657" s="6"/>
      <c r="J657" s="3" t="s">
        <v>68</v>
      </c>
      <c r="K657" s="3"/>
      <c r="L657" s="3">
        <v>1990370</v>
      </c>
      <c r="M657" s="3" t="s">
        <v>34</v>
      </c>
      <c r="N657" s="3" t="s">
        <v>1317</v>
      </c>
      <c r="O657" s="3" t="s">
        <v>441</v>
      </c>
      <c r="P657" s="3" t="s">
        <v>1318</v>
      </c>
      <c r="Q657" s="5">
        <v>33643.405117965704</v>
      </c>
      <c r="R657" s="5"/>
      <c r="S657" s="5"/>
      <c r="T657" s="3"/>
      <c r="U657" s="3" t="s">
        <v>153</v>
      </c>
      <c r="V657" s="3"/>
      <c r="W657" s="6"/>
      <c r="X657" s="6"/>
      <c r="Y657" s="3"/>
      <c r="Z657" s="3"/>
      <c r="AA657" s="3"/>
      <c r="AB657" s="3" t="s">
        <v>42</v>
      </c>
    </row>
    <row r="658" spans="1:28" ht="33" customHeight="1" x14ac:dyDescent="0.25">
      <c r="A658" s="7" t="s">
        <v>1464</v>
      </c>
      <c r="B658" s="3" t="s">
        <v>1315</v>
      </c>
      <c r="C658" s="3" t="s">
        <v>1316</v>
      </c>
      <c r="D658" s="6"/>
      <c r="E658" s="6">
        <v>45657</v>
      </c>
      <c r="F658" s="3"/>
      <c r="G658" s="6"/>
      <c r="H658" s="3"/>
      <c r="I658" s="6"/>
      <c r="J658" s="3" t="s">
        <v>68</v>
      </c>
      <c r="K658" s="3"/>
      <c r="L658" s="3">
        <v>1990370</v>
      </c>
      <c r="M658" s="3" t="s">
        <v>34</v>
      </c>
      <c r="N658" s="3" t="s">
        <v>1317</v>
      </c>
      <c r="O658" s="3" t="s">
        <v>441</v>
      </c>
      <c r="P658" s="3" t="s">
        <v>1318</v>
      </c>
      <c r="Q658" s="5">
        <v>36488.722498824944</v>
      </c>
      <c r="R658" s="5"/>
      <c r="S658" s="5"/>
      <c r="T658" s="3"/>
      <c r="U658" s="3" t="s">
        <v>153</v>
      </c>
      <c r="V658" s="3"/>
      <c r="W658" s="6"/>
      <c r="X658" s="6"/>
      <c r="Y658" s="3"/>
      <c r="Z658" s="3"/>
      <c r="AA658" s="3"/>
      <c r="AB658" s="3" t="s">
        <v>42</v>
      </c>
    </row>
    <row r="659" spans="1:28" ht="33" customHeight="1" x14ac:dyDescent="0.25">
      <c r="A659" s="7" t="s">
        <v>1465</v>
      </c>
      <c r="B659" s="3" t="s">
        <v>1315</v>
      </c>
      <c r="C659" s="3" t="s">
        <v>1316</v>
      </c>
      <c r="D659" s="6"/>
      <c r="E659" s="6">
        <v>45657</v>
      </c>
      <c r="F659" s="3"/>
      <c r="G659" s="6"/>
      <c r="H659" s="3"/>
      <c r="I659" s="6"/>
      <c r="J659" s="3" t="s">
        <v>68</v>
      </c>
      <c r="K659" s="3"/>
      <c r="L659" s="3">
        <v>1990370</v>
      </c>
      <c r="M659" s="3" t="s">
        <v>34</v>
      </c>
      <c r="N659" s="3" t="s">
        <v>1317</v>
      </c>
      <c r="O659" s="3" t="s">
        <v>441</v>
      </c>
      <c r="P659" s="3" t="s">
        <v>1318</v>
      </c>
      <c r="Q659" s="5">
        <v>50674.231608588525</v>
      </c>
      <c r="R659" s="5"/>
      <c r="S659" s="5"/>
      <c r="T659" s="3"/>
      <c r="U659" s="3" t="s">
        <v>153</v>
      </c>
      <c r="V659" s="3"/>
      <c r="W659" s="6"/>
      <c r="X659" s="6"/>
      <c r="Y659" s="3"/>
      <c r="Z659" s="3"/>
      <c r="AA659" s="3"/>
      <c r="AB659" s="3" t="s">
        <v>42</v>
      </c>
    </row>
    <row r="660" spans="1:28" ht="33" customHeight="1" x14ac:dyDescent="0.25">
      <c r="A660" s="7" t="s">
        <v>1466</v>
      </c>
      <c r="B660" s="3" t="s">
        <v>1315</v>
      </c>
      <c r="C660" s="3" t="s">
        <v>1316</v>
      </c>
      <c r="D660" s="6"/>
      <c r="E660" s="6">
        <v>45657</v>
      </c>
      <c r="F660" s="3"/>
      <c r="G660" s="6"/>
      <c r="H660" s="3"/>
      <c r="I660" s="6"/>
      <c r="J660" s="3" t="s">
        <v>68</v>
      </c>
      <c r="K660" s="3"/>
      <c r="L660" s="3">
        <v>1990370</v>
      </c>
      <c r="M660" s="3" t="s">
        <v>34</v>
      </c>
      <c r="N660" s="3" t="s">
        <v>1317</v>
      </c>
      <c r="O660" s="3" t="s">
        <v>441</v>
      </c>
      <c r="P660" s="3" t="s">
        <v>1318</v>
      </c>
      <c r="Q660" s="5">
        <v>65912.897545922722</v>
      </c>
      <c r="R660" s="5"/>
      <c r="S660" s="5"/>
      <c r="T660" s="3"/>
      <c r="U660" s="3" t="s">
        <v>153</v>
      </c>
      <c r="V660" s="3"/>
      <c r="W660" s="6"/>
      <c r="X660" s="6"/>
      <c r="Y660" s="3"/>
      <c r="Z660" s="3"/>
      <c r="AA660" s="3"/>
      <c r="AB660" s="3" t="s">
        <v>42</v>
      </c>
    </row>
    <row r="661" spans="1:28" ht="33" customHeight="1" x14ac:dyDescent="0.25">
      <c r="A661" s="7" t="s">
        <v>1467</v>
      </c>
      <c r="B661" s="3" t="s">
        <v>1315</v>
      </c>
      <c r="C661" s="3" t="s">
        <v>1316</v>
      </c>
      <c r="D661" s="6"/>
      <c r="E661" s="6">
        <v>45657</v>
      </c>
      <c r="F661" s="3"/>
      <c r="G661" s="6"/>
      <c r="H661" s="3"/>
      <c r="I661" s="6"/>
      <c r="J661" s="3" t="s">
        <v>68</v>
      </c>
      <c r="K661" s="3"/>
      <c r="L661" s="3">
        <v>1990370</v>
      </c>
      <c r="M661" s="3" t="s">
        <v>34</v>
      </c>
      <c r="N661" s="3" t="s">
        <v>1317</v>
      </c>
      <c r="O661" s="3" t="s">
        <v>441</v>
      </c>
      <c r="P661" s="3" t="s">
        <v>1318</v>
      </c>
      <c r="Q661" s="5">
        <v>33707.723659990996</v>
      </c>
      <c r="R661" s="5"/>
      <c r="S661" s="5"/>
      <c r="T661" s="3"/>
      <c r="U661" s="3" t="s">
        <v>153</v>
      </c>
      <c r="V661" s="3"/>
      <c r="W661" s="6"/>
      <c r="X661" s="6"/>
      <c r="Y661" s="3"/>
      <c r="Z661" s="3"/>
      <c r="AA661" s="3"/>
      <c r="AB661" s="3" t="s">
        <v>42</v>
      </c>
    </row>
    <row r="662" spans="1:28" ht="33" customHeight="1" x14ac:dyDescent="0.25">
      <c r="A662" s="7" t="s">
        <v>1468</v>
      </c>
      <c r="B662" s="3" t="s">
        <v>1315</v>
      </c>
      <c r="C662" s="3" t="s">
        <v>1411</v>
      </c>
      <c r="D662" s="6"/>
      <c r="E662" s="6">
        <v>45657</v>
      </c>
      <c r="F662" s="3"/>
      <c r="G662" s="6"/>
      <c r="H662" s="3"/>
      <c r="I662" s="6"/>
      <c r="J662" s="3" t="s">
        <v>68</v>
      </c>
      <c r="K662" s="3"/>
      <c r="L662" s="3">
        <v>1990370</v>
      </c>
      <c r="M662" s="3" t="s">
        <v>34</v>
      </c>
      <c r="N662" s="3" t="s">
        <v>1317</v>
      </c>
      <c r="O662" s="3" t="s">
        <v>441</v>
      </c>
      <c r="P662" s="3" t="s">
        <v>1318</v>
      </c>
      <c r="Q662" s="5">
        <v>7152.5826962337132</v>
      </c>
      <c r="R662" s="5"/>
      <c r="S662" s="5"/>
      <c r="T662" s="3"/>
      <c r="U662" s="3" t="s">
        <v>153</v>
      </c>
      <c r="V662" s="3"/>
      <c r="W662" s="6"/>
      <c r="X662" s="6"/>
      <c r="Y662" s="3"/>
      <c r="Z662" s="3"/>
      <c r="AA662" s="3"/>
      <c r="AB662" s="3" t="s">
        <v>42</v>
      </c>
    </row>
    <row r="663" spans="1:28" ht="33" customHeight="1" x14ac:dyDescent="0.25">
      <c r="A663" s="7" t="s">
        <v>1469</v>
      </c>
      <c r="B663" s="3" t="s">
        <v>1315</v>
      </c>
      <c r="C663" s="3" t="s">
        <v>1316</v>
      </c>
      <c r="D663" s="6"/>
      <c r="E663" s="6">
        <v>45657</v>
      </c>
      <c r="F663" s="3"/>
      <c r="G663" s="6"/>
      <c r="H663" s="3"/>
      <c r="I663" s="6"/>
      <c r="J663" s="3" t="s">
        <v>68</v>
      </c>
      <c r="K663" s="3"/>
      <c r="L663" s="3">
        <v>1990370</v>
      </c>
      <c r="M663" s="3" t="s">
        <v>34</v>
      </c>
      <c r="N663" s="3" t="s">
        <v>1317</v>
      </c>
      <c r="O663" s="3" t="s">
        <v>441</v>
      </c>
      <c r="P663" s="3" t="s">
        <v>1318</v>
      </c>
      <c r="Q663" s="5">
        <v>41314.743677366416</v>
      </c>
      <c r="R663" s="5"/>
      <c r="S663" s="5"/>
      <c r="T663" s="3"/>
      <c r="U663" s="3" t="s">
        <v>153</v>
      </c>
      <c r="V663" s="3"/>
      <c r="W663" s="6"/>
      <c r="X663" s="6"/>
      <c r="Y663" s="3"/>
      <c r="Z663" s="3"/>
      <c r="AA663" s="3"/>
      <c r="AB663" s="3" t="s">
        <v>42</v>
      </c>
    </row>
    <row r="664" spans="1:28" ht="33" customHeight="1" x14ac:dyDescent="0.25">
      <c r="A664" s="7" t="s">
        <v>1470</v>
      </c>
      <c r="B664" s="3" t="s">
        <v>1315</v>
      </c>
      <c r="C664" s="3" t="s">
        <v>1316</v>
      </c>
      <c r="D664" s="6"/>
      <c r="E664" s="6">
        <v>45657</v>
      </c>
      <c r="F664" s="3"/>
      <c r="G664" s="6"/>
      <c r="H664" s="3"/>
      <c r="I664" s="6"/>
      <c r="J664" s="3" t="s">
        <v>68</v>
      </c>
      <c r="K664" s="3"/>
      <c r="L664" s="3">
        <v>1990370</v>
      </c>
      <c r="M664" s="3" t="s">
        <v>34</v>
      </c>
      <c r="N664" s="3" t="s">
        <v>1317</v>
      </c>
      <c r="O664" s="3" t="s">
        <v>441</v>
      </c>
      <c r="P664" s="3" t="s">
        <v>1318</v>
      </c>
      <c r="Q664" s="5">
        <v>33643.405117965704</v>
      </c>
      <c r="R664" s="5"/>
      <c r="S664" s="5"/>
      <c r="T664" s="3"/>
      <c r="U664" s="3" t="s">
        <v>153</v>
      </c>
      <c r="V664" s="3"/>
      <c r="W664" s="6"/>
      <c r="X664" s="6"/>
      <c r="Y664" s="3"/>
      <c r="Z664" s="3"/>
      <c r="AA664" s="3"/>
      <c r="AB664" s="3" t="s">
        <v>42</v>
      </c>
    </row>
    <row r="665" spans="1:28" ht="33" customHeight="1" x14ac:dyDescent="0.25">
      <c r="A665" s="7" t="s">
        <v>1471</v>
      </c>
      <c r="B665" s="3" t="s">
        <v>1315</v>
      </c>
      <c r="C665" s="3" t="s">
        <v>1316</v>
      </c>
      <c r="D665" s="6"/>
      <c r="E665" s="6">
        <v>45657</v>
      </c>
      <c r="F665" s="3"/>
      <c r="G665" s="6"/>
      <c r="H665" s="3"/>
      <c r="I665" s="6"/>
      <c r="J665" s="3" t="s">
        <v>68</v>
      </c>
      <c r="K665" s="3"/>
      <c r="L665" s="3">
        <v>1990370</v>
      </c>
      <c r="M665" s="3" t="s">
        <v>34</v>
      </c>
      <c r="N665" s="3" t="s">
        <v>1317</v>
      </c>
      <c r="O665" s="3" t="s">
        <v>441</v>
      </c>
      <c r="P665" s="3" t="s">
        <v>1318</v>
      </c>
      <c r="Q665" s="5">
        <v>33643.405117965704</v>
      </c>
      <c r="R665" s="5"/>
      <c r="S665" s="5"/>
      <c r="T665" s="3"/>
      <c r="U665" s="3" t="s">
        <v>153</v>
      </c>
      <c r="V665" s="3"/>
      <c r="W665" s="6"/>
      <c r="X665" s="6"/>
      <c r="Y665" s="3"/>
      <c r="Z665" s="3"/>
      <c r="AA665" s="3"/>
      <c r="AB665" s="3" t="s">
        <v>42</v>
      </c>
    </row>
    <row r="666" spans="1:28" ht="33" customHeight="1" x14ac:dyDescent="0.25">
      <c r="A666" s="7" t="s">
        <v>1472</v>
      </c>
      <c r="B666" s="3" t="s">
        <v>1315</v>
      </c>
      <c r="C666" s="3" t="s">
        <v>1316</v>
      </c>
      <c r="D666" s="6"/>
      <c r="E666" s="6">
        <v>45657</v>
      </c>
      <c r="F666" s="3"/>
      <c r="G666" s="6"/>
      <c r="H666" s="3"/>
      <c r="I666" s="6"/>
      <c r="J666" s="3" t="s">
        <v>68</v>
      </c>
      <c r="K666" s="3"/>
      <c r="L666" s="3">
        <v>1990370</v>
      </c>
      <c r="M666" s="3" t="s">
        <v>34</v>
      </c>
      <c r="N666" s="3" t="s">
        <v>1317</v>
      </c>
      <c r="O666" s="3" t="s">
        <v>441</v>
      </c>
      <c r="P666" s="3" t="s">
        <v>1318</v>
      </c>
      <c r="Q666" s="5">
        <v>33643.405117965704</v>
      </c>
      <c r="R666" s="5"/>
      <c r="S666" s="5"/>
      <c r="T666" s="3"/>
      <c r="U666" s="3" t="s">
        <v>153</v>
      </c>
      <c r="V666" s="3"/>
      <c r="W666" s="6"/>
      <c r="X666" s="6"/>
      <c r="Y666" s="3"/>
      <c r="Z666" s="3"/>
      <c r="AA666" s="3"/>
      <c r="AB666" s="3" t="s">
        <v>42</v>
      </c>
    </row>
    <row r="667" spans="1:28" ht="33" customHeight="1" x14ac:dyDescent="0.25">
      <c r="A667" s="7" t="s">
        <v>1473</v>
      </c>
      <c r="B667" s="3" t="s">
        <v>1315</v>
      </c>
      <c r="C667" s="3" t="s">
        <v>1316</v>
      </c>
      <c r="D667" s="6"/>
      <c r="E667" s="6">
        <v>45657</v>
      </c>
      <c r="F667" s="3"/>
      <c r="G667" s="6"/>
      <c r="H667" s="3"/>
      <c r="I667" s="6"/>
      <c r="J667" s="3" t="s">
        <v>68</v>
      </c>
      <c r="K667" s="3"/>
      <c r="L667" s="3">
        <v>1990370</v>
      </c>
      <c r="M667" s="3" t="s">
        <v>34</v>
      </c>
      <c r="N667" s="3" t="s">
        <v>1317</v>
      </c>
      <c r="O667" s="3" t="s">
        <v>441</v>
      </c>
      <c r="P667" s="3" t="s">
        <v>1318</v>
      </c>
      <c r="Q667" s="5">
        <v>33643.405117965704</v>
      </c>
      <c r="R667" s="5"/>
      <c r="S667" s="5"/>
      <c r="T667" s="3"/>
      <c r="U667" s="3" t="s">
        <v>153</v>
      </c>
      <c r="V667" s="3"/>
      <c r="W667" s="6"/>
      <c r="X667" s="6"/>
      <c r="Y667" s="3"/>
      <c r="Z667" s="3"/>
      <c r="AA667" s="3"/>
      <c r="AB667" s="3" t="s">
        <v>42</v>
      </c>
    </row>
    <row r="668" spans="1:28" ht="33" customHeight="1" x14ac:dyDescent="0.25">
      <c r="A668" s="7" t="s">
        <v>1474</v>
      </c>
      <c r="B668" s="3" t="s">
        <v>1315</v>
      </c>
      <c r="C668" s="3" t="s">
        <v>1316</v>
      </c>
      <c r="D668" s="6"/>
      <c r="E668" s="6">
        <v>45657</v>
      </c>
      <c r="F668" s="3"/>
      <c r="G668" s="6"/>
      <c r="H668" s="3"/>
      <c r="I668" s="6"/>
      <c r="J668" s="3" t="s">
        <v>68</v>
      </c>
      <c r="K668" s="3"/>
      <c r="L668" s="3">
        <v>1990370</v>
      </c>
      <c r="M668" s="3" t="s">
        <v>34</v>
      </c>
      <c r="N668" s="3" t="s">
        <v>1317</v>
      </c>
      <c r="O668" s="3" t="s">
        <v>441</v>
      </c>
      <c r="P668" s="3" t="s">
        <v>1318</v>
      </c>
      <c r="Q668" s="5">
        <v>33643.405117965704</v>
      </c>
      <c r="R668" s="5"/>
      <c r="S668" s="5"/>
      <c r="T668" s="3"/>
      <c r="U668" s="3" t="s">
        <v>153</v>
      </c>
      <c r="V668" s="3"/>
      <c r="W668" s="6"/>
      <c r="X668" s="6"/>
      <c r="Y668" s="3"/>
      <c r="Z668" s="3"/>
      <c r="AA668" s="3"/>
      <c r="AB668" s="3" t="s">
        <v>42</v>
      </c>
    </row>
    <row r="669" spans="1:28" ht="33" customHeight="1" x14ac:dyDescent="0.25">
      <c r="A669" s="7" t="s">
        <v>1475</v>
      </c>
      <c r="B669" s="3" t="s">
        <v>1315</v>
      </c>
      <c r="C669" s="3" t="s">
        <v>1316</v>
      </c>
      <c r="D669" s="6"/>
      <c r="E669" s="6">
        <v>45657</v>
      </c>
      <c r="F669" s="3"/>
      <c r="G669" s="6"/>
      <c r="H669" s="3"/>
      <c r="I669" s="6"/>
      <c r="J669" s="3" t="s">
        <v>68</v>
      </c>
      <c r="K669" s="3"/>
      <c r="L669" s="3">
        <v>1990370</v>
      </c>
      <c r="M669" s="3" t="s">
        <v>34</v>
      </c>
      <c r="N669" s="3" t="s">
        <v>1317</v>
      </c>
      <c r="O669" s="3" t="s">
        <v>441</v>
      </c>
      <c r="P669" s="3" t="s">
        <v>1318</v>
      </c>
      <c r="Q669" s="5">
        <v>50674.231608588525</v>
      </c>
      <c r="R669" s="5"/>
      <c r="S669" s="5"/>
      <c r="T669" s="3"/>
      <c r="U669" s="3" t="s">
        <v>153</v>
      </c>
      <c r="V669" s="3"/>
      <c r="W669" s="6"/>
      <c r="X669" s="6"/>
      <c r="Y669" s="3"/>
      <c r="Z669" s="3"/>
      <c r="AA669" s="3"/>
      <c r="AB669" s="3" t="s">
        <v>42</v>
      </c>
    </row>
    <row r="670" spans="1:28" ht="33" customHeight="1" x14ac:dyDescent="0.25">
      <c r="A670" s="7" t="s">
        <v>1476</v>
      </c>
      <c r="B670" s="3" t="s">
        <v>1315</v>
      </c>
      <c r="C670" s="3" t="s">
        <v>1316</v>
      </c>
      <c r="D670" s="6"/>
      <c r="E670" s="6">
        <v>45657</v>
      </c>
      <c r="F670" s="3"/>
      <c r="G670" s="6"/>
      <c r="H670" s="3"/>
      <c r="I670" s="6"/>
      <c r="J670" s="3" t="s">
        <v>68</v>
      </c>
      <c r="K670" s="3"/>
      <c r="L670" s="3">
        <v>1990370</v>
      </c>
      <c r="M670" s="3" t="s">
        <v>34</v>
      </c>
      <c r="N670" s="3" t="s">
        <v>1317</v>
      </c>
      <c r="O670" s="3" t="s">
        <v>441</v>
      </c>
      <c r="P670" s="3" t="s">
        <v>1318</v>
      </c>
      <c r="Q670" s="5">
        <v>33643.405117965704</v>
      </c>
      <c r="R670" s="5"/>
      <c r="S670" s="5"/>
      <c r="T670" s="3"/>
      <c r="U670" s="3" t="s">
        <v>153</v>
      </c>
      <c r="V670" s="3"/>
      <c r="W670" s="6"/>
      <c r="X670" s="6"/>
      <c r="Y670" s="3"/>
      <c r="Z670" s="3"/>
      <c r="AA670" s="3"/>
      <c r="AB670" s="3" t="s">
        <v>42</v>
      </c>
    </row>
    <row r="671" spans="1:28" ht="33" customHeight="1" x14ac:dyDescent="0.25">
      <c r="A671" s="7" t="s">
        <v>1477</v>
      </c>
      <c r="B671" s="3" t="s">
        <v>1315</v>
      </c>
      <c r="C671" s="3" t="s">
        <v>1411</v>
      </c>
      <c r="D671" s="6"/>
      <c r="E671" s="6">
        <v>45657</v>
      </c>
      <c r="F671" s="3"/>
      <c r="G671" s="6"/>
      <c r="H671" s="3"/>
      <c r="I671" s="6"/>
      <c r="J671" s="3" t="s">
        <v>68</v>
      </c>
      <c r="K671" s="3"/>
      <c r="L671" s="3">
        <v>1990370</v>
      </c>
      <c r="M671" s="3" t="s">
        <v>34</v>
      </c>
      <c r="N671" s="3" t="s">
        <v>1317</v>
      </c>
      <c r="O671" s="3" t="s">
        <v>441</v>
      </c>
      <c r="P671" s="3" t="s">
        <v>1318</v>
      </c>
      <c r="Q671" s="5">
        <v>7702.0011404435072</v>
      </c>
      <c r="R671" s="5"/>
      <c r="S671" s="5"/>
      <c r="T671" s="3"/>
      <c r="U671" s="3" t="s">
        <v>153</v>
      </c>
      <c r="V671" s="3"/>
      <c r="W671" s="6"/>
      <c r="X671" s="6"/>
      <c r="Y671" s="3"/>
      <c r="Z671" s="3"/>
      <c r="AA671" s="3"/>
      <c r="AB671" s="3" t="s">
        <v>42</v>
      </c>
    </row>
    <row r="672" spans="1:28" ht="33" customHeight="1" x14ac:dyDescent="0.25">
      <c r="A672" s="7" t="s">
        <v>1478</v>
      </c>
      <c r="B672" s="3" t="s">
        <v>1315</v>
      </c>
      <c r="C672" s="3" t="s">
        <v>1316</v>
      </c>
      <c r="D672" s="6"/>
      <c r="E672" s="6">
        <v>45657</v>
      </c>
      <c r="F672" s="3"/>
      <c r="G672" s="6"/>
      <c r="H672" s="3"/>
      <c r="I672" s="6"/>
      <c r="J672" s="3" t="s">
        <v>68</v>
      </c>
      <c r="K672" s="3"/>
      <c r="L672" s="3">
        <v>1990370</v>
      </c>
      <c r="M672" s="3" t="s">
        <v>34</v>
      </c>
      <c r="N672" s="3" t="s">
        <v>1317</v>
      </c>
      <c r="O672" s="3" t="s">
        <v>441</v>
      </c>
      <c r="P672" s="3" t="s">
        <v>1318</v>
      </c>
      <c r="Q672" s="5">
        <v>33643.405117965704</v>
      </c>
      <c r="R672" s="5"/>
      <c r="S672" s="5"/>
      <c r="T672" s="3"/>
      <c r="U672" s="3" t="s">
        <v>153</v>
      </c>
      <c r="V672" s="3"/>
      <c r="W672" s="6"/>
      <c r="X672" s="6"/>
      <c r="Y672" s="3"/>
      <c r="Z672" s="3"/>
      <c r="AA672" s="3"/>
      <c r="AB672" s="3" t="s">
        <v>42</v>
      </c>
    </row>
    <row r="673" spans="1:28" ht="33" customHeight="1" x14ac:dyDescent="0.25">
      <c r="A673" s="7" t="s">
        <v>1479</v>
      </c>
      <c r="B673" s="3" t="s">
        <v>1315</v>
      </c>
      <c r="C673" s="3" t="s">
        <v>1316</v>
      </c>
      <c r="D673" s="6"/>
      <c r="E673" s="6">
        <v>45657</v>
      </c>
      <c r="F673" s="3"/>
      <c r="G673" s="6"/>
      <c r="H673" s="3"/>
      <c r="I673" s="6"/>
      <c r="J673" s="3" t="s">
        <v>68</v>
      </c>
      <c r="K673" s="3"/>
      <c r="L673" s="3">
        <v>1990370</v>
      </c>
      <c r="M673" s="3" t="s">
        <v>34</v>
      </c>
      <c r="N673" s="3" t="s">
        <v>1317</v>
      </c>
      <c r="O673" s="3" t="s">
        <v>441</v>
      </c>
      <c r="P673" s="3" t="s">
        <v>1318</v>
      </c>
      <c r="Q673" s="5">
        <v>38761.980247250329</v>
      </c>
      <c r="R673" s="5"/>
      <c r="S673" s="5"/>
      <c r="T673" s="3"/>
      <c r="U673" s="3" t="s">
        <v>153</v>
      </c>
      <c r="V673" s="3"/>
      <c r="W673" s="6"/>
      <c r="X673" s="6"/>
      <c r="Y673" s="3"/>
      <c r="Z673" s="3"/>
      <c r="AA673" s="3"/>
      <c r="AB673" s="3" t="s">
        <v>42</v>
      </c>
    </row>
    <row r="674" spans="1:28" ht="33" customHeight="1" x14ac:dyDescent="0.25">
      <c r="A674" s="7" t="s">
        <v>1480</v>
      </c>
      <c r="B674" s="3" t="s">
        <v>1315</v>
      </c>
      <c r="C674" s="3" t="s">
        <v>1316</v>
      </c>
      <c r="D674" s="6"/>
      <c r="E674" s="6">
        <v>45657</v>
      </c>
      <c r="F674" s="3"/>
      <c r="G674" s="6"/>
      <c r="H674" s="3"/>
      <c r="I674" s="6"/>
      <c r="J674" s="3" t="s">
        <v>68</v>
      </c>
      <c r="K674" s="3"/>
      <c r="L674" s="3">
        <v>1990370</v>
      </c>
      <c r="M674" s="3" t="s">
        <v>34</v>
      </c>
      <c r="N674" s="3" t="s">
        <v>1317</v>
      </c>
      <c r="O674" s="3" t="s">
        <v>441</v>
      </c>
      <c r="P674" s="3" t="s">
        <v>1318</v>
      </c>
      <c r="Q674" s="5">
        <v>39591.400953569224</v>
      </c>
      <c r="R674" s="5"/>
      <c r="S674" s="5"/>
      <c r="T674" s="3"/>
      <c r="U674" s="3" t="s">
        <v>153</v>
      </c>
      <c r="V674" s="3"/>
      <c r="W674" s="6"/>
      <c r="X674" s="6"/>
      <c r="Y674" s="3"/>
      <c r="Z674" s="3"/>
      <c r="AA674" s="3"/>
      <c r="AB674" s="3" t="s">
        <v>42</v>
      </c>
    </row>
    <row r="675" spans="1:28" ht="33" customHeight="1" x14ac:dyDescent="0.25">
      <c r="A675" s="7" t="s">
        <v>1481</v>
      </c>
      <c r="B675" s="3" t="s">
        <v>1315</v>
      </c>
      <c r="C675" s="3" t="s">
        <v>1316</v>
      </c>
      <c r="D675" s="6"/>
      <c r="E675" s="6">
        <v>45657</v>
      </c>
      <c r="F675" s="3"/>
      <c r="G675" s="6"/>
      <c r="H675" s="3"/>
      <c r="I675" s="6"/>
      <c r="J675" s="3" t="s">
        <v>68</v>
      </c>
      <c r="K675" s="3"/>
      <c r="L675" s="3">
        <v>1990370</v>
      </c>
      <c r="M675" s="3" t="s">
        <v>34</v>
      </c>
      <c r="N675" s="3" t="s">
        <v>1317</v>
      </c>
      <c r="O675" s="3" t="s">
        <v>441</v>
      </c>
      <c r="P675" s="3" t="s">
        <v>1318</v>
      </c>
      <c r="Q675" s="5">
        <v>50674.231608588525</v>
      </c>
      <c r="R675" s="5"/>
      <c r="S675" s="5"/>
      <c r="T675" s="3"/>
      <c r="U675" s="3" t="s">
        <v>153</v>
      </c>
      <c r="V675" s="3"/>
      <c r="W675" s="6"/>
      <c r="X675" s="6"/>
      <c r="Y675" s="3"/>
      <c r="Z675" s="3"/>
      <c r="AA675" s="3"/>
      <c r="AB675" s="3" t="s">
        <v>42</v>
      </c>
    </row>
    <row r="676" spans="1:28" ht="33" customHeight="1" x14ac:dyDescent="0.25">
      <c r="A676" s="7" t="s">
        <v>1482</v>
      </c>
      <c r="B676" s="3" t="s">
        <v>1315</v>
      </c>
      <c r="C676" s="3" t="s">
        <v>1316</v>
      </c>
      <c r="D676" s="6"/>
      <c r="E676" s="6">
        <v>45657</v>
      </c>
      <c r="F676" s="3"/>
      <c r="G676" s="6"/>
      <c r="H676" s="3"/>
      <c r="I676" s="6"/>
      <c r="J676" s="3" t="s">
        <v>68</v>
      </c>
      <c r="K676" s="3"/>
      <c r="L676" s="3">
        <v>1990370</v>
      </c>
      <c r="M676" s="3" t="s">
        <v>34</v>
      </c>
      <c r="N676" s="3" t="s">
        <v>1317</v>
      </c>
      <c r="O676" s="3" t="s">
        <v>441</v>
      </c>
      <c r="P676" s="3" t="s">
        <v>1318</v>
      </c>
      <c r="Q676" s="5">
        <v>67459.275133974908</v>
      </c>
      <c r="R676" s="5"/>
      <c r="S676" s="5"/>
      <c r="T676" s="3"/>
      <c r="U676" s="3" t="s">
        <v>153</v>
      </c>
      <c r="V676" s="3"/>
      <c r="W676" s="6"/>
      <c r="X676" s="6"/>
      <c r="Y676" s="3"/>
      <c r="Z676" s="3"/>
      <c r="AA676" s="3"/>
      <c r="AB676" s="3" t="s">
        <v>42</v>
      </c>
    </row>
    <row r="677" spans="1:28" ht="33" customHeight="1" x14ac:dyDescent="0.25">
      <c r="A677" s="7" t="s">
        <v>1483</v>
      </c>
      <c r="B677" s="3" t="s">
        <v>1315</v>
      </c>
      <c r="C677" s="3" t="s">
        <v>1316</v>
      </c>
      <c r="D677" s="6"/>
      <c r="E677" s="6">
        <v>45657</v>
      </c>
      <c r="F677" s="3"/>
      <c r="G677" s="6"/>
      <c r="H677" s="3"/>
      <c r="I677" s="6"/>
      <c r="J677" s="3" t="s">
        <v>68</v>
      </c>
      <c r="K677" s="3"/>
      <c r="L677" s="3">
        <v>1990370</v>
      </c>
      <c r="M677" s="3" t="s">
        <v>34</v>
      </c>
      <c r="N677" s="3" t="s">
        <v>1317</v>
      </c>
      <c r="O677" s="3" t="s">
        <v>441</v>
      </c>
      <c r="P677" s="3" t="s">
        <v>1318</v>
      </c>
      <c r="Q677" s="5">
        <v>34712.120407626062</v>
      </c>
      <c r="R677" s="5"/>
      <c r="S677" s="5"/>
      <c r="T677" s="3"/>
      <c r="U677" s="3" t="s">
        <v>153</v>
      </c>
      <c r="V677" s="3"/>
      <c r="W677" s="6"/>
      <c r="X677" s="6"/>
      <c r="Y677" s="3"/>
      <c r="Z677" s="3"/>
      <c r="AA677" s="3"/>
      <c r="AB677" s="3" t="s">
        <v>42</v>
      </c>
    </row>
    <row r="678" spans="1:28" ht="33" customHeight="1" x14ac:dyDescent="0.25">
      <c r="A678" s="7" t="s">
        <v>1484</v>
      </c>
      <c r="B678" s="3" t="s">
        <v>1315</v>
      </c>
      <c r="C678" s="3" t="s">
        <v>1411</v>
      </c>
      <c r="D678" s="6"/>
      <c r="E678" s="6">
        <v>45657</v>
      </c>
      <c r="F678" s="3"/>
      <c r="G678" s="6"/>
      <c r="H678" s="3"/>
      <c r="I678" s="6"/>
      <c r="J678" s="3" t="s">
        <v>68</v>
      </c>
      <c r="K678" s="3"/>
      <c r="L678" s="3">
        <v>1990370</v>
      </c>
      <c r="M678" s="3" t="s">
        <v>34</v>
      </c>
      <c r="N678" s="3" t="s">
        <v>1317</v>
      </c>
      <c r="O678" s="3" t="s">
        <v>441</v>
      </c>
      <c r="P678" s="3" t="s">
        <v>1318</v>
      </c>
      <c r="Q678" s="5">
        <v>7396.7713903555077</v>
      </c>
      <c r="R678" s="5"/>
      <c r="S678" s="5"/>
      <c r="T678" s="3"/>
      <c r="U678" s="3" t="s">
        <v>153</v>
      </c>
      <c r="V678" s="3"/>
      <c r="W678" s="6"/>
      <c r="X678" s="6"/>
      <c r="Y678" s="3"/>
      <c r="Z678" s="3"/>
      <c r="AA678" s="3"/>
      <c r="AB678" s="3" t="s">
        <v>42</v>
      </c>
    </row>
    <row r="679" spans="1:28" ht="33" customHeight="1" x14ac:dyDescent="0.25">
      <c r="A679" s="7" t="s">
        <v>1485</v>
      </c>
      <c r="B679" s="3" t="s">
        <v>1315</v>
      </c>
      <c r="C679" s="3" t="s">
        <v>1316</v>
      </c>
      <c r="D679" s="6"/>
      <c r="E679" s="6">
        <v>45657</v>
      </c>
      <c r="F679" s="3"/>
      <c r="G679" s="6"/>
      <c r="H679" s="3"/>
      <c r="I679" s="6"/>
      <c r="J679" s="3" t="s">
        <v>68</v>
      </c>
      <c r="K679" s="3"/>
      <c r="L679" s="3">
        <v>1990370</v>
      </c>
      <c r="M679" s="3" t="s">
        <v>34</v>
      </c>
      <c r="N679" s="3" t="s">
        <v>1317</v>
      </c>
      <c r="O679" s="3" t="s">
        <v>441</v>
      </c>
      <c r="P679" s="3" t="s">
        <v>1318</v>
      </c>
      <c r="Q679" s="5">
        <v>33643.405117965704</v>
      </c>
      <c r="R679" s="5"/>
      <c r="S679" s="5"/>
      <c r="T679" s="3"/>
      <c r="U679" s="3" t="s">
        <v>153</v>
      </c>
      <c r="V679" s="3"/>
      <c r="W679" s="6"/>
      <c r="X679" s="6"/>
      <c r="Y679" s="3"/>
      <c r="Z679" s="3"/>
      <c r="AA679" s="3"/>
      <c r="AB679" s="3" t="s">
        <v>42</v>
      </c>
    </row>
    <row r="680" spans="1:28" ht="33" customHeight="1" x14ac:dyDescent="0.25">
      <c r="A680" s="7" t="s">
        <v>1486</v>
      </c>
      <c r="B680" s="3" t="s">
        <v>1315</v>
      </c>
      <c r="C680" s="3" t="s">
        <v>1316</v>
      </c>
      <c r="D680" s="6"/>
      <c r="E680" s="6">
        <v>45657</v>
      </c>
      <c r="F680" s="3"/>
      <c r="G680" s="6"/>
      <c r="H680" s="3"/>
      <c r="I680" s="6"/>
      <c r="J680" s="3" t="s">
        <v>68</v>
      </c>
      <c r="K680" s="3"/>
      <c r="L680" s="3">
        <v>1990370</v>
      </c>
      <c r="M680" s="3" t="s">
        <v>34</v>
      </c>
      <c r="N680" s="3" t="s">
        <v>1317</v>
      </c>
      <c r="O680" s="3" t="s">
        <v>441</v>
      </c>
      <c r="P680" s="3" t="s">
        <v>1318</v>
      </c>
      <c r="Q680" s="5">
        <v>34712.120407626062</v>
      </c>
      <c r="R680" s="5"/>
      <c r="S680" s="5"/>
      <c r="T680" s="3"/>
      <c r="U680" s="3" t="s">
        <v>153</v>
      </c>
      <c r="V680" s="3"/>
      <c r="W680" s="6"/>
      <c r="X680" s="6"/>
      <c r="Y680" s="3"/>
      <c r="Z680" s="3"/>
      <c r="AA680" s="3"/>
      <c r="AB680" s="3" t="s">
        <v>42</v>
      </c>
    </row>
    <row r="681" spans="1:28" ht="33" customHeight="1" x14ac:dyDescent="0.25">
      <c r="A681" s="7" t="s">
        <v>1487</v>
      </c>
      <c r="B681" s="3" t="s">
        <v>1315</v>
      </c>
      <c r="C681" s="3" t="s">
        <v>1411</v>
      </c>
      <c r="D681" s="6"/>
      <c r="E681" s="6">
        <v>45657</v>
      </c>
      <c r="F681" s="3"/>
      <c r="G681" s="6"/>
      <c r="H681" s="3"/>
      <c r="I681" s="6"/>
      <c r="J681" s="3" t="s">
        <v>68</v>
      </c>
      <c r="K681" s="3"/>
      <c r="L681" s="3">
        <v>1990370</v>
      </c>
      <c r="M681" s="3" t="s">
        <v>34</v>
      </c>
      <c r="N681" s="3" t="s">
        <v>1317</v>
      </c>
      <c r="O681" s="3" t="s">
        <v>441</v>
      </c>
      <c r="P681" s="3" t="s">
        <v>1318</v>
      </c>
      <c r="Q681" s="5">
        <v>5500.9382330165481</v>
      </c>
      <c r="R681" s="5"/>
      <c r="S681" s="5"/>
      <c r="T681" s="3"/>
      <c r="U681" s="3" t="s">
        <v>153</v>
      </c>
      <c r="V681" s="3"/>
      <c r="W681" s="6"/>
      <c r="X681" s="6"/>
      <c r="Y681" s="3"/>
      <c r="Z681" s="3"/>
      <c r="AA681" s="3"/>
      <c r="AB681" s="3" t="s">
        <v>42</v>
      </c>
    </row>
    <row r="682" spans="1:28" ht="33" customHeight="1" x14ac:dyDescent="0.25">
      <c r="A682" s="7" t="s">
        <v>1488</v>
      </c>
      <c r="B682" s="3" t="s">
        <v>1315</v>
      </c>
      <c r="C682" s="3" t="s">
        <v>1411</v>
      </c>
      <c r="D682" s="6"/>
      <c r="E682" s="6">
        <v>45657</v>
      </c>
      <c r="F682" s="3"/>
      <c r="G682" s="6"/>
      <c r="H682" s="3"/>
      <c r="I682" s="6"/>
      <c r="J682" s="3" t="s">
        <v>68</v>
      </c>
      <c r="K682" s="3"/>
      <c r="L682" s="3">
        <v>1990370</v>
      </c>
      <c r="M682" s="3" t="s">
        <v>34</v>
      </c>
      <c r="N682" s="3" t="s">
        <v>1317</v>
      </c>
      <c r="O682" s="3" t="s">
        <v>441</v>
      </c>
      <c r="P682" s="3" t="s">
        <v>1318</v>
      </c>
      <c r="Q682" s="5">
        <v>4127.3982400563164</v>
      </c>
      <c r="R682" s="5"/>
      <c r="S682" s="5"/>
      <c r="T682" s="3"/>
      <c r="U682" s="3" t="s">
        <v>153</v>
      </c>
      <c r="V682" s="3"/>
      <c r="W682" s="6"/>
      <c r="X682" s="6"/>
      <c r="Y682" s="3"/>
      <c r="Z682" s="3"/>
      <c r="AA682" s="3"/>
      <c r="AB682" s="3" t="s">
        <v>42</v>
      </c>
    </row>
    <row r="683" spans="1:28" ht="33" customHeight="1" x14ac:dyDescent="0.25">
      <c r="A683" s="7" t="s">
        <v>1489</v>
      </c>
      <c r="B683" s="3" t="s">
        <v>1315</v>
      </c>
      <c r="C683" s="3" t="s">
        <v>1316</v>
      </c>
      <c r="D683" s="6"/>
      <c r="E683" s="6">
        <v>45657</v>
      </c>
      <c r="F683" s="3"/>
      <c r="G683" s="6"/>
      <c r="H683" s="3"/>
      <c r="I683" s="6"/>
      <c r="J683" s="3" t="s">
        <v>68</v>
      </c>
      <c r="K683" s="3"/>
      <c r="L683" s="3">
        <v>1990370</v>
      </c>
      <c r="M683" s="3" t="s">
        <v>34</v>
      </c>
      <c r="N683" s="3" t="s">
        <v>1317</v>
      </c>
      <c r="O683" s="3" t="s">
        <v>441</v>
      </c>
      <c r="P683" s="3" t="s">
        <v>1318</v>
      </c>
      <c r="Q683" s="5">
        <v>50674.231608588525</v>
      </c>
      <c r="R683" s="5"/>
      <c r="S683" s="5"/>
      <c r="T683" s="3"/>
      <c r="U683" s="3" t="s">
        <v>153</v>
      </c>
      <c r="V683" s="3"/>
      <c r="W683" s="6"/>
      <c r="X683" s="6"/>
      <c r="Y683" s="3"/>
      <c r="Z683" s="3"/>
      <c r="AA683" s="3"/>
      <c r="AB683" s="3" t="s">
        <v>42</v>
      </c>
    </row>
    <row r="684" spans="1:28" ht="33" customHeight="1" x14ac:dyDescent="0.25">
      <c r="A684" s="7" t="s">
        <v>1490</v>
      </c>
      <c r="B684" s="3" t="s">
        <v>1315</v>
      </c>
      <c r="C684" s="3" t="s">
        <v>1316</v>
      </c>
      <c r="D684" s="6"/>
      <c r="E684" s="6">
        <v>45657</v>
      </c>
      <c r="F684" s="3"/>
      <c r="G684" s="6"/>
      <c r="H684" s="3"/>
      <c r="I684" s="6"/>
      <c r="J684" s="3" t="s">
        <v>68</v>
      </c>
      <c r="K684" s="3"/>
      <c r="L684" s="3">
        <v>1990370</v>
      </c>
      <c r="M684" s="3" t="s">
        <v>34</v>
      </c>
      <c r="N684" s="3" t="s">
        <v>1317</v>
      </c>
      <c r="O684" s="3" t="s">
        <v>441</v>
      </c>
      <c r="P684" s="3" t="s">
        <v>1318</v>
      </c>
      <c r="Q684" s="5">
        <v>50674.231608588525</v>
      </c>
      <c r="R684" s="5"/>
      <c r="S684" s="5"/>
      <c r="T684" s="3"/>
      <c r="U684" s="3" t="s">
        <v>153</v>
      </c>
      <c r="V684" s="3"/>
      <c r="W684" s="6"/>
      <c r="X684" s="6"/>
      <c r="Y684" s="3"/>
      <c r="Z684" s="3"/>
      <c r="AA684" s="3"/>
      <c r="AB684" s="3" t="s">
        <v>42</v>
      </c>
    </row>
    <row r="685" spans="1:28" ht="33" customHeight="1" x14ac:dyDescent="0.25">
      <c r="A685" s="7" t="s">
        <v>1491</v>
      </c>
      <c r="B685" s="3" t="s">
        <v>1315</v>
      </c>
      <c r="C685" s="3" t="s">
        <v>1316</v>
      </c>
      <c r="D685" s="6"/>
      <c r="E685" s="6">
        <v>45657</v>
      </c>
      <c r="F685" s="3"/>
      <c r="G685" s="6"/>
      <c r="H685" s="3"/>
      <c r="I685" s="6"/>
      <c r="J685" s="3" t="s">
        <v>68</v>
      </c>
      <c r="K685" s="3"/>
      <c r="L685" s="3">
        <v>1990370</v>
      </c>
      <c r="M685" s="3" t="s">
        <v>34</v>
      </c>
      <c r="N685" s="3" t="s">
        <v>1317</v>
      </c>
      <c r="O685" s="3" t="s">
        <v>441</v>
      </c>
      <c r="P685" s="3" t="s">
        <v>1318</v>
      </c>
      <c r="Q685" s="5">
        <v>38378.280139840586</v>
      </c>
      <c r="R685" s="5"/>
      <c r="S685" s="5"/>
      <c r="T685" s="3"/>
      <c r="U685" s="3" t="s">
        <v>153</v>
      </c>
      <c r="V685" s="3"/>
      <c r="W685" s="6"/>
      <c r="X685" s="6"/>
      <c r="Y685" s="3"/>
      <c r="Z685" s="3"/>
      <c r="AA685" s="3"/>
      <c r="AB685" s="3" t="s">
        <v>42</v>
      </c>
    </row>
    <row r="686" spans="1:28" ht="33" customHeight="1" x14ac:dyDescent="0.25">
      <c r="A686" s="7" t="s">
        <v>1492</v>
      </c>
      <c r="B686" s="3" t="s">
        <v>1315</v>
      </c>
      <c r="C686" s="3" t="s">
        <v>1411</v>
      </c>
      <c r="D686" s="6"/>
      <c r="E686" s="6">
        <v>45657</v>
      </c>
      <c r="F686" s="3"/>
      <c r="G686" s="6"/>
      <c r="H686" s="3"/>
      <c r="I686" s="6"/>
      <c r="J686" s="3" t="s">
        <v>68</v>
      </c>
      <c r="K686" s="3"/>
      <c r="L686" s="3">
        <v>1990370</v>
      </c>
      <c r="M686" s="3" t="s">
        <v>34</v>
      </c>
      <c r="N686" s="3" t="s">
        <v>1317</v>
      </c>
      <c r="O686" s="3" t="s">
        <v>441</v>
      </c>
      <c r="P686" s="3" t="s">
        <v>1318</v>
      </c>
      <c r="Q686" s="5">
        <v>6351.165635738832</v>
      </c>
      <c r="R686" s="5"/>
      <c r="S686" s="5"/>
      <c r="T686" s="3"/>
      <c r="U686" s="3" t="s">
        <v>153</v>
      </c>
      <c r="V686" s="3"/>
      <c r="W686" s="6"/>
      <c r="X686" s="6"/>
      <c r="Y686" s="3"/>
      <c r="Z686" s="3"/>
      <c r="AA686" s="3"/>
      <c r="AB686" s="3" t="s">
        <v>42</v>
      </c>
    </row>
    <row r="687" spans="1:28" ht="33" customHeight="1" x14ac:dyDescent="0.25">
      <c r="A687" s="7" t="s">
        <v>1493</v>
      </c>
      <c r="B687" s="3" t="s">
        <v>1315</v>
      </c>
      <c r="C687" s="3" t="s">
        <v>1316</v>
      </c>
      <c r="D687" s="6"/>
      <c r="E687" s="6">
        <v>45657</v>
      </c>
      <c r="F687" s="3"/>
      <c r="G687" s="6"/>
      <c r="H687" s="3"/>
      <c r="I687" s="6"/>
      <c r="J687" s="3" t="s">
        <v>68</v>
      </c>
      <c r="K687" s="3"/>
      <c r="L687" s="3">
        <v>1990370</v>
      </c>
      <c r="M687" s="3" t="s">
        <v>34</v>
      </c>
      <c r="N687" s="3" t="s">
        <v>1317</v>
      </c>
      <c r="O687" s="3" t="s">
        <v>441</v>
      </c>
      <c r="P687" s="3" t="s">
        <v>1318</v>
      </c>
      <c r="Q687" s="5">
        <v>50674.231608588525</v>
      </c>
      <c r="R687" s="5"/>
      <c r="S687" s="5"/>
      <c r="T687" s="3"/>
      <c r="U687" s="3" t="s">
        <v>153</v>
      </c>
      <c r="V687" s="3"/>
      <c r="W687" s="6"/>
      <c r="X687" s="6"/>
      <c r="Y687" s="3"/>
      <c r="Z687" s="3"/>
      <c r="AA687" s="3"/>
      <c r="AB687" s="3" t="s">
        <v>42</v>
      </c>
    </row>
    <row r="688" spans="1:28" ht="33" customHeight="1" x14ac:dyDescent="0.25">
      <c r="A688" s="7" t="s">
        <v>1494</v>
      </c>
      <c r="B688" s="3" t="s">
        <v>1315</v>
      </c>
      <c r="C688" s="3" t="s">
        <v>1316</v>
      </c>
      <c r="D688" s="6"/>
      <c r="E688" s="6">
        <v>45657</v>
      </c>
      <c r="F688" s="3"/>
      <c r="G688" s="6"/>
      <c r="H688" s="3"/>
      <c r="I688" s="6"/>
      <c r="J688" s="3" t="s">
        <v>68</v>
      </c>
      <c r="K688" s="3"/>
      <c r="L688" s="3">
        <v>1990370</v>
      </c>
      <c r="M688" s="3" t="s">
        <v>34</v>
      </c>
      <c r="N688" s="3" t="s">
        <v>1317</v>
      </c>
      <c r="O688" s="3" t="s">
        <v>441</v>
      </c>
      <c r="P688" s="3" t="s">
        <v>1318</v>
      </c>
      <c r="Q688" s="5">
        <v>39909.772809932911</v>
      </c>
      <c r="R688" s="5"/>
      <c r="S688" s="5"/>
      <c r="T688" s="3"/>
      <c r="U688" s="3" t="s">
        <v>153</v>
      </c>
      <c r="V688" s="3"/>
      <c r="W688" s="6"/>
      <c r="X688" s="6"/>
      <c r="Y688" s="3"/>
      <c r="Z688" s="3"/>
      <c r="AA688" s="3"/>
      <c r="AB688" s="3" t="s">
        <v>42</v>
      </c>
    </row>
    <row r="689" spans="1:28" ht="33" customHeight="1" x14ac:dyDescent="0.25">
      <c r="A689" s="7" t="s">
        <v>1495</v>
      </c>
      <c r="B689" s="3" t="s">
        <v>1315</v>
      </c>
      <c r="C689" s="3" t="s">
        <v>1316</v>
      </c>
      <c r="D689" s="6"/>
      <c r="E689" s="6">
        <v>45657</v>
      </c>
      <c r="F689" s="3"/>
      <c r="G689" s="6"/>
      <c r="H689" s="3"/>
      <c r="I689" s="6"/>
      <c r="J689" s="3" t="s">
        <v>68</v>
      </c>
      <c r="K689" s="3"/>
      <c r="L689" s="3">
        <v>1990370</v>
      </c>
      <c r="M689" s="3" t="s">
        <v>34</v>
      </c>
      <c r="N689" s="3" t="s">
        <v>1317</v>
      </c>
      <c r="O689" s="3" t="s">
        <v>441</v>
      </c>
      <c r="P689" s="3" t="s">
        <v>1318</v>
      </c>
      <c r="Q689" s="5">
        <v>39873.38745491991</v>
      </c>
      <c r="R689" s="5"/>
      <c r="S689" s="5"/>
      <c r="T689" s="3"/>
      <c r="U689" s="3" t="s">
        <v>153</v>
      </c>
      <c r="V689" s="3"/>
      <c r="W689" s="6"/>
      <c r="X689" s="6"/>
      <c r="Y689" s="3"/>
      <c r="Z689" s="3"/>
      <c r="AA689" s="3"/>
      <c r="AB689" s="3" t="s">
        <v>42</v>
      </c>
    </row>
    <row r="690" spans="1:28" ht="33" customHeight="1" x14ac:dyDescent="0.25">
      <c r="A690" s="7" t="s">
        <v>1496</v>
      </c>
      <c r="B690" s="3" t="s">
        <v>1315</v>
      </c>
      <c r="C690" s="3" t="s">
        <v>1316</v>
      </c>
      <c r="D690" s="6"/>
      <c r="E690" s="6">
        <v>45657</v>
      </c>
      <c r="F690" s="3"/>
      <c r="G690" s="6"/>
      <c r="H690" s="3"/>
      <c r="I690" s="6"/>
      <c r="J690" s="3" t="s">
        <v>68</v>
      </c>
      <c r="K690" s="3"/>
      <c r="L690" s="3">
        <v>1990370</v>
      </c>
      <c r="M690" s="3" t="s">
        <v>34</v>
      </c>
      <c r="N690" s="3" t="s">
        <v>1317</v>
      </c>
      <c r="O690" s="3" t="s">
        <v>441</v>
      </c>
      <c r="P690" s="3" t="s">
        <v>1318</v>
      </c>
      <c r="Q690" s="5">
        <v>33643.405117965704</v>
      </c>
      <c r="R690" s="5"/>
      <c r="S690" s="5"/>
      <c r="T690" s="3"/>
      <c r="U690" s="3" t="s">
        <v>153</v>
      </c>
      <c r="V690" s="3"/>
      <c r="W690" s="6"/>
      <c r="X690" s="6"/>
      <c r="Y690" s="3"/>
      <c r="Z690" s="3"/>
      <c r="AA690" s="3"/>
      <c r="AB690" s="3" t="s">
        <v>42</v>
      </c>
    </row>
    <row r="691" spans="1:28" ht="33" customHeight="1" x14ac:dyDescent="0.25">
      <c r="A691" s="7" t="s">
        <v>1497</v>
      </c>
      <c r="B691" s="3" t="s">
        <v>1315</v>
      </c>
      <c r="C691" s="3" t="s">
        <v>1316</v>
      </c>
      <c r="D691" s="6"/>
      <c r="E691" s="6">
        <v>45657</v>
      </c>
      <c r="F691" s="3"/>
      <c r="G691" s="6"/>
      <c r="H691" s="3"/>
      <c r="I691" s="6"/>
      <c r="J691" s="3" t="s">
        <v>68</v>
      </c>
      <c r="K691" s="3"/>
      <c r="L691" s="3">
        <v>1990370</v>
      </c>
      <c r="M691" s="3" t="s">
        <v>34</v>
      </c>
      <c r="N691" s="3" t="s">
        <v>1317</v>
      </c>
      <c r="O691" s="3" t="s">
        <v>441</v>
      </c>
      <c r="P691" s="3" t="s">
        <v>1318</v>
      </c>
      <c r="Q691" s="5">
        <v>38759.499427590352</v>
      </c>
      <c r="R691" s="5"/>
      <c r="S691" s="5"/>
      <c r="T691" s="3"/>
      <c r="U691" s="3" t="s">
        <v>153</v>
      </c>
      <c r="V691" s="3"/>
      <c r="W691" s="6"/>
      <c r="X691" s="6"/>
      <c r="Y691" s="3"/>
      <c r="Z691" s="3"/>
      <c r="AA691" s="3"/>
      <c r="AB691" s="3" t="s">
        <v>42</v>
      </c>
    </row>
    <row r="692" spans="1:28" ht="33" customHeight="1" x14ac:dyDescent="0.25">
      <c r="A692" s="7" t="s">
        <v>1498</v>
      </c>
      <c r="B692" s="3" t="s">
        <v>1315</v>
      </c>
      <c r="C692" s="3" t="s">
        <v>1316</v>
      </c>
      <c r="D692" s="6"/>
      <c r="E692" s="6">
        <v>45657</v>
      </c>
      <c r="F692" s="3"/>
      <c r="G692" s="6"/>
      <c r="H692" s="3"/>
      <c r="I692" s="6"/>
      <c r="J692" s="3" t="s">
        <v>68</v>
      </c>
      <c r="K692" s="3"/>
      <c r="L692" s="3">
        <v>1990370</v>
      </c>
      <c r="M692" s="3" t="s">
        <v>34</v>
      </c>
      <c r="N692" s="3" t="s">
        <v>1317</v>
      </c>
      <c r="O692" s="3" t="s">
        <v>441</v>
      </c>
      <c r="P692" s="3" t="s">
        <v>1318</v>
      </c>
      <c r="Q692" s="5">
        <v>37672.073476633865</v>
      </c>
      <c r="R692" s="5"/>
      <c r="S692" s="5"/>
      <c r="T692" s="3"/>
      <c r="U692" s="3" t="s">
        <v>153</v>
      </c>
      <c r="V692" s="3"/>
      <c r="W692" s="6"/>
      <c r="X692" s="6"/>
      <c r="Y692" s="3"/>
      <c r="Z692" s="3"/>
      <c r="AA692" s="3"/>
      <c r="AB692" s="3" t="s">
        <v>42</v>
      </c>
    </row>
    <row r="693" spans="1:28" ht="33" customHeight="1" x14ac:dyDescent="0.25">
      <c r="A693" s="7" t="s">
        <v>1499</v>
      </c>
      <c r="B693" s="3" t="s">
        <v>1315</v>
      </c>
      <c r="C693" s="3" t="s">
        <v>1316</v>
      </c>
      <c r="D693" s="6"/>
      <c r="E693" s="6">
        <v>45657</v>
      </c>
      <c r="F693" s="3"/>
      <c r="G693" s="6"/>
      <c r="H693" s="3"/>
      <c r="I693" s="6"/>
      <c r="J693" s="3" t="s">
        <v>68</v>
      </c>
      <c r="K693" s="3"/>
      <c r="L693" s="3">
        <v>1990370</v>
      </c>
      <c r="M693" s="3" t="s">
        <v>34</v>
      </c>
      <c r="N693" s="3" t="s">
        <v>1317</v>
      </c>
      <c r="O693" s="3" t="s">
        <v>441</v>
      </c>
      <c r="P693" s="3" t="s">
        <v>1318</v>
      </c>
      <c r="Q693" s="5">
        <v>33643.405117965704</v>
      </c>
      <c r="R693" s="5"/>
      <c r="S693" s="5"/>
      <c r="T693" s="3"/>
      <c r="U693" s="3" t="s">
        <v>153</v>
      </c>
      <c r="V693" s="3"/>
      <c r="W693" s="6"/>
      <c r="X693" s="6"/>
      <c r="Y693" s="3"/>
      <c r="Z693" s="3"/>
      <c r="AA693" s="3"/>
      <c r="AB693" s="3" t="s">
        <v>42</v>
      </c>
    </row>
    <row r="694" spans="1:28" ht="33" customHeight="1" x14ac:dyDescent="0.25">
      <c r="A694" s="7" t="s">
        <v>1500</v>
      </c>
      <c r="B694" s="3" t="s">
        <v>1315</v>
      </c>
      <c r="C694" s="3" t="s">
        <v>1316</v>
      </c>
      <c r="D694" s="6"/>
      <c r="E694" s="6">
        <v>45657</v>
      </c>
      <c r="F694" s="3"/>
      <c r="G694" s="6"/>
      <c r="H694" s="3"/>
      <c r="I694" s="6"/>
      <c r="J694" s="3" t="s">
        <v>68</v>
      </c>
      <c r="K694" s="3"/>
      <c r="L694" s="3">
        <v>1990370</v>
      </c>
      <c r="M694" s="3" t="s">
        <v>34</v>
      </c>
      <c r="N694" s="3" t="s">
        <v>1317</v>
      </c>
      <c r="O694" s="3" t="s">
        <v>441</v>
      </c>
      <c r="P694" s="3" t="s">
        <v>1318</v>
      </c>
      <c r="Q694" s="5">
        <v>41914.275095194142</v>
      </c>
      <c r="R694" s="5"/>
      <c r="S694" s="5"/>
      <c r="T694" s="3"/>
      <c r="U694" s="3" t="s">
        <v>153</v>
      </c>
      <c r="V694" s="3"/>
      <c r="W694" s="6"/>
      <c r="X694" s="6"/>
      <c r="Y694" s="3"/>
      <c r="Z694" s="3"/>
      <c r="AA694" s="3"/>
      <c r="AB694" s="3" t="s">
        <v>42</v>
      </c>
    </row>
    <row r="695" spans="1:28" ht="33" customHeight="1" x14ac:dyDescent="0.25">
      <c r="A695" s="7" t="s">
        <v>1501</v>
      </c>
      <c r="B695" s="3" t="s">
        <v>1315</v>
      </c>
      <c r="C695" s="3" t="s">
        <v>1316</v>
      </c>
      <c r="D695" s="6"/>
      <c r="E695" s="6">
        <v>45657</v>
      </c>
      <c r="F695" s="3"/>
      <c r="G695" s="6"/>
      <c r="H695" s="3"/>
      <c r="I695" s="6"/>
      <c r="J695" s="3" t="s">
        <v>68</v>
      </c>
      <c r="K695" s="3"/>
      <c r="L695" s="3">
        <v>1990370</v>
      </c>
      <c r="M695" s="3" t="s">
        <v>34</v>
      </c>
      <c r="N695" s="3" t="s">
        <v>1317</v>
      </c>
      <c r="O695" s="3" t="s">
        <v>441</v>
      </c>
      <c r="P695" s="3" t="s">
        <v>1318</v>
      </c>
      <c r="Q695" s="5">
        <v>37770.479323146283</v>
      </c>
      <c r="R695" s="5"/>
      <c r="S695" s="5"/>
      <c r="T695" s="3"/>
      <c r="U695" s="3" t="s">
        <v>153</v>
      </c>
      <c r="V695" s="3"/>
      <c r="W695" s="6"/>
      <c r="X695" s="6"/>
      <c r="Y695" s="3"/>
      <c r="Z695" s="3"/>
      <c r="AA695" s="3"/>
      <c r="AB695" s="3" t="s">
        <v>42</v>
      </c>
    </row>
    <row r="696" spans="1:28" ht="33" customHeight="1" x14ac:dyDescent="0.25">
      <c r="A696" s="7" t="s">
        <v>1502</v>
      </c>
      <c r="B696" s="3" t="s">
        <v>1315</v>
      </c>
      <c r="C696" s="3" t="s">
        <v>1316</v>
      </c>
      <c r="D696" s="6"/>
      <c r="E696" s="6">
        <v>45657</v>
      </c>
      <c r="F696" s="3"/>
      <c r="G696" s="6"/>
      <c r="H696" s="3"/>
      <c r="I696" s="6"/>
      <c r="J696" s="3" t="s">
        <v>68</v>
      </c>
      <c r="K696" s="3"/>
      <c r="L696" s="3">
        <v>1990370</v>
      </c>
      <c r="M696" s="3" t="s">
        <v>34</v>
      </c>
      <c r="N696" s="3" t="s">
        <v>1317</v>
      </c>
      <c r="O696" s="3" t="s">
        <v>441</v>
      </c>
      <c r="P696" s="3" t="s">
        <v>1318</v>
      </c>
      <c r="Q696" s="5">
        <v>33643.405117965704</v>
      </c>
      <c r="R696" s="5"/>
      <c r="S696" s="5"/>
      <c r="T696" s="3"/>
      <c r="U696" s="3" t="s">
        <v>153</v>
      </c>
      <c r="V696" s="3"/>
      <c r="W696" s="6"/>
      <c r="X696" s="6"/>
      <c r="Y696" s="3"/>
      <c r="Z696" s="3"/>
      <c r="AA696" s="3"/>
      <c r="AB696" s="3" t="s">
        <v>42</v>
      </c>
    </row>
    <row r="697" spans="1:28" ht="33" customHeight="1" x14ac:dyDescent="0.25">
      <c r="A697" s="7" t="s">
        <v>1503</v>
      </c>
      <c r="B697" s="3" t="s">
        <v>1315</v>
      </c>
      <c r="C697" s="3" t="s">
        <v>1316</v>
      </c>
      <c r="D697" s="6"/>
      <c r="E697" s="6">
        <v>45657</v>
      </c>
      <c r="F697" s="3"/>
      <c r="G697" s="6"/>
      <c r="H697" s="3"/>
      <c r="I697" s="6"/>
      <c r="J697" s="3" t="s">
        <v>68</v>
      </c>
      <c r="K697" s="3"/>
      <c r="L697" s="3">
        <v>1990370</v>
      </c>
      <c r="M697" s="3" t="s">
        <v>34</v>
      </c>
      <c r="N697" s="3" t="s">
        <v>1317</v>
      </c>
      <c r="O697" s="3" t="s">
        <v>441</v>
      </c>
      <c r="P697" s="3" t="s">
        <v>1318</v>
      </c>
      <c r="Q697" s="5">
        <v>35784.996655278206</v>
      </c>
      <c r="R697" s="5"/>
      <c r="S697" s="5"/>
      <c r="T697" s="3"/>
      <c r="U697" s="3" t="s">
        <v>153</v>
      </c>
      <c r="V697" s="3"/>
      <c r="W697" s="6"/>
      <c r="X697" s="6"/>
      <c r="Y697" s="3"/>
      <c r="Z697" s="3"/>
      <c r="AA697" s="3"/>
      <c r="AB697" s="3" t="s">
        <v>42</v>
      </c>
    </row>
    <row r="698" spans="1:28" ht="33" customHeight="1" x14ac:dyDescent="0.25">
      <c r="A698" s="7" t="s">
        <v>1504</v>
      </c>
      <c r="B698" s="3" t="s">
        <v>1315</v>
      </c>
      <c r="C698" s="3" t="s">
        <v>1316</v>
      </c>
      <c r="D698" s="6"/>
      <c r="E698" s="6">
        <v>45657</v>
      </c>
      <c r="F698" s="3"/>
      <c r="G698" s="6"/>
      <c r="H698" s="3"/>
      <c r="I698" s="6"/>
      <c r="J698" s="3" t="s">
        <v>1013</v>
      </c>
      <c r="K698" s="3"/>
      <c r="L698" s="3">
        <v>2605399</v>
      </c>
      <c r="M698" s="3" t="s">
        <v>34</v>
      </c>
      <c r="N698" s="3" t="s">
        <v>1317</v>
      </c>
      <c r="O698" s="3" t="s">
        <v>441</v>
      </c>
      <c r="P698" s="3" t="s">
        <v>1318</v>
      </c>
      <c r="Q698" s="5">
        <v>21994.468262956372</v>
      </c>
      <c r="R698" s="5"/>
      <c r="S698" s="5"/>
      <c r="T698" s="3"/>
      <c r="U698" s="3" t="s">
        <v>153</v>
      </c>
      <c r="V698" s="3"/>
      <c r="W698" s="6"/>
      <c r="X698" s="6"/>
      <c r="Y698" s="3"/>
      <c r="Z698" s="3"/>
      <c r="AA698" s="3"/>
      <c r="AB698" s="3" t="s">
        <v>42</v>
      </c>
    </row>
    <row r="699" spans="1:28" ht="33" customHeight="1" x14ac:dyDescent="0.25">
      <c r="A699" s="7" t="s">
        <v>1505</v>
      </c>
      <c r="B699" s="3" t="s">
        <v>1315</v>
      </c>
      <c r="C699" s="3" t="s">
        <v>1316</v>
      </c>
      <c r="D699" s="6"/>
      <c r="E699" s="6">
        <v>45657</v>
      </c>
      <c r="F699" s="3"/>
      <c r="G699" s="6"/>
      <c r="H699" s="3"/>
      <c r="I699" s="6"/>
      <c r="J699" s="3" t="s">
        <v>1013</v>
      </c>
      <c r="K699" s="3"/>
      <c r="L699" s="3">
        <v>2605399</v>
      </c>
      <c r="M699" s="3" t="s">
        <v>34</v>
      </c>
      <c r="N699" s="3" t="s">
        <v>1317</v>
      </c>
      <c r="O699" s="3" t="s">
        <v>441</v>
      </c>
      <c r="P699" s="3" t="s">
        <v>1318</v>
      </c>
      <c r="Q699" s="5">
        <v>35308.898623473615</v>
      </c>
      <c r="R699" s="5"/>
      <c r="S699" s="5"/>
      <c r="T699" s="3"/>
      <c r="U699" s="3" t="s">
        <v>153</v>
      </c>
      <c r="V699" s="3"/>
      <c r="W699" s="6"/>
      <c r="X699" s="6"/>
      <c r="Y699" s="3"/>
      <c r="Z699" s="3"/>
      <c r="AA699" s="3"/>
      <c r="AB699" s="3" t="s">
        <v>42</v>
      </c>
    </row>
    <row r="700" spans="1:28" ht="33" customHeight="1" x14ac:dyDescent="0.25">
      <c r="A700" s="7" t="s">
        <v>1506</v>
      </c>
      <c r="B700" s="3" t="s">
        <v>1315</v>
      </c>
      <c r="C700" s="3" t="s">
        <v>1316</v>
      </c>
      <c r="D700" s="6"/>
      <c r="E700" s="6">
        <v>45657</v>
      </c>
      <c r="F700" s="3"/>
      <c r="G700" s="6"/>
      <c r="H700" s="3"/>
      <c r="I700" s="6"/>
      <c r="J700" s="3" t="s">
        <v>1013</v>
      </c>
      <c r="K700" s="3"/>
      <c r="L700" s="3">
        <v>2605399</v>
      </c>
      <c r="M700" s="3" t="s">
        <v>34</v>
      </c>
      <c r="N700" s="3" t="s">
        <v>1317</v>
      </c>
      <c r="O700" s="3" t="s">
        <v>441</v>
      </c>
      <c r="P700" s="3" t="s">
        <v>1318</v>
      </c>
      <c r="Q700" s="5">
        <v>39810.574720472396</v>
      </c>
      <c r="R700" s="5"/>
      <c r="S700" s="5"/>
      <c r="T700" s="3"/>
      <c r="U700" s="3" t="s">
        <v>153</v>
      </c>
      <c r="V700" s="3"/>
      <c r="W700" s="6"/>
      <c r="X700" s="6"/>
      <c r="Y700" s="3"/>
      <c r="Z700" s="3"/>
      <c r="AA700" s="3"/>
      <c r="AB700" s="3" t="s">
        <v>42</v>
      </c>
    </row>
    <row r="701" spans="1:28" ht="33" customHeight="1" x14ac:dyDescent="0.25">
      <c r="A701" s="7" t="s">
        <v>1507</v>
      </c>
      <c r="B701" s="3" t="s">
        <v>1315</v>
      </c>
      <c r="C701" s="3" t="s">
        <v>1335</v>
      </c>
      <c r="D701" s="6"/>
      <c r="E701" s="6">
        <v>45657</v>
      </c>
      <c r="F701" s="3"/>
      <c r="G701" s="6"/>
      <c r="H701" s="3"/>
      <c r="I701" s="6"/>
      <c r="J701" s="3" t="s">
        <v>1013</v>
      </c>
      <c r="K701" s="3"/>
      <c r="L701" s="3">
        <v>2605399</v>
      </c>
      <c r="M701" s="3" t="s">
        <v>34</v>
      </c>
      <c r="N701" s="3" t="s">
        <v>1317</v>
      </c>
      <c r="O701" s="3" t="s">
        <v>441</v>
      </c>
      <c r="P701" s="3" t="s">
        <v>1318</v>
      </c>
      <c r="Q701" s="5">
        <v>-10170.83</v>
      </c>
      <c r="R701" s="5"/>
      <c r="S701" s="5"/>
      <c r="T701" s="3"/>
      <c r="U701" s="3" t="s">
        <v>153</v>
      </c>
      <c r="V701" s="3"/>
      <c r="W701" s="6"/>
      <c r="X701" s="6"/>
      <c r="Y701" s="3"/>
      <c r="Z701" s="3"/>
      <c r="AA701" s="3"/>
      <c r="AB701" s="3" t="s">
        <v>42</v>
      </c>
    </row>
    <row r="702" spans="1:28" ht="33" customHeight="1" x14ac:dyDescent="0.25">
      <c r="A702" s="7" t="s">
        <v>1508</v>
      </c>
      <c r="B702" s="3" t="s">
        <v>1315</v>
      </c>
      <c r="C702" s="3" t="s">
        <v>1316</v>
      </c>
      <c r="D702" s="6"/>
      <c r="E702" s="6">
        <v>45657</v>
      </c>
      <c r="F702" s="3"/>
      <c r="G702" s="6"/>
      <c r="H702" s="3"/>
      <c r="I702" s="6"/>
      <c r="J702" s="3" t="s">
        <v>1013</v>
      </c>
      <c r="K702" s="3"/>
      <c r="L702" s="3">
        <v>2605399</v>
      </c>
      <c r="M702" s="3" t="s">
        <v>34</v>
      </c>
      <c r="N702" s="3" t="s">
        <v>1317</v>
      </c>
      <c r="O702" s="3" t="s">
        <v>441</v>
      </c>
      <c r="P702" s="3" t="s">
        <v>1318</v>
      </c>
      <c r="Q702" s="5">
        <v>37674.039849779256</v>
      </c>
      <c r="R702" s="5"/>
      <c r="S702" s="5"/>
      <c r="T702" s="3"/>
      <c r="U702" s="3" t="s">
        <v>153</v>
      </c>
      <c r="V702" s="3"/>
      <c r="W702" s="6"/>
      <c r="X702" s="6"/>
      <c r="Y702" s="3"/>
      <c r="Z702" s="3"/>
      <c r="AA702" s="3"/>
      <c r="AB702" s="3" t="s">
        <v>42</v>
      </c>
    </row>
    <row r="703" spans="1:28" ht="33" customHeight="1" x14ac:dyDescent="0.25">
      <c r="A703" s="7" t="s">
        <v>1509</v>
      </c>
      <c r="B703" s="3" t="s">
        <v>1315</v>
      </c>
      <c r="C703" s="3" t="s">
        <v>1316</v>
      </c>
      <c r="D703" s="6"/>
      <c r="E703" s="6">
        <v>45657</v>
      </c>
      <c r="F703" s="3"/>
      <c r="G703" s="6"/>
      <c r="H703" s="3"/>
      <c r="I703" s="6"/>
      <c r="J703" s="3" t="s">
        <v>1013</v>
      </c>
      <c r="K703" s="3"/>
      <c r="L703" s="3">
        <v>2605399</v>
      </c>
      <c r="M703" s="3" t="s">
        <v>34</v>
      </c>
      <c r="N703" s="3" t="s">
        <v>1317</v>
      </c>
      <c r="O703" s="3" t="s">
        <v>441</v>
      </c>
      <c r="P703" s="3" t="s">
        <v>1318</v>
      </c>
      <c r="Q703" s="5">
        <v>35878.257848772737</v>
      </c>
      <c r="R703" s="5"/>
      <c r="S703" s="5"/>
      <c r="T703" s="3"/>
      <c r="U703" s="3" t="s">
        <v>153</v>
      </c>
      <c r="V703" s="3"/>
      <c r="W703" s="6"/>
      <c r="X703" s="6"/>
      <c r="Y703" s="3"/>
      <c r="Z703" s="3"/>
      <c r="AA703" s="3"/>
      <c r="AB703" s="3" t="s">
        <v>42</v>
      </c>
    </row>
    <row r="704" spans="1:28" ht="33" customHeight="1" x14ac:dyDescent="0.25">
      <c r="A704" s="7" t="s">
        <v>1510</v>
      </c>
      <c r="B704" s="3" t="s">
        <v>1315</v>
      </c>
      <c r="C704" s="3" t="s">
        <v>1335</v>
      </c>
      <c r="D704" s="6"/>
      <c r="E704" s="6">
        <v>45657</v>
      </c>
      <c r="F704" s="3"/>
      <c r="G704" s="6"/>
      <c r="H704" s="3"/>
      <c r="I704" s="6"/>
      <c r="J704" s="3" t="s">
        <v>1013</v>
      </c>
      <c r="K704" s="3"/>
      <c r="L704" s="3">
        <v>2605399</v>
      </c>
      <c r="M704" s="3" t="s">
        <v>34</v>
      </c>
      <c r="N704" s="3" t="s">
        <v>1317</v>
      </c>
      <c r="O704" s="3" t="s">
        <v>441</v>
      </c>
      <c r="P704" s="3" t="s">
        <v>1318</v>
      </c>
      <c r="Q704" s="5">
        <v>19841.306336181118</v>
      </c>
      <c r="R704" s="5"/>
      <c r="S704" s="5"/>
      <c r="T704" s="3"/>
      <c r="U704" s="3" t="s">
        <v>153</v>
      </c>
      <c r="V704" s="3"/>
      <c r="W704" s="6"/>
      <c r="X704" s="6"/>
      <c r="Y704" s="3"/>
      <c r="Z704" s="3"/>
      <c r="AA704" s="3"/>
      <c r="AB704" s="3" t="s">
        <v>42</v>
      </c>
    </row>
    <row r="705" spans="1:28" ht="33" customHeight="1" x14ac:dyDescent="0.25">
      <c r="A705" s="7" t="s">
        <v>1511</v>
      </c>
      <c r="B705" s="3" t="s">
        <v>1315</v>
      </c>
      <c r="C705" s="3" t="s">
        <v>1335</v>
      </c>
      <c r="D705" s="6"/>
      <c r="E705" s="6">
        <v>45657</v>
      </c>
      <c r="F705" s="3"/>
      <c r="G705" s="6"/>
      <c r="H705" s="3"/>
      <c r="I705" s="6"/>
      <c r="J705" s="3" t="s">
        <v>1013</v>
      </c>
      <c r="K705" s="3"/>
      <c r="L705" s="3">
        <v>2605399</v>
      </c>
      <c r="M705" s="3" t="s">
        <v>34</v>
      </c>
      <c r="N705" s="3" t="s">
        <v>1317</v>
      </c>
      <c r="O705" s="3" t="s">
        <v>441</v>
      </c>
      <c r="P705" s="3" t="s">
        <v>1318</v>
      </c>
      <c r="Q705" s="5">
        <v>36663.283447291193</v>
      </c>
      <c r="R705" s="5"/>
      <c r="S705" s="5"/>
      <c r="T705" s="3"/>
      <c r="U705" s="3" t="s">
        <v>153</v>
      </c>
      <c r="V705" s="3"/>
      <c r="W705" s="6"/>
      <c r="X705" s="6"/>
      <c r="Y705" s="3"/>
      <c r="Z705" s="3"/>
      <c r="AA705" s="3"/>
      <c r="AB705" s="3" t="s">
        <v>42</v>
      </c>
    </row>
    <row r="706" spans="1:28" ht="33" customHeight="1" x14ac:dyDescent="0.25">
      <c r="A706" s="7" t="s">
        <v>1512</v>
      </c>
      <c r="B706" s="3" t="s">
        <v>1315</v>
      </c>
      <c r="C706" s="3" t="s">
        <v>1316</v>
      </c>
      <c r="D706" s="6"/>
      <c r="E706" s="6">
        <v>45657</v>
      </c>
      <c r="F706" s="3"/>
      <c r="G706" s="6"/>
      <c r="H706" s="3"/>
      <c r="I706" s="6"/>
      <c r="J706" s="3" t="s">
        <v>1013</v>
      </c>
      <c r="K706" s="3"/>
      <c r="L706" s="3">
        <v>2605399</v>
      </c>
      <c r="M706" s="3" t="s">
        <v>34</v>
      </c>
      <c r="N706" s="3" t="s">
        <v>1317</v>
      </c>
      <c r="O706" s="3" t="s">
        <v>441</v>
      </c>
      <c r="P706" s="3" t="s">
        <v>1318</v>
      </c>
      <c r="Q706" s="5">
        <v>33058.779462884959</v>
      </c>
      <c r="R706" s="5"/>
      <c r="S706" s="5"/>
      <c r="T706" s="3"/>
      <c r="U706" s="3" t="s">
        <v>153</v>
      </c>
      <c r="V706" s="3"/>
      <c r="W706" s="6"/>
      <c r="X706" s="6"/>
      <c r="Y706" s="3"/>
      <c r="Z706" s="3"/>
      <c r="AA706" s="3"/>
      <c r="AB706" s="3" t="s">
        <v>42</v>
      </c>
    </row>
    <row r="707" spans="1:28" ht="33" customHeight="1" x14ac:dyDescent="0.25">
      <c r="A707" s="7" t="s">
        <v>1513</v>
      </c>
      <c r="B707" s="3" t="s">
        <v>1315</v>
      </c>
      <c r="C707" s="3" t="s">
        <v>1316</v>
      </c>
      <c r="D707" s="6"/>
      <c r="E707" s="6">
        <v>45900</v>
      </c>
      <c r="F707" s="3"/>
      <c r="G707" s="6"/>
      <c r="H707" s="3"/>
      <c r="I707" s="6"/>
      <c r="J707" s="3" t="s">
        <v>1383</v>
      </c>
      <c r="K707" s="3"/>
      <c r="L707" s="3">
        <v>3800176</v>
      </c>
      <c r="M707" s="3" t="s">
        <v>34</v>
      </c>
      <c r="N707" s="3" t="s">
        <v>1317</v>
      </c>
      <c r="O707" s="3" t="s">
        <v>441</v>
      </c>
      <c r="P707" s="3" t="s">
        <v>1318</v>
      </c>
      <c r="Q707" s="5">
        <v>65171.057679844453</v>
      </c>
      <c r="R707" s="5"/>
      <c r="S707" s="5"/>
      <c r="T707" s="3"/>
      <c r="U707" s="3" t="s">
        <v>153</v>
      </c>
      <c r="V707" s="3"/>
      <c r="W707" s="6"/>
      <c r="X707" s="6"/>
      <c r="Y707" s="3"/>
      <c r="Z707" s="3"/>
      <c r="AA707" s="3"/>
      <c r="AB707" s="3" t="s">
        <v>477</v>
      </c>
    </row>
    <row r="708" spans="1:28" ht="33" customHeight="1" x14ac:dyDescent="0.25">
      <c r="A708" s="7" t="s">
        <v>1514</v>
      </c>
      <c r="B708" s="3" t="s">
        <v>1315</v>
      </c>
      <c r="C708" s="3" t="s">
        <v>1316</v>
      </c>
      <c r="D708" s="6"/>
      <c r="E708" s="6">
        <v>45900</v>
      </c>
      <c r="F708" s="3"/>
      <c r="G708" s="6"/>
      <c r="H708" s="3"/>
      <c r="I708" s="6"/>
      <c r="J708" s="3" t="s">
        <v>1383</v>
      </c>
      <c r="K708" s="3"/>
      <c r="L708" s="3">
        <v>3800176</v>
      </c>
      <c r="M708" s="3" t="s">
        <v>34</v>
      </c>
      <c r="N708" s="3" t="s">
        <v>1317</v>
      </c>
      <c r="O708" s="3" t="s">
        <v>441</v>
      </c>
      <c r="P708" s="3" t="s">
        <v>1318</v>
      </c>
      <c r="Q708" s="5">
        <v>65171.057679844453</v>
      </c>
      <c r="R708" s="5"/>
      <c r="S708" s="5"/>
      <c r="T708" s="3"/>
      <c r="U708" s="3" t="s">
        <v>153</v>
      </c>
      <c r="V708" s="3"/>
      <c r="W708" s="6"/>
      <c r="X708" s="6"/>
      <c r="Y708" s="3"/>
      <c r="Z708" s="3"/>
      <c r="AA708" s="3"/>
      <c r="AB708" s="3" t="s">
        <v>477</v>
      </c>
    </row>
    <row r="709" spans="1:28" ht="33" customHeight="1" x14ac:dyDescent="0.25">
      <c r="A709" s="7" t="s">
        <v>1515</v>
      </c>
      <c r="B709" s="3" t="s">
        <v>1315</v>
      </c>
      <c r="C709" s="3" t="s">
        <v>1316</v>
      </c>
      <c r="D709" s="6"/>
      <c r="E709" s="6">
        <v>45900</v>
      </c>
      <c r="F709" s="3"/>
      <c r="G709" s="6"/>
      <c r="H709" s="3"/>
      <c r="I709" s="6"/>
      <c r="J709" s="3" t="s">
        <v>1383</v>
      </c>
      <c r="K709" s="3"/>
      <c r="L709" s="3">
        <v>3800176</v>
      </c>
      <c r="M709" s="3" t="s">
        <v>34</v>
      </c>
      <c r="N709" s="3" t="s">
        <v>1317</v>
      </c>
      <c r="O709" s="3" t="s">
        <v>441</v>
      </c>
      <c r="P709" s="3" t="s">
        <v>1318</v>
      </c>
      <c r="Q709" s="5">
        <v>65171.057679844453</v>
      </c>
      <c r="R709" s="5"/>
      <c r="S709" s="5"/>
      <c r="T709" s="3"/>
      <c r="U709" s="3" t="s">
        <v>153</v>
      </c>
      <c r="V709" s="3"/>
      <c r="W709" s="6"/>
      <c r="X709" s="6"/>
      <c r="Y709" s="3"/>
      <c r="Z709" s="3"/>
      <c r="AA709" s="3"/>
      <c r="AB709" s="3" t="s">
        <v>477</v>
      </c>
    </row>
    <row r="710" spans="1:28" ht="33" customHeight="1" x14ac:dyDescent="0.25">
      <c r="A710" s="7" t="s">
        <v>1516</v>
      </c>
      <c r="B710" s="3" t="s">
        <v>1315</v>
      </c>
      <c r="C710" s="3" t="s">
        <v>1316</v>
      </c>
      <c r="D710" s="6"/>
      <c r="E710" s="6">
        <v>45900</v>
      </c>
      <c r="F710" s="3"/>
      <c r="G710" s="6"/>
      <c r="H710" s="3"/>
      <c r="I710" s="6"/>
      <c r="J710" s="3" t="s">
        <v>1383</v>
      </c>
      <c r="K710" s="3"/>
      <c r="L710" s="3">
        <v>3800176</v>
      </c>
      <c r="M710" s="3" t="s">
        <v>34</v>
      </c>
      <c r="N710" s="3" t="s">
        <v>1317</v>
      </c>
      <c r="O710" s="3" t="s">
        <v>441</v>
      </c>
      <c r="P710" s="3" t="s">
        <v>1318</v>
      </c>
      <c r="Q710" s="5">
        <v>65171.057679844453</v>
      </c>
      <c r="R710" s="5"/>
      <c r="S710" s="5"/>
      <c r="T710" s="3"/>
      <c r="U710" s="3" t="s">
        <v>153</v>
      </c>
      <c r="V710" s="3"/>
      <c r="W710" s="6"/>
      <c r="X710" s="6"/>
      <c r="Y710" s="3"/>
      <c r="Z710" s="3"/>
      <c r="AA710" s="3"/>
      <c r="AB710" s="3" t="s">
        <v>477</v>
      </c>
    </row>
    <row r="711" spans="1:28" ht="33" customHeight="1" x14ac:dyDescent="0.25">
      <c r="A711" s="7" t="s">
        <v>1517</v>
      </c>
      <c r="B711" s="3" t="s">
        <v>1315</v>
      </c>
      <c r="C711" s="3" t="s">
        <v>1316</v>
      </c>
      <c r="D711" s="6"/>
      <c r="E711" s="6">
        <v>45900</v>
      </c>
      <c r="F711" s="3"/>
      <c r="G711" s="6"/>
      <c r="H711" s="3"/>
      <c r="I711" s="6"/>
      <c r="J711" s="3" t="s">
        <v>1383</v>
      </c>
      <c r="K711" s="3"/>
      <c r="L711" s="3">
        <v>3800176</v>
      </c>
      <c r="M711" s="3" t="s">
        <v>34</v>
      </c>
      <c r="N711" s="3" t="s">
        <v>1317</v>
      </c>
      <c r="O711" s="3" t="s">
        <v>441</v>
      </c>
      <c r="P711" s="3" t="s">
        <v>1318</v>
      </c>
      <c r="Q711" s="5">
        <v>65171.057679844453</v>
      </c>
      <c r="R711" s="5"/>
      <c r="S711" s="5"/>
      <c r="T711" s="3"/>
      <c r="U711" s="3" t="s">
        <v>153</v>
      </c>
      <c r="V711" s="3"/>
      <c r="W711" s="6"/>
      <c r="X711" s="6"/>
      <c r="Y711" s="3"/>
      <c r="Z711" s="3"/>
      <c r="AA711" s="3"/>
      <c r="AB711" s="3" t="s">
        <v>477</v>
      </c>
    </row>
    <row r="712" spans="1:28" ht="33" customHeight="1" x14ac:dyDescent="0.25">
      <c r="A712" s="7" t="s">
        <v>1518</v>
      </c>
      <c r="B712" s="3" t="s">
        <v>1315</v>
      </c>
      <c r="C712" s="3" t="s">
        <v>1316</v>
      </c>
      <c r="D712" s="6"/>
      <c r="E712" s="6">
        <v>45900</v>
      </c>
      <c r="F712" s="3"/>
      <c r="G712" s="6"/>
      <c r="H712" s="3"/>
      <c r="I712" s="6"/>
      <c r="J712" s="3" t="s">
        <v>1383</v>
      </c>
      <c r="K712" s="3"/>
      <c r="L712" s="3">
        <v>3800176</v>
      </c>
      <c r="M712" s="3" t="s">
        <v>34</v>
      </c>
      <c r="N712" s="3" t="s">
        <v>1317</v>
      </c>
      <c r="O712" s="3" t="s">
        <v>441</v>
      </c>
      <c r="P712" s="3" t="s">
        <v>1318</v>
      </c>
      <c r="Q712" s="5">
        <v>65171.057679844453</v>
      </c>
      <c r="R712" s="5"/>
      <c r="S712" s="5"/>
      <c r="T712" s="3"/>
      <c r="U712" s="3" t="s">
        <v>153</v>
      </c>
      <c r="V712" s="3"/>
      <c r="W712" s="6"/>
      <c r="X712" s="6"/>
      <c r="Y712" s="3"/>
      <c r="Z712" s="3"/>
      <c r="AA712" s="3"/>
      <c r="AB712" s="3" t="s">
        <v>477</v>
      </c>
    </row>
    <row r="713" spans="1:28" ht="33" customHeight="1" x14ac:dyDescent="0.25">
      <c r="A713" s="7" t="s">
        <v>1519</v>
      </c>
      <c r="B713" s="3" t="s">
        <v>1315</v>
      </c>
      <c r="C713" s="3" t="s">
        <v>1316</v>
      </c>
      <c r="D713" s="6"/>
      <c r="E713" s="6">
        <v>45900</v>
      </c>
      <c r="F713" s="3"/>
      <c r="G713" s="6"/>
      <c r="H713" s="3"/>
      <c r="I713" s="6"/>
      <c r="J713" s="3" t="s">
        <v>1383</v>
      </c>
      <c r="K713" s="3"/>
      <c r="L713" s="3">
        <v>3800176</v>
      </c>
      <c r="M713" s="3" t="s">
        <v>34</v>
      </c>
      <c r="N713" s="3" t="s">
        <v>1317</v>
      </c>
      <c r="O713" s="3" t="s">
        <v>441</v>
      </c>
      <c r="P713" s="3" t="s">
        <v>1318</v>
      </c>
      <c r="Q713" s="5">
        <v>65171.057679844453</v>
      </c>
      <c r="R713" s="5"/>
      <c r="S713" s="5"/>
      <c r="T713" s="3"/>
      <c r="U713" s="3" t="s">
        <v>153</v>
      </c>
      <c r="V713" s="3"/>
      <c r="W713" s="6"/>
      <c r="X713" s="6"/>
      <c r="Y713" s="3"/>
      <c r="Z713" s="3"/>
      <c r="AA713" s="3"/>
      <c r="AB713" s="3" t="s">
        <v>477</v>
      </c>
    </row>
    <row r="714" spans="1:28" ht="33" customHeight="1" x14ac:dyDescent="0.25">
      <c r="A714" s="7" t="s">
        <v>1520</v>
      </c>
      <c r="B714" s="3" t="s">
        <v>1315</v>
      </c>
      <c r="C714" s="3" t="s">
        <v>1316</v>
      </c>
      <c r="D714" s="6"/>
      <c r="E714" s="6">
        <v>45657</v>
      </c>
      <c r="F714" s="3"/>
      <c r="G714" s="6"/>
      <c r="H714" s="3"/>
      <c r="I714" s="6"/>
      <c r="J714" s="3" t="s">
        <v>1013</v>
      </c>
      <c r="K714" s="3"/>
      <c r="L714" s="3">
        <v>2605399</v>
      </c>
      <c r="M714" s="3" t="s">
        <v>34</v>
      </c>
      <c r="N714" s="3" t="s">
        <v>1317</v>
      </c>
      <c r="O714" s="3" t="s">
        <v>441</v>
      </c>
      <c r="P714" s="3" t="s">
        <v>1318</v>
      </c>
      <c r="Q714" s="5">
        <v>0</v>
      </c>
      <c r="R714" s="5"/>
      <c r="S714" s="5"/>
      <c r="T714" s="3"/>
      <c r="U714" s="3" t="s">
        <v>153</v>
      </c>
      <c r="V714" s="3"/>
      <c r="W714" s="6"/>
      <c r="X714" s="6"/>
      <c r="Y714" s="3"/>
      <c r="Z714" s="3"/>
      <c r="AA714" s="3"/>
      <c r="AB714" s="3" t="s">
        <v>42</v>
      </c>
    </row>
    <row r="715" spans="1:28" ht="33" customHeight="1" x14ac:dyDescent="0.25">
      <c r="A715" s="7" t="s">
        <v>1521</v>
      </c>
      <c r="B715" s="3" t="s">
        <v>1315</v>
      </c>
      <c r="C715" s="3" t="s">
        <v>1316</v>
      </c>
      <c r="D715" s="6"/>
      <c r="E715" s="6">
        <v>45657</v>
      </c>
      <c r="F715" s="3"/>
      <c r="G715" s="6"/>
      <c r="H715" s="3"/>
      <c r="I715" s="6"/>
      <c r="J715" s="3" t="s">
        <v>1013</v>
      </c>
      <c r="K715" s="3"/>
      <c r="L715" s="3">
        <v>2605399</v>
      </c>
      <c r="M715" s="3" t="s">
        <v>34</v>
      </c>
      <c r="N715" s="3" t="s">
        <v>1317</v>
      </c>
      <c r="O715" s="3" t="s">
        <v>441</v>
      </c>
      <c r="P715" s="3" t="s">
        <v>1318</v>
      </c>
      <c r="Q715" s="5">
        <v>42625.870690930424</v>
      </c>
      <c r="R715" s="5"/>
      <c r="S715" s="5"/>
      <c r="T715" s="3"/>
      <c r="U715" s="3" t="s">
        <v>153</v>
      </c>
      <c r="V715" s="3"/>
      <c r="W715" s="6"/>
      <c r="X715" s="6"/>
      <c r="Y715" s="3"/>
      <c r="Z715" s="3"/>
      <c r="AA715" s="3"/>
      <c r="AB715" s="3" t="s">
        <v>42</v>
      </c>
    </row>
    <row r="716" spans="1:28" ht="33" customHeight="1" x14ac:dyDescent="0.25">
      <c r="A716" s="7" t="s">
        <v>1522</v>
      </c>
      <c r="B716" s="3" t="s">
        <v>1315</v>
      </c>
      <c r="C716" s="3" t="s">
        <v>1316</v>
      </c>
      <c r="D716" s="6"/>
      <c r="E716" s="6">
        <v>45657</v>
      </c>
      <c r="F716" s="3"/>
      <c r="G716" s="6"/>
      <c r="H716" s="3"/>
      <c r="I716" s="6"/>
      <c r="J716" s="3" t="s">
        <v>1013</v>
      </c>
      <c r="K716" s="3"/>
      <c r="L716" s="3">
        <v>2605399</v>
      </c>
      <c r="M716" s="3" t="s">
        <v>34</v>
      </c>
      <c r="N716" s="3" t="s">
        <v>1317</v>
      </c>
      <c r="O716" s="3" t="s">
        <v>441</v>
      </c>
      <c r="P716" s="3" t="s">
        <v>1318</v>
      </c>
      <c r="Q716" s="5">
        <v>42625.870690930424</v>
      </c>
      <c r="R716" s="5"/>
      <c r="S716" s="5"/>
      <c r="T716" s="3"/>
      <c r="U716" s="3" t="s">
        <v>153</v>
      </c>
      <c r="V716" s="3"/>
      <c r="W716" s="6"/>
      <c r="X716" s="6"/>
      <c r="Y716" s="3"/>
      <c r="Z716" s="3"/>
      <c r="AA716" s="3"/>
      <c r="AB716" s="3" t="s">
        <v>42</v>
      </c>
    </row>
    <row r="717" spans="1:28" ht="33" customHeight="1" x14ac:dyDescent="0.25">
      <c r="A717" s="7" t="s">
        <v>1523</v>
      </c>
      <c r="B717" s="3" t="s">
        <v>1315</v>
      </c>
      <c r="C717" s="3" t="s">
        <v>1316</v>
      </c>
      <c r="D717" s="6"/>
      <c r="E717" s="6">
        <v>45657</v>
      </c>
      <c r="F717" s="3"/>
      <c r="G717" s="6"/>
      <c r="H717" s="3"/>
      <c r="I717" s="6"/>
      <c r="J717" s="3" t="s">
        <v>1013</v>
      </c>
      <c r="K717" s="3"/>
      <c r="L717" s="3">
        <v>2605399</v>
      </c>
      <c r="M717" s="3" t="s">
        <v>34</v>
      </c>
      <c r="N717" s="3" t="s">
        <v>1317</v>
      </c>
      <c r="O717" s="3" t="s">
        <v>441</v>
      </c>
      <c r="P717" s="3" t="s">
        <v>1318</v>
      </c>
      <c r="Q717" s="5">
        <v>42625.870690930424</v>
      </c>
      <c r="R717" s="5"/>
      <c r="S717" s="5"/>
      <c r="T717" s="3"/>
      <c r="U717" s="3" t="s">
        <v>153</v>
      </c>
      <c r="V717" s="3"/>
      <c r="W717" s="6"/>
      <c r="X717" s="6"/>
      <c r="Y717" s="3"/>
      <c r="Z717" s="3"/>
      <c r="AA717" s="3"/>
      <c r="AB717" s="3" t="s">
        <v>42</v>
      </c>
    </row>
    <row r="718" spans="1:28" ht="33" customHeight="1" x14ac:dyDescent="0.25">
      <c r="A718" s="7" t="s">
        <v>1524</v>
      </c>
      <c r="B718" s="3" t="s">
        <v>1315</v>
      </c>
      <c r="C718" s="3" t="s">
        <v>1316</v>
      </c>
      <c r="D718" s="6"/>
      <c r="E718" s="6">
        <v>45657</v>
      </c>
      <c r="F718" s="3"/>
      <c r="G718" s="6"/>
      <c r="H718" s="3"/>
      <c r="I718" s="6"/>
      <c r="J718" s="3" t="s">
        <v>1013</v>
      </c>
      <c r="K718" s="3"/>
      <c r="L718" s="3">
        <v>2605399</v>
      </c>
      <c r="M718" s="3" t="s">
        <v>34</v>
      </c>
      <c r="N718" s="3" t="s">
        <v>1317</v>
      </c>
      <c r="O718" s="3" t="s">
        <v>441</v>
      </c>
      <c r="P718" s="3" t="s">
        <v>1318</v>
      </c>
      <c r="Q718" s="5">
        <v>49101.185023627768</v>
      </c>
      <c r="R718" s="5"/>
      <c r="S718" s="5"/>
      <c r="T718" s="3"/>
      <c r="U718" s="3" t="s">
        <v>153</v>
      </c>
      <c r="V718" s="3"/>
      <c r="W718" s="6"/>
      <c r="X718" s="6"/>
      <c r="Y718" s="3"/>
      <c r="Z718" s="3"/>
      <c r="AA718" s="3"/>
      <c r="AB718" s="3" t="s">
        <v>42</v>
      </c>
    </row>
    <row r="719" spans="1:28" ht="33" customHeight="1" x14ac:dyDescent="0.25">
      <c r="A719" s="7" t="s">
        <v>1525</v>
      </c>
      <c r="B719" s="3" t="s">
        <v>1315</v>
      </c>
      <c r="C719" s="3" t="s">
        <v>1316</v>
      </c>
      <c r="D719" s="6"/>
      <c r="E719" s="6">
        <v>45657</v>
      </c>
      <c r="F719" s="3"/>
      <c r="G719" s="6"/>
      <c r="H719" s="3"/>
      <c r="I719" s="6"/>
      <c r="J719" s="3" t="s">
        <v>1013</v>
      </c>
      <c r="K719" s="3"/>
      <c r="L719" s="3">
        <v>2605399</v>
      </c>
      <c r="M719" s="3" t="s">
        <v>34</v>
      </c>
      <c r="N719" s="3" t="s">
        <v>1317</v>
      </c>
      <c r="O719" s="3" t="s">
        <v>441</v>
      </c>
      <c r="P719" s="3" t="s">
        <v>1318</v>
      </c>
      <c r="Q719" s="5">
        <v>52770.109116508269</v>
      </c>
      <c r="R719" s="5"/>
      <c r="S719" s="5"/>
      <c r="T719" s="3"/>
      <c r="U719" s="3" t="s">
        <v>153</v>
      </c>
      <c r="V719" s="3"/>
      <c r="W719" s="6"/>
      <c r="X719" s="6"/>
      <c r="Y719" s="3"/>
      <c r="Z719" s="3"/>
      <c r="AA719" s="3"/>
      <c r="AB719" s="3" t="s">
        <v>42</v>
      </c>
    </row>
    <row r="720" spans="1:28" ht="33" customHeight="1" x14ac:dyDescent="0.25">
      <c r="A720" s="7" t="s">
        <v>1526</v>
      </c>
      <c r="B720" s="3" t="s">
        <v>1315</v>
      </c>
      <c r="C720" s="3" t="s">
        <v>1411</v>
      </c>
      <c r="D720" s="6"/>
      <c r="E720" s="6">
        <v>45657</v>
      </c>
      <c r="F720" s="3"/>
      <c r="G720" s="6"/>
      <c r="H720" s="3"/>
      <c r="I720" s="6"/>
      <c r="J720" s="3" t="s">
        <v>1013</v>
      </c>
      <c r="K720" s="3"/>
      <c r="L720" s="3">
        <v>2605399</v>
      </c>
      <c r="M720" s="3" t="s">
        <v>34</v>
      </c>
      <c r="N720" s="3" t="s">
        <v>1317</v>
      </c>
      <c r="O720" s="3" t="s">
        <v>441</v>
      </c>
      <c r="P720" s="3" t="s">
        <v>1318</v>
      </c>
      <c r="Q720" s="5">
        <v>6613.3438789158727</v>
      </c>
      <c r="R720" s="5"/>
      <c r="S720" s="5"/>
      <c r="T720" s="3"/>
      <c r="U720" s="3" t="s">
        <v>153</v>
      </c>
      <c r="V720" s="3"/>
      <c r="W720" s="6"/>
      <c r="X720" s="6"/>
      <c r="Y720" s="3"/>
      <c r="Z720" s="3"/>
      <c r="AA720" s="3"/>
      <c r="AB720" s="3" t="s">
        <v>42</v>
      </c>
    </row>
    <row r="721" spans="1:28" ht="33" customHeight="1" x14ac:dyDescent="0.25">
      <c r="A721" s="7" t="s">
        <v>1527</v>
      </c>
      <c r="B721" s="3" t="s">
        <v>1315</v>
      </c>
      <c r="C721" s="3" t="s">
        <v>1411</v>
      </c>
      <c r="D721" s="6"/>
      <c r="E721" s="6">
        <v>45657</v>
      </c>
      <c r="F721" s="3"/>
      <c r="G721" s="6"/>
      <c r="H721" s="3"/>
      <c r="I721" s="6"/>
      <c r="J721" s="3" t="s">
        <v>1013</v>
      </c>
      <c r="K721" s="3"/>
      <c r="L721" s="3">
        <v>2605399</v>
      </c>
      <c r="M721" s="3" t="s">
        <v>34</v>
      </c>
      <c r="N721" s="3" t="s">
        <v>1317</v>
      </c>
      <c r="O721" s="3" t="s">
        <v>441</v>
      </c>
      <c r="P721" s="3" t="s">
        <v>1318</v>
      </c>
      <c r="Q721" s="5">
        <v>4758.2169940161912</v>
      </c>
      <c r="R721" s="5"/>
      <c r="S721" s="5"/>
      <c r="T721" s="3"/>
      <c r="U721" s="3" t="s">
        <v>153</v>
      </c>
      <c r="V721" s="3"/>
      <c r="W721" s="6"/>
      <c r="X721" s="6"/>
      <c r="Y721" s="3"/>
      <c r="Z721" s="3"/>
      <c r="AA721" s="3"/>
      <c r="AB721" s="3" t="s">
        <v>42</v>
      </c>
    </row>
    <row r="722" spans="1:28" ht="33" customHeight="1" x14ac:dyDescent="0.25">
      <c r="A722" s="7" t="s">
        <v>1528</v>
      </c>
      <c r="B722" s="3" t="s">
        <v>1315</v>
      </c>
      <c r="C722" s="3" t="s">
        <v>1316</v>
      </c>
      <c r="D722" s="6"/>
      <c r="E722" s="6">
        <v>45657</v>
      </c>
      <c r="F722" s="3"/>
      <c r="G722" s="6"/>
      <c r="H722" s="3"/>
      <c r="I722" s="6"/>
      <c r="J722" s="3" t="s">
        <v>1013</v>
      </c>
      <c r="K722" s="3"/>
      <c r="L722" s="3">
        <v>2605399</v>
      </c>
      <c r="M722" s="3" t="s">
        <v>34</v>
      </c>
      <c r="N722" s="3" t="s">
        <v>1317</v>
      </c>
      <c r="O722" s="3" t="s">
        <v>441</v>
      </c>
      <c r="P722" s="3" t="s">
        <v>1318</v>
      </c>
      <c r="Q722" s="5">
        <v>0</v>
      </c>
      <c r="R722" s="5"/>
      <c r="S722" s="5"/>
      <c r="T722" s="3"/>
      <c r="U722" s="3" t="s">
        <v>153</v>
      </c>
      <c r="V722" s="3"/>
      <c r="W722" s="6"/>
      <c r="X722" s="6"/>
      <c r="Y722" s="3"/>
      <c r="Z722" s="3"/>
      <c r="AA722" s="3"/>
      <c r="AB722" s="3" t="s">
        <v>42</v>
      </c>
    </row>
    <row r="723" spans="1:28" ht="33" customHeight="1" x14ac:dyDescent="0.25">
      <c r="A723" s="7" t="s">
        <v>1529</v>
      </c>
      <c r="B723" s="3" t="s">
        <v>1315</v>
      </c>
      <c r="C723" s="3" t="s">
        <v>1316</v>
      </c>
      <c r="D723" s="6"/>
      <c r="E723" s="6">
        <v>45657</v>
      </c>
      <c r="F723" s="3"/>
      <c r="G723" s="6"/>
      <c r="H723" s="3"/>
      <c r="I723" s="6"/>
      <c r="J723" s="3" t="s">
        <v>1013</v>
      </c>
      <c r="K723" s="3"/>
      <c r="L723" s="3">
        <v>2605399</v>
      </c>
      <c r="M723" s="3" t="s">
        <v>34</v>
      </c>
      <c r="N723" s="3" t="s">
        <v>1317</v>
      </c>
      <c r="O723" s="3" t="s">
        <v>441</v>
      </c>
      <c r="P723" s="3" t="s">
        <v>1318</v>
      </c>
      <c r="Q723" s="5">
        <v>52770.109116508269</v>
      </c>
      <c r="R723" s="5"/>
      <c r="S723" s="5"/>
      <c r="T723" s="3"/>
      <c r="U723" s="3" t="s">
        <v>153</v>
      </c>
      <c r="V723" s="3"/>
      <c r="W723" s="6"/>
      <c r="X723" s="6"/>
      <c r="Y723" s="3"/>
      <c r="Z723" s="3"/>
      <c r="AA723" s="3"/>
      <c r="AB723" s="3" t="s">
        <v>42</v>
      </c>
    </row>
    <row r="724" spans="1:28" ht="33" customHeight="1" x14ac:dyDescent="0.25">
      <c r="A724" s="7" t="s">
        <v>1530</v>
      </c>
      <c r="B724" s="3" t="s">
        <v>1315</v>
      </c>
      <c r="C724" s="3" t="s">
        <v>1316</v>
      </c>
      <c r="D724" s="6"/>
      <c r="E724" s="6">
        <v>45657</v>
      </c>
      <c r="F724" s="3"/>
      <c r="G724" s="6"/>
      <c r="H724" s="3"/>
      <c r="I724" s="6"/>
      <c r="J724" s="3" t="s">
        <v>1013</v>
      </c>
      <c r="K724" s="3"/>
      <c r="L724" s="3">
        <v>2605399</v>
      </c>
      <c r="M724" s="3" t="s">
        <v>34</v>
      </c>
      <c r="N724" s="3" t="s">
        <v>1317</v>
      </c>
      <c r="O724" s="3" t="s">
        <v>441</v>
      </c>
      <c r="P724" s="3" t="s">
        <v>1318</v>
      </c>
      <c r="Q724" s="5">
        <v>30868.08187390762</v>
      </c>
      <c r="R724" s="5"/>
      <c r="S724" s="5"/>
      <c r="T724" s="3"/>
      <c r="U724" s="3" t="s">
        <v>153</v>
      </c>
      <c r="V724" s="3"/>
      <c r="W724" s="6"/>
      <c r="X724" s="6"/>
      <c r="Y724" s="3"/>
      <c r="Z724" s="3"/>
      <c r="AA724" s="3"/>
      <c r="AB724" s="3" t="s">
        <v>42</v>
      </c>
    </row>
    <row r="725" spans="1:28" ht="33" customHeight="1" x14ac:dyDescent="0.25">
      <c r="A725" s="7" t="s">
        <v>1531</v>
      </c>
      <c r="B725" s="3" t="s">
        <v>1315</v>
      </c>
      <c r="C725" s="3" t="s">
        <v>1316</v>
      </c>
      <c r="D725" s="6"/>
      <c r="E725" s="6">
        <v>45657</v>
      </c>
      <c r="F725" s="3"/>
      <c r="G725" s="6"/>
      <c r="H725" s="3"/>
      <c r="I725" s="6"/>
      <c r="J725" s="3" t="s">
        <v>1013</v>
      </c>
      <c r="K725" s="3"/>
      <c r="L725" s="3">
        <v>2605399</v>
      </c>
      <c r="M725" s="3" t="s">
        <v>34</v>
      </c>
      <c r="N725" s="3" t="s">
        <v>1317</v>
      </c>
      <c r="O725" s="3" t="s">
        <v>441</v>
      </c>
      <c r="P725" s="3" t="s">
        <v>1318</v>
      </c>
      <c r="Q725" s="5">
        <v>5862.7607634265432</v>
      </c>
      <c r="R725" s="5"/>
      <c r="S725" s="5"/>
      <c r="T725" s="3"/>
      <c r="U725" s="3" t="s">
        <v>153</v>
      </c>
      <c r="V725" s="3"/>
      <c r="W725" s="6"/>
      <c r="X725" s="6"/>
      <c r="Y725" s="3"/>
      <c r="Z725" s="3"/>
      <c r="AA725" s="3"/>
      <c r="AB725" s="3" t="s">
        <v>42</v>
      </c>
    </row>
    <row r="726" spans="1:28" ht="33" customHeight="1" x14ac:dyDescent="0.25">
      <c r="A726" s="7" t="s">
        <v>1532</v>
      </c>
      <c r="B726" s="3" t="s">
        <v>1315</v>
      </c>
      <c r="C726" s="3" t="s">
        <v>1316</v>
      </c>
      <c r="D726" s="6"/>
      <c r="E726" s="6">
        <v>45657</v>
      </c>
      <c r="F726" s="3"/>
      <c r="G726" s="6"/>
      <c r="H726" s="3"/>
      <c r="I726" s="6"/>
      <c r="J726" s="3" t="s">
        <v>1013</v>
      </c>
      <c r="K726" s="3"/>
      <c r="L726" s="3">
        <v>2605399</v>
      </c>
      <c r="M726" s="3" t="s">
        <v>34</v>
      </c>
      <c r="N726" s="3" t="s">
        <v>1317</v>
      </c>
      <c r="O726" s="3" t="s">
        <v>441</v>
      </c>
      <c r="P726" s="3" t="s">
        <v>1318</v>
      </c>
      <c r="Q726" s="5">
        <v>8266.0821519447472</v>
      </c>
      <c r="R726" s="5"/>
      <c r="S726" s="5"/>
      <c r="T726" s="3"/>
      <c r="U726" s="3" t="s">
        <v>153</v>
      </c>
      <c r="V726" s="3"/>
      <c r="W726" s="6"/>
      <c r="X726" s="6"/>
      <c r="Y726" s="3"/>
      <c r="Z726" s="3"/>
      <c r="AA726" s="3"/>
      <c r="AB726" s="3" t="s">
        <v>42</v>
      </c>
    </row>
    <row r="727" spans="1:28" ht="33" customHeight="1" x14ac:dyDescent="0.25">
      <c r="A727" s="7" t="s">
        <v>1533</v>
      </c>
      <c r="B727" s="3" t="s">
        <v>1315</v>
      </c>
      <c r="C727" s="3" t="s">
        <v>1316</v>
      </c>
      <c r="D727" s="6"/>
      <c r="E727" s="6">
        <v>45657</v>
      </c>
      <c r="F727" s="3"/>
      <c r="G727" s="6"/>
      <c r="H727" s="3"/>
      <c r="I727" s="6"/>
      <c r="J727" s="3" t="s">
        <v>1013</v>
      </c>
      <c r="K727" s="3"/>
      <c r="L727" s="3">
        <v>2605399</v>
      </c>
      <c r="M727" s="3" t="s">
        <v>34</v>
      </c>
      <c r="N727" s="3" t="s">
        <v>1317</v>
      </c>
      <c r="O727" s="3" t="s">
        <v>441</v>
      </c>
      <c r="P727" s="3" t="s">
        <v>1318</v>
      </c>
      <c r="Q727" s="5">
        <v>52770.109116508269</v>
      </c>
      <c r="R727" s="5"/>
      <c r="S727" s="5"/>
      <c r="T727" s="3"/>
      <c r="U727" s="3" t="s">
        <v>153</v>
      </c>
      <c r="V727" s="3"/>
      <c r="W727" s="6"/>
      <c r="X727" s="6"/>
      <c r="Y727" s="3"/>
      <c r="Z727" s="3"/>
      <c r="AA727" s="3"/>
      <c r="AB727" s="3" t="s">
        <v>42</v>
      </c>
    </row>
    <row r="728" spans="1:28" ht="33" customHeight="1" x14ac:dyDescent="0.25">
      <c r="A728" s="7" t="s">
        <v>1534</v>
      </c>
      <c r="B728" s="3" t="s">
        <v>1315</v>
      </c>
      <c r="C728" s="3" t="s">
        <v>1316</v>
      </c>
      <c r="D728" s="6"/>
      <c r="E728" s="6">
        <v>45657</v>
      </c>
      <c r="F728" s="3"/>
      <c r="G728" s="6"/>
      <c r="H728" s="3"/>
      <c r="I728" s="6"/>
      <c r="J728" s="3" t="s">
        <v>1013</v>
      </c>
      <c r="K728" s="3"/>
      <c r="L728" s="3">
        <v>2605399</v>
      </c>
      <c r="M728" s="3" t="s">
        <v>34</v>
      </c>
      <c r="N728" s="3" t="s">
        <v>1317</v>
      </c>
      <c r="O728" s="3" t="s">
        <v>441</v>
      </c>
      <c r="P728" s="3" t="s">
        <v>1318</v>
      </c>
      <c r="Q728" s="5">
        <v>52770.109116508269</v>
      </c>
      <c r="R728" s="5"/>
      <c r="S728" s="5"/>
      <c r="T728" s="3"/>
      <c r="U728" s="3" t="s">
        <v>153</v>
      </c>
      <c r="V728" s="3"/>
      <c r="W728" s="6"/>
      <c r="X728" s="6"/>
      <c r="Y728" s="3"/>
      <c r="Z728" s="3"/>
      <c r="AA728" s="3"/>
      <c r="AB728" s="3" t="s">
        <v>42</v>
      </c>
    </row>
    <row r="729" spans="1:28" ht="33" customHeight="1" x14ac:dyDescent="0.25">
      <c r="A729" s="7" t="s">
        <v>1535</v>
      </c>
      <c r="B729" s="3" t="s">
        <v>1315</v>
      </c>
      <c r="C729" s="3" t="s">
        <v>1316</v>
      </c>
      <c r="D729" s="6"/>
      <c r="E729" s="6">
        <v>45657</v>
      </c>
      <c r="F729" s="3"/>
      <c r="G729" s="6"/>
      <c r="H729" s="3"/>
      <c r="I729" s="6"/>
      <c r="J729" s="3" t="s">
        <v>1013</v>
      </c>
      <c r="K729" s="3"/>
      <c r="L729" s="3">
        <v>2605399</v>
      </c>
      <c r="M729" s="3" t="s">
        <v>34</v>
      </c>
      <c r="N729" s="3" t="s">
        <v>1317</v>
      </c>
      <c r="O729" s="3" t="s">
        <v>441</v>
      </c>
      <c r="P729" s="3" t="s">
        <v>1318</v>
      </c>
      <c r="Q729" s="5">
        <v>41969.068828997719</v>
      </c>
      <c r="R729" s="5"/>
      <c r="S729" s="5"/>
      <c r="T729" s="3"/>
      <c r="U729" s="3" t="s">
        <v>153</v>
      </c>
      <c r="V729" s="3"/>
      <c r="W729" s="6"/>
      <c r="X729" s="6"/>
      <c r="Y729" s="3"/>
      <c r="Z729" s="3"/>
      <c r="AA729" s="3"/>
      <c r="AB729" s="3" t="s">
        <v>42</v>
      </c>
    </row>
    <row r="730" spans="1:28" ht="33" customHeight="1" x14ac:dyDescent="0.25">
      <c r="A730" s="7" t="s">
        <v>1536</v>
      </c>
      <c r="B730" s="3" t="s">
        <v>1315</v>
      </c>
      <c r="C730" s="3" t="s">
        <v>1316</v>
      </c>
      <c r="D730" s="6"/>
      <c r="E730" s="6">
        <v>45657</v>
      </c>
      <c r="F730" s="3"/>
      <c r="G730" s="6"/>
      <c r="H730" s="3"/>
      <c r="I730" s="6"/>
      <c r="J730" s="3" t="s">
        <v>1013</v>
      </c>
      <c r="K730" s="3"/>
      <c r="L730" s="3">
        <v>2605399</v>
      </c>
      <c r="M730" s="3" t="s">
        <v>34</v>
      </c>
      <c r="N730" s="3" t="s">
        <v>1317</v>
      </c>
      <c r="O730" s="3" t="s">
        <v>441</v>
      </c>
      <c r="P730" s="3" t="s">
        <v>1318</v>
      </c>
      <c r="Q730" s="5">
        <v>52770.109116508269</v>
      </c>
      <c r="R730" s="5"/>
      <c r="S730" s="5"/>
      <c r="T730" s="3"/>
      <c r="U730" s="3" t="s">
        <v>153</v>
      </c>
      <c r="V730" s="3"/>
      <c r="W730" s="6"/>
      <c r="X730" s="6"/>
      <c r="Y730" s="3"/>
      <c r="Z730" s="3"/>
      <c r="AA730" s="3"/>
      <c r="AB730" s="3" t="s">
        <v>42</v>
      </c>
    </row>
    <row r="731" spans="1:28" ht="33" customHeight="1" x14ac:dyDescent="0.25">
      <c r="A731" s="7" t="s">
        <v>1537</v>
      </c>
      <c r="B731" s="3" t="s">
        <v>1315</v>
      </c>
      <c r="C731" s="3" t="s">
        <v>1316</v>
      </c>
      <c r="D731" s="6"/>
      <c r="E731" s="6">
        <v>45657</v>
      </c>
      <c r="F731" s="3"/>
      <c r="G731" s="6"/>
      <c r="H731" s="3"/>
      <c r="I731" s="6"/>
      <c r="J731" s="3" t="s">
        <v>1013</v>
      </c>
      <c r="K731" s="3"/>
      <c r="L731" s="3">
        <v>2605399</v>
      </c>
      <c r="M731" s="3" t="s">
        <v>34</v>
      </c>
      <c r="N731" s="3" t="s">
        <v>1317</v>
      </c>
      <c r="O731" s="3" t="s">
        <v>441</v>
      </c>
      <c r="P731" s="3" t="s">
        <v>1318</v>
      </c>
      <c r="Q731" s="5">
        <v>49101.185023627768</v>
      </c>
      <c r="R731" s="5"/>
      <c r="S731" s="5"/>
      <c r="T731" s="3"/>
      <c r="U731" s="3" t="s">
        <v>153</v>
      </c>
      <c r="V731" s="3"/>
      <c r="W731" s="6"/>
      <c r="X731" s="6"/>
      <c r="Y731" s="3"/>
      <c r="Z731" s="3"/>
      <c r="AA731" s="3"/>
      <c r="AB731" s="3" t="s">
        <v>42</v>
      </c>
    </row>
    <row r="732" spans="1:28" ht="33" customHeight="1" x14ac:dyDescent="0.25">
      <c r="A732" s="7" t="s">
        <v>1538</v>
      </c>
      <c r="B732" s="3" t="s">
        <v>1315</v>
      </c>
      <c r="C732" s="3" t="s">
        <v>1316</v>
      </c>
      <c r="D732" s="6"/>
      <c r="E732" s="6">
        <v>45657</v>
      </c>
      <c r="F732" s="3"/>
      <c r="G732" s="6"/>
      <c r="H732" s="3"/>
      <c r="I732" s="6"/>
      <c r="J732" s="3" t="s">
        <v>1013</v>
      </c>
      <c r="K732" s="3"/>
      <c r="L732" s="3">
        <v>2605399</v>
      </c>
      <c r="M732" s="3" t="s">
        <v>34</v>
      </c>
      <c r="N732" s="3" t="s">
        <v>1317</v>
      </c>
      <c r="O732" s="3" t="s">
        <v>441</v>
      </c>
      <c r="P732" s="3" t="s">
        <v>1318</v>
      </c>
      <c r="Q732" s="5">
        <v>41969.068828997719</v>
      </c>
      <c r="R732" s="5"/>
      <c r="S732" s="5"/>
      <c r="T732" s="3"/>
      <c r="U732" s="3" t="s">
        <v>153</v>
      </c>
      <c r="V732" s="3"/>
      <c r="W732" s="6"/>
      <c r="X732" s="6"/>
      <c r="Y732" s="3"/>
      <c r="Z732" s="3"/>
      <c r="AA732" s="3"/>
      <c r="AB732" s="3" t="s">
        <v>42</v>
      </c>
    </row>
    <row r="733" spans="1:28" ht="33" customHeight="1" x14ac:dyDescent="0.25">
      <c r="A733" s="7" t="s">
        <v>1539</v>
      </c>
      <c r="B733" s="3" t="s">
        <v>1315</v>
      </c>
      <c r="C733" s="3" t="s">
        <v>1316</v>
      </c>
      <c r="D733" s="6"/>
      <c r="E733" s="6">
        <v>45657</v>
      </c>
      <c r="F733" s="3"/>
      <c r="G733" s="6"/>
      <c r="H733" s="3"/>
      <c r="I733" s="6"/>
      <c r="J733" s="3" t="s">
        <v>1013</v>
      </c>
      <c r="K733" s="3"/>
      <c r="L733" s="3">
        <v>2605399</v>
      </c>
      <c r="M733" s="3" t="s">
        <v>34</v>
      </c>
      <c r="N733" s="3" t="s">
        <v>1317</v>
      </c>
      <c r="O733" s="3" t="s">
        <v>441</v>
      </c>
      <c r="P733" s="3" t="s">
        <v>1318</v>
      </c>
      <c r="Q733" s="5">
        <v>0</v>
      </c>
      <c r="R733" s="5"/>
      <c r="S733" s="5"/>
      <c r="T733" s="3"/>
      <c r="U733" s="3" t="s">
        <v>153</v>
      </c>
      <c r="V733" s="3"/>
      <c r="W733" s="6"/>
      <c r="X733" s="6"/>
      <c r="Y733" s="3"/>
      <c r="Z733" s="3"/>
      <c r="AA733" s="3"/>
      <c r="AB733" s="3" t="s">
        <v>42</v>
      </c>
    </row>
    <row r="734" spans="1:28" ht="33" customHeight="1" x14ac:dyDescent="0.25">
      <c r="A734" s="7" t="s">
        <v>1540</v>
      </c>
      <c r="B734" s="3" t="s">
        <v>1315</v>
      </c>
      <c r="C734" s="3" t="s">
        <v>1316</v>
      </c>
      <c r="D734" s="6"/>
      <c r="E734" s="6">
        <v>45657</v>
      </c>
      <c r="F734" s="3"/>
      <c r="G734" s="6"/>
      <c r="H734" s="3"/>
      <c r="I734" s="6"/>
      <c r="J734" s="3" t="s">
        <v>1013</v>
      </c>
      <c r="K734" s="3"/>
      <c r="L734" s="3">
        <v>2605399</v>
      </c>
      <c r="M734" s="3" t="s">
        <v>34</v>
      </c>
      <c r="N734" s="3" t="s">
        <v>1317</v>
      </c>
      <c r="O734" s="3" t="s">
        <v>441</v>
      </c>
      <c r="P734" s="3" t="s">
        <v>1318</v>
      </c>
      <c r="Q734" s="5">
        <v>52770.109116508269</v>
      </c>
      <c r="R734" s="5"/>
      <c r="S734" s="5"/>
      <c r="T734" s="3"/>
      <c r="U734" s="3" t="s">
        <v>153</v>
      </c>
      <c r="V734" s="3"/>
      <c r="W734" s="6"/>
      <c r="X734" s="6"/>
      <c r="Y734" s="3"/>
      <c r="Z734" s="3"/>
      <c r="AA734" s="3"/>
      <c r="AB734" s="3" t="s">
        <v>42</v>
      </c>
    </row>
    <row r="735" spans="1:28" ht="33" customHeight="1" x14ac:dyDescent="0.25">
      <c r="A735" s="7" t="s">
        <v>1541</v>
      </c>
      <c r="B735" s="3" t="s">
        <v>1315</v>
      </c>
      <c r="C735" s="3" t="s">
        <v>1316</v>
      </c>
      <c r="D735" s="6"/>
      <c r="E735" s="6">
        <v>45657</v>
      </c>
      <c r="F735" s="3"/>
      <c r="G735" s="6"/>
      <c r="H735" s="3"/>
      <c r="I735" s="6"/>
      <c r="J735" s="3" t="s">
        <v>1013</v>
      </c>
      <c r="K735" s="3"/>
      <c r="L735" s="3">
        <v>2605399</v>
      </c>
      <c r="M735" s="3" t="s">
        <v>34</v>
      </c>
      <c r="N735" s="3" t="s">
        <v>1317</v>
      </c>
      <c r="O735" s="3" t="s">
        <v>441</v>
      </c>
      <c r="P735" s="3" t="s">
        <v>1318</v>
      </c>
      <c r="Q735" s="5">
        <v>52770.109116508269</v>
      </c>
      <c r="R735" s="5"/>
      <c r="S735" s="5"/>
      <c r="T735" s="3"/>
      <c r="U735" s="3" t="s">
        <v>153</v>
      </c>
      <c r="V735" s="3"/>
      <c r="W735" s="6"/>
      <c r="X735" s="6"/>
      <c r="Y735" s="3"/>
      <c r="Z735" s="3"/>
      <c r="AA735" s="3"/>
      <c r="AB735" s="3" t="s">
        <v>42</v>
      </c>
    </row>
    <row r="736" spans="1:28" ht="33" customHeight="1" x14ac:dyDescent="0.25">
      <c r="A736" s="7" t="s">
        <v>1542</v>
      </c>
      <c r="B736" s="3" t="s">
        <v>1315</v>
      </c>
      <c r="C736" s="3" t="s">
        <v>1411</v>
      </c>
      <c r="D736" s="6"/>
      <c r="E736" s="6">
        <v>45657</v>
      </c>
      <c r="F736" s="3"/>
      <c r="G736" s="6"/>
      <c r="H736" s="3"/>
      <c r="I736" s="6"/>
      <c r="J736" s="3" t="s">
        <v>1013</v>
      </c>
      <c r="K736" s="3"/>
      <c r="L736" s="3">
        <v>2605399</v>
      </c>
      <c r="M736" s="3" t="s">
        <v>34</v>
      </c>
      <c r="N736" s="3" t="s">
        <v>1317</v>
      </c>
      <c r="O736" s="3" t="s">
        <v>441</v>
      </c>
      <c r="P736" s="3" t="s">
        <v>1318</v>
      </c>
      <c r="Q736" s="5">
        <v>6874.478225976768</v>
      </c>
      <c r="R736" s="5"/>
      <c r="S736" s="5"/>
      <c r="T736" s="3"/>
      <c r="U736" s="3" t="s">
        <v>153</v>
      </c>
      <c r="V736" s="3"/>
      <c r="W736" s="6"/>
      <c r="X736" s="6"/>
      <c r="Y736" s="3"/>
      <c r="Z736" s="3"/>
      <c r="AA736" s="3"/>
      <c r="AB736" s="3" t="s">
        <v>42</v>
      </c>
    </row>
    <row r="737" spans="1:28" ht="33" customHeight="1" x14ac:dyDescent="0.25">
      <c r="A737" s="7" t="s">
        <v>1543</v>
      </c>
      <c r="B737" s="3" t="s">
        <v>1315</v>
      </c>
      <c r="C737" s="3" t="s">
        <v>1316</v>
      </c>
      <c r="D737" s="6"/>
      <c r="E737" s="6">
        <v>45657</v>
      </c>
      <c r="F737" s="3"/>
      <c r="G737" s="6"/>
      <c r="H737" s="3"/>
      <c r="I737" s="6"/>
      <c r="J737" s="3" t="s">
        <v>1013</v>
      </c>
      <c r="K737" s="3"/>
      <c r="L737" s="3">
        <v>2605399</v>
      </c>
      <c r="M737" s="3" t="s">
        <v>34</v>
      </c>
      <c r="N737" s="3" t="s">
        <v>1317</v>
      </c>
      <c r="O737" s="3" t="s">
        <v>441</v>
      </c>
      <c r="P737" s="3" t="s">
        <v>1318</v>
      </c>
      <c r="Q737" s="5">
        <v>52770.109116508269</v>
      </c>
      <c r="R737" s="5"/>
      <c r="S737" s="5"/>
      <c r="T737" s="3"/>
      <c r="U737" s="3" t="s">
        <v>153</v>
      </c>
      <c r="V737" s="3"/>
      <c r="W737" s="6"/>
      <c r="X737" s="6"/>
      <c r="Y737" s="3"/>
      <c r="Z737" s="3"/>
      <c r="AA737" s="3"/>
      <c r="AB737" s="3" t="s">
        <v>42</v>
      </c>
    </row>
    <row r="738" spans="1:28" ht="33" customHeight="1" x14ac:dyDescent="0.25">
      <c r="A738" s="7" t="s">
        <v>1544</v>
      </c>
      <c r="B738" s="3" t="s">
        <v>1315</v>
      </c>
      <c r="C738" s="3" t="s">
        <v>1316</v>
      </c>
      <c r="D738" s="6"/>
      <c r="E738" s="6">
        <v>45657</v>
      </c>
      <c r="F738" s="3"/>
      <c r="G738" s="6"/>
      <c r="H738" s="3"/>
      <c r="I738" s="6"/>
      <c r="J738" s="3" t="s">
        <v>1013</v>
      </c>
      <c r="K738" s="3"/>
      <c r="L738" s="3">
        <v>2605399</v>
      </c>
      <c r="M738" s="3" t="s">
        <v>34</v>
      </c>
      <c r="N738" s="3" t="s">
        <v>1317</v>
      </c>
      <c r="O738" s="3" t="s">
        <v>441</v>
      </c>
      <c r="P738" s="3" t="s">
        <v>1318</v>
      </c>
      <c r="Q738" s="5">
        <v>52770.109116508269</v>
      </c>
      <c r="R738" s="5"/>
      <c r="S738" s="5"/>
      <c r="T738" s="3"/>
      <c r="U738" s="3" t="s">
        <v>153</v>
      </c>
      <c r="V738" s="3"/>
      <c r="W738" s="6"/>
      <c r="X738" s="6"/>
      <c r="Y738" s="3"/>
      <c r="Z738" s="3"/>
      <c r="AA738" s="3"/>
      <c r="AB738" s="3" t="s">
        <v>42</v>
      </c>
    </row>
    <row r="739" spans="1:28" ht="33" customHeight="1" x14ac:dyDescent="0.25">
      <c r="A739" s="7" t="s">
        <v>1545</v>
      </c>
      <c r="B739" s="3" t="s">
        <v>1315</v>
      </c>
      <c r="C739" s="3" t="s">
        <v>1316</v>
      </c>
      <c r="D739" s="6"/>
      <c r="E739" s="6">
        <v>45657</v>
      </c>
      <c r="F739" s="3"/>
      <c r="G739" s="6"/>
      <c r="H739" s="3"/>
      <c r="I739" s="6"/>
      <c r="J739" s="3" t="s">
        <v>1013</v>
      </c>
      <c r="K739" s="3"/>
      <c r="L739" s="3">
        <v>2605399</v>
      </c>
      <c r="M739" s="3" t="s">
        <v>34</v>
      </c>
      <c r="N739" s="3" t="s">
        <v>1317</v>
      </c>
      <c r="O739" s="3" t="s">
        <v>441</v>
      </c>
      <c r="P739" s="3" t="s">
        <v>1318</v>
      </c>
      <c r="Q739" s="5">
        <v>46902.086107412346</v>
      </c>
      <c r="R739" s="5"/>
      <c r="S739" s="5"/>
      <c r="T739" s="3"/>
      <c r="U739" s="3" t="s">
        <v>153</v>
      </c>
      <c r="V739" s="3"/>
      <c r="W739" s="6"/>
      <c r="X739" s="6"/>
      <c r="Y739" s="3"/>
      <c r="Z739" s="3"/>
      <c r="AA739" s="3"/>
      <c r="AB739" s="3" t="s">
        <v>42</v>
      </c>
    </row>
    <row r="740" spans="1:28" ht="33" customHeight="1" x14ac:dyDescent="0.25">
      <c r="A740" s="7" t="s">
        <v>1546</v>
      </c>
      <c r="B740" s="3" t="s">
        <v>1315</v>
      </c>
      <c r="C740" s="3" t="s">
        <v>1316</v>
      </c>
      <c r="D740" s="6"/>
      <c r="E740" s="6">
        <v>45657</v>
      </c>
      <c r="F740" s="3"/>
      <c r="G740" s="6"/>
      <c r="H740" s="3"/>
      <c r="I740" s="6"/>
      <c r="J740" s="3" t="s">
        <v>1013</v>
      </c>
      <c r="K740" s="3"/>
      <c r="L740" s="3">
        <v>2605399</v>
      </c>
      <c r="M740" s="3" t="s">
        <v>34</v>
      </c>
      <c r="N740" s="3" t="s">
        <v>1317</v>
      </c>
      <c r="O740" s="3" t="s">
        <v>441</v>
      </c>
      <c r="P740" s="3" t="s">
        <v>1318</v>
      </c>
      <c r="Q740" s="5">
        <v>52770.109116508269</v>
      </c>
      <c r="R740" s="5"/>
      <c r="S740" s="5"/>
      <c r="T740" s="3"/>
      <c r="U740" s="3" t="s">
        <v>153</v>
      </c>
      <c r="V740" s="3"/>
      <c r="W740" s="6"/>
      <c r="X740" s="6"/>
      <c r="Y740" s="3"/>
      <c r="Z740" s="3"/>
      <c r="AA740" s="3"/>
      <c r="AB740" s="3" t="s">
        <v>42</v>
      </c>
    </row>
    <row r="741" spans="1:28" ht="33" customHeight="1" x14ac:dyDescent="0.25">
      <c r="A741" s="7" t="s">
        <v>1547</v>
      </c>
      <c r="B741" s="3" t="s">
        <v>1315</v>
      </c>
      <c r="C741" s="3" t="s">
        <v>1316</v>
      </c>
      <c r="D741" s="6"/>
      <c r="E741" s="6">
        <v>45657</v>
      </c>
      <c r="F741" s="3"/>
      <c r="G741" s="6"/>
      <c r="H741" s="3"/>
      <c r="I741" s="6"/>
      <c r="J741" s="3" t="s">
        <v>1013</v>
      </c>
      <c r="K741" s="3"/>
      <c r="L741" s="3">
        <v>2605399</v>
      </c>
      <c r="M741" s="3" t="s">
        <v>34</v>
      </c>
      <c r="N741" s="3" t="s">
        <v>1317</v>
      </c>
      <c r="O741" s="3" t="s">
        <v>441</v>
      </c>
      <c r="P741" s="3" t="s">
        <v>1318</v>
      </c>
      <c r="Q741" s="5">
        <v>8794.1411451398126</v>
      </c>
      <c r="R741" s="5"/>
      <c r="S741" s="5"/>
      <c r="T741" s="3"/>
      <c r="U741" s="3" t="s">
        <v>153</v>
      </c>
      <c r="V741" s="3"/>
      <c r="W741" s="6"/>
      <c r="X741" s="6"/>
      <c r="Y741" s="3"/>
      <c r="Z741" s="3"/>
      <c r="AA741" s="3"/>
      <c r="AB741" s="3" t="s">
        <v>42</v>
      </c>
    </row>
    <row r="742" spans="1:28" ht="33" customHeight="1" x14ac:dyDescent="0.25">
      <c r="A742" s="7" t="s">
        <v>1548</v>
      </c>
      <c r="B742" s="3" t="s">
        <v>1315</v>
      </c>
      <c r="C742" s="3" t="s">
        <v>1316</v>
      </c>
      <c r="D742" s="6"/>
      <c r="E742" s="6">
        <v>45657</v>
      </c>
      <c r="F742" s="3"/>
      <c r="G742" s="6"/>
      <c r="H742" s="3"/>
      <c r="I742" s="6"/>
      <c r="J742" s="3" t="s">
        <v>1013</v>
      </c>
      <c r="K742" s="3"/>
      <c r="L742" s="3">
        <v>2605399</v>
      </c>
      <c r="M742" s="3" t="s">
        <v>34</v>
      </c>
      <c r="N742" s="3" t="s">
        <v>1317</v>
      </c>
      <c r="O742" s="3" t="s">
        <v>441</v>
      </c>
      <c r="P742" s="3" t="s">
        <v>1318</v>
      </c>
      <c r="Q742" s="5">
        <v>40871.789964477328</v>
      </c>
      <c r="R742" s="5"/>
      <c r="S742" s="5"/>
      <c r="T742" s="3"/>
      <c r="U742" s="3" t="s">
        <v>153</v>
      </c>
      <c r="V742" s="3"/>
      <c r="W742" s="6"/>
      <c r="X742" s="6"/>
      <c r="Y742" s="3"/>
      <c r="Z742" s="3"/>
      <c r="AA742" s="3"/>
      <c r="AB742" s="3" t="s">
        <v>42</v>
      </c>
    </row>
    <row r="743" spans="1:28" ht="33" customHeight="1" x14ac:dyDescent="0.25">
      <c r="A743" s="7" t="s">
        <v>1549</v>
      </c>
      <c r="B743" s="3" t="s">
        <v>1315</v>
      </c>
      <c r="C743" s="3" t="s">
        <v>1411</v>
      </c>
      <c r="D743" s="6"/>
      <c r="E743" s="6">
        <v>45657</v>
      </c>
      <c r="F743" s="3"/>
      <c r="G743" s="6"/>
      <c r="H743" s="3"/>
      <c r="I743" s="6"/>
      <c r="J743" s="3" t="s">
        <v>1013</v>
      </c>
      <c r="K743" s="3"/>
      <c r="L743" s="3">
        <v>2605399</v>
      </c>
      <c r="M743" s="3" t="s">
        <v>34</v>
      </c>
      <c r="N743" s="3" t="s">
        <v>1317</v>
      </c>
      <c r="O743" s="3" t="s">
        <v>441</v>
      </c>
      <c r="P743" s="3" t="s">
        <v>1318</v>
      </c>
      <c r="Q743" s="5">
        <v>10581.342865188322</v>
      </c>
      <c r="R743" s="5"/>
      <c r="S743" s="5"/>
      <c r="T743" s="3"/>
      <c r="U743" s="3" t="s">
        <v>153</v>
      </c>
      <c r="V743" s="3"/>
      <c r="W743" s="6"/>
      <c r="X743" s="6"/>
      <c r="Y743" s="3"/>
      <c r="Z743" s="3"/>
      <c r="AA743" s="3"/>
      <c r="AB743" s="3" t="s">
        <v>42</v>
      </c>
    </row>
    <row r="744" spans="1:28" ht="33" customHeight="1" x14ac:dyDescent="0.25">
      <c r="A744" s="7" t="s">
        <v>1550</v>
      </c>
      <c r="B744" s="3" t="s">
        <v>1315</v>
      </c>
      <c r="C744" s="3" t="s">
        <v>1316</v>
      </c>
      <c r="D744" s="6"/>
      <c r="E744" s="6">
        <v>45657</v>
      </c>
      <c r="F744" s="3"/>
      <c r="G744" s="6"/>
      <c r="H744" s="3"/>
      <c r="I744" s="6"/>
      <c r="J744" s="3" t="s">
        <v>1013</v>
      </c>
      <c r="K744" s="3"/>
      <c r="L744" s="3">
        <v>2605399</v>
      </c>
      <c r="M744" s="3" t="s">
        <v>34</v>
      </c>
      <c r="N744" s="3" t="s">
        <v>1317</v>
      </c>
      <c r="O744" s="3" t="s">
        <v>441</v>
      </c>
      <c r="P744" s="3" t="s">
        <v>1318</v>
      </c>
      <c r="Q744" s="5">
        <v>40871.789964477328</v>
      </c>
      <c r="R744" s="5"/>
      <c r="S744" s="5"/>
      <c r="T744" s="3"/>
      <c r="U744" s="3" t="s">
        <v>153</v>
      </c>
      <c r="V744" s="3"/>
      <c r="W744" s="6"/>
      <c r="X744" s="6"/>
      <c r="Y744" s="3"/>
      <c r="Z744" s="3"/>
      <c r="AA744" s="3"/>
      <c r="AB744" s="3" t="s">
        <v>42</v>
      </c>
    </row>
    <row r="745" spans="1:28" ht="33" customHeight="1" x14ac:dyDescent="0.25">
      <c r="A745" s="7" t="s">
        <v>1551</v>
      </c>
      <c r="B745" s="3" t="s">
        <v>1315</v>
      </c>
      <c r="C745" s="3" t="s">
        <v>1316</v>
      </c>
      <c r="D745" s="6"/>
      <c r="E745" s="6">
        <v>45657</v>
      </c>
      <c r="F745" s="3"/>
      <c r="G745" s="6"/>
      <c r="H745" s="3"/>
      <c r="I745" s="6"/>
      <c r="J745" s="3" t="s">
        <v>1013</v>
      </c>
      <c r="K745" s="3"/>
      <c r="L745" s="3">
        <v>2605399</v>
      </c>
      <c r="M745" s="3" t="s">
        <v>34</v>
      </c>
      <c r="N745" s="3" t="s">
        <v>1317</v>
      </c>
      <c r="O745" s="3" t="s">
        <v>441</v>
      </c>
      <c r="P745" s="3" t="s">
        <v>1318</v>
      </c>
      <c r="Q745" s="5">
        <v>5980.0159786950726</v>
      </c>
      <c r="R745" s="5"/>
      <c r="S745" s="5"/>
      <c r="T745" s="3"/>
      <c r="U745" s="3" t="s">
        <v>153</v>
      </c>
      <c r="V745" s="3"/>
      <c r="W745" s="6"/>
      <c r="X745" s="6"/>
      <c r="Y745" s="3"/>
      <c r="Z745" s="3"/>
      <c r="AA745" s="3"/>
      <c r="AB745" s="3" t="s">
        <v>42</v>
      </c>
    </row>
    <row r="746" spans="1:28" ht="33" customHeight="1" x14ac:dyDescent="0.25">
      <c r="A746" s="7" t="s">
        <v>1552</v>
      </c>
      <c r="B746" s="3" t="s">
        <v>1315</v>
      </c>
      <c r="C746" s="3" t="s">
        <v>1316</v>
      </c>
      <c r="D746" s="6"/>
      <c r="E746" s="6">
        <v>45657</v>
      </c>
      <c r="F746" s="3"/>
      <c r="G746" s="6"/>
      <c r="H746" s="3"/>
      <c r="I746" s="6"/>
      <c r="J746" s="3" t="s">
        <v>1013</v>
      </c>
      <c r="K746" s="3"/>
      <c r="L746" s="3">
        <v>2605399</v>
      </c>
      <c r="M746" s="3" t="s">
        <v>34</v>
      </c>
      <c r="N746" s="3" t="s">
        <v>1317</v>
      </c>
      <c r="O746" s="3" t="s">
        <v>441</v>
      </c>
      <c r="P746" s="3" t="s">
        <v>1318</v>
      </c>
      <c r="Q746" s="5">
        <v>40871.789964477328</v>
      </c>
      <c r="R746" s="5"/>
      <c r="S746" s="5"/>
      <c r="T746" s="3"/>
      <c r="U746" s="3" t="s">
        <v>153</v>
      </c>
      <c r="V746" s="3"/>
      <c r="W746" s="6"/>
      <c r="X746" s="6"/>
      <c r="Y746" s="3"/>
      <c r="Z746" s="3"/>
      <c r="AA746" s="3"/>
      <c r="AB746" s="3" t="s">
        <v>42</v>
      </c>
    </row>
    <row r="747" spans="1:28" ht="33" customHeight="1" x14ac:dyDescent="0.25">
      <c r="A747" s="7" t="s">
        <v>1553</v>
      </c>
      <c r="B747" s="3" t="s">
        <v>1315</v>
      </c>
      <c r="C747" s="3" t="s">
        <v>1316</v>
      </c>
      <c r="D747" s="6"/>
      <c r="E747" s="6">
        <v>45657</v>
      </c>
      <c r="F747" s="3"/>
      <c r="G747" s="6"/>
      <c r="H747" s="3"/>
      <c r="I747" s="6"/>
      <c r="J747" s="3" t="s">
        <v>1013</v>
      </c>
      <c r="K747" s="3"/>
      <c r="L747" s="3">
        <v>2605399</v>
      </c>
      <c r="M747" s="3" t="s">
        <v>34</v>
      </c>
      <c r="N747" s="3" t="s">
        <v>1317</v>
      </c>
      <c r="O747" s="3" t="s">
        <v>441</v>
      </c>
      <c r="P747" s="3" t="s">
        <v>1318</v>
      </c>
      <c r="Q747" s="5">
        <v>77000</v>
      </c>
      <c r="R747" s="5"/>
      <c r="S747" s="5"/>
      <c r="T747" s="3"/>
      <c r="U747" s="3" t="s">
        <v>153</v>
      </c>
      <c r="V747" s="3"/>
      <c r="W747" s="6"/>
      <c r="X747" s="6"/>
      <c r="Y747" s="3"/>
      <c r="Z747" s="3"/>
      <c r="AA747" s="3"/>
      <c r="AB747" s="3" t="s">
        <v>42</v>
      </c>
    </row>
    <row r="748" spans="1:28" ht="33" customHeight="1" x14ac:dyDescent="0.25">
      <c r="A748" s="7" t="s">
        <v>1554</v>
      </c>
      <c r="B748" s="3" t="s">
        <v>1315</v>
      </c>
      <c r="C748" s="3" t="s">
        <v>1316</v>
      </c>
      <c r="D748" s="6"/>
      <c r="E748" s="6">
        <v>45657</v>
      </c>
      <c r="F748" s="3"/>
      <c r="G748" s="6"/>
      <c r="H748" s="3"/>
      <c r="I748" s="6"/>
      <c r="J748" s="3" t="s">
        <v>1013</v>
      </c>
      <c r="K748" s="3"/>
      <c r="L748" s="3">
        <v>2605399</v>
      </c>
      <c r="M748" s="3" t="s">
        <v>34</v>
      </c>
      <c r="N748" s="3" t="s">
        <v>1317</v>
      </c>
      <c r="O748" s="3" t="s">
        <v>441</v>
      </c>
      <c r="P748" s="3" t="s">
        <v>1318</v>
      </c>
      <c r="Q748" s="5">
        <v>168109.85581000868</v>
      </c>
      <c r="R748" s="5"/>
      <c r="S748" s="5"/>
      <c r="T748" s="3"/>
      <c r="U748" s="3" t="s">
        <v>153</v>
      </c>
      <c r="V748" s="3"/>
      <c r="W748" s="6"/>
      <c r="X748" s="6"/>
      <c r="Y748" s="3"/>
      <c r="Z748" s="3"/>
      <c r="AA748" s="3"/>
      <c r="AB748" s="3" t="s">
        <v>42</v>
      </c>
    </row>
    <row r="749" spans="1:28" ht="33" customHeight="1" x14ac:dyDescent="0.25">
      <c r="A749" s="7" t="s">
        <v>1555</v>
      </c>
      <c r="B749" s="3" t="s">
        <v>1315</v>
      </c>
      <c r="C749" s="3" t="s">
        <v>1316</v>
      </c>
      <c r="D749" s="6"/>
      <c r="E749" s="6">
        <v>45657</v>
      </c>
      <c r="F749" s="3"/>
      <c r="G749" s="6"/>
      <c r="H749" s="3"/>
      <c r="I749" s="6"/>
      <c r="J749" s="3" t="s">
        <v>1013</v>
      </c>
      <c r="K749" s="3"/>
      <c r="L749" s="3">
        <v>2605399</v>
      </c>
      <c r="M749" s="3" t="s">
        <v>34</v>
      </c>
      <c r="N749" s="3" t="s">
        <v>1317</v>
      </c>
      <c r="O749" s="3" t="s">
        <v>441</v>
      </c>
      <c r="P749" s="3" t="s">
        <v>1318</v>
      </c>
      <c r="Q749" s="5">
        <v>49101.185023627768</v>
      </c>
      <c r="R749" s="5"/>
      <c r="S749" s="5"/>
      <c r="T749" s="3"/>
      <c r="U749" s="3" t="s">
        <v>153</v>
      </c>
      <c r="V749" s="3"/>
      <c r="W749" s="6"/>
      <c r="X749" s="6"/>
      <c r="Y749" s="3"/>
      <c r="Z749" s="3"/>
      <c r="AA749" s="3"/>
      <c r="AB749" s="3" t="s">
        <v>42</v>
      </c>
    </row>
    <row r="750" spans="1:28" ht="33" customHeight="1" x14ac:dyDescent="0.25">
      <c r="A750" s="7" t="s">
        <v>1556</v>
      </c>
      <c r="B750" s="3" t="s">
        <v>1315</v>
      </c>
      <c r="C750" s="3" t="s">
        <v>1316</v>
      </c>
      <c r="D750" s="6"/>
      <c r="E750" s="6">
        <v>45657</v>
      </c>
      <c r="F750" s="3"/>
      <c r="G750" s="6"/>
      <c r="H750" s="3"/>
      <c r="I750" s="6"/>
      <c r="J750" s="3" t="s">
        <v>1013</v>
      </c>
      <c r="K750" s="3"/>
      <c r="L750" s="3">
        <v>2605399</v>
      </c>
      <c r="M750" s="3" t="s">
        <v>34</v>
      </c>
      <c r="N750" s="3" t="s">
        <v>1317</v>
      </c>
      <c r="O750" s="3" t="s">
        <v>441</v>
      </c>
      <c r="P750" s="3" t="s">
        <v>1318</v>
      </c>
      <c r="Q750" s="5">
        <v>52770.109116508269</v>
      </c>
      <c r="R750" s="5"/>
      <c r="S750" s="5"/>
      <c r="T750" s="3"/>
      <c r="U750" s="3" t="s">
        <v>153</v>
      </c>
      <c r="V750" s="3"/>
      <c r="W750" s="6"/>
      <c r="X750" s="6"/>
      <c r="Y750" s="3"/>
      <c r="Z750" s="3"/>
      <c r="AA750" s="3"/>
      <c r="AB750" s="3" t="s">
        <v>42</v>
      </c>
    </row>
    <row r="751" spans="1:28" ht="33" customHeight="1" x14ac:dyDescent="0.25">
      <c r="A751" s="7" t="s">
        <v>1557</v>
      </c>
      <c r="B751" s="3" t="s">
        <v>1315</v>
      </c>
      <c r="C751" s="3" t="s">
        <v>1411</v>
      </c>
      <c r="D751" s="6"/>
      <c r="E751" s="6">
        <v>45657</v>
      </c>
      <c r="F751" s="3"/>
      <c r="G751" s="6"/>
      <c r="H751" s="3"/>
      <c r="I751" s="6"/>
      <c r="J751" s="3" t="s">
        <v>1013</v>
      </c>
      <c r="K751" s="3"/>
      <c r="L751" s="3">
        <v>2605399</v>
      </c>
      <c r="M751" s="3" t="s">
        <v>34</v>
      </c>
      <c r="N751" s="3" t="s">
        <v>1317</v>
      </c>
      <c r="O751" s="3" t="s">
        <v>441</v>
      </c>
      <c r="P751" s="3" t="s">
        <v>1318</v>
      </c>
      <c r="Q751" s="5">
        <v>10581.342865188322</v>
      </c>
      <c r="R751" s="5"/>
      <c r="S751" s="5"/>
      <c r="T751" s="3"/>
      <c r="U751" s="3" t="s">
        <v>153</v>
      </c>
      <c r="V751" s="3"/>
      <c r="W751" s="6"/>
      <c r="X751" s="6"/>
      <c r="Y751" s="3"/>
      <c r="Z751" s="3"/>
      <c r="AA751" s="3"/>
      <c r="AB751" s="3" t="s">
        <v>42</v>
      </c>
    </row>
    <row r="752" spans="1:28" ht="33" customHeight="1" x14ac:dyDescent="0.25">
      <c r="A752" s="7" t="s">
        <v>1558</v>
      </c>
      <c r="B752" s="3" t="s">
        <v>1315</v>
      </c>
      <c r="C752" s="3" t="s">
        <v>1316</v>
      </c>
      <c r="D752" s="6"/>
      <c r="E752" s="6">
        <v>45657</v>
      </c>
      <c r="F752" s="3"/>
      <c r="G752" s="6"/>
      <c r="H752" s="3"/>
      <c r="I752" s="6"/>
      <c r="J752" s="3" t="s">
        <v>1013</v>
      </c>
      <c r="K752" s="3"/>
      <c r="L752" s="3">
        <v>2605399</v>
      </c>
      <c r="M752" s="3" t="s">
        <v>34</v>
      </c>
      <c r="N752" s="3" t="s">
        <v>1317</v>
      </c>
      <c r="O752" s="3" t="s">
        <v>441</v>
      </c>
      <c r="P752" s="3" t="s">
        <v>1318</v>
      </c>
      <c r="Q752" s="5">
        <v>52770.109116508269</v>
      </c>
      <c r="R752" s="5"/>
      <c r="S752" s="5"/>
      <c r="T752" s="3"/>
      <c r="U752" s="3" t="s">
        <v>153</v>
      </c>
      <c r="V752" s="3"/>
      <c r="W752" s="6"/>
      <c r="X752" s="6"/>
      <c r="Y752" s="3"/>
      <c r="Z752" s="3"/>
      <c r="AA752" s="3"/>
      <c r="AB752" s="3" t="s">
        <v>42</v>
      </c>
    </row>
    <row r="753" spans="1:28" ht="33" customHeight="1" x14ac:dyDescent="0.25">
      <c r="A753" s="7" t="s">
        <v>1559</v>
      </c>
      <c r="B753" s="3" t="s">
        <v>1315</v>
      </c>
      <c r="C753" s="3" t="s">
        <v>1316</v>
      </c>
      <c r="D753" s="6"/>
      <c r="E753" s="6">
        <v>45900</v>
      </c>
      <c r="F753" s="3"/>
      <c r="G753" s="6"/>
      <c r="H753" s="3"/>
      <c r="I753" s="6"/>
      <c r="J753" s="3" t="s">
        <v>1060</v>
      </c>
      <c r="K753" s="3"/>
      <c r="L753" s="3">
        <v>6688788</v>
      </c>
      <c r="M753" s="3" t="s">
        <v>92</v>
      </c>
      <c r="N753" s="3" t="s">
        <v>1317</v>
      </c>
      <c r="O753" s="3" t="s">
        <v>441</v>
      </c>
      <c r="P753" s="3" t="s">
        <v>1318</v>
      </c>
      <c r="Q753" s="5">
        <v>21288.52883992223</v>
      </c>
      <c r="R753" s="5"/>
      <c r="S753" s="5"/>
      <c r="T753" s="3"/>
      <c r="U753" s="3" t="s">
        <v>153</v>
      </c>
      <c r="V753" s="3"/>
      <c r="W753" s="6"/>
      <c r="X753" s="6"/>
      <c r="Y753" s="3"/>
      <c r="Z753" s="3"/>
      <c r="AA753" s="3"/>
      <c r="AB753" s="3" t="s">
        <v>477</v>
      </c>
    </row>
    <row r="754" spans="1:28" ht="33" customHeight="1" x14ac:dyDescent="0.25">
      <c r="A754" s="7" t="s">
        <v>1560</v>
      </c>
      <c r="B754" s="3" t="s">
        <v>1315</v>
      </c>
      <c r="C754" s="3" t="s">
        <v>1316</v>
      </c>
      <c r="D754" s="6"/>
      <c r="E754" s="6">
        <v>45535</v>
      </c>
      <c r="F754" s="3"/>
      <c r="G754" s="6"/>
      <c r="H754" s="3"/>
      <c r="I754" s="6"/>
      <c r="J754" s="3" t="s">
        <v>1561</v>
      </c>
      <c r="K754" s="3"/>
      <c r="L754" s="3">
        <v>13274240</v>
      </c>
      <c r="M754" s="3" t="s">
        <v>1562</v>
      </c>
      <c r="N754" s="3" t="s">
        <v>1317</v>
      </c>
      <c r="O754" s="3" t="s">
        <v>441</v>
      </c>
      <c r="P754" s="3" t="s">
        <v>1318</v>
      </c>
      <c r="Q754" s="5">
        <v>47305.589112119247</v>
      </c>
      <c r="R754" s="5"/>
      <c r="S754" s="5"/>
      <c r="T754" s="3"/>
      <c r="U754" s="3" t="s">
        <v>153</v>
      </c>
      <c r="V754" s="3"/>
      <c r="W754" s="6"/>
      <c r="X754" s="6"/>
      <c r="Y754" s="3"/>
      <c r="Z754" s="3"/>
      <c r="AA754" s="3"/>
      <c r="AB754" s="3" t="s">
        <v>42</v>
      </c>
    </row>
    <row r="755" spans="1:28" ht="33" customHeight="1" x14ac:dyDescent="0.25">
      <c r="A755" s="7" t="s">
        <v>1563</v>
      </c>
      <c r="B755" s="3" t="s">
        <v>1315</v>
      </c>
      <c r="C755" s="3" t="s">
        <v>1316</v>
      </c>
      <c r="D755" s="6"/>
      <c r="E755" s="6">
        <v>45535</v>
      </c>
      <c r="F755" s="3"/>
      <c r="G755" s="6"/>
      <c r="H755" s="3"/>
      <c r="I755" s="6"/>
      <c r="J755" s="3" t="s">
        <v>1561</v>
      </c>
      <c r="K755" s="3"/>
      <c r="L755" s="3">
        <v>13274240</v>
      </c>
      <c r="M755" s="3" t="s">
        <v>1562</v>
      </c>
      <c r="N755" s="3" t="s">
        <v>1317</v>
      </c>
      <c r="O755" s="3" t="s">
        <v>441</v>
      </c>
      <c r="P755" s="3" t="s">
        <v>1318</v>
      </c>
      <c r="Q755" s="5">
        <v>44460.360337005834</v>
      </c>
      <c r="R755" s="5"/>
      <c r="S755" s="5"/>
      <c r="T755" s="3"/>
      <c r="U755" s="3" t="s">
        <v>153</v>
      </c>
      <c r="V755" s="3"/>
      <c r="W755" s="6"/>
      <c r="X755" s="6"/>
      <c r="Y755" s="3"/>
      <c r="Z755" s="3"/>
      <c r="AA755" s="3"/>
      <c r="AB755" s="3" t="s">
        <v>42</v>
      </c>
    </row>
    <row r="756" spans="1:28" ht="33" customHeight="1" x14ac:dyDescent="0.25">
      <c r="A756" s="7" t="s">
        <v>1564</v>
      </c>
      <c r="B756" s="3" t="s">
        <v>1315</v>
      </c>
      <c r="C756" s="3" t="s">
        <v>1316</v>
      </c>
      <c r="D756" s="6"/>
      <c r="E756" s="6">
        <v>45535</v>
      </c>
      <c r="F756" s="3"/>
      <c r="G756" s="6"/>
      <c r="H756" s="3"/>
      <c r="I756" s="6"/>
      <c r="J756" s="3" t="s">
        <v>1106</v>
      </c>
      <c r="K756" s="3"/>
      <c r="L756" s="3">
        <v>3914156</v>
      </c>
      <c r="M756" s="3" t="s">
        <v>92</v>
      </c>
      <c r="N756" s="3" t="s">
        <v>1317</v>
      </c>
      <c r="O756" s="3" t="s">
        <v>441</v>
      </c>
      <c r="P756" s="3" t="s">
        <v>1318</v>
      </c>
      <c r="Q756" s="5">
        <v>36358.32922877511</v>
      </c>
      <c r="R756" s="5"/>
      <c r="S756" s="5"/>
      <c r="T756" s="3"/>
      <c r="U756" s="3" t="s">
        <v>153</v>
      </c>
      <c r="V756" s="3"/>
      <c r="W756" s="6"/>
      <c r="X756" s="6"/>
      <c r="Y756" s="3"/>
      <c r="Z756" s="3"/>
      <c r="AA756" s="3"/>
      <c r="AB756" s="3" t="s">
        <v>477</v>
      </c>
    </row>
    <row r="757" spans="1:28" ht="33" customHeight="1" x14ac:dyDescent="0.25">
      <c r="A757" s="7" t="s">
        <v>1565</v>
      </c>
      <c r="B757" s="3" t="s">
        <v>1315</v>
      </c>
      <c r="C757" s="3" t="s">
        <v>1316</v>
      </c>
      <c r="D757" s="6"/>
      <c r="E757" s="6">
        <v>45535</v>
      </c>
      <c r="F757" s="3"/>
      <c r="G757" s="6"/>
      <c r="H757" s="3"/>
      <c r="I757" s="6"/>
      <c r="J757" s="3" t="s">
        <v>1106</v>
      </c>
      <c r="K757" s="3"/>
      <c r="L757" s="3">
        <v>3914156</v>
      </c>
      <c r="M757" s="3" t="s">
        <v>92</v>
      </c>
      <c r="N757" s="3" t="s">
        <v>1317</v>
      </c>
      <c r="O757" s="3" t="s">
        <v>441</v>
      </c>
      <c r="P757" s="3" t="s">
        <v>1318</v>
      </c>
      <c r="Q757" s="5">
        <v>37853.031756318858</v>
      </c>
      <c r="R757" s="5"/>
      <c r="S757" s="5"/>
      <c r="T757" s="3"/>
      <c r="U757" s="3" t="s">
        <v>153</v>
      </c>
      <c r="V757" s="3"/>
      <c r="W757" s="6"/>
      <c r="X757" s="6"/>
      <c r="Y757" s="3"/>
      <c r="Z757" s="3"/>
      <c r="AA757" s="3"/>
      <c r="AB757" s="3" t="s">
        <v>477</v>
      </c>
    </row>
    <row r="758" spans="1:28" ht="33" customHeight="1" x14ac:dyDescent="0.25">
      <c r="A758" s="7" t="s">
        <v>1566</v>
      </c>
      <c r="B758" s="3" t="s">
        <v>1315</v>
      </c>
      <c r="C758" s="3" t="s">
        <v>1316</v>
      </c>
      <c r="D758" s="6"/>
      <c r="E758" s="6">
        <v>45535</v>
      </c>
      <c r="F758" s="3"/>
      <c r="G758" s="6"/>
      <c r="H758" s="3"/>
      <c r="I758" s="6"/>
      <c r="J758" s="3" t="s">
        <v>749</v>
      </c>
      <c r="K758" s="3"/>
      <c r="L758" s="3" t="s">
        <v>1567</v>
      </c>
      <c r="M758" s="3" t="s">
        <v>360</v>
      </c>
      <c r="N758" s="3" t="s">
        <v>1317</v>
      </c>
      <c r="O758" s="3" t="s">
        <v>441</v>
      </c>
      <c r="P758" s="3" t="s">
        <v>1318</v>
      </c>
      <c r="Q758" s="5">
        <v>0</v>
      </c>
      <c r="R758" s="5"/>
      <c r="S758" s="5"/>
      <c r="T758" s="3"/>
      <c r="U758" s="3" t="s">
        <v>153</v>
      </c>
      <c r="V758" s="3"/>
      <c r="W758" s="6"/>
      <c r="X758" s="6"/>
      <c r="Y758" s="3"/>
      <c r="Z758" s="3"/>
      <c r="AA758" s="3"/>
      <c r="AB758" s="3" t="s">
        <v>477</v>
      </c>
    </row>
    <row r="759" spans="1:28" ht="33" customHeight="1" x14ac:dyDescent="0.25">
      <c r="A759" s="7" t="s">
        <v>1568</v>
      </c>
      <c r="B759" s="3" t="s">
        <v>1315</v>
      </c>
      <c r="C759" s="3" t="s">
        <v>1316</v>
      </c>
      <c r="D759" s="6"/>
      <c r="E759" s="6">
        <v>45535</v>
      </c>
      <c r="F759" s="3"/>
      <c r="G759" s="6"/>
      <c r="H759" s="3"/>
      <c r="I759" s="6"/>
      <c r="J759" s="3" t="s">
        <v>749</v>
      </c>
      <c r="K759" s="3"/>
      <c r="L759" s="3" t="s">
        <v>1567</v>
      </c>
      <c r="M759" s="3" t="s">
        <v>360</v>
      </c>
      <c r="N759" s="3" t="s">
        <v>1317</v>
      </c>
      <c r="O759" s="3" t="s">
        <v>441</v>
      </c>
      <c r="P759" s="3" t="s">
        <v>1318</v>
      </c>
      <c r="Q759" s="5">
        <v>0</v>
      </c>
      <c r="R759" s="5"/>
      <c r="S759" s="5"/>
      <c r="T759" s="3"/>
      <c r="U759" s="3" t="s">
        <v>153</v>
      </c>
      <c r="V759" s="3"/>
      <c r="W759" s="6"/>
      <c r="X759" s="6"/>
      <c r="Y759" s="3"/>
      <c r="Z759" s="3"/>
      <c r="AA759" s="3"/>
      <c r="AB759" s="3" t="s">
        <v>477</v>
      </c>
    </row>
    <row r="760" spans="1:28" ht="33" customHeight="1" x14ac:dyDescent="0.25">
      <c r="A760" s="7" t="s">
        <v>1569</v>
      </c>
      <c r="B760" s="3" t="s">
        <v>1315</v>
      </c>
      <c r="C760" s="3" t="s">
        <v>1316</v>
      </c>
      <c r="D760" s="6"/>
      <c r="E760" s="6">
        <v>45535</v>
      </c>
      <c r="F760" s="3"/>
      <c r="G760" s="6"/>
      <c r="H760" s="3"/>
      <c r="I760" s="6"/>
      <c r="J760" s="3" t="s">
        <v>749</v>
      </c>
      <c r="K760" s="3"/>
      <c r="L760" s="3" t="s">
        <v>1567</v>
      </c>
      <c r="M760" s="3" t="s">
        <v>360</v>
      </c>
      <c r="N760" s="3" t="s">
        <v>1317</v>
      </c>
      <c r="O760" s="3" t="s">
        <v>441</v>
      </c>
      <c r="P760" s="3" t="s">
        <v>1318</v>
      </c>
      <c r="Q760" s="5">
        <v>106514.23673363577</v>
      </c>
      <c r="R760" s="5"/>
      <c r="S760" s="5"/>
      <c r="T760" s="3"/>
      <c r="U760" s="3" t="s">
        <v>153</v>
      </c>
      <c r="V760" s="3"/>
      <c r="W760" s="6"/>
      <c r="X760" s="6"/>
      <c r="Y760" s="3"/>
      <c r="Z760" s="3"/>
      <c r="AA760" s="3"/>
      <c r="AB760" s="3" t="s">
        <v>477</v>
      </c>
    </row>
    <row r="761" spans="1:28" ht="33" customHeight="1" x14ac:dyDescent="0.25">
      <c r="A761" s="7" t="s">
        <v>1570</v>
      </c>
      <c r="B761" s="3" t="s">
        <v>1315</v>
      </c>
      <c r="C761" s="3" t="s">
        <v>1316</v>
      </c>
      <c r="D761" s="6"/>
      <c r="E761" s="6">
        <v>45535</v>
      </c>
      <c r="F761" s="3"/>
      <c r="G761" s="6"/>
      <c r="H761" s="3"/>
      <c r="I761" s="6"/>
      <c r="J761" s="3" t="s">
        <v>68</v>
      </c>
      <c r="K761" s="3"/>
      <c r="L761" s="3">
        <v>1990370</v>
      </c>
      <c r="M761" s="3" t="s">
        <v>34</v>
      </c>
      <c r="N761" s="3" t="s">
        <v>1317</v>
      </c>
      <c r="O761" s="3" t="s">
        <v>441</v>
      </c>
      <c r="P761" s="3" t="s">
        <v>1318</v>
      </c>
      <c r="Q761" s="5">
        <v>40399.770576798444</v>
      </c>
      <c r="R761" s="5"/>
      <c r="S761" s="5"/>
      <c r="T761" s="3"/>
      <c r="U761" s="3" t="s">
        <v>153</v>
      </c>
      <c r="V761" s="3"/>
      <c r="W761" s="6"/>
      <c r="X761" s="6"/>
      <c r="Y761" s="3"/>
      <c r="Z761" s="3"/>
      <c r="AA761" s="3"/>
      <c r="AB761" s="3" t="s">
        <v>42</v>
      </c>
    </row>
    <row r="762" spans="1:28" ht="33" customHeight="1" x14ac:dyDescent="0.25">
      <c r="A762" s="7" t="s">
        <v>1571</v>
      </c>
      <c r="B762" s="3" t="s">
        <v>1315</v>
      </c>
      <c r="C762" s="3" t="s">
        <v>1316</v>
      </c>
      <c r="D762" s="6"/>
      <c r="E762" s="6">
        <v>45535</v>
      </c>
      <c r="F762" s="3"/>
      <c r="G762" s="6"/>
      <c r="H762" s="3"/>
      <c r="I762" s="6"/>
      <c r="J762" s="3" t="s">
        <v>68</v>
      </c>
      <c r="K762" s="3"/>
      <c r="L762" s="3">
        <v>1990370</v>
      </c>
      <c r="M762" s="3" t="s">
        <v>34</v>
      </c>
      <c r="N762" s="3" t="s">
        <v>1317</v>
      </c>
      <c r="O762" s="3" t="s">
        <v>441</v>
      </c>
      <c r="P762" s="3" t="s">
        <v>1318</v>
      </c>
      <c r="Q762" s="5">
        <v>47816.964355152304</v>
      </c>
      <c r="R762" s="5"/>
      <c r="S762" s="5"/>
      <c r="T762" s="3"/>
      <c r="U762" s="3" t="s">
        <v>153</v>
      </c>
      <c r="V762" s="3"/>
      <c r="W762" s="6"/>
      <c r="X762" s="6"/>
      <c r="Y762" s="3"/>
      <c r="Z762" s="3"/>
      <c r="AA762" s="3"/>
      <c r="AB762" s="3" t="s">
        <v>42</v>
      </c>
    </row>
    <row r="763" spans="1:28" ht="33" customHeight="1" x14ac:dyDescent="0.25">
      <c r="A763" s="7" t="s">
        <v>1572</v>
      </c>
      <c r="B763" s="3" t="s">
        <v>1315</v>
      </c>
      <c r="C763" s="3" t="s">
        <v>1316</v>
      </c>
      <c r="D763" s="6"/>
      <c r="E763" s="6">
        <v>45535</v>
      </c>
      <c r="F763" s="3"/>
      <c r="G763" s="6"/>
      <c r="H763" s="3"/>
      <c r="I763" s="6"/>
      <c r="J763" s="3" t="s">
        <v>68</v>
      </c>
      <c r="K763" s="3"/>
      <c r="L763" s="3">
        <v>1990370</v>
      </c>
      <c r="M763" s="3" t="s">
        <v>34</v>
      </c>
      <c r="N763" s="3" t="s">
        <v>1317</v>
      </c>
      <c r="O763" s="3" t="s">
        <v>441</v>
      </c>
      <c r="P763" s="3" t="s">
        <v>1318</v>
      </c>
      <c r="Q763" s="5">
        <v>41083.48152948801</v>
      </c>
      <c r="R763" s="5"/>
      <c r="S763" s="5"/>
      <c r="T763" s="3"/>
      <c r="U763" s="3" t="s">
        <v>153</v>
      </c>
      <c r="V763" s="3"/>
      <c r="W763" s="6"/>
      <c r="X763" s="6"/>
      <c r="Y763" s="3"/>
      <c r="Z763" s="3"/>
      <c r="AA763" s="3"/>
      <c r="AB763" s="3" t="s">
        <v>42</v>
      </c>
    </row>
    <row r="764" spans="1:28" ht="33" customHeight="1" x14ac:dyDescent="0.25">
      <c r="A764" s="7" t="s">
        <v>1573</v>
      </c>
      <c r="B764" s="3" t="s">
        <v>1315</v>
      </c>
      <c r="C764" s="3" t="s">
        <v>1316</v>
      </c>
      <c r="D764" s="6"/>
      <c r="E764" s="6">
        <v>45535</v>
      </c>
      <c r="F764" s="3"/>
      <c r="G764" s="6"/>
      <c r="H764" s="3"/>
      <c r="I764" s="6"/>
      <c r="J764" s="3" t="s">
        <v>68</v>
      </c>
      <c r="K764" s="3"/>
      <c r="L764" s="3">
        <v>1990370</v>
      </c>
      <c r="M764" s="3" t="s">
        <v>34</v>
      </c>
      <c r="N764" s="3" t="s">
        <v>1317</v>
      </c>
      <c r="O764" s="3" t="s">
        <v>441</v>
      </c>
      <c r="P764" s="3" t="s">
        <v>1318</v>
      </c>
      <c r="Q764" s="5">
        <v>33863.403758911212</v>
      </c>
      <c r="R764" s="5"/>
      <c r="S764" s="5"/>
      <c r="T764" s="3"/>
      <c r="U764" s="3" t="s">
        <v>153</v>
      </c>
      <c r="V764" s="3"/>
      <c r="W764" s="6"/>
      <c r="X764" s="6"/>
      <c r="Y764" s="3"/>
      <c r="Z764" s="3"/>
      <c r="AA764" s="3"/>
      <c r="AB764" s="3" t="s">
        <v>42</v>
      </c>
    </row>
    <row r="765" spans="1:28" ht="33" customHeight="1" x14ac:dyDescent="0.25">
      <c r="A765" s="7" t="s">
        <v>1574</v>
      </c>
      <c r="B765" s="3" t="s">
        <v>1315</v>
      </c>
      <c r="C765" s="3" t="s">
        <v>1316</v>
      </c>
      <c r="D765" s="6"/>
      <c r="E765" s="6">
        <v>45900</v>
      </c>
      <c r="F765" s="3"/>
      <c r="G765" s="6"/>
      <c r="H765" s="3"/>
      <c r="I765" s="6"/>
      <c r="J765" s="3" t="s">
        <v>1098</v>
      </c>
      <c r="K765" s="3"/>
      <c r="L765" s="3">
        <v>2197747</v>
      </c>
      <c r="M765" s="3" t="s">
        <v>48</v>
      </c>
      <c r="N765" s="3" t="s">
        <v>1317</v>
      </c>
      <c r="O765" s="3" t="s">
        <v>441</v>
      </c>
      <c r="P765" s="3" t="s">
        <v>1318</v>
      </c>
      <c r="Q765" s="5">
        <v>35363.937659207724</v>
      </c>
      <c r="R765" s="5"/>
      <c r="S765" s="5"/>
      <c r="T765" s="3"/>
      <c r="U765" s="3" t="s">
        <v>153</v>
      </c>
      <c r="V765" s="3"/>
      <c r="W765" s="6"/>
      <c r="X765" s="6"/>
      <c r="Y765" s="3"/>
      <c r="Z765" s="3"/>
      <c r="AA765" s="3"/>
      <c r="AB765" s="3" t="s">
        <v>42</v>
      </c>
    </row>
    <row r="766" spans="1:28" ht="33" customHeight="1" x14ac:dyDescent="0.25">
      <c r="A766" s="7" t="s">
        <v>1575</v>
      </c>
      <c r="B766" s="3" t="s">
        <v>1315</v>
      </c>
      <c r="C766" s="3" t="s">
        <v>1316</v>
      </c>
      <c r="D766" s="6"/>
      <c r="E766" s="6">
        <v>45900</v>
      </c>
      <c r="F766" s="3"/>
      <c r="G766" s="6"/>
      <c r="H766" s="3"/>
      <c r="I766" s="6"/>
      <c r="J766" s="3" t="s">
        <v>1098</v>
      </c>
      <c r="K766" s="3"/>
      <c r="L766" s="3">
        <v>2197747</v>
      </c>
      <c r="M766" s="3" t="s">
        <v>48</v>
      </c>
      <c r="N766" s="3" t="s">
        <v>1317</v>
      </c>
      <c r="O766" s="3" t="s">
        <v>441</v>
      </c>
      <c r="P766" s="3" t="s">
        <v>1318</v>
      </c>
      <c r="Q766" s="5">
        <v>35363.937659207724</v>
      </c>
      <c r="R766" s="5"/>
      <c r="S766" s="5"/>
      <c r="T766" s="3"/>
      <c r="U766" s="3" t="s">
        <v>153</v>
      </c>
      <c r="V766" s="3"/>
      <c r="W766" s="6"/>
      <c r="X766" s="6"/>
      <c r="Y766" s="3"/>
      <c r="Z766" s="3"/>
      <c r="AA766" s="3"/>
      <c r="AB766" s="3" t="s">
        <v>42</v>
      </c>
    </row>
    <row r="767" spans="1:28" ht="33" customHeight="1" x14ac:dyDescent="0.25">
      <c r="A767" s="7" t="s">
        <v>1576</v>
      </c>
      <c r="B767" s="3" t="s">
        <v>1315</v>
      </c>
      <c r="C767" s="3" t="s">
        <v>1316</v>
      </c>
      <c r="D767" s="6"/>
      <c r="E767" s="6">
        <v>45900</v>
      </c>
      <c r="F767" s="3"/>
      <c r="G767" s="6"/>
      <c r="H767" s="3"/>
      <c r="I767" s="6"/>
      <c r="J767" s="3" t="s">
        <v>1098</v>
      </c>
      <c r="K767" s="3"/>
      <c r="L767" s="3">
        <v>2197747</v>
      </c>
      <c r="M767" s="3" t="s">
        <v>48</v>
      </c>
      <c r="N767" s="3" t="s">
        <v>1317</v>
      </c>
      <c r="O767" s="3" t="s">
        <v>441</v>
      </c>
      <c r="P767" s="3" t="s">
        <v>1318</v>
      </c>
      <c r="Q767" s="5">
        <v>21878.378408924593</v>
      </c>
      <c r="R767" s="5"/>
      <c r="S767" s="5"/>
      <c r="T767" s="3"/>
      <c r="U767" s="3" t="s">
        <v>153</v>
      </c>
      <c r="V767" s="3"/>
      <c r="W767" s="6"/>
      <c r="X767" s="6"/>
      <c r="Y767" s="3"/>
      <c r="Z767" s="3"/>
      <c r="AA767" s="3"/>
      <c r="AB767" s="3" t="s">
        <v>42</v>
      </c>
    </row>
    <row r="768" spans="1:28" ht="33" customHeight="1" x14ac:dyDescent="0.25">
      <c r="A768" s="7" t="s">
        <v>1577</v>
      </c>
      <c r="B768" s="3" t="s">
        <v>1315</v>
      </c>
      <c r="C768" s="3" t="s">
        <v>1316</v>
      </c>
      <c r="D768" s="6"/>
      <c r="E768" s="6">
        <v>45535</v>
      </c>
      <c r="F768" s="3"/>
      <c r="G768" s="6"/>
      <c r="H768" s="3"/>
      <c r="I768" s="6"/>
      <c r="J768" s="3" t="s">
        <v>1098</v>
      </c>
      <c r="K768" s="3"/>
      <c r="L768" s="3">
        <v>2197747</v>
      </c>
      <c r="M768" s="3" t="s">
        <v>48</v>
      </c>
      <c r="N768" s="3" t="s">
        <v>1317</v>
      </c>
      <c r="O768" s="3" t="s">
        <v>441</v>
      </c>
      <c r="P768" s="3" t="s">
        <v>1318</v>
      </c>
      <c r="Q768" s="5">
        <v>81549.708360336997</v>
      </c>
      <c r="R768" s="5"/>
      <c r="S768" s="5"/>
      <c r="T768" s="3"/>
      <c r="U768" s="3" t="s">
        <v>153</v>
      </c>
      <c r="V768" s="3"/>
      <c r="W768" s="6"/>
      <c r="X768" s="6"/>
      <c r="Y768" s="3"/>
      <c r="Z768" s="3"/>
      <c r="AA768" s="3"/>
      <c r="AB768" s="3" t="s">
        <v>42</v>
      </c>
    </row>
    <row r="769" spans="1:28" ht="33" customHeight="1" x14ac:dyDescent="0.25">
      <c r="A769" s="7" t="s">
        <v>1578</v>
      </c>
      <c r="B769" s="3" t="s">
        <v>1315</v>
      </c>
      <c r="C769" s="3" t="s">
        <v>1316</v>
      </c>
      <c r="D769" s="6"/>
      <c r="E769" s="6">
        <v>45900</v>
      </c>
      <c r="F769" s="3"/>
      <c r="G769" s="6"/>
      <c r="H769" s="3"/>
      <c r="I769" s="6"/>
      <c r="J769" s="3" t="s">
        <v>1098</v>
      </c>
      <c r="K769" s="3"/>
      <c r="L769" s="3">
        <v>2197747</v>
      </c>
      <c r="M769" s="3" t="s">
        <v>48</v>
      </c>
      <c r="N769" s="3" t="s">
        <v>1317</v>
      </c>
      <c r="O769" s="3" t="s">
        <v>441</v>
      </c>
      <c r="P769" s="3" t="s">
        <v>1318</v>
      </c>
      <c r="Q769" s="5">
        <v>64600</v>
      </c>
      <c r="R769" s="5"/>
      <c r="S769" s="5"/>
      <c r="T769" s="3"/>
      <c r="U769" s="3" t="s">
        <v>153</v>
      </c>
      <c r="V769" s="3"/>
      <c r="W769" s="6"/>
      <c r="X769" s="6"/>
      <c r="Y769" s="3"/>
      <c r="Z769" s="3"/>
      <c r="AA769" s="3"/>
      <c r="AB769" s="3" t="s">
        <v>42</v>
      </c>
    </row>
    <row r="770" spans="1:28" ht="33" customHeight="1" x14ac:dyDescent="0.25">
      <c r="A770" s="7" t="s">
        <v>1579</v>
      </c>
      <c r="B770" s="3" t="s">
        <v>1315</v>
      </c>
      <c r="C770" s="3" t="s">
        <v>1316</v>
      </c>
      <c r="D770" s="6"/>
      <c r="E770" s="6">
        <v>45900</v>
      </c>
      <c r="F770" s="3"/>
      <c r="G770" s="6"/>
      <c r="H770" s="3"/>
      <c r="I770" s="6"/>
      <c r="J770" s="3" t="s">
        <v>1098</v>
      </c>
      <c r="K770" s="3"/>
      <c r="L770" s="3">
        <v>2197747</v>
      </c>
      <c r="M770" s="3" t="s">
        <v>48</v>
      </c>
      <c r="N770" s="3" t="s">
        <v>1317</v>
      </c>
      <c r="O770" s="3" t="s">
        <v>441</v>
      </c>
      <c r="P770" s="3" t="s">
        <v>1318</v>
      </c>
      <c r="Q770" s="5">
        <v>48046.991137123914</v>
      </c>
      <c r="R770" s="5"/>
      <c r="S770" s="5"/>
      <c r="T770" s="3"/>
      <c r="U770" s="3" t="s">
        <v>153</v>
      </c>
      <c r="V770" s="3"/>
      <c r="W770" s="6"/>
      <c r="X770" s="6"/>
      <c r="Y770" s="3"/>
      <c r="Z770" s="3"/>
      <c r="AA770" s="3"/>
      <c r="AB770" s="3" t="s">
        <v>42</v>
      </c>
    </row>
    <row r="771" spans="1:28" ht="33" customHeight="1" x14ac:dyDescent="0.25">
      <c r="A771" s="7" t="s">
        <v>1580</v>
      </c>
      <c r="B771" s="3" t="s">
        <v>1315</v>
      </c>
      <c r="C771" s="3" t="s">
        <v>1316</v>
      </c>
      <c r="D771" s="6"/>
      <c r="E771" s="6">
        <v>45535</v>
      </c>
      <c r="F771" s="3"/>
      <c r="G771" s="6"/>
      <c r="H771" s="3"/>
      <c r="I771" s="6"/>
      <c r="J771" s="3" t="s">
        <v>1098</v>
      </c>
      <c r="K771" s="3"/>
      <c r="L771" s="3">
        <v>2197747</v>
      </c>
      <c r="M771" s="3" t="s">
        <v>48</v>
      </c>
      <c r="N771" s="3" t="s">
        <v>1317</v>
      </c>
      <c r="O771" s="3" t="s">
        <v>441</v>
      </c>
      <c r="P771" s="3" t="s">
        <v>1318</v>
      </c>
      <c r="Q771" s="5">
        <v>0</v>
      </c>
      <c r="R771" s="5"/>
      <c r="S771" s="5"/>
      <c r="T771" s="3"/>
      <c r="U771" s="3" t="s">
        <v>153</v>
      </c>
      <c r="V771" s="3"/>
      <c r="W771" s="6"/>
      <c r="X771" s="6"/>
      <c r="Y771" s="3"/>
      <c r="Z771" s="3"/>
      <c r="AA771" s="3"/>
      <c r="AB771" s="3" t="s">
        <v>42</v>
      </c>
    </row>
    <row r="772" spans="1:28" ht="33" customHeight="1" x14ac:dyDescent="0.25">
      <c r="A772" s="7" t="s">
        <v>1581</v>
      </c>
      <c r="B772" s="3" t="s">
        <v>1315</v>
      </c>
      <c r="C772" s="3" t="s">
        <v>1316</v>
      </c>
      <c r="D772" s="6"/>
      <c r="E772" s="6">
        <v>45900</v>
      </c>
      <c r="F772" s="3"/>
      <c r="G772" s="6"/>
      <c r="H772" s="3"/>
      <c r="I772" s="6"/>
      <c r="J772" s="3" t="s">
        <v>1098</v>
      </c>
      <c r="K772" s="3"/>
      <c r="L772" s="3">
        <v>2197747</v>
      </c>
      <c r="M772" s="3" t="s">
        <v>48</v>
      </c>
      <c r="N772" s="3" t="s">
        <v>1317</v>
      </c>
      <c r="O772" s="3" t="s">
        <v>441</v>
      </c>
      <c r="P772" s="3" t="s">
        <v>1318</v>
      </c>
      <c r="Q772" s="5">
        <v>35363.937659207724</v>
      </c>
      <c r="R772" s="5"/>
      <c r="S772" s="5"/>
      <c r="T772" s="3"/>
      <c r="U772" s="3" t="s">
        <v>153</v>
      </c>
      <c r="V772" s="3"/>
      <c r="W772" s="6"/>
      <c r="X772" s="6"/>
      <c r="Y772" s="3"/>
      <c r="Z772" s="3"/>
      <c r="AA772" s="3"/>
      <c r="AB772" s="3" t="s">
        <v>42</v>
      </c>
    </row>
    <row r="773" spans="1:28" ht="33" customHeight="1" x14ac:dyDescent="0.25">
      <c r="A773" s="7" t="s">
        <v>1582</v>
      </c>
      <c r="B773" s="3" t="s">
        <v>1315</v>
      </c>
      <c r="C773" s="3" t="s">
        <v>1316</v>
      </c>
      <c r="D773" s="6"/>
      <c r="E773" s="6">
        <v>45535</v>
      </c>
      <c r="F773" s="3"/>
      <c r="G773" s="6"/>
      <c r="H773" s="3"/>
      <c r="I773" s="6"/>
      <c r="J773" s="3" t="s">
        <v>1561</v>
      </c>
      <c r="K773" s="3"/>
      <c r="L773" s="3">
        <v>13274240</v>
      </c>
      <c r="M773" s="3" t="s">
        <v>1562</v>
      </c>
      <c r="N773" s="3" t="s">
        <v>1317</v>
      </c>
      <c r="O773" s="3" t="s">
        <v>441</v>
      </c>
      <c r="P773" s="3" t="s">
        <v>1318</v>
      </c>
      <c r="Q773" s="5">
        <v>47167.044718081655</v>
      </c>
      <c r="R773" s="5"/>
      <c r="S773" s="5"/>
      <c r="T773" s="3"/>
      <c r="U773" s="3" t="s">
        <v>153</v>
      </c>
      <c r="V773" s="3"/>
      <c r="W773" s="6"/>
      <c r="X773" s="6"/>
      <c r="Y773" s="3"/>
      <c r="Z773" s="3"/>
      <c r="AA773" s="3"/>
      <c r="AB773" s="3" t="s">
        <v>42</v>
      </c>
    </row>
    <row r="774" spans="1:28" ht="33" customHeight="1" x14ac:dyDescent="0.25">
      <c r="A774" s="7" t="s">
        <v>1583</v>
      </c>
      <c r="B774" s="3" t="s">
        <v>1315</v>
      </c>
      <c r="C774" s="3" t="s">
        <v>1316</v>
      </c>
      <c r="D774" s="6"/>
      <c r="E774" s="6">
        <v>45535</v>
      </c>
      <c r="F774" s="3"/>
      <c r="G774" s="6"/>
      <c r="H774" s="3"/>
      <c r="I774" s="6"/>
      <c r="J774" s="3" t="s">
        <v>1561</v>
      </c>
      <c r="K774" s="3"/>
      <c r="L774" s="3">
        <v>13274240</v>
      </c>
      <c r="M774" s="3" t="s">
        <v>1562</v>
      </c>
      <c r="N774" s="3" t="s">
        <v>1317</v>
      </c>
      <c r="O774" s="3" t="s">
        <v>441</v>
      </c>
      <c r="P774" s="3" t="s">
        <v>1318</v>
      </c>
      <c r="Q774" s="5">
        <v>45136.885003240444</v>
      </c>
      <c r="R774" s="5"/>
      <c r="S774" s="5"/>
      <c r="T774" s="3"/>
      <c r="U774" s="3" t="s">
        <v>153</v>
      </c>
      <c r="V774" s="3"/>
      <c r="W774" s="6"/>
      <c r="X774" s="6"/>
      <c r="Y774" s="3"/>
      <c r="Z774" s="3"/>
      <c r="AA774" s="3"/>
      <c r="AB774" s="3" t="s">
        <v>42</v>
      </c>
    </row>
    <row r="775" spans="1:28" ht="33" customHeight="1" x14ac:dyDescent="0.25">
      <c r="A775" s="7" t="s">
        <v>1584</v>
      </c>
      <c r="B775" s="3" t="s">
        <v>1315</v>
      </c>
      <c r="C775" s="3" t="s">
        <v>1316</v>
      </c>
      <c r="D775" s="6"/>
      <c r="E775" s="6">
        <v>45535</v>
      </c>
      <c r="F775" s="3"/>
      <c r="G775" s="6"/>
      <c r="H775" s="3"/>
      <c r="I775" s="6"/>
      <c r="J775" s="3" t="s">
        <v>1561</v>
      </c>
      <c r="K775" s="3"/>
      <c r="L775" s="3">
        <v>13274240</v>
      </c>
      <c r="M775" s="3" t="s">
        <v>1562</v>
      </c>
      <c r="N775" s="3" t="s">
        <v>1317</v>
      </c>
      <c r="O775" s="3" t="s">
        <v>441</v>
      </c>
      <c r="P775" s="3" t="s">
        <v>1318</v>
      </c>
      <c r="Q775" s="5">
        <v>45061.699325988331</v>
      </c>
      <c r="R775" s="5"/>
      <c r="S775" s="5"/>
      <c r="T775" s="3"/>
      <c r="U775" s="3" t="s">
        <v>153</v>
      </c>
      <c r="V775" s="3"/>
      <c r="W775" s="6"/>
      <c r="X775" s="6"/>
      <c r="Y775" s="3"/>
      <c r="Z775" s="3"/>
      <c r="AA775" s="3"/>
      <c r="AB775" s="3" t="s">
        <v>42</v>
      </c>
    </row>
    <row r="776" spans="1:28" ht="33" customHeight="1" x14ac:dyDescent="0.25">
      <c r="A776" s="7" t="s">
        <v>1585</v>
      </c>
      <c r="B776" s="3" t="s">
        <v>1315</v>
      </c>
      <c r="C776" s="3" t="s">
        <v>1316</v>
      </c>
      <c r="D776" s="6"/>
      <c r="E776" s="6">
        <v>45535</v>
      </c>
      <c r="F776" s="3"/>
      <c r="G776" s="6"/>
      <c r="H776" s="3"/>
      <c r="I776" s="6"/>
      <c r="J776" s="3" t="s">
        <v>68</v>
      </c>
      <c r="K776" s="3"/>
      <c r="L776" s="3">
        <v>1990370</v>
      </c>
      <c r="M776" s="3" t="s">
        <v>34</v>
      </c>
      <c r="N776" s="3" t="s">
        <v>1317</v>
      </c>
      <c r="O776" s="3" t="s">
        <v>441</v>
      </c>
      <c r="P776" s="3" t="s">
        <v>1318</v>
      </c>
      <c r="Q776" s="5">
        <v>22945.035450421259</v>
      </c>
      <c r="R776" s="5"/>
      <c r="S776" s="5"/>
      <c r="T776" s="3"/>
      <c r="U776" s="3" t="s">
        <v>153</v>
      </c>
      <c r="V776" s="3"/>
      <c r="W776" s="6"/>
      <c r="X776" s="6"/>
      <c r="Y776" s="3"/>
      <c r="Z776" s="3"/>
      <c r="AA776" s="3"/>
      <c r="AB776" s="3" t="s">
        <v>42</v>
      </c>
    </row>
    <row r="777" spans="1:28" ht="33" customHeight="1" x14ac:dyDescent="0.25">
      <c r="A777" s="7" t="s">
        <v>1586</v>
      </c>
      <c r="B777" s="3" t="s">
        <v>1315</v>
      </c>
      <c r="C777" s="3" t="s">
        <v>1316</v>
      </c>
      <c r="D777" s="6"/>
      <c r="E777" s="6">
        <v>45535</v>
      </c>
      <c r="F777" s="3"/>
      <c r="G777" s="6"/>
      <c r="H777" s="3"/>
      <c r="I777" s="6"/>
      <c r="J777" s="3" t="s">
        <v>68</v>
      </c>
      <c r="K777" s="3"/>
      <c r="L777" s="3">
        <v>1990370</v>
      </c>
      <c r="M777" s="3" t="s">
        <v>34</v>
      </c>
      <c r="N777" s="3" t="s">
        <v>1317</v>
      </c>
      <c r="O777" s="3" t="s">
        <v>441</v>
      </c>
      <c r="P777" s="3" t="s">
        <v>1318</v>
      </c>
      <c r="Q777" s="5">
        <v>40572</v>
      </c>
      <c r="R777" s="5"/>
      <c r="S777" s="5"/>
      <c r="T777" s="3"/>
      <c r="U777" s="3" t="s">
        <v>153</v>
      </c>
      <c r="V777" s="3"/>
      <c r="W777" s="6"/>
      <c r="X777" s="6"/>
      <c r="Y777" s="3"/>
      <c r="Z777" s="3"/>
      <c r="AA777" s="3"/>
      <c r="AB777" s="3" t="s">
        <v>42</v>
      </c>
    </row>
    <row r="778" spans="1:28" ht="33" customHeight="1" x14ac:dyDescent="0.25">
      <c r="A778" s="7" t="s">
        <v>1587</v>
      </c>
      <c r="B778" s="3" t="s">
        <v>1315</v>
      </c>
      <c r="C778" s="3" t="s">
        <v>1316</v>
      </c>
      <c r="D778" s="6"/>
      <c r="E778" s="6">
        <v>45535</v>
      </c>
      <c r="F778" s="3"/>
      <c r="G778" s="6"/>
      <c r="H778" s="3"/>
      <c r="I778" s="6"/>
      <c r="J778" s="3" t="s">
        <v>68</v>
      </c>
      <c r="K778" s="3"/>
      <c r="L778" s="3">
        <v>1990370</v>
      </c>
      <c r="M778" s="3" t="s">
        <v>34</v>
      </c>
      <c r="N778" s="3" t="s">
        <v>1317</v>
      </c>
      <c r="O778" s="3" t="s">
        <v>441</v>
      </c>
      <c r="P778" s="3" t="s">
        <v>1318</v>
      </c>
      <c r="Q778" s="5">
        <v>40572</v>
      </c>
      <c r="R778" s="5"/>
      <c r="S778" s="5"/>
      <c r="T778" s="3"/>
      <c r="U778" s="3" t="s">
        <v>153</v>
      </c>
      <c r="V778" s="3"/>
      <c r="W778" s="6"/>
      <c r="X778" s="6"/>
      <c r="Y778" s="3"/>
      <c r="Z778" s="3"/>
      <c r="AA778" s="3"/>
      <c r="AB778" s="3" t="s">
        <v>42</v>
      </c>
    </row>
    <row r="779" spans="1:28" ht="33" customHeight="1" x14ac:dyDescent="0.25">
      <c r="A779" s="7" t="s">
        <v>1588</v>
      </c>
      <c r="B779" s="3" t="s">
        <v>1315</v>
      </c>
      <c r="C779" s="3" t="s">
        <v>1316</v>
      </c>
      <c r="D779" s="6"/>
      <c r="E779" s="6">
        <v>45535</v>
      </c>
      <c r="F779" s="3"/>
      <c r="G779" s="6"/>
      <c r="H779" s="3"/>
      <c r="I779" s="6"/>
      <c r="J779" s="3" t="s">
        <v>68</v>
      </c>
      <c r="K779" s="3"/>
      <c r="L779" s="3">
        <v>1990370</v>
      </c>
      <c r="M779" s="3" t="s">
        <v>34</v>
      </c>
      <c r="N779" s="3" t="s">
        <v>1317</v>
      </c>
      <c r="O779" s="3" t="s">
        <v>441</v>
      </c>
      <c r="P779" s="3" t="s">
        <v>1318</v>
      </c>
      <c r="Q779" s="5">
        <v>47289.391808165914</v>
      </c>
      <c r="R779" s="5"/>
      <c r="S779" s="5"/>
      <c r="T779" s="3"/>
      <c r="U779" s="3" t="s">
        <v>153</v>
      </c>
      <c r="V779" s="3"/>
      <c r="W779" s="6"/>
      <c r="X779" s="6"/>
      <c r="Y779" s="3"/>
      <c r="Z779" s="3"/>
      <c r="AA779" s="3"/>
      <c r="AB779" s="3" t="s">
        <v>42</v>
      </c>
    </row>
    <row r="780" spans="1:28" ht="33" customHeight="1" x14ac:dyDescent="0.25">
      <c r="A780" s="7" t="s">
        <v>1589</v>
      </c>
      <c r="B780" s="3" t="s">
        <v>1315</v>
      </c>
      <c r="C780" s="3" t="s">
        <v>1316</v>
      </c>
      <c r="D780" s="6"/>
      <c r="E780" s="6">
        <v>45535</v>
      </c>
      <c r="F780" s="3"/>
      <c r="G780" s="6"/>
      <c r="H780" s="3"/>
      <c r="I780" s="6"/>
      <c r="J780" s="3" t="s">
        <v>68</v>
      </c>
      <c r="K780" s="3"/>
      <c r="L780" s="3">
        <v>1990370</v>
      </c>
      <c r="M780" s="3" t="s">
        <v>34</v>
      </c>
      <c r="N780" s="3" t="s">
        <v>1317</v>
      </c>
      <c r="O780" s="3" t="s">
        <v>441</v>
      </c>
      <c r="P780" s="3" t="s">
        <v>1318</v>
      </c>
      <c r="Q780" s="5">
        <v>56794.36029812054</v>
      </c>
      <c r="R780" s="5"/>
      <c r="S780" s="5"/>
      <c r="T780" s="3"/>
      <c r="U780" s="3" t="s">
        <v>153</v>
      </c>
      <c r="V780" s="3"/>
      <c r="W780" s="6"/>
      <c r="X780" s="6"/>
      <c r="Y780" s="3"/>
      <c r="Z780" s="3"/>
      <c r="AA780" s="3"/>
      <c r="AB780" s="3" t="s">
        <v>42</v>
      </c>
    </row>
    <row r="781" spans="1:28" ht="33" customHeight="1" x14ac:dyDescent="0.25">
      <c r="A781" s="7" t="s">
        <v>1590</v>
      </c>
      <c r="B781" s="3" t="s">
        <v>1315</v>
      </c>
      <c r="C781" s="3" t="s">
        <v>1316</v>
      </c>
      <c r="D781" s="6"/>
      <c r="E781" s="6">
        <v>45535</v>
      </c>
      <c r="F781" s="3"/>
      <c r="G781" s="6"/>
      <c r="H781" s="3"/>
      <c r="I781" s="6"/>
      <c r="J781" s="3" t="s">
        <v>68</v>
      </c>
      <c r="K781" s="3"/>
      <c r="L781" s="3">
        <v>1990370</v>
      </c>
      <c r="M781" s="3" t="s">
        <v>34</v>
      </c>
      <c r="N781" s="3" t="s">
        <v>1317</v>
      </c>
      <c r="O781" s="3" t="s">
        <v>441</v>
      </c>
      <c r="P781" s="3" t="s">
        <v>1318</v>
      </c>
      <c r="Q781" s="5">
        <v>48114.801011017495</v>
      </c>
      <c r="R781" s="5"/>
      <c r="S781" s="5"/>
      <c r="T781" s="3"/>
      <c r="U781" s="3" t="s">
        <v>153</v>
      </c>
      <c r="V781" s="3"/>
      <c r="W781" s="6"/>
      <c r="X781" s="6"/>
      <c r="Y781" s="3"/>
      <c r="Z781" s="3"/>
      <c r="AA781" s="3"/>
      <c r="AB781" s="3" t="s">
        <v>42</v>
      </c>
    </row>
    <row r="782" spans="1:28" ht="33" customHeight="1" x14ac:dyDescent="0.25">
      <c r="A782" s="7" t="s">
        <v>1591</v>
      </c>
      <c r="B782" s="3" t="s">
        <v>1315</v>
      </c>
      <c r="C782" s="3" t="s">
        <v>1316</v>
      </c>
      <c r="D782" s="6"/>
      <c r="E782" s="6">
        <v>45900</v>
      </c>
      <c r="F782" s="3"/>
      <c r="G782" s="6"/>
      <c r="H782" s="3"/>
      <c r="I782" s="6"/>
      <c r="J782" s="3" t="s">
        <v>68</v>
      </c>
      <c r="K782" s="3"/>
      <c r="L782" s="3">
        <v>1990370</v>
      </c>
      <c r="M782" s="3" t="s">
        <v>34</v>
      </c>
      <c r="N782" s="3" t="s">
        <v>1317</v>
      </c>
      <c r="O782" s="3" t="s">
        <v>441</v>
      </c>
      <c r="P782" s="3" t="s">
        <v>1318</v>
      </c>
      <c r="Q782" s="5">
        <v>47336.958716785484</v>
      </c>
      <c r="R782" s="5"/>
      <c r="S782" s="5"/>
      <c r="T782" s="3"/>
      <c r="U782" s="3" t="s">
        <v>153</v>
      </c>
      <c r="V782" s="3"/>
      <c r="W782" s="6"/>
      <c r="X782" s="6"/>
      <c r="Y782" s="3"/>
      <c r="Z782" s="3"/>
      <c r="AA782" s="3"/>
      <c r="AB782" s="3" t="s">
        <v>42</v>
      </c>
    </row>
    <row r="783" spans="1:28" ht="33" customHeight="1" x14ac:dyDescent="0.25">
      <c r="A783" s="7" t="s">
        <v>1592</v>
      </c>
      <c r="B783" s="3" t="s">
        <v>1315</v>
      </c>
      <c r="C783" s="3" t="s">
        <v>1316</v>
      </c>
      <c r="D783" s="6"/>
      <c r="E783" s="6">
        <v>45535</v>
      </c>
      <c r="F783" s="3"/>
      <c r="G783" s="6"/>
      <c r="H783" s="3"/>
      <c r="I783" s="6"/>
      <c r="J783" s="3" t="s">
        <v>68</v>
      </c>
      <c r="K783" s="3"/>
      <c r="L783" s="3">
        <v>1990370</v>
      </c>
      <c r="M783" s="3" t="s">
        <v>34</v>
      </c>
      <c r="N783" s="3" t="s">
        <v>1317</v>
      </c>
      <c r="O783" s="3" t="s">
        <v>441</v>
      </c>
      <c r="P783" s="3" t="s">
        <v>1318</v>
      </c>
      <c r="Q783" s="5">
        <v>47002.402164614388</v>
      </c>
      <c r="R783" s="5"/>
      <c r="S783" s="5"/>
      <c r="T783" s="3"/>
      <c r="U783" s="3" t="s">
        <v>153</v>
      </c>
      <c r="V783" s="3"/>
      <c r="W783" s="6"/>
      <c r="X783" s="6"/>
      <c r="Y783" s="3"/>
      <c r="Z783" s="3"/>
      <c r="AA783" s="3"/>
      <c r="AB783" s="3" t="s">
        <v>42</v>
      </c>
    </row>
    <row r="784" spans="1:28" ht="33" customHeight="1" x14ac:dyDescent="0.25">
      <c r="A784" s="7" t="s">
        <v>1593</v>
      </c>
      <c r="B784" s="3" t="s">
        <v>1315</v>
      </c>
      <c r="C784" s="3" t="s">
        <v>1316</v>
      </c>
      <c r="D784" s="6"/>
      <c r="E784" s="6">
        <v>45535</v>
      </c>
      <c r="F784" s="3"/>
      <c r="G784" s="6"/>
      <c r="H784" s="3"/>
      <c r="I784" s="6"/>
      <c r="J784" s="3" t="s">
        <v>68</v>
      </c>
      <c r="K784" s="3"/>
      <c r="L784" s="3">
        <v>1990370</v>
      </c>
      <c r="M784" s="3" t="s">
        <v>34</v>
      </c>
      <c r="N784" s="3" t="s">
        <v>1317</v>
      </c>
      <c r="O784" s="3" t="s">
        <v>441</v>
      </c>
      <c r="P784" s="3" t="s">
        <v>1318</v>
      </c>
      <c r="Q784" s="5">
        <v>47667.156189241738</v>
      </c>
      <c r="R784" s="5"/>
      <c r="S784" s="5"/>
      <c r="T784" s="3"/>
      <c r="U784" s="3" t="s">
        <v>153</v>
      </c>
      <c r="V784" s="3"/>
      <c r="W784" s="6"/>
      <c r="X784" s="6"/>
      <c r="Y784" s="3"/>
      <c r="Z784" s="3"/>
      <c r="AA784" s="3"/>
      <c r="AB784" s="3" t="s">
        <v>42</v>
      </c>
    </row>
    <row r="785" spans="1:28" ht="33" customHeight="1" x14ac:dyDescent="0.25">
      <c r="A785" s="7" t="s">
        <v>1594</v>
      </c>
      <c r="B785" s="3" t="s">
        <v>1315</v>
      </c>
      <c r="C785" s="3" t="s">
        <v>1316</v>
      </c>
      <c r="D785" s="6"/>
      <c r="E785" s="6">
        <v>45535</v>
      </c>
      <c r="F785" s="3"/>
      <c r="G785" s="6"/>
      <c r="H785" s="3"/>
      <c r="I785" s="6"/>
      <c r="J785" s="3" t="s">
        <v>68</v>
      </c>
      <c r="K785" s="3"/>
      <c r="L785" s="3">
        <v>1990370</v>
      </c>
      <c r="M785" s="3" t="s">
        <v>34</v>
      </c>
      <c r="N785" s="3" t="s">
        <v>1317</v>
      </c>
      <c r="O785" s="3" t="s">
        <v>441</v>
      </c>
      <c r="P785" s="3" t="s">
        <v>1318</v>
      </c>
      <c r="Q785" s="5">
        <v>46035.137018794558</v>
      </c>
      <c r="R785" s="5"/>
      <c r="S785" s="5"/>
      <c r="T785" s="3"/>
      <c r="U785" s="3" t="s">
        <v>153</v>
      </c>
      <c r="V785" s="3"/>
      <c r="W785" s="6"/>
      <c r="X785" s="6"/>
      <c r="Y785" s="3"/>
      <c r="Z785" s="3"/>
      <c r="AA785" s="3"/>
      <c r="AB785" s="3" t="s">
        <v>42</v>
      </c>
    </row>
    <row r="786" spans="1:28" ht="33" customHeight="1" x14ac:dyDescent="0.25">
      <c r="A786" s="7" t="s">
        <v>1595</v>
      </c>
      <c r="B786" s="3" t="s">
        <v>1315</v>
      </c>
      <c r="C786" s="3" t="s">
        <v>1316</v>
      </c>
      <c r="D786" s="6"/>
      <c r="E786" s="6">
        <v>45535</v>
      </c>
      <c r="F786" s="3"/>
      <c r="G786" s="6"/>
      <c r="H786" s="3"/>
      <c r="I786" s="6"/>
      <c r="J786" s="3" t="s">
        <v>68</v>
      </c>
      <c r="K786" s="3"/>
      <c r="L786" s="3">
        <v>1990370</v>
      </c>
      <c r="M786" s="3" t="s">
        <v>34</v>
      </c>
      <c r="N786" s="3" t="s">
        <v>1317</v>
      </c>
      <c r="O786" s="3" t="s">
        <v>441</v>
      </c>
      <c r="P786" s="3" t="s">
        <v>1318</v>
      </c>
      <c r="Q786" s="5">
        <v>46877.126493843163</v>
      </c>
      <c r="R786" s="5"/>
      <c r="S786" s="5"/>
      <c r="T786" s="3"/>
      <c r="U786" s="3" t="s">
        <v>153</v>
      </c>
      <c r="V786" s="3"/>
      <c r="W786" s="6"/>
      <c r="X786" s="6"/>
      <c r="Y786" s="3"/>
      <c r="Z786" s="3"/>
      <c r="AA786" s="3"/>
      <c r="AB786" s="3" t="s">
        <v>42</v>
      </c>
    </row>
    <row r="787" spans="1:28" ht="33" customHeight="1" x14ac:dyDescent="0.25">
      <c r="A787" s="7" t="s">
        <v>1596</v>
      </c>
      <c r="B787" s="3" t="s">
        <v>1315</v>
      </c>
      <c r="C787" s="3" t="s">
        <v>1316</v>
      </c>
      <c r="D787" s="6"/>
      <c r="E787" s="6">
        <v>45900</v>
      </c>
      <c r="F787" s="3"/>
      <c r="G787" s="6"/>
      <c r="H787" s="3"/>
      <c r="I787" s="6"/>
      <c r="J787" s="3" t="s">
        <v>68</v>
      </c>
      <c r="K787" s="3"/>
      <c r="L787" s="3">
        <v>1990370</v>
      </c>
      <c r="M787" s="3" t="s">
        <v>34</v>
      </c>
      <c r="N787" s="3" t="s">
        <v>1317</v>
      </c>
      <c r="O787" s="3" t="s">
        <v>441</v>
      </c>
      <c r="P787" s="3" t="s">
        <v>1318</v>
      </c>
      <c r="Q787" s="5">
        <v>58726</v>
      </c>
      <c r="R787" s="5"/>
      <c r="S787" s="5"/>
      <c r="T787" s="3"/>
      <c r="U787" s="3" t="s">
        <v>153</v>
      </c>
      <c r="V787" s="3"/>
      <c r="W787" s="6"/>
      <c r="X787" s="6"/>
      <c r="Y787" s="3"/>
      <c r="Z787" s="3"/>
      <c r="AA787" s="3"/>
      <c r="AB787" s="3" t="s">
        <v>42</v>
      </c>
    </row>
    <row r="788" spans="1:28" ht="33" customHeight="1" x14ac:dyDescent="0.25">
      <c r="A788" s="7" t="s">
        <v>1597</v>
      </c>
      <c r="B788" s="3" t="s">
        <v>1315</v>
      </c>
      <c r="C788" s="3" t="s">
        <v>1316</v>
      </c>
      <c r="D788" s="6"/>
      <c r="E788" s="6">
        <v>45535</v>
      </c>
      <c r="F788" s="3"/>
      <c r="G788" s="6"/>
      <c r="H788" s="3"/>
      <c r="I788" s="6"/>
      <c r="J788" s="3" t="s">
        <v>68</v>
      </c>
      <c r="K788" s="3"/>
      <c r="L788" s="3">
        <v>1990370</v>
      </c>
      <c r="M788" s="3" t="s">
        <v>34</v>
      </c>
      <c r="N788" s="3" t="s">
        <v>1317</v>
      </c>
      <c r="O788" s="3" t="s">
        <v>441</v>
      </c>
      <c r="P788" s="3" t="s">
        <v>1318</v>
      </c>
      <c r="Q788" s="5">
        <v>47120.018470511983</v>
      </c>
      <c r="R788" s="5"/>
      <c r="S788" s="5"/>
      <c r="T788" s="3"/>
      <c r="U788" s="3" t="s">
        <v>153</v>
      </c>
      <c r="V788" s="3"/>
      <c r="W788" s="6"/>
      <c r="X788" s="6"/>
      <c r="Y788" s="3"/>
      <c r="Z788" s="3"/>
      <c r="AA788" s="3"/>
      <c r="AB788" s="3" t="s">
        <v>42</v>
      </c>
    </row>
    <row r="789" spans="1:28" ht="33" customHeight="1" x14ac:dyDescent="0.25">
      <c r="A789" s="7" t="s">
        <v>1598</v>
      </c>
      <c r="B789" s="3" t="s">
        <v>1315</v>
      </c>
      <c r="C789" s="3" t="s">
        <v>1316</v>
      </c>
      <c r="D789" s="6"/>
      <c r="E789" s="6">
        <v>45535</v>
      </c>
      <c r="F789" s="3"/>
      <c r="G789" s="6"/>
      <c r="H789" s="3"/>
      <c r="I789" s="6"/>
      <c r="J789" s="3" t="s">
        <v>68</v>
      </c>
      <c r="K789" s="3"/>
      <c r="L789" s="3">
        <v>1990370</v>
      </c>
      <c r="M789" s="3" t="s">
        <v>34</v>
      </c>
      <c r="N789" s="3" t="s">
        <v>1317</v>
      </c>
      <c r="O789" s="3" t="s">
        <v>441</v>
      </c>
      <c r="P789" s="3" t="s">
        <v>1318</v>
      </c>
      <c r="Q789" s="5">
        <v>45723.603616331828</v>
      </c>
      <c r="R789" s="5"/>
      <c r="S789" s="5"/>
      <c r="T789" s="3"/>
      <c r="U789" s="3" t="s">
        <v>153</v>
      </c>
      <c r="V789" s="3"/>
      <c r="W789" s="6"/>
      <c r="X789" s="6"/>
      <c r="Y789" s="3"/>
      <c r="Z789" s="3"/>
      <c r="AA789" s="3"/>
      <c r="AB789" s="3" t="s">
        <v>42</v>
      </c>
    </row>
    <row r="790" spans="1:28" ht="33" customHeight="1" x14ac:dyDescent="0.25">
      <c r="A790" s="7" t="s">
        <v>1599</v>
      </c>
      <c r="B790" s="3" t="s">
        <v>1315</v>
      </c>
      <c r="C790" s="3" t="s">
        <v>1316</v>
      </c>
      <c r="D790" s="6"/>
      <c r="E790" s="6">
        <v>45900</v>
      </c>
      <c r="F790" s="3"/>
      <c r="G790" s="6"/>
      <c r="H790" s="3"/>
      <c r="I790" s="6"/>
      <c r="J790" s="3" t="s">
        <v>68</v>
      </c>
      <c r="K790" s="3"/>
      <c r="L790" s="3">
        <v>1990370</v>
      </c>
      <c r="M790" s="3" t="s">
        <v>34</v>
      </c>
      <c r="N790" s="3" t="s">
        <v>1317</v>
      </c>
      <c r="O790" s="3" t="s">
        <v>441</v>
      </c>
      <c r="P790" s="3" t="s">
        <v>1318</v>
      </c>
      <c r="Q790" s="5">
        <v>59426.5</v>
      </c>
      <c r="R790" s="5"/>
      <c r="S790" s="5"/>
      <c r="T790" s="3"/>
      <c r="U790" s="3" t="s">
        <v>153</v>
      </c>
      <c r="V790" s="3"/>
      <c r="W790" s="6"/>
      <c r="X790" s="6"/>
      <c r="Y790" s="3"/>
      <c r="Z790" s="3"/>
      <c r="AA790" s="3"/>
      <c r="AB790" s="3" t="s">
        <v>42</v>
      </c>
    </row>
    <row r="791" spans="1:28" ht="33" customHeight="1" x14ac:dyDescent="0.25">
      <c r="A791" s="7" t="s">
        <v>1600</v>
      </c>
      <c r="B791" s="3" t="s">
        <v>1315</v>
      </c>
      <c r="C791" s="3" t="s">
        <v>1316</v>
      </c>
      <c r="D791" s="6"/>
      <c r="E791" s="6">
        <v>45535</v>
      </c>
      <c r="F791" s="3"/>
      <c r="G791" s="6"/>
      <c r="H791" s="3"/>
      <c r="I791" s="6"/>
      <c r="J791" s="3" t="s">
        <v>68</v>
      </c>
      <c r="K791" s="3"/>
      <c r="L791" s="3">
        <v>1990370</v>
      </c>
      <c r="M791" s="3" t="s">
        <v>34</v>
      </c>
      <c r="N791" s="3" t="s">
        <v>1317</v>
      </c>
      <c r="O791" s="3" t="s">
        <v>441</v>
      </c>
      <c r="P791" s="3" t="s">
        <v>1318</v>
      </c>
      <c r="Q791" s="5">
        <v>46271.439688917686</v>
      </c>
      <c r="R791" s="5"/>
      <c r="S791" s="5"/>
      <c r="T791" s="3"/>
      <c r="U791" s="3" t="s">
        <v>153</v>
      </c>
      <c r="V791" s="3"/>
      <c r="W791" s="6"/>
      <c r="X791" s="6"/>
      <c r="Y791" s="3"/>
      <c r="Z791" s="3"/>
      <c r="AA791" s="3"/>
      <c r="AB791" s="3" t="s">
        <v>42</v>
      </c>
    </row>
    <row r="792" spans="1:28" ht="33" customHeight="1" x14ac:dyDescent="0.25">
      <c r="A792" s="7" t="s">
        <v>1601</v>
      </c>
      <c r="B792" s="3" t="s">
        <v>1315</v>
      </c>
      <c r="C792" s="3" t="s">
        <v>1316</v>
      </c>
      <c r="D792" s="6"/>
      <c r="E792" s="6">
        <v>45535</v>
      </c>
      <c r="F792" s="3"/>
      <c r="G792" s="6"/>
      <c r="H792" s="3"/>
      <c r="I792" s="6"/>
      <c r="J792" s="3" t="s">
        <v>68</v>
      </c>
      <c r="K792" s="3"/>
      <c r="L792" s="3">
        <v>1990370</v>
      </c>
      <c r="M792" s="3" t="s">
        <v>34</v>
      </c>
      <c r="N792" s="3" t="s">
        <v>1317</v>
      </c>
      <c r="O792" s="3" t="s">
        <v>441</v>
      </c>
      <c r="P792" s="3" t="s">
        <v>1318</v>
      </c>
      <c r="Q792" s="5">
        <v>44477.42495139339</v>
      </c>
      <c r="R792" s="5"/>
      <c r="S792" s="5"/>
      <c r="T792" s="3"/>
      <c r="U792" s="3" t="s">
        <v>153</v>
      </c>
      <c r="V792" s="3"/>
      <c r="W792" s="6"/>
      <c r="X792" s="6"/>
      <c r="Y792" s="3"/>
      <c r="Z792" s="3"/>
      <c r="AA792" s="3"/>
      <c r="AB792" s="3" t="s">
        <v>42</v>
      </c>
    </row>
    <row r="793" spans="1:28" ht="33" customHeight="1" x14ac:dyDescent="0.25">
      <c r="A793" s="7" t="s">
        <v>1602</v>
      </c>
      <c r="B793" s="3" t="s">
        <v>1315</v>
      </c>
      <c r="C793" s="3" t="s">
        <v>1316</v>
      </c>
      <c r="D793" s="6"/>
      <c r="E793" s="6">
        <v>45535</v>
      </c>
      <c r="F793" s="3"/>
      <c r="G793" s="6"/>
      <c r="H793" s="3"/>
      <c r="I793" s="6"/>
      <c r="J793" s="3" t="s">
        <v>68</v>
      </c>
      <c r="K793" s="3"/>
      <c r="L793" s="3">
        <v>1990370</v>
      </c>
      <c r="M793" s="3" t="s">
        <v>34</v>
      </c>
      <c r="N793" s="3" t="s">
        <v>1317</v>
      </c>
      <c r="O793" s="3" t="s">
        <v>441</v>
      </c>
      <c r="P793" s="3" t="s">
        <v>1318</v>
      </c>
      <c r="Q793" s="5">
        <v>46796.09491898898</v>
      </c>
      <c r="R793" s="5"/>
      <c r="S793" s="5"/>
      <c r="T793" s="3"/>
      <c r="U793" s="3" t="s">
        <v>153</v>
      </c>
      <c r="V793" s="3"/>
      <c r="W793" s="6"/>
      <c r="X793" s="6"/>
      <c r="Y793" s="3"/>
      <c r="Z793" s="3"/>
      <c r="AA793" s="3"/>
      <c r="AB793" s="3" t="s">
        <v>42</v>
      </c>
    </row>
    <row r="794" spans="1:28" ht="33" customHeight="1" x14ac:dyDescent="0.25">
      <c r="A794" s="7" t="s">
        <v>1603</v>
      </c>
      <c r="B794" s="3" t="s">
        <v>1315</v>
      </c>
      <c r="C794" s="3" t="s">
        <v>1316</v>
      </c>
      <c r="D794" s="6"/>
      <c r="E794" s="6">
        <v>45535</v>
      </c>
      <c r="F794" s="3"/>
      <c r="G794" s="6"/>
      <c r="H794" s="3"/>
      <c r="I794" s="6"/>
      <c r="J794" s="3" t="s">
        <v>68</v>
      </c>
      <c r="K794" s="3"/>
      <c r="L794" s="3">
        <v>1990370</v>
      </c>
      <c r="M794" s="3" t="s">
        <v>34</v>
      </c>
      <c r="N794" s="3" t="s">
        <v>1317</v>
      </c>
      <c r="O794" s="3" t="s">
        <v>441</v>
      </c>
      <c r="P794" s="3" t="s">
        <v>1318</v>
      </c>
      <c r="Q794" s="5">
        <v>47557.559688917696</v>
      </c>
      <c r="R794" s="5"/>
      <c r="S794" s="5"/>
      <c r="T794" s="3"/>
      <c r="U794" s="3" t="s">
        <v>153</v>
      </c>
      <c r="V794" s="3"/>
      <c r="W794" s="6"/>
      <c r="X794" s="6"/>
      <c r="Y794" s="3"/>
      <c r="Z794" s="3"/>
      <c r="AA794" s="3"/>
      <c r="AB794" s="3" t="s">
        <v>42</v>
      </c>
    </row>
    <row r="795" spans="1:28" ht="33" customHeight="1" x14ac:dyDescent="0.25">
      <c r="A795" s="7" t="s">
        <v>1604</v>
      </c>
      <c r="B795" s="3" t="s">
        <v>1315</v>
      </c>
      <c r="C795" s="3" t="s">
        <v>1316</v>
      </c>
      <c r="D795" s="6"/>
      <c r="E795" s="6">
        <v>45900</v>
      </c>
      <c r="F795" s="3"/>
      <c r="G795" s="6"/>
      <c r="H795" s="3"/>
      <c r="I795" s="6"/>
      <c r="J795" s="3" t="s">
        <v>68</v>
      </c>
      <c r="K795" s="3"/>
      <c r="L795" s="3">
        <v>1990370</v>
      </c>
      <c r="M795" s="3" t="s">
        <v>34</v>
      </c>
      <c r="N795" s="3" t="s">
        <v>1317</v>
      </c>
      <c r="O795" s="3" t="s">
        <v>441</v>
      </c>
      <c r="P795" s="3" t="s">
        <v>1318</v>
      </c>
      <c r="Q795" s="5">
        <v>58726</v>
      </c>
      <c r="R795" s="5"/>
      <c r="S795" s="5"/>
      <c r="T795" s="3"/>
      <c r="U795" s="3" t="s">
        <v>153</v>
      </c>
      <c r="V795" s="3"/>
      <c r="W795" s="6"/>
      <c r="X795" s="6"/>
      <c r="Y795" s="3"/>
      <c r="Z795" s="3"/>
      <c r="AA795" s="3"/>
      <c r="AB795" s="3" t="s">
        <v>42</v>
      </c>
    </row>
    <row r="796" spans="1:28" ht="33" customHeight="1" x14ac:dyDescent="0.25">
      <c r="A796" s="7" t="s">
        <v>1605</v>
      </c>
      <c r="B796" s="3" t="s">
        <v>1315</v>
      </c>
      <c r="C796" s="3" t="s">
        <v>1316</v>
      </c>
      <c r="D796" s="6"/>
      <c r="E796" s="6">
        <v>45535</v>
      </c>
      <c r="F796" s="3"/>
      <c r="G796" s="6"/>
      <c r="H796" s="3"/>
      <c r="I796" s="6"/>
      <c r="J796" s="3" t="s">
        <v>68</v>
      </c>
      <c r="K796" s="3"/>
      <c r="L796" s="3">
        <v>1990370</v>
      </c>
      <c r="M796" s="3" t="s">
        <v>34</v>
      </c>
      <c r="N796" s="3" t="s">
        <v>1317</v>
      </c>
      <c r="O796" s="3" t="s">
        <v>441</v>
      </c>
      <c r="P796" s="3" t="s">
        <v>1318</v>
      </c>
      <c r="Q796" s="5">
        <v>48195.303188593651</v>
      </c>
      <c r="R796" s="5"/>
      <c r="S796" s="5"/>
      <c r="T796" s="3"/>
      <c r="U796" s="3" t="s">
        <v>153</v>
      </c>
      <c r="V796" s="3"/>
      <c r="W796" s="6"/>
      <c r="X796" s="6"/>
      <c r="Y796" s="3"/>
      <c r="Z796" s="3"/>
      <c r="AA796" s="3"/>
      <c r="AB796" s="3" t="s">
        <v>42</v>
      </c>
    </row>
    <row r="797" spans="1:28" ht="33" customHeight="1" x14ac:dyDescent="0.25">
      <c r="A797" s="7" t="s">
        <v>1606</v>
      </c>
      <c r="B797" s="3" t="s">
        <v>1315</v>
      </c>
      <c r="C797" s="3" t="s">
        <v>1316</v>
      </c>
      <c r="D797" s="6"/>
      <c r="E797" s="6">
        <v>45900</v>
      </c>
      <c r="F797" s="3"/>
      <c r="G797" s="6"/>
      <c r="H797" s="3"/>
      <c r="I797" s="6"/>
      <c r="J797" s="3" t="s">
        <v>68</v>
      </c>
      <c r="K797" s="3"/>
      <c r="L797" s="3">
        <v>1990370</v>
      </c>
      <c r="M797" s="3" t="s">
        <v>34</v>
      </c>
      <c r="N797" s="3" t="s">
        <v>1317</v>
      </c>
      <c r="O797" s="3" t="s">
        <v>441</v>
      </c>
      <c r="P797" s="3" t="s">
        <v>1318</v>
      </c>
      <c r="Q797" s="5">
        <v>59426.5</v>
      </c>
      <c r="R797" s="5"/>
      <c r="S797" s="5"/>
      <c r="T797" s="3"/>
      <c r="U797" s="3" t="s">
        <v>153</v>
      </c>
      <c r="V797" s="3"/>
      <c r="W797" s="6"/>
      <c r="X797" s="6"/>
      <c r="Y797" s="3"/>
      <c r="Z797" s="3"/>
      <c r="AA797" s="3"/>
      <c r="AB797" s="3" t="s">
        <v>42</v>
      </c>
    </row>
    <row r="798" spans="1:28" ht="33" customHeight="1" x14ac:dyDescent="0.25">
      <c r="A798" s="7" t="s">
        <v>1607</v>
      </c>
      <c r="B798" s="3" t="s">
        <v>1315</v>
      </c>
      <c r="C798" s="3" t="s">
        <v>1316</v>
      </c>
      <c r="D798" s="6"/>
      <c r="E798" s="6">
        <v>45535</v>
      </c>
      <c r="F798" s="3"/>
      <c r="G798" s="6"/>
      <c r="H798" s="3"/>
      <c r="I798" s="6"/>
      <c r="J798" s="3" t="s">
        <v>68</v>
      </c>
      <c r="K798" s="3"/>
      <c r="L798" s="3">
        <v>1990370</v>
      </c>
      <c r="M798" s="3" t="s">
        <v>34</v>
      </c>
      <c r="N798" s="3" t="s">
        <v>1317</v>
      </c>
      <c r="O798" s="3" t="s">
        <v>441</v>
      </c>
      <c r="P798" s="3" t="s">
        <v>1318</v>
      </c>
      <c r="Q798" s="5">
        <v>50316.9359948153</v>
      </c>
      <c r="R798" s="5"/>
      <c r="S798" s="5"/>
      <c r="T798" s="3"/>
      <c r="U798" s="3" t="s">
        <v>153</v>
      </c>
      <c r="V798" s="3"/>
      <c r="W798" s="6"/>
      <c r="X798" s="6"/>
      <c r="Y798" s="3"/>
      <c r="Z798" s="3"/>
      <c r="AA798" s="3"/>
      <c r="AB798" s="3" t="s">
        <v>42</v>
      </c>
    </row>
    <row r="799" spans="1:28" ht="33" customHeight="1" x14ac:dyDescent="0.25">
      <c r="A799" s="7" t="s">
        <v>1608</v>
      </c>
      <c r="B799" s="3" t="s">
        <v>1315</v>
      </c>
      <c r="C799" s="3" t="s">
        <v>1316</v>
      </c>
      <c r="D799" s="6"/>
      <c r="E799" s="6">
        <v>45535</v>
      </c>
      <c r="F799" s="3"/>
      <c r="G799" s="6"/>
      <c r="H799" s="3"/>
      <c r="I799" s="6"/>
      <c r="J799" s="3" t="s">
        <v>68</v>
      </c>
      <c r="K799" s="3"/>
      <c r="L799" s="3">
        <v>1990370</v>
      </c>
      <c r="M799" s="3" t="s">
        <v>34</v>
      </c>
      <c r="N799" s="3" t="s">
        <v>1317</v>
      </c>
      <c r="O799" s="3" t="s">
        <v>441</v>
      </c>
      <c r="P799" s="3" t="s">
        <v>1318</v>
      </c>
      <c r="Q799" s="5">
        <v>50262.047634478287</v>
      </c>
      <c r="R799" s="5"/>
      <c r="S799" s="5"/>
      <c r="T799" s="3"/>
      <c r="U799" s="3" t="s">
        <v>153</v>
      </c>
      <c r="V799" s="3"/>
      <c r="W799" s="6"/>
      <c r="X799" s="6"/>
      <c r="Y799" s="3"/>
      <c r="Z799" s="3"/>
      <c r="AA799" s="3"/>
      <c r="AB799" s="3" t="s">
        <v>42</v>
      </c>
    </row>
    <row r="800" spans="1:28" ht="33" customHeight="1" x14ac:dyDescent="0.25">
      <c r="A800" s="7" t="s">
        <v>1609</v>
      </c>
      <c r="B800" s="3" t="s">
        <v>1315</v>
      </c>
      <c r="C800" s="3" t="s">
        <v>1316</v>
      </c>
      <c r="D800" s="6"/>
      <c r="E800" s="6">
        <v>45535</v>
      </c>
      <c r="F800" s="3"/>
      <c r="G800" s="6"/>
      <c r="H800" s="3"/>
      <c r="I800" s="6"/>
      <c r="J800" s="3" t="s">
        <v>68</v>
      </c>
      <c r="K800" s="3"/>
      <c r="L800" s="3">
        <v>1990370</v>
      </c>
      <c r="M800" s="3" t="s">
        <v>34</v>
      </c>
      <c r="N800" s="3" t="s">
        <v>1317</v>
      </c>
      <c r="O800" s="3" t="s">
        <v>441</v>
      </c>
      <c r="P800" s="3" t="s">
        <v>1318</v>
      </c>
      <c r="Q800" s="5">
        <v>48134.490084251462</v>
      </c>
      <c r="R800" s="5"/>
      <c r="S800" s="5"/>
      <c r="T800" s="3"/>
      <c r="U800" s="3" t="s">
        <v>153</v>
      </c>
      <c r="V800" s="3"/>
      <c r="W800" s="6"/>
      <c r="X800" s="6"/>
      <c r="Y800" s="3"/>
      <c r="Z800" s="3"/>
      <c r="AA800" s="3"/>
      <c r="AB800" s="3" t="s">
        <v>42</v>
      </c>
    </row>
    <row r="801" spans="1:28" ht="33" customHeight="1" x14ac:dyDescent="0.25">
      <c r="A801" s="7" t="s">
        <v>1610</v>
      </c>
      <c r="B801" s="3" t="s">
        <v>1315</v>
      </c>
      <c r="C801" s="3" t="s">
        <v>1316</v>
      </c>
      <c r="D801" s="6"/>
      <c r="E801" s="6">
        <v>45535</v>
      </c>
      <c r="F801" s="3"/>
      <c r="G801" s="6"/>
      <c r="H801" s="3"/>
      <c r="I801" s="6"/>
      <c r="J801" s="3" t="s">
        <v>68</v>
      </c>
      <c r="K801" s="3"/>
      <c r="L801" s="3">
        <v>1990370</v>
      </c>
      <c r="M801" s="3" t="s">
        <v>34</v>
      </c>
      <c r="N801" s="3" t="s">
        <v>1317</v>
      </c>
      <c r="O801" s="3" t="s">
        <v>441</v>
      </c>
      <c r="P801" s="3" t="s">
        <v>1318</v>
      </c>
      <c r="Q801" s="5">
        <v>45341.660375891122</v>
      </c>
      <c r="R801" s="5"/>
      <c r="S801" s="5"/>
      <c r="T801" s="3"/>
      <c r="U801" s="3" t="s">
        <v>153</v>
      </c>
      <c r="V801" s="3"/>
      <c r="W801" s="6"/>
      <c r="X801" s="6"/>
      <c r="Y801" s="3"/>
      <c r="Z801" s="3"/>
      <c r="AA801" s="3"/>
      <c r="AB801" s="3" t="s">
        <v>42</v>
      </c>
    </row>
    <row r="802" spans="1:28" ht="33" customHeight="1" x14ac:dyDescent="0.25">
      <c r="A802" s="7" t="s">
        <v>1611</v>
      </c>
      <c r="B802" s="3" t="s">
        <v>1315</v>
      </c>
      <c r="C802" s="3" t="s">
        <v>1316</v>
      </c>
      <c r="D802" s="6"/>
      <c r="E802" s="6">
        <v>45535</v>
      </c>
      <c r="F802" s="3"/>
      <c r="G802" s="6"/>
      <c r="H802" s="3"/>
      <c r="I802" s="6"/>
      <c r="J802" s="3" t="s">
        <v>68</v>
      </c>
      <c r="K802" s="3"/>
      <c r="L802" s="3">
        <v>1990370</v>
      </c>
      <c r="M802" s="3" t="s">
        <v>34</v>
      </c>
      <c r="N802" s="3" t="s">
        <v>1317</v>
      </c>
      <c r="O802" s="3" t="s">
        <v>441</v>
      </c>
      <c r="P802" s="3" t="s">
        <v>1318</v>
      </c>
      <c r="Q802" s="5">
        <v>44970.688049254699</v>
      </c>
      <c r="R802" s="5"/>
      <c r="S802" s="5"/>
      <c r="T802" s="3"/>
      <c r="U802" s="3" t="s">
        <v>153</v>
      </c>
      <c r="V802" s="3"/>
      <c r="W802" s="6"/>
      <c r="X802" s="6"/>
      <c r="Y802" s="3"/>
      <c r="Z802" s="3"/>
      <c r="AA802" s="3"/>
      <c r="AB802" s="3" t="s">
        <v>42</v>
      </c>
    </row>
    <row r="803" spans="1:28" ht="33" customHeight="1" x14ac:dyDescent="0.25">
      <c r="A803" s="7" t="s">
        <v>1612</v>
      </c>
      <c r="B803" s="3" t="s">
        <v>1315</v>
      </c>
      <c r="C803" s="3" t="s">
        <v>1316</v>
      </c>
      <c r="D803" s="6"/>
      <c r="E803" s="6">
        <v>45535</v>
      </c>
      <c r="F803" s="3"/>
      <c r="G803" s="6"/>
      <c r="H803" s="3"/>
      <c r="I803" s="6"/>
      <c r="J803" s="3" t="s">
        <v>68</v>
      </c>
      <c r="K803" s="3"/>
      <c r="L803" s="3">
        <v>1990370</v>
      </c>
      <c r="M803" s="3" t="s">
        <v>34</v>
      </c>
      <c r="N803" s="3" t="s">
        <v>1317</v>
      </c>
      <c r="O803" s="3" t="s">
        <v>441</v>
      </c>
      <c r="P803" s="3" t="s">
        <v>1318</v>
      </c>
      <c r="Q803" s="5">
        <v>40572</v>
      </c>
      <c r="R803" s="5"/>
      <c r="S803" s="5"/>
      <c r="T803" s="3"/>
      <c r="U803" s="3" t="s">
        <v>153</v>
      </c>
      <c r="V803" s="3"/>
      <c r="W803" s="6"/>
      <c r="X803" s="6"/>
      <c r="Y803" s="3"/>
      <c r="Z803" s="3"/>
      <c r="AA803" s="3"/>
      <c r="AB803" s="3" t="s">
        <v>42</v>
      </c>
    </row>
    <row r="804" spans="1:28" ht="33" customHeight="1" x14ac:dyDescent="0.25">
      <c r="A804" s="7" t="s">
        <v>1613</v>
      </c>
      <c r="B804" s="3" t="s">
        <v>1315</v>
      </c>
      <c r="C804" s="3" t="s">
        <v>1316</v>
      </c>
      <c r="D804" s="6"/>
      <c r="E804" s="6">
        <v>45535</v>
      </c>
      <c r="F804" s="3"/>
      <c r="G804" s="6"/>
      <c r="H804" s="3"/>
      <c r="I804" s="6"/>
      <c r="J804" s="3" t="s">
        <v>68</v>
      </c>
      <c r="K804" s="3"/>
      <c r="L804" s="3">
        <v>1990370</v>
      </c>
      <c r="M804" s="3" t="s">
        <v>34</v>
      </c>
      <c r="N804" s="3" t="s">
        <v>1317</v>
      </c>
      <c r="O804" s="3" t="s">
        <v>441</v>
      </c>
      <c r="P804" s="3" t="s">
        <v>1318</v>
      </c>
      <c r="Q804" s="5">
        <v>40572</v>
      </c>
      <c r="R804" s="5"/>
      <c r="S804" s="5"/>
      <c r="T804" s="3"/>
      <c r="U804" s="3" t="s">
        <v>153</v>
      </c>
      <c r="V804" s="3"/>
      <c r="W804" s="6"/>
      <c r="X804" s="6"/>
      <c r="Y804" s="3"/>
      <c r="Z804" s="3"/>
      <c r="AA804" s="3"/>
      <c r="AB804" s="3" t="s">
        <v>42</v>
      </c>
    </row>
    <row r="805" spans="1:28" ht="33" customHeight="1" x14ac:dyDescent="0.25">
      <c r="A805" s="7" t="s">
        <v>1614</v>
      </c>
      <c r="B805" s="3" t="s">
        <v>1315</v>
      </c>
      <c r="C805" s="3" t="s">
        <v>1316</v>
      </c>
      <c r="D805" s="6"/>
      <c r="E805" s="6">
        <v>45535</v>
      </c>
      <c r="F805" s="3"/>
      <c r="G805" s="6"/>
      <c r="H805" s="3"/>
      <c r="I805" s="6"/>
      <c r="J805" s="3" t="s">
        <v>68</v>
      </c>
      <c r="K805" s="3"/>
      <c r="L805" s="3">
        <v>1990370</v>
      </c>
      <c r="M805" s="3" t="s">
        <v>34</v>
      </c>
      <c r="N805" s="3" t="s">
        <v>1317</v>
      </c>
      <c r="O805" s="3" t="s">
        <v>441</v>
      </c>
      <c r="P805" s="3" t="s">
        <v>1318</v>
      </c>
      <c r="Q805" s="5">
        <v>40572</v>
      </c>
      <c r="R805" s="5"/>
      <c r="S805" s="5"/>
      <c r="T805" s="3"/>
      <c r="U805" s="3" t="s">
        <v>153</v>
      </c>
      <c r="V805" s="3"/>
      <c r="W805" s="6"/>
      <c r="X805" s="6"/>
      <c r="Y805" s="3"/>
      <c r="Z805" s="3"/>
      <c r="AA805" s="3"/>
      <c r="AB805" s="3" t="s">
        <v>42</v>
      </c>
    </row>
    <row r="806" spans="1:28" ht="33" customHeight="1" x14ac:dyDescent="0.25">
      <c r="A806" s="7" t="s">
        <v>1615</v>
      </c>
      <c r="B806" s="3" t="s">
        <v>1315</v>
      </c>
      <c r="C806" s="3" t="s">
        <v>1316</v>
      </c>
      <c r="D806" s="6"/>
      <c r="E806" s="6">
        <v>45535</v>
      </c>
      <c r="F806" s="3"/>
      <c r="G806" s="6"/>
      <c r="H806" s="3"/>
      <c r="I806" s="6"/>
      <c r="J806" s="3" t="s">
        <v>1561</v>
      </c>
      <c r="K806" s="3"/>
      <c r="L806" s="3">
        <v>13274240</v>
      </c>
      <c r="M806" s="3" t="s">
        <v>1562</v>
      </c>
      <c r="N806" s="3" t="s">
        <v>1317</v>
      </c>
      <c r="O806" s="3" t="s">
        <v>441</v>
      </c>
      <c r="P806" s="3" t="s">
        <v>1318</v>
      </c>
      <c r="Q806" s="5">
        <v>0</v>
      </c>
      <c r="R806" s="5"/>
      <c r="S806" s="5"/>
      <c r="T806" s="3"/>
      <c r="U806" s="3" t="s">
        <v>153</v>
      </c>
      <c r="V806" s="3"/>
      <c r="W806" s="6"/>
      <c r="X806" s="6"/>
      <c r="Y806" s="3"/>
      <c r="Z806" s="3"/>
      <c r="AA806" s="3"/>
      <c r="AB806" s="3" t="s">
        <v>42</v>
      </c>
    </row>
    <row r="807" spans="1:28" ht="33" customHeight="1" x14ac:dyDescent="0.25">
      <c r="A807" s="7" t="s">
        <v>1616</v>
      </c>
      <c r="B807" s="3" t="s">
        <v>1315</v>
      </c>
      <c r="C807" s="3" t="s">
        <v>1316</v>
      </c>
      <c r="D807" s="6"/>
      <c r="E807" s="6">
        <v>45535</v>
      </c>
      <c r="F807" s="3"/>
      <c r="G807" s="6"/>
      <c r="H807" s="3"/>
      <c r="I807" s="6"/>
      <c r="J807" s="3" t="s">
        <v>1561</v>
      </c>
      <c r="K807" s="3"/>
      <c r="L807" s="3">
        <v>13274240</v>
      </c>
      <c r="M807" s="3" t="s">
        <v>1562</v>
      </c>
      <c r="N807" s="3" t="s">
        <v>1317</v>
      </c>
      <c r="O807" s="3" t="s">
        <v>441</v>
      </c>
      <c r="P807" s="3" t="s">
        <v>1318</v>
      </c>
      <c r="Q807" s="5">
        <v>105459.31691510044</v>
      </c>
      <c r="R807" s="5"/>
      <c r="S807" s="5"/>
      <c r="T807" s="3"/>
      <c r="U807" s="3" t="s">
        <v>153</v>
      </c>
      <c r="V807" s="3"/>
      <c r="W807" s="6"/>
      <c r="X807" s="6"/>
      <c r="Y807" s="3"/>
      <c r="Z807" s="3"/>
      <c r="AA807" s="3"/>
      <c r="AB807" s="3" t="s">
        <v>42</v>
      </c>
    </row>
    <row r="808" spans="1:28" ht="33" customHeight="1" x14ac:dyDescent="0.25">
      <c r="A808" s="7" t="s">
        <v>1617</v>
      </c>
      <c r="B808" s="3" t="s">
        <v>1315</v>
      </c>
      <c r="C808" s="3" t="s">
        <v>1316</v>
      </c>
      <c r="D808" s="6"/>
      <c r="E808" s="6">
        <v>45535</v>
      </c>
      <c r="F808" s="3"/>
      <c r="G808" s="6"/>
      <c r="H808" s="3"/>
      <c r="I808" s="6"/>
      <c r="J808" s="3" t="s">
        <v>1561</v>
      </c>
      <c r="K808" s="3"/>
      <c r="L808" s="3">
        <v>13274240</v>
      </c>
      <c r="M808" s="3" t="s">
        <v>1562</v>
      </c>
      <c r="N808" s="3" t="s">
        <v>1317</v>
      </c>
      <c r="O808" s="3" t="s">
        <v>441</v>
      </c>
      <c r="P808" s="3" t="s">
        <v>1318</v>
      </c>
      <c r="Q808" s="5">
        <v>0</v>
      </c>
      <c r="R808" s="5"/>
      <c r="S808" s="5"/>
      <c r="T808" s="3"/>
      <c r="U808" s="3" t="s">
        <v>153</v>
      </c>
      <c r="V808" s="3"/>
      <c r="W808" s="6"/>
      <c r="X808" s="6"/>
      <c r="Y808" s="3"/>
      <c r="Z808" s="3"/>
      <c r="AA808" s="3"/>
      <c r="AB808" s="3" t="s">
        <v>42</v>
      </c>
    </row>
    <row r="809" spans="1:28" ht="33" customHeight="1" x14ac:dyDescent="0.25">
      <c r="A809" s="7" t="s">
        <v>1618</v>
      </c>
      <c r="B809" s="3" t="s">
        <v>1315</v>
      </c>
      <c r="C809" s="3" t="s">
        <v>1316</v>
      </c>
      <c r="D809" s="6"/>
      <c r="E809" s="6">
        <v>45535</v>
      </c>
      <c r="F809" s="3"/>
      <c r="G809" s="6"/>
      <c r="H809" s="3"/>
      <c r="I809" s="6"/>
      <c r="J809" s="3" t="s">
        <v>1561</v>
      </c>
      <c r="K809" s="3"/>
      <c r="L809" s="3">
        <v>13274240</v>
      </c>
      <c r="M809" s="3" t="s">
        <v>1562</v>
      </c>
      <c r="N809" s="3" t="s">
        <v>1317</v>
      </c>
      <c r="O809" s="3" t="s">
        <v>441</v>
      </c>
      <c r="P809" s="3" t="s">
        <v>1318</v>
      </c>
      <c r="Q809" s="5">
        <v>0</v>
      </c>
      <c r="R809" s="5"/>
      <c r="S809" s="5"/>
      <c r="T809" s="3"/>
      <c r="U809" s="3" t="s">
        <v>153</v>
      </c>
      <c r="V809" s="3"/>
      <c r="W809" s="6"/>
      <c r="X809" s="6"/>
      <c r="Y809" s="3"/>
      <c r="Z809" s="3"/>
      <c r="AA809" s="3"/>
      <c r="AB809" s="3" t="s">
        <v>42</v>
      </c>
    </row>
    <row r="810" spans="1:28" ht="33" customHeight="1" x14ac:dyDescent="0.25">
      <c r="A810" s="7" t="s">
        <v>1619</v>
      </c>
      <c r="B810" s="3" t="s">
        <v>1315</v>
      </c>
      <c r="C810" s="3" t="s">
        <v>1335</v>
      </c>
      <c r="D810" s="6"/>
      <c r="E810" s="6">
        <v>45535</v>
      </c>
      <c r="F810" s="3"/>
      <c r="G810" s="6"/>
      <c r="H810" s="3"/>
      <c r="I810" s="6"/>
      <c r="J810" s="3" t="s">
        <v>1620</v>
      </c>
      <c r="K810" s="3"/>
      <c r="L810" s="3">
        <v>6373116</v>
      </c>
      <c r="M810" s="3" t="s">
        <v>92</v>
      </c>
      <c r="N810" s="3" t="s">
        <v>1317</v>
      </c>
      <c r="O810" s="3" t="s">
        <v>441</v>
      </c>
      <c r="P810" s="3" t="s">
        <v>1318</v>
      </c>
      <c r="Q810" s="5">
        <v>20716.329228775114</v>
      </c>
      <c r="R810" s="5"/>
      <c r="S810" s="5"/>
      <c r="T810" s="3"/>
      <c r="U810" s="3" t="s">
        <v>153</v>
      </c>
      <c r="V810" s="3"/>
      <c r="W810" s="6"/>
      <c r="X810" s="6"/>
      <c r="Y810" s="3"/>
      <c r="Z810" s="3"/>
      <c r="AA810" s="3"/>
      <c r="AB810" s="3" t="s">
        <v>477</v>
      </c>
    </row>
    <row r="811" spans="1:28" ht="33" customHeight="1" x14ac:dyDescent="0.25">
      <c r="A811" s="7" t="s">
        <v>1621</v>
      </c>
      <c r="B811" s="3" t="s">
        <v>1315</v>
      </c>
      <c r="C811" s="3" t="s">
        <v>1335</v>
      </c>
      <c r="D811" s="6"/>
      <c r="E811" s="6">
        <v>45535</v>
      </c>
      <c r="F811" s="3"/>
      <c r="G811" s="6"/>
      <c r="H811" s="3"/>
      <c r="I811" s="6"/>
      <c r="J811" s="3" t="s">
        <v>1620</v>
      </c>
      <c r="K811" s="3"/>
      <c r="L811" s="3">
        <v>6373116</v>
      </c>
      <c r="M811" s="3" t="s">
        <v>92</v>
      </c>
      <c r="N811" s="3" t="s">
        <v>1317</v>
      </c>
      <c r="O811" s="3" t="s">
        <v>441</v>
      </c>
      <c r="P811" s="3" t="s">
        <v>1318</v>
      </c>
      <c r="Q811" s="5">
        <v>21532.952689565784</v>
      </c>
      <c r="R811" s="5"/>
      <c r="S811" s="5"/>
      <c r="T811" s="3"/>
      <c r="U811" s="3" t="s">
        <v>153</v>
      </c>
      <c r="V811" s="3"/>
      <c r="W811" s="6"/>
      <c r="X811" s="6"/>
      <c r="Y811" s="3"/>
      <c r="Z811" s="3"/>
      <c r="AA811" s="3"/>
      <c r="AB811" s="3" t="s">
        <v>477</v>
      </c>
    </row>
    <row r="812" spans="1:28" ht="33" customHeight="1" x14ac:dyDescent="0.25">
      <c r="A812" s="7" t="s">
        <v>1622</v>
      </c>
      <c r="B812" s="3" t="s">
        <v>1315</v>
      </c>
      <c r="C812" s="3" t="s">
        <v>1335</v>
      </c>
      <c r="D812" s="6"/>
      <c r="E812" s="6">
        <v>45535</v>
      </c>
      <c r="F812" s="3"/>
      <c r="G812" s="6"/>
      <c r="H812" s="3"/>
      <c r="I812" s="6"/>
      <c r="J812" s="3" t="s">
        <v>1620</v>
      </c>
      <c r="K812" s="3"/>
      <c r="L812" s="3">
        <v>6373116</v>
      </c>
      <c r="M812" s="3" t="s">
        <v>92</v>
      </c>
      <c r="N812" s="3" t="s">
        <v>1317</v>
      </c>
      <c r="O812" s="3" t="s">
        <v>441</v>
      </c>
      <c r="P812" s="3" t="s">
        <v>1318</v>
      </c>
      <c r="Q812" s="5">
        <v>44514.426441996111</v>
      </c>
      <c r="R812" s="5"/>
      <c r="S812" s="5"/>
      <c r="T812" s="3"/>
      <c r="U812" s="3" t="s">
        <v>153</v>
      </c>
      <c r="V812" s="3"/>
      <c r="W812" s="6"/>
      <c r="X812" s="6"/>
      <c r="Y812" s="3"/>
      <c r="Z812" s="3"/>
      <c r="AA812" s="3"/>
      <c r="AB812" s="3" t="s">
        <v>477</v>
      </c>
    </row>
    <row r="813" spans="1:28" ht="33" customHeight="1" x14ac:dyDescent="0.25">
      <c r="A813" s="7" t="s">
        <v>1623</v>
      </c>
      <c r="B813" s="3" t="s">
        <v>1315</v>
      </c>
      <c r="C813" s="3" t="s">
        <v>1335</v>
      </c>
      <c r="D813" s="6"/>
      <c r="E813" s="6">
        <v>45535</v>
      </c>
      <c r="F813" s="3"/>
      <c r="G813" s="6"/>
      <c r="H813" s="3"/>
      <c r="I813" s="6"/>
      <c r="J813" s="3" t="s">
        <v>1624</v>
      </c>
      <c r="K813" s="3"/>
      <c r="L813" s="3">
        <v>5770016</v>
      </c>
      <c r="M813" s="3" t="s">
        <v>92</v>
      </c>
      <c r="N813" s="3" t="s">
        <v>1317</v>
      </c>
      <c r="O813" s="3" t="s">
        <v>441</v>
      </c>
      <c r="P813" s="3" t="s">
        <v>1318</v>
      </c>
      <c r="Q813" s="5">
        <v>41300.872326636418</v>
      </c>
      <c r="R813" s="5"/>
      <c r="S813" s="5"/>
      <c r="T813" s="3"/>
      <c r="U813" s="3" t="s">
        <v>153</v>
      </c>
      <c r="V813" s="3"/>
      <c r="W813" s="6"/>
      <c r="X813" s="6"/>
      <c r="Y813" s="3"/>
      <c r="Z813" s="3"/>
      <c r="AA813" s="3"/>
      <c r="AB813" s="3" t="s">
        <v>477</v>
      </c>
    </row>
    <row r="814" spans="1:28" ht="33" customHeight="1" x14ac:dyDescent="0.25">
      <c r="A814" s="7" t="s">
        <v>1625</v>
      </c>
      <c r="B814" s="3" t="s">
        <v>1315</v>
      </c>
      <c r="C814" s="3" t="s">
        <v>1335</v>
      </c>
      <c r="D814" s="6"/>
      <c r="E814" s="6">
        <v>45535</v>
      </c>
      <c r="F814" s="3"/>
      <c r="G814" s="6"/>
      <c r="H814" s="3"/>
      <c r="I814" s="6"/>
      <c r="J814" s="3" t="s">
        <v>1624</v>
      </c>
      <c r="K814" s="3"/>
      <c r="L814" s="3">
        <v>5770016</v>
      </c>
      <c r="M814" s="3" t="s">
        <v>92</v>
      </c>
      <c r="N814" s="3" t="s">
        <v>1317</v>
      </c>
      <c r="O814" s="3" t="s">
        <v>441</v>
      </c>
      <c r="P814" s="3" t="s">
        <v>1318</v>
      </c>
      <c r="Q814" s="5">
        <v>0</v>
      </c>
      <c r="R814" s="5"/>
      <c r="S814" s="5"/>
      <c r="T814" s="3"/>
      <c r="U814" s="3" t="s">
        <v>153</v>
      </c>
      <c r="V814" s="3"/>
      <c r="W814" s="6"/>
      <c r="X814" s="6"/>
      <c r="Y814" s="3"/>
      <c r="Z814" s="3"/>
      <c r="AA814" s="3"/>
      <c r="AB814" s="3" t="s">
        <v>477</v>
      </c>
    </row>
    <row r="815" spans="1:28" ht="33" customHeight="1" x14ac:dyDescent="0.25">
      <c r="A815" s="7" t="s">
        <v>1626</v>
      </c>
      <c r="B815" s="3" t="s">
        <v>1315</v>
      </c>
      <c r="C815" s="3" t="s">
        <v>1335</v>
      </c>
      <c r="D815" s="6"/>
      <c r="E815" s="6">
        <v>45535</v>
      </c>
      <c r="F815" s="3"/>
      <c r="G815" s="6"/>
      <c r="H815" s="3"/>
      <c r="I815" s="6"/>
      <c r="J815" s="3" t="s">
        <v>1627</v>
      </c>
      <c r="K815" s="3"/>
      <c r="L815" s="3">
        <v>4829742</v>
      </c>
      <c r="M815" s="3" t="s">
        <v>92</v>
      </c>
      <c r="N815" s="3" t="s">
        <v>1317</v>
      </c>
      <c r="O815" s="3" t="s">
        <v>441</v>
      </c>
      <c r="P815" s="3" t="s">
        <v>1318</v>
      </c>
      <c r="Q815" s="5">
        <v>47167.044718081655</v>
      </c>
      <c r="R815" s="5"/>
      <c r="S815" s="5"/>
      <c r="T815" s="3"/>
      <c r="U815" s="3" t="s">
        <v>153</v>
      </c>
      <c r="V815" s="3"/>
      <c r="W815" s="6"/>
      <c r="X815" s="6"/>
      <c r="Y815" s="3"/>
      <c r="Z815" s="3"/>
      <c r="AA815" s="3"/>
      <c r="AB815" s="3" t="s">
        <v>477</v>
      </c>
    </row>
    <row r="816" spans="1:28" ht="33" customHeight="1" x14ac:dyDescent="0.25">
      <c r="A816" s="7" t="s">
        <v>1628</v>
      </c>
      <c r="B816" s="3" t="s">
        <v>1315</v>
      </c>
      <c r="C816" s="3" t="s">
        <v>1335</v>
      </c>
      <c r="D816" s="6"/>
      <c r="E816" s="6">
        <v>45535</v>
      </c>
      <c r="F816" s="3"/>
      <c r="G816" s="6"/>
      <c r="H816" s="3"/>
      <c r="I816" s="6"/>
      <c r="J816" s="3" t="s">
        <v>1090</v>
      </c>
      <c r="K816" s="3"/>
      <c r="L816" s="3">
        <v>10799374</v>
      </c>
      <c r="M816" s="3" t="s">
        <v>48</v>
      </c>
      <c r="N816" s="3" t="s">
        <v>1317</v>
      </c>
      <c r="O816" s="3" t="s">
        <v>441</v>
      </c>
      <c r="P816" s="3" t="s">
        <v>1318</v>
      </c>
      <c r="Q816" s="5">
        <v>38522.099805573554</v>
      </c>
      <c r="R816" s="5"/>
      <c r="S816" s="5"/>
      <c r="T816" s="3"/>
      <c r="U816" s="3" t="s">
        <v>153</v>
      </c>
      <c r="V816" s="3"/>
      <c r="W816" s="6"/>
      <c r="X816" s="6"/>
      <c r="Y816" s="3"/>
      <c r="Z816" s="3"/>
      <c r="AA816" s="3"/>
      <c r="AB816" s="3" t="s">
        <v>477</v>
      </c>
    </row>
    <row r="817" spans="1:28" ht="33" customHeight="1" x14ac:dyDescent="0.25">
      <c r="A817" s="7" t="s">
        <v>1629</v>
      </c>
      <c r="B817" s="3" t="s">
        <v>1315</v>
      </c>
      <c r="C817" s="3" t="s">
        <v>1335</v>
      </c>
      <c r="D817" s="6"/>
      <c r="E817" s="6">
        <v>45535</v>
      </c>
      <c r="F817" s="3"/>
      <c r="G817" s="6"/>
      <c r="H817" s="3"/>
      <c r="I817" s="6"/>
      <c r="J817" s="3" t="s">
        <v>1090</v>
      </c>
      <c r="K817" s="3"/>
      <c r="L817" s="3">
        <v>10799374</v>
      </c>
      <c r="M817" s="3" t="s">
        <v>48</v>
      </c>
      <c r="N817" s="3" t="s">
        <v>1317</v>
      </c>
      <c r="O817" s="3" t="s">
        <v>441</v>
      </c>
      <c r="P817" s="3" t="s">
        <v>1318</v>
      </c>
      <c r="Q817" s="5">
        <v>63133.441348023334</v>
      </c>
      <c r="R817" s="5"/>
      <c r="S817" s="5"/>
      <c r="T817" s="3"/>
      <c r="U817" s="3" t="s">
        <v>153</v>
      </c>
      <c r="V817" s="3"/>
      <c r="W817" s="6"/>
      <c r="X817" s="6"/>
      <c r="Y817" s="3"/>
      <c r="Z817" s="3"/>
      <c r="AA817" s="3"/>
      <c r="AB817" s="3" t="s">
        <v>477</v>
      </c>
    </row>
    <row r="818" spans="1:28" ht="33" customHeight="1" x14ac:dyDescent="0.25">
      <c r="A818" s="7" t="s">
        <v>1630</v>
      </c>
      <c r="B818" s="3" t="s">
        <v>1315</v>
      </c>
      <c r="C818" s="3" t="s">
        <v>1335</v>
      </c>
      <c r="D818" s="6"/>
      <c r="E818" s="6">
        <v>45535</v>
      </c>
      <c r="F818" s="3"/>
      <c r="G818" s="6"/>
      <c r="H818" s="3"/>
      <c r="I818" s="6"/>
      <c r="J818" s="3" t="s">
        <v>1631</v>
      </c>
      <c r="K818" s="3"/>
      <c r="L818" s="3">
        <v>9670374</v>
      </c>
      <c r="M818" s="3" t="s">
        <v>48</v>
      </c>
      <c r="N818" s="3" t="s">
        <v>1317</v>
      </c>
      <c r="O818" s="3" t="s">
        <v>441</v>
      </c>
      <c r="P818" s="3" t="s">
        <v>1318</v>
      </c>
      <c r="Q818" s="5">
        <v>15769.280622164615</v>
      </c>
      <c r="R818" s="5"/>
      <c r="S818" s="5"/>
      <c r="T818" s="3"/>
      <c r="U818" s="3" t="s">
        <v>153</v>
      </c>
      <c r="V818" s="3"/>
      <c r="W818" s="6"/>
      <c r="X818" s="6"/>
      <c r="Y818" s="3"/>
      <c r="Z818" s="3"/>
      <c r="AA818" s="3"/>
      <c r="AB818" s="3" t="s">
        <v>477</v>
      </c>
    </row>
    <row r="819" spans="1:28" ht="33" customHeight="1" x14ac:dyDescent="0.25">
      <c r="A819" s="7" t="s">
        <v>1632</v>
      </c>
      <c r="B819" s="3" t="s">
        <v>1315</v>
      </c>
      <c r="C819" s="3" t="s">
        <v>1335</v>
      </c>
      <c r="D819" s="6"/>
      <c r="E819" s="6">
        <v>45535</v>
      </c>
      <c r="F819" s="3"/>
      <c r="G819" s="6"/>
      <c r="H819" s="3"/>
      <c r="I819" s="6"/>
      <c r="J819" s="3" t="s">
        <v>1631</v>
      </c>
      <c r="K819" s="3"/>
      <c r="L819" s="3">
        <v>9670374</v>
      </c>
      <c r="M819" s="3" t="s">
        <v>48</v>
      </c>
      <c r="N819" s="3" t="s">
        <v>1317</v>
      </c>
      <c r="O819" s="3" t="s">
        <v>441</v>
      </c>
      <c r="P819" s="3" t="s">
        <v>1318</v>
      </c>
      <c r="Q819" s="5">
        <v>16264.886584575501</v>
      </c>
      <c r="R819" s="5"/>
      <c r="S819" s="5"/>
      <c r="T819" s="3"/>
      <c r="U819" s="3" t="s">
        <v>153</v>
      </c>
      <c r="V819" s="3"/>
      <c r="W819" s="6"/>
      <c r="X819" s="6"/>
      <c r="Y819" s="3"/>
      <c r="Z819" s="3"/>
      <c r="AA819" s="3"/>
      <c r="AB819" s="3" t="s">
        <v>477</v>
      </c>
    </row>
    <row r="820" spans="1:28" ht="33" customHeight="1" x14ac:dyDescent="0.25">
      <c r="A820" s="7" t="s">
        <v>1633</v>
      </c>
      <c r="B820" s="3" t="s">
        <v>1315</v>
      </c>
      <c r="C820" s="3" t="s">
        <v>1316</v>
      </c>
      <c r="D820" s="6"/>
      <c r="E820" s="6">
        <v>45900</v>
      </c>
      <c r="F820" s="3"/>
      <c r="G820" s="6"/>
      <c r="H820" s="3"/>
      <c r="I820" s="6"/>
      <c r="J820" s="3" t="s">
        <v>1293</v>
      </c>
      <c r="K820" s="3"/>
      <c r="L820" s="3">
        <v>11768296</v>
      </c>
      <c r="M820" s="3" t="s">
        <v>34</v>
      </c>
      <c r="N820" s="3" t="s">
        <v>1317</v>
      </c>
      <c r="O820" s="3" t="s">
        <v>441</v>
      </c>
      <c r="P820" s="3" t="s">
        <v>1318</v>
      </c>
      <c r="Q820" s="5">
        <v>60000</v>
      </c>
      <c r="R820" s="5"/>
      <c r="S820" s="5"/>
      <c r="T820" s="3"/>
      <c r="U820" s="3" t="s">
        <v>153</v>
      </c>
      <c r="V820" s="3"/>
      <c r="W820" s="6"/>
      <c r="X820" s="6"/>
      <c r="Y820" s="3"/>
      <c r="Z820" s="3"/>
      <c r="AA820" s="3"/>
      <c r="AB820" s="3" t="s">
        <v>42</v>
      </c>
    </row>
    <row r="821" spans="1:28" ht="33" customHeight="1" x14ac:dyDescent="0.25">
      <c r="A821" s="7" t="s">
        <v>1634</v>
      </c>
      <c r="B821" s="3" t="s">
        <v>1315</v>
      </c>
      <c r="C821" s="3" t="s">
        <v>1316</v>
      </c>
      <c r="D821" s="6"/>
      <c r="E821" s="6">
        <v>45900</v>
      </c>
      <c r="F821" s="3"/>
      <c r="G821" s="6"/>
      <c r="H821" s="3"/>
      <c r="I821" s="6"/>
      <c r="J821" s="3" t="s">
        <v>1293</v>
      </c>
      <c r="K821" s="3"/>
      <c r="L821" s="3">
        <v>11768296</v>
      </c>
      <c r="M821" s="3" t="s">
        <v>34</v>
      </c>
      <c r="N821" s="3" t="s">
        <v>1317</v>
      </c>
      <c r="O821" s="3" t="s">
        <v>441</v>
      </c>
      <c r="P821" s="3" t="s">
        <v>1318</v>
      </c>
      <c r="Q821" s="5">
        <v>60000</v>
      </c>
      <c r="R821" s="5"/>
      <c r="S821" s="5"/>
      <c r="T821" s="3"/>
      <c r="U821" s="3" t="s">
        <v>153</v>
      </c>
      <c r="V821" s="3"/>
      <c r="W821" s="6"/>
      <c r="X821" s="6"/>
      <c r="Y821" s="3"/>
      <c r="Z821" s="3"/>
      <c r="AA821" s="3"/>
      <c r="AB821" s="3" t="s">
        <v>42</v>
      </c>
    </row>
    <row r="822" spans="1:28" ht="33" customHeight="1" x14ac:dyDescent="0.25">
      <c r="A822" s="7" t="s">
        <v>1635</v>
      </c>
      <c r="B822" s="3" t="s">
        <v>1315</v>
      </c>
      <c r="C822" s="3" t="s">
        <v>1316</v>
      </c>
      <c r="D822" s="6"/>
      <c r="E822" s="6">
        <v>45900</v>
      </c>
      <c r="F822" s="3"/>
      <c r="G822" s="6"/>
      <c r="H822" s="3"/>
      <c r="I822" s="6"/>
      <c r="J822" s="3" t="s">
        <v>1293</v>
      </c>
      <c r="K822" s="3"/>
      <c r="L822" s="3">
        <v>11768296</v>
      </c>
      <c r="M822" s="3" t="s">
        <v>34</v>
      </c>
      <c r="N822" s="3" t="s">
        <v>1317</v>
      </c>
      <c r="O822" s="3" t="s">
        <v>441</v>
      </c>
      <c r="P822" s="3" t="s">
        <v>1318</v>
      </c>
      <c r="Q822" s="5">
        <v>60000</v>
      </c>
      <c r="R822" s="5"/>
      <c r="S822" s="5"/>
      <c r="T822" s="3"/>
      <c r="U822" s="3" t="s">
        <v>153</v>
      </c>
      <c r="V822" s="3"/>
      <c r="W822" s="6"/>
      <c r="X822" s="6"/>
      <c r="Y822" s="3"/>
      <c r="Z822" s="3"/>
      <c r="AA822" s="3"/>
      <c r="AB822" s="3" t="s">
        <v>42</v>
      </c>
    </row>
    <row r="823" spans="1:28" ht="33" customHeight="1" x14ac:dyDescent="0.25">
      <c r="A823" s="7" t="s">
        <v>1636</v>
      </c>
      <c r="B823" s="3" t="s">
        <v>1315</v>
      </c>
      <c r="C823" s="3" t="s">
        <v>1316</v>
      </c>
      <c r="D823" s="6"/>
      <c r="E823" s="6">
        <v>45900</v>
      </c>
      <c r="F823" s="3"/>
      <c r="G823" s="6"/>
      <c r="H823" s="3"/>
      <c r="I823" s="6"/>
      <c r="J823" s="3" t="s">
        <v>1293</v>
      </c>
      <c r="K823" s="3"/>
      <c r="L823" s="3">
        <v>11768296</v>
      </c>
      <c r="M823" s="3" t="s">
        <v>34</v>
      </c>
      <c r="N823" s="3" t="s">
        <v>1317</v>
      </c>
      <c r="O823" s="3" t="s">
        <v>441</v>
      </c>
      <c r="P823" s="3" t="s">
        <v>1318</v>
      </c>
      <c r="Q823" s="5">
        <v>60000</v>
      </c>
      <c r="R823" s="5"/>
      <c r="S823" s="5"/>
      <c r="T823" s="3"/>
      <c r="U823" s="3" t="s">
        <v>153</v>
      </c>
      <c r="V823" s="3"/>
      <c r="W823" s="6"/>
      <c r="X823" s="6"/>
      <c r="Y823" s="3"/>
      <c r="Z823" s="3"/>
      <c r="AA823" s="3"/>
      <c r="AB823" s="3" t="s">
        <v>42</v>
      </c>
    </row>
    <row r="824" spans="1:28" ht="33" customHeight="1" x14ac:dyDescent="0.25">
      <c r="A824" s="7" t="s">
        <v>1637</v>
      </c>
      <c r="B824" s="3" t="s">
        <v>1315</v>
      </c>
      <c r="C824" s="3" t="s">
        <v>1316</v>
      </c>
      <c r="D824" s="6"/>
      <c r="E824" s="6">
        <v>45900</v>
      </c>
      <c r="F824" s="3"/>
      <c r="G824" s="6"/>
      <c r="H824" s="3"/>
      <c r="I824" s="6"/>
      <c r="J824" s="3" t="s">
        <v>749</v>
      </c>
      <c r="K824" s="3"/>
      <c r="L824" s="3" t="s">
        <v>1567</v>
      </c>
      <c r="M824" s="3" t="s">
        <v>360</v>
      </c>
      <c r="N824" s="3" t="s">
        <v>1317</v>
      </c>
      <c r="O824" s="3" t="s">
        <v>441</v>
      </c>
      <c r="P824" s="3" t="s">
        <v>1318</v>
      </c>
      <c r="Q824" s="5">
        <v>42429</v>
      </c>
      <c r="R824" s="5"/>
      <c r="S824" s="5"/>
      <c r="T824" s="3"/>
      <c r="U824" s="3" t="s">
        <v>153</v>
      </c>
      <c r="V824" s="3"/>
      <c r="W824" s="6"/>
      <c r="X824" s="6"/>
      <c r="Y824" s="3"/>
      <c r="Z824" s="3"/>
      <c r="AA824" s="3"/>
      <c r="AB824" s="3" t="s">
        <v>477</v>
      </c>
    </row>
    <row r="825" spans="1:28" ht="33" customHeight="1" x14ac:dyDescent="0.25">
      <c r="A825" s="7" t="s">
        <v>1638</v>
      </c>
      <c r="B825" s="3" t="s">
        <v>1315</v>
      </c>
      <c r="C825" s="3" t="s">
        <v>1316</v>
      </c>
      <c r="D825" s="6"/>
      <c r="E825" s="6">
        <v>45900</v>
      </c>
      <c r="F825" s="3"/>
      <c r="G825" s="6"/>
      <c r="H825" s="3"/>
      <c r="I825" s="6"/>
      <c r="J825" s="3" t="s">
        <v>1342</v>
      </c>
      <c r="K825" s="3"/>
      <c r="L825" s="3">
        <v>9378475</v>
      </c>
      <c r="M825" s="3" t="s">
        <v>48</v>
      </c>
      <c r="N825" s="3" t="s">
        <v>1317</v>
      </c>
      <c r="O825" s="3" t="s">
        <v>441</v>
      </c>
      <c r="P825" s="3" t="s">
        <v>1318</v>
      </c>
      <c r="Q825" s="5">
        <v>65921.224886584576</v>
      </c>
      <c r="R825" s="5"/>
      <c r="S825" s="5"/>
      <c r="T825" s="3"/>
      <c r="U825" s="3" t="s">
        <v>153</v>
      </c>
      <c r="V825" s="3"/>
      <c r="W825" s="6"/>
      <c r="X825" s="6"/>
      <c r="Y825" s="3"/>
      <c r="Z825" s="3"/>
      <c r="AA825" s="3"/>
      <c r="AB825" s="3" t="s">
        <v>477</v>
      </c>
    </row>
    <row r="826" spans="1:28" ht="33" customHeight="1" x14ac:dyDescent="0.25">
      <c r="A826" s="7" t="s">
        <v>1639</v>
      </c>
      <c r="B826" s="3" t="s">
        <v>1315</v>
      </c>
      <c r="C826" s="3" t="s">
        <v>1316</v>
      </c>
      <c r="D826" s="6"/>
      <c r="E826" s="6">
        <v>45900</v>
      </c>
      <c r="F826" s="3"/>
      <c r="G826" s="6"/>
      <c r="H826" s="3"/>
      <c r="I826" s="6"/>
      <c r="J826" s="3" t="s">
        <v>1050</v>
      </c>
      <c r="K826" s="3"/>
      <c r="L826" s="3">
        <v>4367719</v>
      </c>
      <c r="M826" s="3" t="s">
        <v>34</v>
      </c>
      <c r="N826" s="3" t="s">
        <v>1317</v>
      </c>
      <c r="O826" s="3" t="s">
        <v>441</v>
      </c>
      <c r="P826" s="3" t="s">
        <v>1318</v>
      </c>
      <c r="Q826" s="5">
        <v>60000</v>
      </c>
      <c r="R826" s="5"/>
      <c r="S826" s="5"/>
      <c r="T826" s="3"/>
      <c r="U826" s="3" t="s">
        <v>153</v>
      </c>
      <c r="V826" s="3"/>
      <c r="W826" s="6"/>
      <c r="X826" s="6"/>
      <c r="Y826" s="3"/>
      <c r="Z826" s="3"/>
      <c r="AA826" s="3"/>
      <c r="AB826" s="3" t="s">
        <v>477</v>
      </c>
    </row>
    <row r="827" spans="1:28" ht="33" customHeight="1" x14ac:dyDescent="0.25">
      <c r="A827" s="7" t="s">
        <v>1640</v>
      </c>
      <c r="B827" s="3" t="s">
        <v>1315</v>
      </c>
      <c r="C827" s="3" t="s">
        <v>1316</v>
      </c>
      <c r="D827" s="6"/>
      <c r="E827" s="6">
        <v>45900</v>
      </c>
      <c r="F827" s="3"/>
      <c r="G827" s="6"/>
      <c r="H827" s="3"/>
      <c r="I827" s="6"/>
      <c r="J827" s="3" t="s">
        <v>1050</v>
      </c>
      <c r="K827" s="3"/>
      <c r="L827" s="3">
        <v>4367719</v>
      </c>
      <c r="M827" s="3" t="s">
        <v>34</v>
      </c>
      <c r="N827" s="3" t="s">
        <v>1317</v>
      </c>
      <c r="O827" s="3" t="s">
        <v>441</v>
      </c>
      <c r="P827" s="3" t="s">
        <v>1318</v>
      </c>
      <c r="Q827" s="5">
        <v>60000</v>
      </c>
      <c r="R827" s="5"/>
      <c r="S827" s="5"/>
      <c r="T827" s="3"/>
      <c r="U827" s="3" t="s">
        <v>153</v>
      </c>
      <c r="V827" s="3"/>
      <c r="W827" s="6"/>
      <c r="X827" s="6"/>
      <c r="Y827" s="3"/>
      <c r="Z827" s="3"/>
      <c r="AA827" s="3"/>
      <c r="AB827" s="3" t="s">
        <v>477</v>
      </c>
    </row>
    <row r="828" spans="1:28" ht="33" customHeight="1" x14ac:dyDescent="0.25">
      <c r="A828" s="7" t="s">
        <v>1641</v>
      </c>
      <c r="B828" s="3" t="s">
        <v>1315</v>
      </c>
      <c r="C828" s="3" t="s">
        <v>1316</v>
      </c>
      <c r="D828" s="6"/>
      <c r="E828" s="6">
        <v>45900</v>
      </c>
      <c r="F828" s="3"/>
      <c r="G828" s="6"/>
      <c r="H828" s="3"/>
      <c r="I828" s="6"/>
      <c r="J828" s="3" t="s">
        <v>1050</v>
      </c>
      <c r="K828" s="3"/>
      <c r="L828" s="3">
        <v>4367719</v>
      </c>
      <c r="M828" s="3" t="s">
        <v>34</v>
      </c>
      <c r="N828" s="3" t="s">
        <v>1317</v>
      </c>
      <c r="O828" s="3" t="s">
        <v>441</v>
      </c>
      <c r="P828" s="3" t="s">
        <v>1318</v>
      </c>
      <c r="Q828" s="5">
        <v>60000</v>
      </c>
      <c r="R828" s="5"/>
      <c r="S828" s="5"/>
      <c r="T828" s="3"/>
      <c r="U828" s="3" t="s">
        <v>153</v>
      </c>
      <c r="V828" s="3"/>
      <c r="W828" s="6"/>
      <c r="X828" s="6"/>
      <c r="Y828" s="3"/>
      <c r="Z828" s="3"/>
      <c r="AA828" s="3"/>
      <c r="AB828" s="3" t="s">
        <v>477</v>
      </c>
    </row>
    <row r="829" spans="1:28" ht="33" customHeight="1" x14ac:dyDescent="0.25">
      <c r="A829" s="7" t="s">
        <v>1642</v>
      </c>
      <c r="B829" s="3" t="s">
        <v>1315</v>
      </c>
      <c r="C829" s="3" t="s">
        <v>1316</v>
      </c>
      <c r="D829" s="6"/>
      <c r="E829" s="6">
        <v>45900</v>
      </c>
      <c r="F829" s="3"/>
      <c r="G829" s="6"/>
      <c r="H829" s="3"/>
      <c r="I829" s="6"/>
      <c r="J829" s="3" t="s">
        <v>1372</v>
      </c>
      <c r="K829" s="3"/>
      <c r="L829" s="3">
        <v>2008295</v>
      </c>
      <c r="M829" s="3" t="s">
        <v>34</v>
      </c>
      <c r="N829" s="3" t="s">
        <v>1317</v>
      </c>
      <c r="O829" s="3" t="s">
        <v>441</v>
      </c>
      <c r="P829" s="3" t="s">
        <v>1318</v>
      </c>
      <c r="Q829" s="5">
        <v>72763.96629941673</v>
      </c>
      <c r="R829" s="5"/>
      <c r="S829" s="5"/>
      <c r="T829" s="3"/>
      <c r="U829" s="3" t="s">
        <v>153</v>
      </c>
      <c r="V829" s="3"/>
      <c r="W829" s="6"/>
      <c r="X829" s="6"/>
      <c r="Y829" s="3"/>
      <c r="Z829" s="3"/>
      <c r="AA829" s="3"/>
      <c r="AB829" s="3" t="s">
        <v>42</v>
      </c>
    </row>
    <row r="830" spans="1:28" ht="33" customHeight="1" x14ac:dyDescent="0.25">
      <c r="A830" s="7" t="s">
        <v>1643</v>
      </c>
      <c r="B830" s="3" t="s">
        <v>1315</v>
      </c>
      <c r="C830" s="3" t="s">
        <v>1316</v>
      </c>
      <c r="D830" s="6"/>
      <c r="E830" s="6">
        <v>45900</v>
      </c>
      <c r="F830" s="3"/>
      <c r="G830" s="6"/>
      <c r="H830" s="3"/>
      <c r="I830" s="6"/>
      <c r="J830" s="3" t="s">
        <v>1383</v>
      </c>
      <c r="K830" s="3"/>
      <c r="L830" s="3">
        <v>3800176</v>
      </c>
      <c r="M830" s="3" t="s">
        <v>34</v>
      </c>
      <c r="N830" s="3" t="s">
        <v>1317</v>
      </c>
      <c r="O830" s="3" t="s">
        <v>441</v>
      </c>
      <c r="P830" s="3" t="s">
        <v>1318</v>
      </c>
      <c r="Q830" s="5">
        <v>72763.96629941673</v>
      </c>
      <c r="R830" s="5"/>
      <c r="S830" s="5"/>
      <c r="T830" s="3"/>
      <c r="U830" s="3" t="s">
        <v>153</v>
      </c>
      <c r="V830" s="3"/>
      <c r="W830" s="6"/>
      <c r="X830" s="6"/>
      <c r="Y830" s="3"/>
      <c r="Z830" s="3"/>
      <c r="AA830" s="3"/>
      <c r="AB830" s="3" t="s">
        <v>477</v>
      </c>
    </row>
    <row r="831" spans="1:28" ht="33" customHeight="1" x14ac:dyDescent="0.25">
      <c r="A831" s="7" t="s">
        <v>1644</v>
      </c>
      <c r="B831" s="3" t="s">
        <v>1315</v>
      </c>
      <c r="C831" s="3" t="s">
        <v>1316</v>
      </c>
      <c r="D831" s="6"/>
      <c r="E831" s="6">
        <v>45900</v>
      </c>
      <c r="F831" s="3"/>
      <c r="G831" s="6"/>
      <c r="H831" s="3"/>
      <c r="I831" s="6"/>
      <c r="J831" s="3" t="s">
        <v>1386</v>
      </c>
      <c r="K831" s="3"/>
      <c r="L831" s="3">
        <v>11532302</v>
      </c>
      <c r="M831" s="3" t="s">
        <v>92</v>
      </c>
      <c r="N831" s="3" t="s">
        <v>1317</v>
      </c>
      <c r="O831" s="3" t="s">
        <v>441</v>
      </c>
      <c r="P831" s="3" t="s">
        <v>1318</v>
      </c>
      <c r="Q831" s="5">
        <v>64600</v>
      </c>
      <c r="R831" s="5"/>
      <c r="S831" s="5"/>
      <c r="T831" s="3"/>
      <c r="U831" s="3" t="s">
        <v>153</v>
      </c>
      <c r="V831" s="3"/>
      <c r="W831" s="6"/>
      <c r="X831" s="6"/>
      <c r="Y831" s="3"/>
      <c r="Z831" s="3"/>
      <c r="AA831" s="3"/>
      <c r="AB831" s="3" t="s">
        <v>42</v>
      </c>
    </row>
    <row r="832" spans="1:28" ht="33" customHeight="1" x14ac:dyDescent="0.25">
      <c r="A832" s="7" t="s">
        <v>1645</v>
      </c>
      <c r="B832" s="3" t="s">
        <v>1315</v>
      </c>
      <c r="C832" s="3" t="s">
        <v>1316</v>
      </c>
      <c r="D832" s="6"/>
      <c r="E832" s="6">
        <v>45900</v>
      </c>
      <c r="F832" s="3"/>
      <c r="G832" s="6"/>
      <c r="H832" s="3"/>
      <c r="I832" s="6"/>
      <c r="J832" s="3" t="s">
        <v>1101</v>
      </c>
      <c r="K832" s="3"/>
      <c r="L832" s="3">
        <v>3309948</v>
      </c>
      <c r="M832" s="3" t="s">
        <v>34</v>
      </c>
      <c r="N832" s="3" t="s">
        <v>1317</v>
      </c>
      <c r="O832" s="3" t="s">
        <v>441</v>
      </c>
      <c r="P832" s="3" t="s">
        <v>1318</v>
      </c>
      <c r="Q832" s="5">
        <v>0</v>
      </c>
      <c r="R832" s="5"/>
      <c r="S832" s="5"/>
      <c r="T832" s="3"/>
      <c r="U832" s="3" t="s">
        <v>153</v>
      </c>
      <c r="V832" s="3"/>
      <c r="W832" s="6"/>
      <c r="X832" s="6"/>
      <c r="Y832" s="3"/>
      <c r="Z832" s="3"/>
      <c r="AA832" s="3"/>
      <c r="AB832" s="3" t="s">
        <v>42</v>
      </c>
    </row>
    <row r="833" spans="1:28" ht="33" customHeight="1" x14ac:dyDescent="0.25">
      <c r="A833" s="7" t="s">
        <v>1646</v>
      </c>
      <c r="B833" s="3" t="s">
        <v>1315</v>
      </c>
      <c r="C833" s="3" t="s">
        <v>1316</v>
      </c>
      <c r="D833" s="6"/>
      <c r="E833" s="6">
        <v>45900</v>
      </c>
      <c r="F833" s="3"/>
      <c r="G833" s="6"/>
      <c r="H833" s="3"/>
      <c r="I833" s="6"/>
      <c r="J833" s="3" t="s">
        <v>1101</v>
      </c>
      <c r="K833" s="3"/>
      <c r="L833" s="3">
        <v>3309948</v>
      </c>
      <c r="M833" s="3" t="s">
        <v>34</v>
      </c>
      <c r="N833" s="3" t="s">
        <v>1317</v>
      </c>
      <c r="O833" s="3" t="s">
        <v>441</v>
      </c>
      <c r="P833" s="3" t="s">
        <v>1318</v>
      </c>
      <c r="Q833" s="5">
        <v>30400</v>
      </c>
      <c r="R833" s="5"/>
      <c r="S833" s="5"/>
      <c r="T833" s="3"/>
      <c r="U833" s="3" t="s">
        <v>153</v>
      </c>
      <c r="V833" s="3"/>
      <c r="W833" s="6"/>
      <c r="X833" s="6"/>
      <c r="Y833" s="3"/>
      <c r="Z833" s="3"/>
      <c r="AA833" s="3"/>
      <c r="AB833" s="3" t="s">
        <v>42</v>
      </c>
    </row>
    <row r="834" spans="1:28" ht="33" customHeight="1" x14ac:dyDescent="0.25">
      <c r="A834" s="7" t="s">
        <v>1647</v>
      </c>
      <c r="B834" s="3" t="s">
        <v>1315</v>
      </c>
      <c r="C834" s="3" t="s">
        <v>1316</v>
      </c>
      <c r="D834" s="6"/>
      <c r="E834" s="6">
        <v>45900</v>
      </c>
      <c r="F834" s="3"/>
      <c r="G834" s="6"/>
      <c r="H834" s="3"/>
      <c r="I834" s="6"/>
      <c r="J834" s="3" t="s">
        <v>1101</v>
      </c>
      <c r="K834" s="3"/>
      <c r="L834" s="3">
        <v>3309948</v>
      </c>
      <c r="M834" s="3" t="s">
        <v>34</v>
      </c>
      <c r="N834" s="3" t="s">
        <v>1317</v>
      </c>
      <c r="O834" s="3" t="s">
        <v>441</v>
      </c>
      <c r="P834" s="3" t="s">
        <v>1318</v>
      </c>
      <c r="Q834" s="5">
        <v>175714.84121840569</v>
      </c>
      <c r="R834" s="5"/>
      <c r="S834" s="5"/>
      <c r="T834" s="3"/>
      <c r="U834" s="3" t="s">
        <v>153</v>
      </c>
      <c r="V834" s="3"/>
      <c r="W834" s="6"/>
      <c r="X834" s="6"/>
      <c r="Y834" s="3"/>
      <c r="Z834" s="3"/>
      <c r="AA834" s="3"/>
      <c r="AB834" s="3" t="s">
        <v>42</v>
      </c>
    </row>
    <row r="835" spans="1:28" ht="33" customHeight="1" x14ac:dyDescent="0.25">
      <c r="A835" s="7" t="s">
        <v>1648</v>
      </c>
      <c r="B835" s="3" t="s">
        <v>1315</v>
      </c>
      <c r="C835" s="3" t="s">
        <v>1316</v>
      </c>
      <c r="D835" s="6"/>
      <c r="E835" s="6">
        <v>45900</v>
      </c>
      <c r="F835" s="3"/>
      <c r="G835" s="6"/>
      <c r="H835" s="3"/>
      <c r="I835" s="6"/>
      <c r="J835" s="3" t="s">
        <v>1101</v>
      </c>
      <c r="K835" s="3"/>
      <c r="L835" s="3">
        <v>3309948</v>
      </c>
      <c r="M835" s="3" t="s">
        <v>34</v>
      </c>
      <c r="N835" s="3" t="s">
        <v>1317</v>
      </c>
      <c r="O835" s="3" t="s">
        <v>441</v>
      </c>
      <c r="P835" s="3" t="s">
        <v>1318</v>
      </c>
      <c r="Q835" s="5">
        <v>0</v>
      </c>
      <c r="R835" s="5"/>
      <c r="S835" s="5"/>
      <c r="T835" s="3"/>
      <c r="U835" s="3" t="s">
        <v>153</v>
      </c>
      <c r="V835" s="3"/>
      <c r="W835" s="6"/>
      <c r="X835" s="6"/>
      <c r="Y835" s="3"/>
      <c r="Z835" s="3"/>
      <c r="AA835" s="3"/>
      <c r="AB835" s="3" t="s">
        <v>42</v>
      </c>
    </row>
    <row r="836" spans="1:28" ht="33" customHeight="1" x14ac:dyDescent="0.25">
      <c r="A836" s="7" t="s">
        <v>1649</v>
      </c>
      <c r="B836" s="3" t="s">
        <v>1315</v>
      </c>
      <c r="C836" s="3" t="s">
        <v>1316</v>
      </c>
      <c r="D836" s="6"/>
      <c r="E836" s="6">
        <v>45900</v>
      </c>
      <c r="F836" s="3"/>
      <c r="G836" s="6"/>
      <c r="H836" s="3"/>
      <c r="I836" s="6"/>
      <c r="J836" s="3" t="s">
        <v>1101</v>
      </c>
      <c r="K836" s="3"/>
      <c r="L836" s="3">
        <v>3309948</v>
      </c>
      <c r="M836" s="3" t="s">
        <v>34</v>
      </c>
      <c r="N836" s="3" t="s">
        <v>1317</v>
      </c>
      <c r="O836" s="3" t="s">
        <v>441</v>
      </c>
      <c r="P836" s="3" t="s">
        <v>1318</v>
      </c>
      <c r="Q836" s="5">
        <v>60000</v>
      </c>
      <c r="R836" s="5"/>
      <c r="S836" s="5"/>
      <c r="T836" s="3"/>
      <c r="U836" s="3" t="s">
        <v>153</v>
      </c>
      <c r="V836" s="3"/>
      <c r="W836" s="6"/>
      <c r="X836" s="6"/>
      <c r="Y836" s="3"/>
      <c r="Z836" s="3"/>
      <c r="AA836" s="3"/>
      <c r="AB836" s="3" t="s">
        <v>42</v>
      </c>
    </row>
    <row r="837" spans="1:28" ht="33" customHeight="1" x14ac:dyDescent="0.25">
      <c r="A837" s="7" t="s">
        <v>1650</v>
      </c>
      <c r="B837" s="3" t="s">
        <v>1315</v>
      </c>
      <c r="C837" s="3" t="s">
        <v>1316</v>
      </c>
      <c r="D837" s="6"/>
      <c r="E837" s="6">
        <v>45900</v>
      </c>
      <c r="F837" s="3"/>
      <c r="G837" s="6"/>
      <c r="H837" s="3"/>
      <c r="I837" s="6"/>
      <c r="J837" s="3" t="s">
        <v>68</v>
      </c>
      <c r="K837" s="3"/>
      <c r="L837" s="3">
        <v>1990370</v>
      </c>
      <c r="M837" s="3" t="s">
        <v>34</v>
      </c>
      <c r="N837" s="3" t="s">
        <v>1317</v>
      </c>
      <c r="O837" s="3" t="s">
        <v>441</v>
      </c>
      <c r="P837" s="3" t="s">
        <v>1318</v>
      </c>
      <c r="Q837" s="5">
        <v>0</v>
      </c>
      <c r="R837" s="5"/>
      <c r="S837" s="5"/>
      <c r="T837" s="3"/>
      <c r="U837" s="3" t="s">
        <v>153</v>
      </c>
      <c r="V837" s="3"/>
      <c r="W837" s="6"/>
      <c r="X837" s="6"/>
      <c r="Y837" s="3"/>
      <c r="Z837" s="3"/>
      <c r="AA837" s="3"/>
      <c r="AB837" s="3" t="s">
        <v>42</v>
      </c>
    </row>
    <row r="838" spans="1:28" ht="33" customHeight="1" x14ac:dyDescent="0.25">
      <c r="A838" s="7" t="s">
        <v>1651</v>
      </c>
      <c r="B838" s="3" t="s">
        <v>1315</v>
      </c>
      <c r="C838" s="3" t="s">
        <v>1316</v>
      </c>
      <c r="D838" s="6"/>
      <c r="E838" s="6">
        <v>45900</v>
      </c>
      <c r="F838" s="3"/>
      <c r="G838" s="6"/>
      <c r="H838" s="3"/>
      <c r="I838" s="6"/>
      <c r="J838" s="3" t="s">
        <v>68</v>
      </c>
      <c r="K838" s="3"/>
      <c r="L838" s="3">
        <v>1990370</v>
      </c>
      <c r="M838" s="3" t="s">
        <v>34</v>
      </c>
      <c r="N838" s="3" t="s">
        <v>1317</v>
      </c>
      <c r="O838" s="3" t="s">
        <v>441</v>
      </c>
      <c r="P838" s="3" t="s">
        <v>1318</v>
      </c>
      <c r="Q838" s="5">
        <v>203105</v>
      </c>
      <c r="R838" s="5"/>
      <c r="S838" s="5"/>
      <c r="T838" s="3"/>
      <c r="U838" s="3" t="s">
        <v>153</v>
      </c>
      <c r="V838" s="3"/>
      <c r="W838" s="6"/>
      <c r="X838" s="6"/>
      <c r="Y838" s="3"/>
      <c r="Z838" s="3"/>
      <c r="AA838" s="3"/>
      <c r="AB838" s="3" t="s">
        <v>42</v>
      </c>
    </row>
    <row r="839" spans="1:28" ht="33" customHeight="1" x14ac:dyDescent="0.25">
      <c r="A839" s="7" t="s">
        <v>1652</v>
      </c>
      <c r="B839" s="3" t="s">
        <v>1315</v>
      </c>
      <c r="C839" s="3" t="s">
        <v>1316</v>
      </c>
      <c r="D839" s="6"/>
      <c r="E839" s="6">
        <v>45900</v>
      </c>
      <c r="F839" s="3"/>
      <c r="G839" s="6"/>
      <c r="H839" s="3"/>
      <c r="I839" s="6"/>
      <c r="J839" s="3" t="s">
        <v>68</v>
      </c>
      <c r="K839" s="3"/>
      <c r="L839" s="3">
        <v>1990370</v>
      </c>
      <c r="M839" s="3" t="s">
        <v>34</v>
      </c>
      <c r="N839" s="3" t="s">
        <v>1317</v>
      </c>
      <c r="O839" s="3" t="s">
        <v>441</v>
      </c>
      <c r="P839" s="3" t="s">
        <v>1318</v>
      </c>
      <c r="Q839" s="5">
        <v>0</v>
      </c>
      <c r="R839" s="5"/>
      <c r="S839" s="5"/>
      <c r="T839" s="3"/>
      <c r="U839" s="3" t="s">
        <v>153</v>
      </c>
      <c r="V839" s="3"/>
      <c r="W839" s="6"/>
      <c r="X839" s="6"/>
      <c r="Y839" s="3"/>
      <c r="Z839" s="3"/>
      <c r="AA839" s="3"/>
      <c r="AB839" s="3" t="s">
        <v>42</v>
      </c>
    </row>
    <row r="840" spans="1:28" ht="33" customHeight="1" x14ac:dyDescent="0.25">
      <c r="A840" s="7" t="s">
        <v>1653</v>
      </c>
      <c r="B840" s="3" t="s">
        <v>1315</v>
      </c>
      <c r="C840" s="3" t="s">
        <v>1316</v>
      </c>
      <c r="D840" s="6"/>
      <c r="E840" s="6">
        <v>45900</v>
      </c>
      <c r="F840" s="3"/>
      <c r="G840" s="6"/>
      <c r="H840" s="3"/>
      <c r="I840" s="6"/>
      <c r="J840" s="3" t="s">
        <v>68</v>
      </c>
      <c r="K840" s="3"/>
      <c r="L840" s="3">
        <v>1990370</v>
      </c>
      <c r="M840" s="3" t="s">
        <v>34</v>
      </c>
      <c r="N840" s="3" t="s">
        <v>1317</v>
      </c>
      <c r="O840" s="3" t="s">
        <v>441</v>
      </c>
      <c r="P840" s="3" t="s">
        <v>1318</v>
      </c>
      <c r="Q840" s="5">
        <v>0</v>
      </c>
      <c r="R840" s="5"/>
      <c r="S840" s="5"/>
      <c r="T840" s="3"/>
      <c r="U840" s="3" t="s">
        <v>153</v>
      </c>
      <c r="V840" s="3"/>
      <c r="W840" s="6"/>
      <c r="X840" s="6"/>
      <c r="Y840" s="3"/>
      <c r="Z840" s="3"/>
      <c r="AA840" s="3"/>
      <c r="AB840" s="3" t="s">
        <v>42</v>
      </c>
    </row>
    <row r="841" spans="1:28" ht="33" customHeight="1" x14ac:dyDescent="0.25">
      <c r="A841" s="7" t="s">
        <v>1654</v>
      </c>
      <c r="B841" s="3" t="s">
        <v>1315</v>
      </c>
      <c r="C841" s="3" t="s">
        <v>1316</v>
      </c>
      <c r="D841" s="6"/>
      <c r="E841" s="6">
        <v>45900</v>
      </c>
      <c r="F841" s="3"/>
      <c r="G841" s="6"/>
      <c r="H841" s="3"/>
      <c r="I841" s="6"/>
      <c r="J841" s="3" t="s">
        <v>1655</v>
      </c>
      <c r="K841" s="3"/>
      <c r="L841" s="3">
        <v>1308732</v>
      </c>
      <c r="M841" s="3" t="s">
        <v>92</v>
      </c>
      <c r="N841" s="3" t="s">
        <v>1317</v>
      </c>
      <c r="O841" s="3" t="s">
        <v>441</v>
      </c>
      <c r="P841" s="3" t="s">
        <v>1318</v>
      </c>
      <c r="Q841" s="5">
        <v>66250</v>
      </c>
      <c r="R841" s="5"/>
      <c r="S841" s="5"/>
      <c r="T841" s="3"/>
      <c r="U841" s="3" t="s">
        <v>153</v>
      </c>
      <c r="V841" s="3"/>
      <c r="W841" s="6"/>
      <c r="X841" s="6"/>
      <c r="Y841" s="3"/>
      <c r="Z841" s="3"/>
      <c r="AA841" s="3"/>
      <c r="AB841" s="3" t="s">
        <v>477</v>
      </c>
    </row>
    <row r="842" spans="1:28" ht="33" customHeight="1" x14ac:dyDescent="0.25">
      <c r="A842" s="7" t="s">
        <v>1656</v>
      </c>
      <c r="B842" s="3" t="s">
        <v>1315</v>
      </c>
      <c r="C842" s="3" t="s">
        <v>1335</v>
      </c>
      <c r="D842" s="6"/>
      <c r="E842" s="6">
        <v>45535</v>
      </c>
      <c r="F842" s="3"/>
      <c r="G842" s="6"/>
      <c r="H842" s="3"/>
      <c r="I842" s="6"/>
      <c r="J842" s="3" t="s">
        <v>991</v>
      </c>
      <c r="K842" s="3"/>
      <c r="L842" s="3">
        <v>2778802</v>
      </c>
      <c r="M842" s="3" t="s">
        <v>48</v>
      </c>
      <c r="N842" s="3" t="s">
        <v>1317</v>
      </c>
      <c r="O842" s="3" t="s">
        <v>441</v>
      </c>
      <c r="P842" s="3" t="s">
        <v>1318</v>
      </c>
      <c r="Q842" s="5">
        <v>21150</v>
      </c>
      <c r="R842" s="5"/>
      <c r="S842" s="5"/>
      <c r="T842" s="3"/>
      <c r="U842" s="3" t="s">
        <v>153</v>
      </c>
      <c r="V842" s="3"/>
      <c r="W842" s="6"/>
      <c r="X842" s="6"/>
      <c r="Y842" s="3"/>
      <c r="Z842" s="3"/>
      <c r="AA842" s="3"/>
      <c r="AB842" s="3" t="s">
        <v>42</v>
      </c>
    </row>
    <row r="843" spans="1:28" ht="33" customHeight="1" x14ac:dyDescent="0.25">
      <c r="A843" s="7" t="s">
        <v>1657</v>
      </c>
      <c r="B843" s="3" t="s">
        <v>1315</v>
      </c>
      <c r="C843" s="3" t="s">
        <v>1316</v>
      </c>
      <c r="D843" s="6"/>
      <c r="E843" s="6">
        <v>45900</v>
      </c>
      <c r="F843" s="3"/>
      <c r="G843" s="6"/>
      <c r="H843" s="3"/>
      <c r="I843" s="6"/>
      <c r="J843" s="3" t="s">
        <v>1050</v>
      </c>
      <c r="K843" s="3"/>
      <c r="L843" s="3">
        <v>4367719</v>
      </c>
      <c r="M843" s="3" t="s">
        <v>34</v>
      </c>
      <c r="N843" s="3" t="s">
        <v>1317</v>
      </c>
      <c r="O843" s="3" t="s">
        <v>441</v>
      </c>
      <c r="P843" s="3" t="s">
        <v>1318</v>
      </c>
      <c r="Q843" s="5">
        <v>60000</v>
      </c>
      <c r="R843" s="5"/>
      <c r="S843" s="5"/>
      <c r="T843" s="3"/>
      <c r="U843" s="3" t="s">
        <v>153</v>
      </c>
      <c r="V843" s="3"/>
      <c r="W843" s="6"/>
      <c r="X843" s="6"/>
      <c r="Y843" s="3"/>
      <c r="Z843" s="3"/>
      <c r="AA843" s="3"/>
      <c r="AB843" s="3" t="s">
        <v>477</v>
      </c>
    </row>
    <row r="844" spans="1:28" ht="33" customHeight="1" x14ac:dyDescent="0.25">
      <c r="A844" s="7" t="s">
        <v>1658</v>
      </c>
      <c r="B844" s="3" t="s">
        <v>1315</v>
      </c>
      <c r="C844" s="3" t="s">
        <v>1316</v>
      </c>
      <c r="D844" s="6"/>
      <c r="E844" s="6">
        <v>45900</v>
      </c>
      <c r="F844" s="3"/>
      <c r="G844" s="6"/>
      <c r="H844" s="3"/>
      <c r="I844" s="6"/>
      <c r="J844" s="3" t="s">
        <v>1050</v>
      </c>
      <c r="K844" s="3"/>
      <c r="L844" s="3">
        <v>4367719</v>
      </c>
      <c r="M844" s="3" t="s">
        <v>34</v>
      </c>
      <c r="N844" s="3" t="s">
        <v>1317</v>
      </c>
      <c r="O844" s="3" t="s">
        <v>441</v>
      </c>
      <c r="P844" s="3" t="s">
        <v>1318</v>
      </c>
      <c r="Q844" s="5">
        <v>60000</v>
      </c>
      <c r="R844" s="5"/>
      <c r="S844" s="5"/>
      <c r="T844" s="3"/>
      <c r="U844" s="3" t="s">
        <v>153</v>
      </c>
      <c r="V844" s="3"/>
      <c r="W844" s="6"/>
      <c r="X844" s="6"/>
      <c r="Y844" s="3"/>
      <c r="Z844" s="3"/>
      <c r="AA844" s="3"/>
      <c r="AB844" s="3" t="s">
        <v>477</v>
      </c>
    </row>
    <row r="845" spans="1:28" ht="33" customHeight="1" x14ac:dyDescent="0.25">
      <c r="A845" s="7" t="s">
        <v>1659</v>
      </c>
      <c r="B845" s="3" t="s">
        <v>1315</v>
      </c>
      <c r="C845" s="3" t="s">
        <v>1316</v>
      </c>
      <c r="D845" s="6"/>
      <c r="E845" s="6">
        <v>45900</v>
      </c>
      <c r="F845" s="3"/>
      <c r="G845" s="6"/>
      <c r="H845" s="3"/>
      <c r="I845" s="6"/>
      <c r="J845" s="3" t="s">
        <v>1050</v>
      </c>
      <c r="K845" s="3"/>
      <c r="L845" s="3">
        <v>4367719</v>
      </c>
      <c r="M845" s="3" t="s">
        <v>34</v>
      </c>
      <c r="N845" s="3" t="s">
        <v>1317</v>
      </c>
      <c r="O845" s="3" t="s">
        <v>441</v>
      </c>
      <c r="P845" s="3" t="s">
        <v>1318</v>
      </c>
      <c r="Q845" s="5">
        <v>60000</v>
      </c>
      <c r="R845" s="5"/>
      <c r="S845" s="5"/>
      <c r="T845" s="3"/>
      <c r="U845" s="3" t="s">
        <v>153</v>
      </c>
      <c r="V845" s="3"/>
      <c r="W845" s="6"/>
      <c r="X845" s="6"/>
      <c r="Y845" s="3"/>
      <c r="Z845" s="3"/>
      <c r="AA845" s="3"/>
      <c r="AB845" s="3" t="s">
        <v>477</v>
      </c>
    </row>
    <row r="846" spans="1:28" ht="33" customHeight="1" x14ac:dyDescent="0.25">
      <c r="A846" s="7" t="s">
        <v>1660</v>
      </c>
      <c r="B846" s="3" t="s">
        <v>1315</v>
      </c>
      <c r="C846" s="3" t="s">
        <v>1316</v>
      </c>
      <c r="D846" s="6"/>
      <c r="E846" s="6">
        <v>45900</v>
      </c>
      <c r="F846" s="3"/>
      <c r="G846" s="6"/>
      <c r="H846" s="3"/>
      <c r="I846" s="6"/>
      <c r="J846" s="3" t="s">
        <v>1386</v>
      </c>
      <c r="K846" s="3"/>
      <c r="L846" s="3">
        <v>11532302</v>
      </c>
      <c r="M846" s="3" t="s">
        <v>92</v>
      </c>
      <c r="N846" s="3" t="s">
        <v>1317</v>
      </c>
      <c r="O846" s="3" t="s">
        <v>441</v>
      </c>
      <c r="P846" s="3" t="s">
        <v>1318</v>
      </c>
      <c r="Q846" s="5">
        <v>64600</v>
      </c>
      <c r="R846" s="5"/>
      <c r="S846" s="5"/>
      <c r="T846" s="3"/>
      <c r="U846" s="3" t="s">
        <v>153</v>
      </c>
      <c r="V846" s="3"/>
      <c r="W846" s="6"/>
      <c r="X846" s="6"/>
      <c r="Y846" s="3"/>
      <c r="Z846" s="3"/>
      <c r="AA846" s="3"/>
      <c r="AB846" s="3" t="s">
        <v>42</v>
      </c>
    </row>
    <row r="847" spans="1:28" ht="33" customHeight="1" x14ac:dyDescent="0.25">
      <c r="A847" s="7" t="s">
        <v>1661</v>
      </c>
      <c r="B847" s="3" t="s">
        <v>1315</v>
      </c>
      <c r="C847" s="3" t="s">
        <v>1335</v>
      </c>
      <c r="D847" s="6"/>
      <c r="E847" s="6">
        <v>45900</v>
      </c>
      <c r="F847" s="3"/>
      <c r="G847" s="6"/>
      <c r="H847" s="3"/>
      <c r="I847" s="6"/>
      <c r="J847" s="3" t="s">
        <v>1293</v>
      </c>
      <c r="K847" s="3"/>
      <c r="L847" s="3">
        <v>11768296</v>
      </c>
      <c r="M847" s="3" t="s">
        <v>34</v>
      </c>
      <c r="N847" s="3" t="s">
        <v>1317</v>
      </c>
      <c r="O847" s="3" t="s">
        <v>441</v>
      </c>
      <c r="P847" s="3" t="s">
        <v>1318</v>
      </c>
      <c r="Q847" s="5">
        <v>10575</v>
      </c>
      <c r="R847" s="5"/>
      <c r="S847" s="5"/>
      <c r="T847" s="3"/>
      <c r="U847" s="3" t="s">
        <v>153</v>
      </c>
      <c r="V847" s="3"/>
      <c r="W847" s="6"/>
      <c r="X847" s="6"/>
      <c r="Y847" s="3"/>
      <c r="Z847" s="3"/>
      <c r="AA847" s="3"/>
      <c r="AB847" s="3" t="s">
        <v>42</v>
      </c>
    </row>
    <row r="848" spans="1:28" ht="33" customHeight="1" x14ac:dyDescent="0.25">
      <c r="A848" s="7" t="s">
        <v>1662</v>
      </c>
      <c r="B848" s="3" t="s">
        <v>1315</v>
      </c>
      <c r="C848" s="3" t="s">
        <v>1316</v>
      </c>
      <c r="D848" s="6"/>
      <c r="E848" s="6">
        <v>45900</v>
      </c>
      <c r="F848" s="3"/>
      <c r="G848" s="6"/>
      <c r="H848" s="3"/>
      <c r="I848" s="6"/>
      <c r="J848" s="3" t="s">
        <v>1293</v>
      </c>
      <c r="K848" s="3"/>
      <c r="L848" s="3">
        <v>11768296</v>
      </c>
      <c r="M848" s="3" t="s">
        <v>34</v>
      </c>
      <c r="N848" s="3" t="s">
        <v>1317</v>
      </c>
      <c r="O848" s="3" t="s">
        <v>441</v>
      </c>
      <c r="P848" s="3" t="s">
        <v>1318</v>
      </c>
      <c r="Q848" s="5">
        <v>30000</v>
      </c>
      <c r="R848" s="5"/>
      <c r="S848" s="5"/>
      <c r="T848" s="3"/>
      <c r="U848" s="3" t="s">
        <v>153</v>
      </c>
      <c r="V848" s="3"/>
      <c r="W848" s="6"/>
      <c r="X848" s="6"/>
      <c r="Y848" s="3"/>
      <c r="Z848" s="3"/>
      <c r="AA848" s="3"/>
      <c r="AB848" s="3" t="s">
        <v>42</v>
      </c>
    </row>
    <row r="849" spans="1:28" ht="33" customHeight="1" x14ac:dyDescent="0.25">
      <c r="A849" s="7" t="s">
        <v>1663</v>
      </c>
      <c r="B849" s="3" t="s">
        <v>1315</v>
      </c>
      <c r="C849" s="3" t="s">
        <v>1335</v>
      </c>
      <c r="D849" s="6"/>
      <c r="E849" s="6">
        <v>45900</v>
      </c>
      <c r="F849" s="3"/>
      <c r="G849" s="6"/>
      <c r="H849" s="3"/>
      <c r="I849" s="6"/>
      <c r="J849" s="3" t="s">
        <v>1293</v>
      </c>
      <c r="K849" s="3"/>
      <c r="L849" s="3">
        <v>11768296</v>
      </c>
      <c r="M849" s="3" t="s">
        <v>34</v>
      </c>
      <c r="N849" s="3" t="s">
        <v>1317</v>
      </c>
      <c r="O849" s="3" t="s">
        <v>441</v>
      </c>
      <c r="P849" s="3" t="s">
        <v>1318</v>
      </c>
      <c r="Q849" s="5">
        <v>41160</v>
      </c>
      <c r="R849" s="5"/>
      <c r="S849" s="5"/>
      <c r="T849" s="3"/>
      <c r="U849" s="3" t="s">
        <v>153</v>
      </c>
      <c r="V849" s="3"/>
      <c r="W849" s="6"/>
      <c r="X849" s="6"/>
      <c r="Y849" s="3"/>
      <c r="Z849" s="3"/>
      <c r="AA849" s="3"/>
      <c r="AB849" s="3" t="s">
        <v>42</v>
      </c>
    </row>
    <row r="850" spans="1:28" ht="33" customHeight="1" x14ac:dyDescent="0.25">
      <c r="A850" s="7" t="s">
        <v>1664</v>
      </c>
      <c r="B850" s="3" t="s">
        <v>1315</v>
      </c>
      <c r="C850" s="3" t="s">
        <v>1335</v>
      </c>
      <c r="D850" s="6"/>
      <c r="E850" s="6">
        <v>45900</v>
      </c>
      <c r="F850" s="3"/>
      <c r="G850" s="6"/>
      <c r="H850" s="3"/>
      <c r="I850" s="6"/>
      <c r="J850" s="3" t="s">
        <v>1372</v>
      </c>
      <c r="K850" s="3"/>
      <c r="L850" s="3">
        <v>2008295</v>
      </c>
      <c r="M850" s="3" t="s">
        <v>34</v>
      </c>
      <c r="N850" s="3" t="s">
        <v>1317</v>
      </c>
      <c r="O850" s="3" t="s">
        <v>441</v>
      </c>
      <c r="P850" s="3" t="s">
        <v>1318</v>
      </c>
      <c r="Q850" s="5">
        <v>23175</v>
      </c>
      <c r="R850" s="5"/>
      <c r="S850" s="5"/>
      <c r="T850" s="3"/>
      <c r="U850" s="3" t="s">
        <v>153</v>
      </c>
      <c r="V850" s="3"/>
      <c r="W850" s="6"/>
      <c r="X850" s="6"/>
      <c r="Y850" s="3"/>
      <c r="Z850" s="3"/>
      <c r="AA850" s="3"/>
      <c r="AB850" s="3" t="s">
        <v>42</v>
      </c>
    </row>
    <row r="851" spans="1:28" ht="33" customHeight="1" x14ac:dyDescent="0.25">
      <c r="A851" s="7" t="s">
        <v>1665</v>
      </c>
      <c r="B851" s="3" t="s">
        <v>1315</v>
      </c>
      <c r="C851" s="3" t="s">
        <v>1335</v>
      </c>
      <c r="D851" s="6"/>
      <c r="E851" s="6">
        <v>45900</v>
      </c>
      <c r="F851" s="3"/>
      <c r="G851" s="6"/>
      <c r="H851" s="3"/>
      <c r="I851" s="6"/>
      <c r="J851" s="3" t="s">
        <v>1372</v>
      </c>
      <c r="K851" s="3"/>
      <c r="L851" s="3">
        <v>2008295</v>
      </c>
      <c r="M851" s="3" t="s">
        <v>34</v>
      </c>
      <c r="N851" s="3" t="s">
        <v>1317</v>
      </c>
      <c r="O851" s="3" t="s">
        <v>441</v>
      </c>
      <c r="P851" s="3" t="s">
        <v>1318</v>
      </c>
      <c r="Q851" s="5">
        <v>17325</v>
      </c>
      <c r="R851" s="5"/>
      <c r="S851" s="5"/>
      <c r="T851" s="3"/>
      <c r="U851" s="3" t="s">
        <v>153</v>
      </c>
      <c r="V851" s="3"/>
      <c r="W851" s="6"/>
      <c r="X851" s="6"/>
      <c r="Y851" s="3"/>
      <c r="Z851" s="3"/>
      <c r="AA851" s="3"/>
      <c r="AB851" s="3" t="s">
        <v>42</v>
      </c>
    </row>
    <row r="852" spans="1:28" ht="33" customHeight="1" x14ac:dyDescent="0.25">
      <c r="A852" s="7" t="s">
        <v>1666</v>
      </c>
      <c r="B852" s="3" t="s">
        <v>1315</v>
      </c>
      <c r="C852" s="3" t="s">
        <v>1335</v>
      </c>
      <c r="D852" s="6"/>
      <c r="E852" s="6">
        <v>45900</v>
      </c>
      <c r="F852" s="3"/>
      <c r="G852" s="6"/>
      <c r="H852" s="3"/>
      <c r="I852" s="6"/>
      <c r="J852" s="3" t="s">
        <v>1372</v>
      </c>
      <c r="K852" s="3"/>
      <c r="L852" s="3">
        <v>2008295</v>
      </c>
      <c r="M852" s="3" t="s">
        <v>34</v>
      </c>
      <c r="N852" s="3" t="s">
        <v>1317</v>
      </c>
      <c r="O852" s="3" t="s">
        <v>441</v>
      </c>
      <c r="P852" s="3" t="s">
        <v>1318</v>
      </c>
      <c r="Q852" s="5">
        <v>18975</v>
      </c>
      <c r="R852" s="5"/>
      <c r="S852" s="5"/>
      <c r="T852" s="3"/>
      <c r="U852" s="3" t="s">
        <v>153</v>
      </c>
      <c r="V852" s="3"/>
      <c r="W852" s="6"/>
      <c r="X852" s="6"/>
      <c r="Y852" s="3"/>
      <c r="Z852" s="3"/>
      <c r="AA852" s="3"/>
      <c r="AB852" s="3" t="s">
        <v>42</v>
      </c>
    </row>
    <row r="853" spans="1:28" ht="33" customHeight="1" x14ac:dyDescent="0.25">
      <c r="A853" s="7" t="s">
        <v>1667</v>
      </c>
      <c r="B853" s="3" t="s">
        <v>1315</v>
      </c>
      <c r="C853" s="3" t="s">
        <v>1335</v>
      </c>
      <c r="D853" s="6"/>
      <c r="E853" s="6">
        <v>45900</v>
      </c>
      <c r="F853" s="3"/>
      <c r="G853" s="6"/>
      <c r="H853" s="3"/>
      <c r="I853" s="6"/>
      <c r="J853" s="3" t="s">
        <v>1372</v>
      </c>
      <c r="K853" s="3"/>
      <c r="L853" s="3">
        <v>2008295</v>
      </c>
      <c r="M853" s="3" t="s">
        <v>34</v>
      </c>
      <c r="N853" s="3" t="s">
        <v>1317</v>
      </c>
      <c r="O853" s="3" t="s">
        <v>441</v>
      </c>
      <c r="P853" s="3" t="s">
        <v>1318</v>
      </c>
      <c r="Q853" s="5">
        <v>14850</v>
      </c>
      <c r="R853" s="5"/>
      <c r="S853" s="5"/>
      <c r="T853" s="3"/>
      <c r="U853" s="3" t="s">
        <v>153</v>
      </c>
      <c r="V853" s="3"/>
      <c r="W853" s="6"/>
      <c r="X853" s="6"/>
      <c r="Y853" s="3"/>
      <c r="Z853" s="3"/>
      <c r="AA853" s="3"/>
      <c r="AB853" s="3" t="s">
        <v>42</v>
      </c>
    </row>
    <row r="854" spans="1:28" ht="33" customHeight="1" x14ac:dyDescent="0.25">
      <c r="A854" s="7" t="s">
        <v>1668</v>
      </c>
      <c r="B854" s="3" t="s">
        <v>1315</v>
      </c>
      <c r="C854" s="3" t="s">
        <v>1335</v>
      </c>
      <c r="D854" s="6"/>
      <c r="E854" s="6">
        <v>45900</v>
      </c>
      <c r="F854" s="3"/>
      <c r="G854" s="6"/>
      <c r="H854" s="3"/>
      <c r="I854" s="6"/>
      <c r="J854" s="3" t="s">
        <v>1383</v>
      </c>
      <c r="K854" s="3"/>
      <c r="L854" s="3">
        <v>3800176</v>
      </c>
      <c r="M854" s="3" t="s">
        <v>34</v>
      </c>
      <c r="N854" s="3" t="s">
        <v>1317</v>
      </c>
      <c r="O854" s="3" t="s">
        <v>441</v>
      </c>
      <c r="P854" s="3" t="s">
        <v>1318</v>
      </c>
      <c r="Q854" s="5">
        <v>36320</v>
      </c>
      <c r="R854" s="5"/>
      <c r="S854" s="5"/>
      <c r="T854" s="3"/>
      <c r="U854" s="3" t="s">
        <v>153</v>
      </c>
      <c r="V854" s="3"/>
      <c r="W854" s="6"/>
      <c r="X854" s="6"/>
      <c r="Y854" s="3"/>
      <c r="Z854" s="3"/>
      <c r="AA854" s="3"/>
      <c r="AB854" s="3" t="s">
        <v>477</v>
      </c>
    </row>
    <row r="855" spans="1:28" ht="33" customHeight="1" x14ac:dyDescent="0.25">
      <c r="A855" s="7" t="s">
        <v>1669</v>
      </c>
      <c r="B855" s="3" t="s">
        <v>1315</v>
      </c>
      <c r="C855" s="3" t="s">
        <v>1335</v>
      </c>
      <c r="D855" s="6"/>
      <c r="E855" s="6">
        <v>45900</v>
      </c>
      <c r="F855" s="3"/>
      <c r="G855" s="6"/>
      <c r="H855" s="3"/>
      <c r="I855" s="6"/>
      <c r="J855" s="3" t="s">
        <v>1383</v>
      </c>
      <c r="K855" s="3"/>
      <c r="L855" s="3">
        <v>3800176</v>
      </c>
      <c r="M855" s="3" t="s">
        <v>34</v>
      </c>
      <c r="N855" s="3" t="s">
        <v>1317</v>
      </c>
      <c r="O855" s="3" t="s">
        <v>441</v>
      </c>
      <c r="P855" s="3" t="s">
        <v>1318</v>
      </c>
      <c r="Q855" s="5">
        <v>6000</v>
      </c>
      <c r="R855" s="5"/>
      <c r="S855" s="5"/>
      <c r="T855" s="3"/>
      <c r="U855" s="3" t="s">
        <v>153</v>
      </c>
      <c r="V855" s="3"/>
      <c r="W855" s="6"/>
      <c r="X855" s="6"/>
      <c r="Y855" s="3"/>
      <c r="Z855" s="3"/>
      <c r="AA855" s="3"/>
      <c r="AB855" s="3" t="s">
        <v>477</v>
      </c>
    </row>
    <row r="856" spans="1:28" ht="33" customHeight="1" x14ac:dyDescent="0.25">
      <c r="A856" s="7" t="s">
        <v>1670</v>
      </c>
      <c r="B856" s="3" t="s">
        <v>1315</v>
      </c>
      <c r="C856" s="3" t="s">
        <v>1335</v>
      </c>
      <c r="D856" s="6"/>
      <c r="E856" s="6">
        <v>45900</v>
      </c>
      <c r="F856" s="3"/>
      <c r="G856" s="6"/>
      <c r="H856" s="3"/>
      <c r="I856" s="6"/>
      <c r="J856" s="3" t="s">
        <v>1383</v>
      </c>
      <c r="K856" s="3"/>
      <c r="L856" s="3">
        <v>3800176</v>
      </c>
      <c r="M856" s="3" t="s">
        <v>34</v>
      </c>
      <c r="N856" s="3" t="s">
        <v>1317</v>
      </c>
      <c r="O856" s="3" t="s">
        <v>441</v>
      </c>
      <c r="P856" s="3" t="s">
        <v>1318</v>
      </c>
      <c r="Q856" s="5">
        <v>41910</v>
      </c>
      <c r="R856" s="5"/>
      <c r="S856" s="5"/>
      <c r="T856" s="3"/>
      <c r="U856" s="3" t="s">
        <v>153</v>
      </c>
      <c r="V856" s="3"/>
      <c r="W856" s="6"/>
      <c r="X856" s="6"/>
      <c r="Y856" s="3"/>
      <c r="Z856" s="3"/>
      <c r="AA856" s="3"/>
      <c r="AB856" s="3" t="s">
        <v>477</v>
      </c>
    </row>
    <row r="857" spans="1:28" ht="33" customHeight="1" x14ac:dyDescent="0.25">
      <c r="A857" s="7" t="s">
        <v>1671</v>
      </c>
      <c r="B857" s="3" t="s">
        <v>1315</v>
      </c>
      <c r="C857" s="3" t="s">
        <v>1335</v>
      </c>
      <c r="D857" s="6"/>
      <c r="E857" s="6">
        <v>45900</v>
      </c>
      <c r="F857" s="3"/>
      <c r="G857" s="6"/>
      <c r="H857" s="3"/>
      <c r="I857" s="6"/>
      <c r="J857" s="3" t="s">
        <v>1383</v>
      </c>
      <c r="K857" s="3"/>
      <c r="L857" s="3">
        <v>3800176</v>
      </c>
      <c r="M857" s="3" t="s">
        <v>34</v>
      </c>
      <c r="N857" s="3" t="s">
        <v>1317</v>
      </c>
      <c r="O857" s="3" t="s">
        <v>441</v>
      </c>
      <c r="P857" s="3" t="s">
        <v>1318</v>
      </c>
      <c r="Q857" s="5">
        <v>19620</v>
      </c>
      <c r="R857" s="5"/>
      <c r="S857" s="5"/>
      <c r="T857" s="3"/>
      <c r="U857" s="3" t="s">
        <v>153</v>
      </c>
      <c r="V857" s="3"/>
      <c r="W857" s="6"/>
      <c r="X857" s="6"/>
      <c r="Y857" s="3"/>
      <c r="Z857" s="3"/>
      <c r="AA857" s="3"/>
      <c r="AB857" s="3" t="s">
        <v>477</v>
      </c>
    </row>
    <row r="858" spans="1:28" ht="33" customHeight="1" x14ac:dyDescent="0.25">
      <c r="A858" s="7" t="s">
        <v>1672</v>
      </c>
      <c r="B858" s="3" t="s">
        <v>1315</v>
      </c>
      <c r="C858" s="3" t="s">
        <v>1335</v>
      </c>
      <c r="D858" s="6"/>
      <c r="E858" s="6">
        <v>45900</v>
      </c>
      <c r="F858" s="3"/>
      <c r="G858" s="6"/>
      <c r="H858" s="3"/>
      <c r="I858" s="6"/>
      <c r="J858" s="3" t="s">
        <v>1101</v>
      </c>
      <c r="K858" s="3"/>
      <c r="L858" s="3">
        <v>3309948</v>
      </c>
      <c r="M858" s="3" t="s">
        <v>34</v>
      </c>
      <c r="N858" s="3" t="s">
        <v>1317</v>
      </c>
      <c r="O858" s="3" t="s">
        <v>441</v>
      </c>
      <c r="P858" s="3" t="s">
        <v>1318</v>
      </c>
      <c r="Q858" s="5">
        <v>24750</v>
      </c>
      <c r="R858" s="5"/>
      <c r="S858" s="5"/>
      <c r="T858" s="3"/>
      <c r="U858" s="3" t="s">
        <v>153</v>
      </c>
      <c r="V858" s="3"/>
      <c r="W858" s="6"/>
      <c r="X858" s="6"/>
      <c r="Y858" s="3"/>
      <c r="Z858" s="3"/>
      <c r="AA858" s="3"/>
      <c r="AB858" s="3" t="s">
        <v>42</v>
      </c>
    </row>
    <row r="859" spans="1:28" ht="33" customHeight="1" x14ac:dyDescent="0.25">
      <c r="A859" s="7" t="s">
        <v>1673</v>
      </c>
      <c r="B859" s="3" t="s">
        <v>1315</v>
      </c>
      <c r="C859" s="3" t="s">
        <v>1335</v>
      </c>
      <c r="D859" s="6"/>
      <c r="E859" s="6">
        <v>45900</v>
      </c>
      <c r="F859" s="3"/>
      <c r="G859" s="6"/>
      <c r="H859" s="3"/>
      <c r="I859" s="6"/>
      <c r="J859" s="3" t="s">
        <v>1333</v>
      </c>
      <c r="K859" s="3"/>
      <c r="L859" s="3">
        <v>8618209</v>
      </c>
      <c r="M859" s="3" t="s">
        <v>34</v>
      </c>
      <c r="N859" s="3" t="s">
        <v>1317</v>
      </c>
      <c r="O859" s="3" t="s">
        <v>441</v>
      </c>
      <c r="P859" s="3" t="s">
        <v>1318</v>
      </c>
      <c r="Q859" s="5">
        <v>59400</v>
      </c>
      <c r="R859" s="5"/>
      <c r="S859" s="5"/>
      <c r="T859" s="3"/>
      <c r="U859" s="3" t="s">
        <v>153</v>
      </c>
      <c r="V859" s="3"/>
      <c r="W859" s="6"/>
      <c r="X859" s="6"/>
      <c r="Y859" s="3"/>
      <c r="Z859" s="3"/>
      <c r="AA859" s="3"/>
      <c r="AB859" s="3" t="s">
        <v>42</v>
      </c>
    </row>
    <row r="860" spans="1:28" ht="33" customHeight="1" x14ac:dyDescent="0.25">
      <c r="A860" s="7" t="s">
        <v>1674</v>
      </c>
      <c r="B860" s="3" t="s">
        <v>1315</v>
      </c>
      <c r="C860" s="3" t="s">
        <v>1335</v>
      </c>
      <c r="D860" s="6"/>
      <c r="E860" s="6">
        <v>45900</v>
      </c>
      <c r="F860" s="3"/>
      <c r="G860" s="6"/>
      <c r="H860" s="3"/>
      <c r="I860" s="6"/>
      <c r="J860" s="3" t="s">
        <v>1333</v>
      </c>
      <c r="K860" s="3"/>
      <c r="L860" s="3">
        <v>8618209</v>
      </c>
      <c r="M860" s="3" t="s">
        <v>34</v>
      </c>
      <c r="N860" s="3" t="s">
        <v>1317</v>
      </c>
      <c r="O860" s="3" t="s">
        <v>441</v>
      </c>
      <c r="P860" s="3" t="s">
        <v>1318</v>
      </c>
      <c r="Q860" s="5">
        <v>52800</v>
      </c>
      <c r="R860" s="5"/>
      <c r="S860" s="5"/>
      <c r="T860" s="3"/>
      <c r="U860" s="3" t="s">
        <v>153</v>
      </c>
      <c r="V860" s="3"/>
      <c r="W860" s="6"/>
      <c r="X860" s="6"/>
      <c r="Y860" s="3"/>
      <c r="Z860" s="3"/>
      <c r="AA860" s="3"/>
      <c r="AB860" s="3" t="s">
        <v>42</v>
      </c>
    </row>
    <row r="861" spans="1:28" ht="33" customHeight="1" x14ac:dyDescent="0.25">
      <c r="A861" s="7" t="s">
        <v>1675</v>
      </c>
      <c r="B861" s="3" t="s">
        <v>1315</v>
      </c>
      <c r="C861" s="3" t="s">
        <v>1335</v>
      </c>
      <c r="D861" s="6"/>
      <c r="E861" s="6">
        <v>45900</v>
      </c>
      <c r="F861" s="3"/>
      <c r="G861" s="6"/>
      <c r="H861" s="3"/>
      <c r="I861" s="6"/>
      <c r="J861" s="3" t="s">
        <v>1631</v>
      </c>
      <c r="K861" s="3"/>
      <c r="L861" s="3">
        <v>9670374</v>
      </c>
      <c r="M861" s="3" t="s">
        <v>48</v>
      </c>
      <c r="N861" s="3" t="s">
        <v>1317</v>
      </c>
      <c r="O861" s="3" t="s">
        <v>441</v>
      </c>
      <c r="P861" s="3" t="s">
        <v>1318</v>
      </c>
      <c r="Q861" s="5">
        <v>97253</v>
      </c>
      <c r="R861" s="5"/>
      <c r="S861" s="5"/>
      <c r="T861" s="3"/>
      <c r="U861" s="3" t="s">
        <v>153</v>
      </c>
      <c r="V861" s="3"/>
      <c r="W861" s="6"/>
      <c r="X861" s="6"/>
      <c r="Y861" s="3"/>
      <c r="Z861" s="3"/>
      <c r="AA861" s="3"/>
      <c r="AB861" s="3" t="s">
        <v>477</v>
      </c>
    </row>
    <row r="862" spans="1:28" ht="33" customHeight="1" x14ac:dyDescent="0.25">
      <c r="A862" s="7" t="s">
        <v>1676</v>
      </c>
      <c r="B862" s="3" t="s">
        <v>1315</v>
      </c>
      <c r="C862" s="3" t="s">
        <v>1335</v>
      </c>
      <c r="D862" s="6"/>
      <c r="E862" s="6">
        <v>45900</v>
      </c>
      <c r="F862" s="3"/>
      <c r="G862" s="6"/>
      <c r="H862" s="3"/>
      <c r="I862" s="6"/>
      <c r="J862" s="3" t="s">
        <v>1631</v>
      </c>
      <c r="K862" s="3"/>
      <c r="L862" s="3">
        <v>9670374</v>
      </c>
      <c r="M862" s="3" t="s">
        <v>48</v>
      </c>
      <c r="N862" s="3" t="s">
        <v>1317</v>
      </c>
      <c r="O862" s="3" t="s">
        <v>441</v>
      </c>
      <c r="P862" s="3" t="s">
        <v>1318</v>
      </c>
      <c r="Q862" s="5">
        <v>0</v>
      </c>
      <c r="R862" s="5"/>
      <c r="S862" s="5"/>
      <c r="T862" s="3"/>
      <c r="U862" s="3" t="s">
        <v>153</v>
      </c>
      <c r="V862" s="3"/>
      <c r="W862" s="6"/>
      <c r="X862" s="6"/>
      <c r="Y862" s="3"/>
      <c r="Z862" s="3"/>
      <c r="AA862" s="3"/>
      <c r="AB862" s="3" t="s">
        <v>477</v>
      </c>
    </row>
    <row r="863" spans="1:28" ht="33" customHeight="1" x14ac:dyDescent="0.25">
      <c r="A863" s="7" t="s">
        <v>1677</v>
      </c>
      <c r="B863" s="3" t="s">
        <v>1315</v>
      </c>
      <c r="C863" s="3" t="s">
        <v>1316</v>
      </c>
      <c r="D863" s="6"/>
      <c r="E863" s="6">
        <v>45900</v>
      </c>
      <c r="F863" s="3"/>
      <c r="G863" s="6"/>
      <c r="H863" s="3"/>
      <c r="I863" s="6"/>
      <c r="J863" s="3" t="s">
        <v>1118</v>
      </c>
      <c r="K863" s="3"/>
      <c r="L863" s="3">
        <v>12850883</v>
      </c>
      <c r="M863" s="3" t="s">
        <v>48</v>
      </c>
      <c r="N863" s="3" t="s">
        <v>1317</v>
      </c>
      <c r="O863" s="3" t="s">
        <v>441</v>
      </c>
      <c r="P863" s="3" t="s">
        <v>1318</v>
      </c>
      <c r="Q863" s="5">
        <v>54600</v>
      </c>
      <c r="R863" s="5"/>
      <c r="S863" s="5"/>
      <c r="T863" s="3"/>
      <c r="U863" s="3" t="s">
        <v>153</v>
      </c>
      <c r="V863" s="3"/>
      <c r="W863" s="6"/>
      <c r="X863" s="6"/>
      <c r="Y863" s="3"/>
      <c r="Z863" s="3"/>
      <c r="AA863" s="3"/>
      <c r="AB863" s="3" t="s">
        <v>477</v>
      </c>
    </row>
    <row r="864" spans="1:28" ht="33" customHeight="1" x14ac:dyDescent="0.25">
      <c r="A864" s="7" t="s">
        <v>1678</v>
      </c>
      <c r="B864" s="3" t="s">
        <v>1315</v>
      </c>
      <c r="C864" s="3" t="s">
        <v>1335</v>
      </c>
      <c r="D864" s="6"/>
      <c r="E864" s="6">
        <v>45900</v>
      </c>
      <c r="F864" s="3"/>
      <c r="G864" s="6"/>
      <c r="H864" s="3"/>
      <c r="I864" s="6"/>
      <c r="J864" s="3" t="s">
        <v>1372</v>
      </c>
      <c r="K864" s="3"/>
      <c r="L864" s="3">
        <v>2008295</v>
      </c>
      <c r="M864" s="3" t="s">
        <v>34</v>
      </c>
      <c r="N864" s="3" t="s">
        <v>1317</v>
      </c>
      <c r="O864" s="3" t="s">
        <v>441</v>
      </c>
      <c r="P864" s="3" t="s">
        <v>1318</v>
      </c>
      <c r="Q864" s="5">
        <v>52800</v>
      </c>
      <c r="R864" s="5"/>
      <c r="S864" s="5"/>
      <c r="T864" s="3"/>
      <c r="U864" s="3" t="s">
        <v>153</v>
      </c>
      <c r="V864" s="3"/>
      <c r="W864" s="6"/>
      <c r="X864" s="6"/>
      <c r="Y864" s="3"/>
      <c r="Z864" s="3"/>
      <c r="AA864" s="3"/>
      <c r="AB864" s="3" t="s">
        <v>42</v>
      </c>
    </row>
    <row r="865" spans="1:28" ht="33" customHeight="1" x14ac:dyDescent="0.25">
      <c r="A865" s="7" t="s">
        <v>1679</v>
      </c>
      <c r="B865" s="3" t="s">
        <v>1315</v>
      </c>
      <c r="C865" s="3" t="s">
        <v>1316</v>
      </c>
      <c r="D865" s="6"/>
      <c r="E865" s="6">
        <v>45535</v>
      </c>
      <c r="F865" s="3"/>
      <c r="G865" s="6"/>
      <c r="H865" s="3"/>
      <c r="I865" s="6"/>
      <c r="J865" s="3" t="s">
        <v>68</v>
      </c>
      <c r="K865" s="3"/>
      <c r="L865" s="3">
        <v>1990370</v>
      </c>
      <c r="M865" s="3" t="s">
        <v>34</v>
      </c>
      <c r="N865" s="3" t="s">
        <v>1317</v>
      </c>
      <c r="O865" s="3" t="s">
        <v>441</v>
      </c>
      <c r="P865" s="3" t="s">
        <v>1318</v>
      </c>
      <c r="Q865" s="5">
        <v>56631.42</v>
      </c>
      <c r="R865" s="5"/>
      <c r="S865" s="5"/>
      <c r="T865" s="3"/>
      <c r="U865" s="3" t="s">
        <v>153</v>
      </c>
      <c r="V865" s="3"/>
      <c r="W865" s="6"/>
      <c r="X865" s="6"/>
      <c r="Y865" s="3"/>
      <c r="Z865" s="3"/>
      <c r="AA865" s="3"/>
      <c r="AB865" s="3" t="s">
        <v>42</v>
      </c>
    </row>
    <row r="866" spans="1:28" ht="33" customHeight="1" x14ac:dyDescent="0.25">
      <c r="A866" s="7" t="s">
        <v>1679</v>
      </c>
      <c r="B866" s="3" t="s">
        <v>1315</v>
      </c>
      <c r="C866" s="3" t="s">
        <v>1316</v>
      </c>
      <c r="D866" s="6"/>
      <c r="E866" s="6">
        <v>45535</v>
      </c>
      <c r="F866" s="3"/>
      <c r="G866" s="6"/>
      <c r="H866" s="3"/>
      <c r="I866" s="6"/>
      <c r="J866" s="3" t="s">
        <v>68</v>
      </c>
      <c r="K866" s="3"/>
      <c r="L866" s="3">
        <v>1990370</v>
      </c>
      <c r="M866" s="3" t="s">
        <v>34</v>
      </c>
      <c r="N866" s="3" t="s">
        <v>1317</v>
      </c>
      <c r="O866" s="3" t="s">
        <v>441</v>
      </c>
      <c r="P866" s="3" t="s">
        <v>1318</v>
      </c>
      <c r="Q866" s="5">
        <v>59107.08</v>
      </c>
      <c r="R866" s="5"/>
      <c r="S866" s="5"/>
      <c r="T866" s="3"/>
      <c r="U866" s="3" t="s">
        <v>153</v>
      </c>
      <c r="V866" s="3"/>
      <c r="W866" s="6"/>
      <c r="X866" s="6"/>
      <c r="Y866" s="3"/>
      <c r="Z866" s="3"/>
      <c r="AA866" s="3"/>
      <c r="AB866" s="3" t="s">
        <v>42</v>
      </c>
    </row>
    <row r="867" spans="1:28" ht="33" customHeight="1" x14ac:dyDescent="0.25">
      <c r="A867" s="7" t="s">
        <v>1679</v>
      </c>
      <c r="B867" s="3" t="s">
        <v>1315</v>
      </c>
      <c r="C867" s="3" t="s">
        <v>1316</v>
      </c>
      <c r="D867" s="6"/>
      <c r="E867" s="6">
        <v>45900</v>
      </c>
      <c r="F867" s="3"/>
      <c r="G867" s="6"/>
      <c r="H867" s="3"/>
      <c r="I867" s="6"/>
      <c r="J867" s="3" t="s">
        <v>1333</v>
      </c>
      <c r="K867" s="3"/>
      <c r="L867" s="3">
        <v>8618209</v>
      </c>
      <c r="M867" s="3" t="s">
        <v>34</v>
      </c>
      <c r="N867" s="3" t="s">
        <v>1317</v>
      </c>
      <c r="O867" s="3" t="s">
        <v>441</v>
      </c>
      <c r="P867" s="3" t="s">
        <v>1318</v>
      </c>
      <c r="Q867" s="5">
        <v>62103.299456288158</v>
      </c>
      <c r="R867" s="5"/>
      <c r="S867" s="5"/>
      <c r="T867" s="3"/>
      <c r="U867" s="3" t="s">
        <v>153</v>
      </c>
      <c r="V867" s="3"/>
      <c r="W867" s="6"/>
      <c r="X867" s="6"/>
      <c r="Y867" s="3"/>
      <c r="Z867" s="3"/>
      <c r="AA867" s="3"/>
      <c r="AB867" s="3" t="s">
        <v>42</v>
      </c>
    </row>
    <row r="868" spans="1:28" ht="33" customHeight="1" x14ac:dyDescent="0.25">
      <c r="A868" s="7" t="s">
        <v>1679</v>
      </c>
      <c r="B868" s="3" t="s">
        <v>1315</v>
      </c>
      <c r="C868" s="3" t="s">
        <v>1316</v>
      </c>
      <c r="D868" s="6"/>
      <c r="E868" s="6">
        <v>45900</v>
      </c>
      <c r="F868" s="3"/>
      <c r="G868" s="6"/>
      <c r="H868" s="3"/>
      <c r="I868" s="6"/>
      <c r="J868" s="3" t="s">
        <v>1333</v>
      </c>
      <c r="K868" s="3"/>
      <c r="L868" s="3">
        <v>8618209</v>
      </c>
      <c r="M868" s="3" t="s">
        <v>34</v>
      </c>
      <c r="N868" s="3" t="s">
        <v>1317</v>
      </c>
      <c r="O868" s="3" t="s">
        <v>441</v>
      </c>
      <c r="P868" s="3" t="s">
        <v>1318</v>
      </c>
      <c r="Q868" s="5">
        <v>62700</v>
      </c>
      <c r="R868" s="5"/>
      <c r="S868" s="5"/>
      <c r="T868" s="3"/>
      <c r="U868" s="3" t="s">
        <v>153</v>
      </c>
      <c r="V868" s="3"/>
      <c r="W868" s="6"/>
      <c r="X868" s="6"/>
      <c r="Y868" s="3"/>
      <c r="Z868" s="3"/>
      <c r="AA868" s="3"/>
      <c r="AB868" s="3" t="s">
        <v>42</v>
      </c>
    </row>
    <row r="869" spans="1:28" ht="33" customHeight="1" x14ac:dyDescent="0.25">
      <c r="A869" s="7" t="s">
        <v>1680</v>
      </c>
      <c r="B869" s="3" t="s">
        <v>1315</v>
      </c>
      <c r="C869" s="3" t="s">
        <v>1316</v>
      </c>
      <c r="D869" s="6"/>
      <c r="E869" s="6">
        <v>45900</v>
      </c>
      <c r="F869" s="3"/>
      <c r="G869" s="6"/>
      <c r="H869" s="3"/>
      <c r="I869" s="6"/>
      <c r="J869" s="3" t="s">
        <v>1333</v>
      </c>
      <c r="K869" s="3"/>
      <c r="L869" s="3">
        <v>8618209</v>
      </c>
      <c r="M869" s="3" t="s">
        <v>34</v>
      </c>
      <c r="N869" s="3" t="s">
        <v>1317</v>
      </c>
      <c r="O869" s="3" t="s">
        <v>441</v>
      </c>
      <c r="P869" s="3" t="s">
        <v>1318</v>
      </c>
      <c r="Q869" s="5">
        <v>65000</v>
      </c>
      <c r="R869" s="5"/>
      <c r="S869" s="5"/>
      <c r="T869" s="3"/>
      <c r="U869" s="3" t="s">
        <v>153</v>
      </c>
      <c r="V869" s="3"/>
      <c r="W869" s="6"/>
      <c r="X869" s="6"/>
      <c r="Y869" s="3"/>
      <c r="Z869" s="3"/>
      <c r="AA869" s="3"/>
      <c r="AB869" s="3" t="s">
        <v>42</v>
      </c>
    </row>
    <row r="870" spans="1:28" ht="33" customHeight="1" x14ac:dyDescent="0.25">
      <c r="A870" s="7" t="s">
        <v>1680</v>
      </c>
      <c r="B870" s="3" t="s">
        <v>1315</v>
      </c>
      <c r="C870" s="3" t="s">
        <v>1316</v>
      </c>
      <c r="D870" s="6"/>
      <c r="E870" s="6">
        <v>45900</v>
      </c>
      <c r="F870" s="3"/>
      <c r="G870" s="6"/>
      <c r="H870" s="3"/>
      <c r="I870" s="6"/>
      <c r="J870" s="3" t="s">
        <v>1333</v>
      </c>
      <c r="K870" s="3"/>
      <c r="L870" s="3">
        <v>8618209</v>
      </c>
      <c r="M870" s="3" t="s">
        <v>34</v>
      </c>
      <c r="N870" s="3" t="s">
        <v>1317</v>
      </c>
      <c r="O870" s="3" t="s">
        <v>441</v>
      </c>
      <c r="P870" s="3" t="s">
        <v>1318</v>
      </c>
      <c r="Q870" s="5">
        <v>62103.299456288158</v>
      </c>
      <c r="R870" s="5"/>
      <c r="S870" s="5"/>
      <c r="T870" s="3"/>
      <c r="U870" s="3" t="s">
        <v>153</v>
      </c>
      <c r="V870" s="3"/>
      <c r="W870" s="6"/>
      <c r="X870" s="6"/>
      <c r="Y870" s="3"/>
      <c r="Z870" s="3"/>
      <c r="AA870" s="3"/>
      <c r="AB870" s="3" t="s">
        <v>42</v>
      </c>
    </row>
    <row r="871" spans="1:28" ht="33" customHeight="1" x14ac:dyDescent="0.25">
      <c r="A871" s="7" t="s">
        <v>1680</v>
      </c>
      <c r="B871" s="3" t="s">
        <v>1315</v>
      </c>
      <c r="C871" s="3" t="s">
        <v>1316</v>
      </c>
      <c r="D871" s="6"/>
      <c r="E871" s="6">
        <v>45900</v>
      </c>
      <c r="F871" s="3"/>
      <c r="G871" s="6"/>
      <c r="H871" s="3"/>
      <c r="I871" s="6"/>
      <c r="J871" s="3" t="s">
        <v>1333</v>
      </c>
      <c r="K871" s="3"/>
      <c r="L871" s="3">
        <v>8618209</v>
      </c>
      <c r="M871" s="3" t="s">
        <v>34</v>
      </c>
      <c r="N871" s="3" t="s">
        <v>1317</v>
      </c>
      <c r="O871" s="3" t="s">
        <v>441</v>
      </c>
      <c r="P871" s="3" t="s">
        <v>1318</v>
      </c>
      <c r="Q871" s="5">
        <v>65000</v>
      </c>
      <c r="R871" s="5"/>
      <c r="S871" s="5"/>
      <c r="T871" s="3"/>
      <c r="U871" s="3" t="s">
        <v>153</v>
      </c>
      <c r="V871" s="3"/>
      <c r="W871" s="6"/>
      <c r="X871" s="6"/>
      <c r="Y871" s="3"/>
      <c r="Z871" s="3"/>
      <c r="AA871" s="3"/>
      <c r="AB871" s="3" t="s">
        <v>42</v>
      </c>
    </row>
    <row r="872" spans="1:28" ht="33" customHeight="1" x14ac:dyDescent="0.25">
      <c r="A872" s="7" t="s">
        <v>1681</v>
      </c>
      <c r="B872" s="3" t="s">
        <v>1315</v>
      </c>
      <c r="C872" s="3" t="s">
        <v>1316</v>
      </c>
      <c r="D872" s="6"/>
      <c r="E872" s="6">
        <v>45900</v>
      </c>
      <c r="F872" s="3"/>
      <c r="G872" s="6"/>
      <c r="H872" s="3"/>
      <c r="I872" s="6"/>
      <c r="J872" s="3" t="s">
        <v>1333</v>
      </c>
      <c r="K872" s="3"/>
      <c r="L872" s="3">
        <v>8618209</v>
      </c>
      <c r="M872" s="3" t="s">
        <v>34</v>
      </c>
      <c r="N872" s="3" t="s">
        <v>1317</v>
      </c>
      <c r="O872" s="3" t="s">
        <v>441</v>
      </c>
      <c r="P872" s="3" t="s">
        <v>1318</v>
      </c>
      <c r="Q872" s="5">
        <v>65000</v>
      </c>
      <c r="R872" s="5"/>
      <c r="S872" s="5"/>
      <c r="T872" s="3"/>
      <c r="U872" s="3" t="s">
        <v>153</v>
      </c>
      <c r="V872" s="3"/>
      <c r="W872" s="6"/>
      <c r="X872" s="6"/>
      <c r="Y872" s="3"/>
      <c r="Z872" s="3"/>
      <c r="AA872" s="3"/>
      <c r="AB872" s="3" t="s">
        <v>42</v>
      </c>
    </row>
    <row r="873" spans="1:28" ht="33" customHeight="1" x14ac:dyDescent="0.25">
      <c r="A873" s="7" t="s">
        <v>1681</v>
      </c>
      <c r="B873" s="3" t="s">
        <v>1315</v>
      </c>
      <c r="C873" s="3" t="s">
        <v>1316</v>
      </c>
      <c r="D873" s="6"/>
      <c r="E873" s="6">
        <v>45900</v>
      </c>
      <c r="F873" s="3"/>
      <c r="G873" s="6"/>
      <c r="H873" s="3"/>
      <c r="I873" s="6"/>
      <c r="J873" s="3" t="s">
        <v>1333</v>
      </c>
      <c r="K873" s="3"/>
      <c r="L873" s="3">
        <v>8618209</v>
      </c>
      <c r="M873" s="3" t="s">
        <v>34</v>
      </c>
      <c r="N873" s="3" t="s">
        <v>1317</v>
      </c>
      <c r="O873" s="3" t="s">
        <v>441</v>
      </c>
      <c r="P873" s="3" t="s">
        <v>1318</v>
      </c>
      <c r="Q873" s="5">
        <v>65000</v>
      </c>
      <c r="R873" s="5"/>
      <c r="S873" s="5"/>
      <c r="T873" s="3"/>
      <c r="U873" s="3" t="s">
        <v>153</v>
      </c>
      <c r="V873" s="3"/>
      <c r="W873" s="6"/>
      <c r="X873" s="6"/>
      <c r="Y873" s="3"/>
      <c r="Z873" s="3"/>
      <c r="AA873" s="3"/>
      <c r="AB873" s="3" t="s">
        <v>42</v>
      </c>
    </row>
    <row r="874" spans="1:28" ht="33" customHeight="1" x14ac:dyDescent="0.25">
      <c r="A874" s="7" t="s">
        <v>1681</v>
      </c>
      <c r="B874" s="3" t="s">
        <v>1315</v>
      </c>
      <c r="C874" s="3" t="s">
        <v>1316</v>
      </c>
      <c r="D874" s="6"/>
      <c r="E874" s="6">
        <v>45900</v>
      </c>
      <c r="F874" s="3"/>
      <c r="G874" s="6"/>
      <c r="H874" s="3"/>
      <c r="I874" s="6"/>
      <c r="J874" s="3" t="s">
        <v>1333</v>
      </c>
      <c r="K874" s="3"/>
      <c r="L874" s="3">
        <v>8618209</v>
      </c>
      <c r="M874" s="3" t="s">
        <v>34</v>
      </c>
      <c r="N874" s="3" t="s">
        <v>1317</v>
      </c>
      <c r="O874" s="3" t="s">
        <v>441</v>
      </c>
      <c r="P874" s="3" t="s">
        <v>1318</v>
      </c>
      <c r="Q874" s="5">
        <v>65000</v>
      </c>
      <c r="R874" s="5"/>
      <c r="S874" s="5"/>
      <c r="T874" s="3"/>
      <c r="U874" s="3" t="s">
        <v>153</v>
      </c>
      <c r="V874" s="3"/>
      <c r="W874" s="6"/>
      <c r="X874" s="6"/>
      <c r="Y874" s="3"/>
      <c r="Z874" s="3"/>
      <c r="AA874" s="3"/>
      <c r="AB874" s="3" t="s">
        <v>42</v>
      </c>
    </row>
    <row r="875" spans="1:28" ht="33" customHeight="1" x14ac:dyDescent="0.25">
      <c r="A875" s="7" t="s">
        <v>1682</v>
      </c>
      <c r="B875" s="3" t="s">
        <v>1315</v>
      </c>
      <c r="C875" s="3" t="s">
        <v>1316</v>
      </c>
      <c r="D875" s="6"/>
      <c r="E875" s="6">
        <v>45535</v>
      </c>
      <c r="F875" s="3"/>
      <c r="G875" s="6"/>
      <c r="H875" s="3"/>
      <c r="I875" s="6"/>
      <c r="J875" s="3" t="s">
        <v>68</v>
      </c>
      <c r="K875" s="3"/>
      <c r="L875" s="3">
        <v>1990370</v>
      </c>
      <c r="M875" s="3" t="s">
        <v>34</v>
      </c>
      <c r="N875" s="3" t="s">
        <v>1317</v>
      </c>
      <c r="O875" s="3" t="s">
        <v>441</v>
      </c>
      <c r="P875" s="3" t="s">
        <v>1318</v>
      </c>
      <c r="Q875" s="5">
        <v>43929.48</v>
      </c>
      <c r="R875" s="5"/>
      <c r="S875" s="5"/>
      <c r="T875" s="3"/>
      <c r="U875" s="3" t="s">
        <v>153</v>
      </c>
      <c r="V875" s="3"/>
      <c r="W875" s="6"/>
      <c r="X875" s="6"/>
      <c r="Y875" s="3"/>
      <c r="Z875" s="3"/>
      <c r="AA875" s="3"/>
      <c r="AB875" s="3" t="s">
        <v>42</v>
      </c>
    </row>
    <row r="876" spans="1:28" ht="33" customHeight="1" x14ac:dyDescent="0.25">
      <c r="A876" s="7" t="s">
        <v>1682</v>
      </c>
      <c r="B876" s="3" t="s">
        <v>1315</v>
      </c>
      <c r="C876" s="3" t="s">
        <v>1316</v>
      </c>
      <c r="D876" s="6"/>
      <c r="E876" s="6">
        <v>45900</v>
      </c>
      <c r="F876" s="3"/>
      <c r="G876" s="6"/>
      <c r="H876" s="3"/>
      <c r="I876" s="6"/>
      <c r="J876" s="3" t="s">
        <v>1333</v>
      </c>
      <c r="K876" s="3"/>
      <c r="L876" s="3">
        <v>8618209</v>
      </c>
      <c r="M876" s="3" t="s">
        <v>34</v>
      </c>
      <c r="N876" s="3" t="s">
        <v>1317</v>
      </c>
      <c r="O876" s="3" t="s">
        <v>441</v>
      </c>
      <c r="P876" s="3" t="s">
        <v>1318</v>
      </c>
      <c r="Q876" s="5">
        <v>65000</v>
      </c>
      <c r="R876" s="5"/>
      <c r="S876" s="5"/>
      <c r="T876" s="3"/>
      <c r="U876" s="3" t="s">
        <v>153</v>
      </c>
      <c r="V876" s="3"/>
      <c r="W876" s="6"/>
      <c r="X876" s="6"/>
      <c r="Y876" s="3"/>
      <c r="Z876" s="3"/>
      <c r="AA876" s="3"/>
      <c r="AB876" s="3" t="s">
        <v>42</v>
      </c>
    </row>
    <row r="877" spans="1:28" ht="33" customHeight="1" x14ac:dyDescent="0.25">
      <c r="A877" s="7" t="s">
        <v>1683</v>
      </c>
      <c r="B877" s="3" t="s">
        <v>1315</v>
      </c>
      <c r="C877" s="3" t="s">
        <v>1316</v>
      </c>
      <c r="D877" s="6"/>
      <c r="E877" s="6">
        <v>45535</v>
      </c>
      <c r="F877" s="3"/>
      <c r="G877" s="6"/>
      <c r="H877" s="3"/>
      <c r="I877" s="6"/>
      <c r="J877" s="3" t="s">
        <v>68</v>
      </c>
      <c r="K877" s="3"/>
      <c r="L877" s="3">
        <v>1990370</v>
      </c>
      <c r="M877" s="3" t="s">
        <v>34</v>
      </c>
      <c r="N877" s="3" t="s">
        <v>1317</v>
      </c>
      <c r="O877" s="3" t="s">
        <v>441</v>
      </c>
      <c r="P877" s="3" t="s">
        <v>1318</v>
      </c>
      <c r="Q877" s="5">
        <v>54453.36</v>
      </c>
      <c r="R877" s="5"/>
      <c r="S877" s="5"/>
      <c r="T877" s="3"/>
      <c r="U877" s="3" t="s">
        <v>153</v>
      </c>
      <c r="V877" s="3"/>
      <c r="W877" s="6"/>
      <c r="X877" s="6"/>
      <c r="Y877" s="3"/>
      <c r="Z877" s="3"/>
      <c r="AA877" s="3"/>
      <c r="AB877" s="3" t="s">
        <v>42</v>
      </c>
    </row>
    <row r="878" spans="1:28" ht="33" customHeight="1" x14ac:dyDescent="0.25">
      <c r="A878" s="7" t="s">
        <v>1684</v>
      </c>
      <c r="B878" s="3" t="s">
        <v>1315</v>
      </c>
      <c r="C878" s="3" t="s">
        <v>1316</v>
      </c>
      <c r="D878" s="6"/>
      <c r="E878" s="6">
        <v>45900</v>
      </c>
      <c r="F878" s="3"/>
      <c r="G878" s="6"/>
      <c r="H878" s="3"/>
      <c r="I878" s="6"/>
      <c r="J878" s="3" t="s">
        <v>1098</v>
      </c>
      <c r="K878" s="3"/>
      <c r="L878" s="3">
        <v>2197747</v>
      </c>
      <c r="M878" s="3" t="s">
        <v>48</v>
      </c>
      <c r="N878" s="3" t="s">
        <v>1317</v>
      </c>
      <c r="O878" s="3" t="s">
        <v>441</v>
      </c>
      <c r="P878" s="3" t="s">
        <v>1318</v>
      </c>
      <c r="Q878" s="5">
        <v>24196.378398405272</v>
      </c>
      <c r="R878" s="5"/>
      <c r="S878" s="5"/>
      <c r="T878" s="3"/>
      <c r="U878" s="3" t="s">
        <v>153</v>
      </c>
      <c r="V878" s="3"/>
      <c r="W878" s="6"/>
      <c r="X878" s="6"/>
      <c r="Y878" s="3"/>
      <c r="Z878" s="3"/>
      <c r="AA878" s="3"/>
      <c r="AB878" s="3" t="s">
        <v>42</v>
      </c>
    </row>
    <row r="879" spans="1:28" ht="33" customHeight="1" x14ac:dyDescent="0.25">
      <c r="A879" s="7" t="s">
        <v>1685</v>
      </c>
      <c r="B879" s="3" t="s">
        <v>1315</v>
      </c>
      <c r="C879" s="3" t="s">
        <v>1316</v>
      </c>
      <c r="D879" s="6"/>
      <c r="E879" s="6">
        <v>45535</v>
      </c>
      <c r="F879" s="3"/>
      <c r="G879" s="6"/>
      <c r="H879" s="3"/>
      <c r="I879" s="6"/>
      <c r="J879" s="3" t="s">
        <v>1389</v>
      </c>
      <c r="K879" s="3"/>
      <c r="L879" s="3">
        <v>14277899</v>
      </c>
      <c r="M879" s="3" t="s">
        <v>48</v>
      </c>
      <c r="N879" s="3" t="s">
        <v>1317</v>
      </c>
      <c r="O879" s="3" t="s">
        <v>441</v>
      </c>
      <c r="P879" s="3" t="s">
        <v>1318</v>
      </c>
      <c r="Q879" s="5">
        <v>59500</v>
      </c>
      <c r="R879" s="5"/>
      <c r="S879" s="5"/>
      <c r="T879" s="3"/>
      <c r="U879" s="3" t="s">
        <v>153</v>
      </c>
      <c r="V879" s="3"/>
      <c r="W879" s="6"/>
      <c r="X879" s="6"/>
      <c r="Y879" s="3"/>
      <c r="Z879" s="3"/>
      <c r="AA879" s="3"/>
      <c r="AB879" s="3" t="s">
        <v>477</v>
      </c>
    </row>
    <row r="880" spans="1:28" ht="33" customHeight="1" x14ac:dyDescent="0.25">
      <c r="A880" s="7" t="s">
        <v>1686</v>
      </c>
      <c r="B880" s="3" t="s">
        <v>1315</v>
      </c>
      <c r="C880" s="3" t="s">
        <v>1335</v>
      </c>
      <c r="D880" s="6"/>
      <c r="E880" s="6">
        <v>45535</v>
      </c>
      <c r="F880" s="3"/>
      <c r="G880" s="6"/>
      <c r="H880" s="3"/>
      <c r="I880" s="6"/>
      <c r="J880" s="3" t="s">
        <v>991</v>
      </c>
      <c r="K880" s="3"/>
      <c r="L880" s="3">
        <v>2778802</v>
      </c>
      <c r="M880" s="3" t="s">
        <v>48</v>
      </c>
      <c r="N880" s="3" t="s">
        <v>1317</v>
      </c>
      <c r="O880" s="3" t="s">
        <v>441</v>
      </c>
      <c r="P880" s="3" t="s">
        <v>1318</v>
      </c>
      <c r="Q880" s="5">
        <v>3600</v>
      </c>
      <c r="R880" s="5"/>
      <c r="S880" s="5"/>
      <c r="T880" s="3"/>
      <c r="U880" s="3" t="s">
        <v>153</v>
      </c>
      <c r="V880" s="3"/>
      <c r="W880" s="6"/>
      <c r="X880" s="6"/>
      <c r="Y880" s="3"/>
      <c r="Z880" s="3"/>
      <c r="AA880" s="3"/>
      <c r="AB880" s="3" t="s">
        <v>42</v>
      </c>
    </row>
    <row r="881" spans="1:28" ht="33" customHeight="1" x14ac:dyDescent="0.25">
      <c r="A881" s="7" t="s">
        <v>1687</v>
      </c>
      <c r="B881" s="3" t="s">
        <v>1315</v>
      </c>
      <c r="C881" s="3" t="s">
        <v>1335</v>
      </c>
      <c r="D881" s="6"/>
      <c r="E881" s="6">
        <v>45535</v>
      </c>
      <c r="F881" s="3"/>
      <c r="G881" s="6"/>
      <c r="H881" s="3"/>
      <c r="I881" s="6"/>
      <c r="J881" s="3" t="s">
        <v>991</v>
      </c>
      <c r="K881" s="3"/>
      <c r="L881" s="3">
        <v>2778802</v>
      </c>
      <c r="M881" s="3" t="s">
        <v>48</v>
      </c>
      <c r="N881" s="3" t="s">
        <v>1317</v>
      </c>
      <c r="O881" s="3" t="s">
        <v>441</v>
      </c>
      <c r="P881" s="3" t="s">
        <v>1318</v>
      </c>
      <c r="Q881" s="5">
        <v>6000</v>
      </c>
      <c r="R881" s="5"/>
      <c r="S881" s="5"/>
      <c r="T881" s="3"/>
      <c r="U881" s="3" t="s">
        <v>153</v>
      </c>
      <c r="V881" s="3"/>
      <c r="W881" s="6"/>
      <c r="X881" s="6"/>
      <c r="Y881" s="3"/>
      <c r="Z881" s="3"/>
      <c r="AA881" s="3"/>
      <c r="AB881" s="3" t="s">
        <v>42</v>
      </c>
    </row>
    <row r="882" spans="1:28" ht="33" customHeight="1" x14ac:dyDescent="0.25">
      <c r="A882" s="7" t="s">
        <v>1688</v>
      </c>
      <c r="B882" s="3" t="s">
        <v>1315</v>
      </c>
      <c r="C882" s="3" t="s">
        <v>1335</v>
      </c>
      <c r="D882" s="6"/>
      <c r="E882" s="6">
        <v>45535</v>
      </c>
      <c r="F882" s="3"/>
      <c r="G882" s="6"/>
      <c r="H882" s="3"/>
      <c r="I882" s="6"/>
      <c r="J882" s="3" t="s">
        <v>991</v>
      </c>
      <c r="K882" s="3"/>
      <c r="L882" s="3">
        <v>2778802</v>
      </c>
      <c r="M882" s="3" t="s">
        <v>48</v>
      </c>
      <c r="N882" s="3" t="s">
        <v>1317</v>
      </c>
      <c r="O882" s="3" t="s">
        <v>441</v>
      </c>
      <c r="P882" s="3" t="s">
        <v>1318</v>
      </c>
      <c r="Q882" s="5">
        <v>0</v>
      </c>
      <c r="R882" s="5"/>
      <c r="S882" s="5"/>
      <c r="T882" s="3"/>
      <c r="U882" s="3" t="s">
        <v>153</v>
      </c>
      <c r="V882" s="3"/>
      <c r="W882" s="6"/>
      <c r="X882" s="6"/>
      <c r="Y882" s="3"/>
      <c r="Z882" s="3"/>
      <c r="AA882" s="3"/>
      <c r="AB882" s="3" t="s">
        <v>42</v>
      </c>
    </row>
  </sheetData>
  <dataValidations count="6">
    <dataValidation type="list" allowBlank="1" showInputMessage="1" showErrorMessage="1" sqref="M50" xr:uid="{20DF398D-4981-491D-A06D-6DB2AF5C8BE4}">
      <formula1>"High,Medium,Low"</formula1>
    </dataValidation>
    <dataValidation type="list" allowBlank="1" showInputMessage="1" showErrorMessage="1" sqref="K74 K88 K92:K93 K95 K101 K51:K60 K10:K49 K865 K2 K4:K8 K878 K71 K882" xr:uid="{3AA0F64A-9BBD-4EE3-A067-92832CA482DD}">
      <formula1>"SME,VCSE,SME &amp; VCSE, No"</formula1>
    </dataValidation>
    <dataValidation type="list" allowBlank="1" showInputMessage="1" showErrorMessage="1" sqref="AA51 AA46:AA49 AA36 AA32:AA33 AA57:AA58 AA60 AA74 AA92:AA100 AA39:AA43 AA867 AA119 AA53:AA54 AA66 AA12 AA83:AA88 AA108 AA114 AA121 AA123 AA131:AA132 AA102:AA103 Z124 AA127 AA72 AA15:AA27 AA29 AA2:AA6" xr:uid="{EA4BFF84-3AEC-4FDF-938B-21B5929489E9}">
      <formula1>"Yes, No, TBC, N/A"</formula1>
    </dataValidation>
    <dataValidation type="list" allowBlank="1" showInputMessage="1" showErrorMessage="1" sqref="Z51 Z46:Z49 Z36 Y15:Z15 Z74 Z92:Z100 Z57 Z867 Z865 Z83:Z88 Z119 Z53:Z54 Z66 Z12 Z39:Z43 Z32:Z33 Z108 Z114 Z121 Z123 Z131:Z132 Z102:Z103 Y124 Z127 Z72 Z16:Z27 Z29 Z2:Z7" xr:uid="{CB7157AB-6A23-451A-8570-1CC17642F696}">
      <formula1>"Yes, No"</formula1>
    </dataValidation>
    <dataValidation type="list" allowBlank="1" showInputMessage="1" showErrorMessage="1" sqref="M23 M29 M53 M74 M88 M94 M96 M2 M4:M6" xr:uid="{9AD6A9EA-B0AE-4A13-B7EE-5A8AE01B986C}">
      <formula1>"Gold,Silver,Bronze"</formula1>
    </dataValidation>
    <dataValidation type="textLength" operator="lessThanOrEqual" allowBlank="1" showInputMessage="1" showErrorMessage="1" errorTitle="Input Error!" error="Title must not exceed 60 characters (including spaces). Enter a suitable title and detail this further in the description column" sqref="B1:B1048576" xr:uid="{8DC56ABD-397D-4BAA-B92F-DA64E47B585D}">
      <formula1>60</formula1>
    </dataValidation>
  </dataValidations>
  <hyperlinks>
    <hyperlink ref="U103" r:id="rId1" display="../../../../../:f:/r/sites/LegalandGovernanceServicesTeam/Shared Documents/General/Deeds/Electronic Deed Index w.e.f.  20.2.2018 DO NOT DESTROY/DP 744 CA1550 Dewsbury Bus Station?csf=1&amp;web=1&amp;e=IDygdZ" xr:uid="{BB551C74-AA76-47B3-8B8B-26F1790B0A75}"/>
    <hyperlink ref="U107" r:id="rId2" display="../../../../../:f:/r/sites/LegalandGovernanceServicesTeam/Shared Documents/General/Deeds/Electronic Deed Index w.e.f.  20.2.2018 DO NOT DESTROY/DP 744 CA1550 Dewsbury Bus Station?csf=1&amp;web=1&amp;e=1vynLM" xr:uid="{FADB8271-9851-4770-81C9-29CE1BC25E0D}"/>
    <hyperlink ref="U106" r:id="rId3" display="../../../../../:f:/r/sites/LegalandGovernanceServicesTeam/Shared Documents/General/Deeds/Electronic Deed Index w.e.f.  20.2.2018 DO NOT DESTROY/DP 744 CA1550 Dewsbury Bus Station?csf=1&amp;web=1&amp;e=1vynLM" xr:uid="{95539FD9-6CC9-44D0-A3C3-FAC927C11113}"/>
    <hyperlink ref="U105" r:id="rId4" display="../../../../../:f:/r/sites/LegalandGovernanceServicesTeam/Shared Documents/General/Deeds/Electronic Deed Index w.e.f.  20.2.2018 DO NOT DESTROY/DP 744 CA1550 Dewsbury Bus Station?csf=1&amp;web=1&amp;e=1vynLM" xr:uid="{2F5C4566-A93F-419F-8816-33ECD80A51F4}"/>
    <hyperlink ref="U104" r:id="rId5" display="../../../../../:f:/r/sites/LegalandGovernanceServicesTeam/Shared Documents/General/Deeds/Electronic Deed Index w.e.f.  20.2.2018 DO NOT DESTROY/DP 744 CA1550 Dewsbury Bus Station?csf=1&amp;web=1&amp;e=1vynLM" xr:uid="{767220AA-14DF-43AF-B346-9A7581FC1156}"/>
    <hyperlink ref="U126" r:id="rId6" display="../../../../../:f:/r/sites/LegalandGovernanceServicesTeam/Shared Documents/General/Deeds/Electronic Deed Index w.e.f.  20.2.2018 DO NOT DESTROY/DP 274 Energy Saving Trust?csf=1&amp;web=1&amp;e=xNRQ4G" xr:uid="{72E54123-E660-411D-87C9-44EB7C6BF921}"/>
    <hyperlink ref="U56" r:id="rId7" display="../../../../../:f:/r/sites/LegalandGovernanceServicesTeam/Shared Documents/General/Deeds/Electronic Deed Index w.e.f.  20.2.2018 DO NOT DESTROY/DP1132 CA53884-Business Productivity Contract?csf=1&amp;web=1&amp;e=jf0NpA" xr:uid="{C93F4521-14F5-4060-8289-69DB42E6CB2C}"/>
    <hyperlink ref="U15" r:id="rId8" display="../../../../../:f:/r/sites/LegalandGovernanceServicesTeam/Shared Documents/General/Deeds/Electronic Deed Index w.e.f.  20.2.2018 DO NOT DESTROY/DP1125 CA1230 Variation Form Virgin Media Business?csf=1&amp;web=1&amp;e=1cWtkJ" xr:uid="{D8860D0B-557D-45DF-B872-7E81CA84AD78}"/>
    <hyperlink ref="U17" r:id="rId9" display="../../../../../:f:/r/sites/LegalandGovernanceServicesTeam/Shared Documents/General/Deeds/Electronic Deed Index w.e.f.  20.2.2018 DO NOT DESTROY/DP1096 CA1246 Consultancy Services Agreement Consultancy Services Agreement  Local Footfall Tracker?csf=1&amp;web=1&amp;e=L0qd7M" xr:uid="{BAB4E424-9FFA-4254-93D9-0EA6251B28B7}"/>
    <hyperlink ref="U32" r:id="rId10" display="../../../../../:f:/r/sites/LegalandGovernanceServicesTeam/Shared Documents/General/Deeds/Electronic Deed Index w.e.f.  20.2.2018 DO NOT DESTROY/DP1084 CA1421-Adult Skills Training Framework Programme?csf=1&amp;web=1&amp;e=45Bjov" xr:uid="{20D750EC-256A-4708-A1BC-E8520841C98E}"/>
    <hyperlink ref="U54" r:id="rId11" display="../../../../../:f:/r/sites/LegalandGovernanceServicesTeam/Shared Documents/General/Deeds/Electronic Deed Index w.e.f.  20.2.2018 DO NOT DESTROY/DP1091 CA53161 Digital Skills Framework Courses Agreememnts?csf=1&amp;web=1&amp;e=ryaJwB" xr:uid="{F8281C70-895A-4C23-B78C-41DD301F4DA2}"/>
    <hyperlink ref="U41" r:id="rId12" display="../../../../:f:/r/sites/LegalandGovernanceServicesTeam/Shared Documents/General/Deeds/Electronic Deed Index w.e.f.  20.2.2018 DO NOT DESTROY/DP 723 Consultancy Services Agreement Health Assured?csf=1&amp;web=1&amp;e=ORSS6H" xr:uid="{22A93D9B-A89B-4F86-B40F-F9EDEE202DFB}"/>
    <hyperlink ref="U52" r:id="rId13" display="../../../../:f:/r/sites/LegalandGovernanceServicesTeam/Shared Documents/General/Deeds/Electronic Deed Index w.e.f.  20.2.2018 DO NOT DESTROY/DP 533 ECG Building Maintenance Limited TAs ECG Facilities Services?csf=1&amp;web=1&amp;e=NX5mZ1" xr:uid="{4B3114CC-591A-4611-9A9A-C41D8AA82F10}"/>
    <hyperlink ref="U49" r:id="rId14" display="../../../../:f:/r/sites/LegalandGovernanceServicesTeam/Shared Documents/General/Deeds/Electronic Deed Index w.e.f.  20.2.2018 DO NOT DESTROY/DP 811  CA49132  Basemap Ltd?csf=1&amp;web=1&amp;e=1oL3cH" xr:uid="{C9E6499E-BB6F-4535-8BD5-30246923DDBE}"/>
    <hyperlink ref="U61" r:id="rId15" display="../../../../:f:/r/sites/LegalandGovernanceServicesTeam/Shared Documents/General/Deeds/Electronic Deed Index w.e.f.  20.2.2018 DO NOT DESTROY/DP1082  CA57104 Call Off Framework Agreement?csf=1&amp;web=1&amp;e=2KHpE2" xr:uid="{49316593-99CE-4035-AD16-D7D2F1DB0FBA}"/>
    <hyperlink ref="U60" r:id="rId16" display="../../../../:f:/r/sites/LegalandGovernanceServicesTeam/Shared Documents/General/Deeds/Electronic Deed Index w.e.f.  20.2.2018 DO NOT DESTROY/DP 508  The National Literacy Trust?csf=1&amp;web=1&amp;e=64x13M" xr:uid="{5C30EADC-4E12-4B37-91C0-C3BE46F6F15B}"/>
    <hyperlink ref="U38" r:id="rId17" xr:uid="{B1338085-6939-4FE2-BB02-CCBC9F442B36}"/>
  </hyperlinks>
  <pageMargins left="0.7" right="0.7" top="0.75" bottom="0.75" header="0.3" footer="0.3"/>
  <pageSetup paperSize="9" orientation="portrait" r:id="rId18"/>
  <drawing r:id="rId19"/>
  <tableParts count="1">
    <tablePart r:id="rId2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ombined Authority Document" ma:contentTypeID="0x010100CD2C4A6BD139E040B17750FF27DCB58800C8C4793362ADF24483271EB4A5EF2042" ma:contentTypeVersion="22" ma:contentTypeDescription="" ma:contentTypeScope="" ma:versionID="652282c1bfa4672faf78d96e4d5876e8">
  <xsd:schema xmlns:xsd="http://www.w3.org/2001/XMLSchema" xmlns:xs="http://www.w3.org/2001/XMLSchema" xmlns:p="http://schemas.microsoft.com/office/2006/metadata/properties" xmlns:ns2="609d8ea2-166c-4bc4-b8e6-471679cf7152" xmlns:ns3="749fcac0-1a83-44ad-a246-cef45f65c140" xmlns:ns4="47b8abde-4f00-40c8-b7cd-5e812d4243d7" targetNamespace="http://schemas.microsoft.com/office/2006/metadata/properties" ma:root="true" ma:fieldsID="9d9705f103f92e91ab2cbf3ab3aaf915" ns2:_="" ns3:_="" ns4:_="">
    <xsd:import namespace="609d8ea2-166c-4bc4-b8e6-471679cf7152"/>
    <xsd:import namespace="749fcac0-1a83-44ad-a246-cef45f65c140"/>
    <xsd:import namespace="47b8abde-4f00-40c8-b7cd-5e812d4243d7"/>
    <xsd:element name="properties">
      <xsd:complexType>
        <xsd:sequence>
          <xsd:element name="documentManagement">
            <xsd:complexType>
              <xsd:all>
                <xsd:element ref="ns2:TaxCatchAll" minOccurs="0"/>
                <xsd:element ref="ns2:TaxCatchAllLabel" minOccurs="0"/>
                <xsd:element ref="ns2:e7f6fcfa129d4532be115c39d4a79470"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3:MediaLengthInSeconds" minOccurs="0"/>
                <xsd:element ref="ns3:SupplierName" minOccurs="0"/>
                <xsd:element ref="ns3:MediaServiceLocation"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9d8ea2-166c-4bc4-b8e6-471679cf7152"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84235a34-111a-42ca-86c3-73c9854704ba}" ma:internalName="TaxCatchAll" ma:showField="CatchAllData" ma:web="47b8abde-4f00-40c8-b7cd-5e812d4243d7">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84235a34-111a-42ca-86c3-73c9854704ba}" ma:internalName="TaxCatchAllLabel" ma:readOnly="true" ma:showField="CatchAllDataLabel" ma:web="47b8abde-4f00-40c8-b7cd-5e812d4243d7">
      <xsd:complexType>
        <xsd:complexContent>
          <xsd:extension base="dms:MultiChoiceLookup">
            <xsd:sequence>
              <xsd:element name="Value" type="dms:Lookup" maxOccurs="unbounded" minOccurs="0" nillable="true"/>
            </xsd:sequence>
          </xsd:extension>
        </xsd:complexContent>
      </xsd:complexType>
    </xsd:element>
    <xsd:element name="e7f6fcfa129d4532be115c39d4a79470" ma:index="10" ma:taxonomy="true" ma:internalName="e7f6fcfa129d4532be115c39d4a79470" ma:taxonomyFieldName="Information_x0020_Asset_x0020_Owner" ma:displayName="Information Asset Owner" ma:readOnly="false" ma:default="" ma:fieldId="{e7f6fcfa-129d-4532-be11-5c39d4a79470}" ma:sspId="818be74b-408a-4821-a541-c1cb6a280853" ma:termSetId="c62ee58c-7e49-4451-bf4d-25f985ecbd6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49fcac0-1a83-44ad-a246-cef45f65c140"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SupplierName" ma:index="24" nillable="true" ma:displayName="Supplier Name" ma:format="Dropdown" ma:internalName="SupplierName">
      <xsd:simpleType>
        <xsd:restriction base="dms:Text">
          <xsd:maxLength value="255"/>
        </xsd:restriction>
      </xsd:simpleType>
    </xsd:element>
    <xsd:element name="MediaServiceLocation" ma:index="25" nillable="true" ma:displayName="Location" ma:internalName="MediaServiceLocation" ma:readOnly="true">
      <xsd:simpleType>
        <xsd:restriction base="dms:Text"/>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818be74b-408a-4821-a541-c1cb6a28085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b8abde-4f00-40c8-b7cd-5e812d4243d7"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818be74b-408a-4821-a541-c1cb6a280853" ContentTypeId="0x010100CD2C4A6BD139E040B17750FF27DCB588"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609d8ea2-166c-4bc4-b8e6-471679cf7152">
      <Value>2</Value>
    </TaxCatchAll>
    <SupplierName xmlns="749fcac0-1a83-44ad-a246-cef45f65c140" xsi:nil="true"/>
    <e7f6fcfa129d4532be115c39d4a79470 xmlns="609d8ea2-166c-4bc4-b8e6-471679cf7152">
      <Terms xmlns="http://schemas.microsoft.com/office/infopath/2007/PartnerControls">
        <TermInfo xmlns="http://schemas.microsoft.com/office/infopath/2007/PartnerControls">
          <TermName xmlns="http://schemas.microsoft.com/office/infopath/2007/PartnerControls">Head of Procurement</TermName>
          <TermId xmlns="http://schemas.microsoft.com/office/infopath/2007/PartnerControls">fb32aba1-b4af-4d34-8c20-4f22030f9cc1</TermId>
        </TermInfo>
      </Terms>
    </e7f6fcfa129d4532be115c39d4a79470>
    <lcf76f155ced4ddcb4097134ff3c332f xmlns="749fcac0-1a83-44ad-a246-cef45f65c1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5DC7C2E-6E94-48D6-AD47-8E24284FEE6A}"/>
</file>

<file path=customXml/itemProps2.xml><?xml version="1.0" encoding="utf-8"?>
<ds:datastoreItem xmlns:ds="http://schemas.openxmlformats.org/officeDocument/2006/customXml" ds:itemID="{84442C12-6AA4-4318-AA21-2C6057EFE451}"/>
</file>

<file path=customXml/itemProps3.xml><?xml version="1.0" encoding="utf-8"?>
<ds:datastoreItem xmlns:ds="http://schemas.openxmlformats.org/officeDocument/2006/customXml" ds:itemID="{B39FEEB0-B0E4-4C9E-ACEC-8D84C6E18E5B}"/>
</file>

<file path=customXml/itemProps4.xml><?xml version="1.0" encoding="utf-8"?>
<ds:datastoreItem xmlns:ds="http://schemas.openxmlformats.org/officeDocument/2006/customXml" ds:itemID="{E817DE07-1282-4660-8093-E870D37E5FF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Live Contracts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Zayyan Steadman</dc:creator>
  <cp:lastModifiedBy>Zayyan Steadman</cp:lastModifiedBy>
  <dcterms:created xsi:type="dcterms:W3CDTF">2024-07-01T08:46:27Z</dcterms:created>
  <dcterms:modified xsi:type="dcterms:W3CDTF">2024-07-02T14:17:20Z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0x010100CD2C4A6BD139E040B17750FF27DCB58800C8C4793362ADF24483271EB4A5EF2042</vt:lpwstr>
  </property>
  <property fmtid="{D5CDD505-2E9C-101B-9397-08002B2CF9AE}" pid="3" name="Information Asset Owner">
    <vt:lpwstr>2;#Head of Procurement|fb32aba1-b4af-4d34-8c20-4f22030f9cc1</vt:lpwstr>
  </property>
  <property fmtid="{D5CDD505-2E9C-101B-9397-08002B2CF9AE}" pid="4" name="MediaServiceImageTags">
    <vt:lpwstr/>
  </property>
</Properties>
</file>