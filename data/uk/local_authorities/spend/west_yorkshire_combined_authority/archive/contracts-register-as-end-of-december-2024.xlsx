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westyorksca.sharepoint.com/sites/CommercialTeam/Shared Documents/Reporting and Transparency/Transparency/October - December 2024/"/>
    </mc:Choice>
  </mc:AlternateContent>
  <xr:revisionPtr revIDLastSave="19" documentId="8_{E55971EA-C699-4577-AFA5-B1F3A6E51931}" xr6:coauthVersionLast="47" xr6:coauthVersionMax="47" xr10:uidLastSave="{FD557560-E2C2-47E3-9D7A-7B5D934BE8DA}"/>
  <bookViews>
    <workbookView xWindow="57480" yWindow="-120" windowWidth="38640" windowHeight="21240" xr2:uid="{DAE5E2A9-FB9A-4085-9AB1-6C27BD9A2AD7}"/>
  </bookViews>
  <sheets>
    <sheet name="Sheet2" sheetId="2" r:id="rId1"/>
  </sheets>
  <externalReferences>
    <externalReference r:id="rId2"/>
  </externalReferences>
  <definedNames>
    <definedName name="ADE">#REF!</definedName>
    <definedName name="Category">#REF!</definedName>
    <definedName name="Uploa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91" i="2" l="1"/>
  <c r="N169" i="2"/>
  <c r="N56" i="2"/>
  <c r="N55" i="2"/>
  <c r="N20" i="2"/>
  <c r="N18" i="2"/>
  <c r="O11" i="2"/>
  <c r="N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tc={6678B0CF-D041-4A6D-9BAE-030B882150F5}</author>
    <author>tc={DEC68669-EC46-43DA-9C15-3A64AEA1E5A2}</author>
    <author>tc={971108BA-2C3C-4D53-A59A-EC62AE73BC2A}</author>
  </authors>
  <commentList>
    <comment ref="I8" authorId="0" shapeId="0" xr:uid="{6678B0CF-D041-4A6D-9BAE-030B882150F5}">
      <text>
        <t>[Threaded comment]
Your version of Excel allows you to read this threaded comment; however, any edits to it will get removed if the file is opened in a newer version of Excel. Learn more: https://go.microsoft.com/fwlink/?linkid=870924
Comment:
    Unable to locate on Companies House</t>
      </text>
    </comment>
    <comment ref="I24" authorId="1" shapeId="0" xr:uid="{DEC68669-EC46-43DA-9C15-3A64AEA1E5A2}">
      <text>
        <t>[Threaded comment]
Your version of Excel allows you to read this threaded comment; however, any edits to it will get removed if the file is opened in a newer version of Excel. Learn more: https://go.microsoft.com/fwlink/?linkid=870924
Comment:
    Unable to locate on Companies House
Reply:
    Based in Florida, USA</t>
      </text>
    </comment>
    <comment ref="G428" authorId="2" shapeId="0" xr:uid="{971108BA-2C3C-4D53-A59A-EC62AE73BC2A}">
      <text>
        <t>[Threaded comment]
Your version of Excel allows you to read this threaded comment; however, any edits to it will get removed if the file is opened in a newer version of Excel. Learn more: https://go.microsoft.com/fwlink/?linkid=870924
Comment:
    Ten year repayment period following final loan being issued</t>
      </text>
    </comment>
  </commentList>
</comments>
</file>

<file path=xl/sharedStrings.xml><?xml version="1.0" encoding="utf-8"?>
<sst xmlns="http://schemas.openxmlformats.org/spreadsheetml/2006/main" count="3948" uniqueCount="1158">
  <si>
    <t>Reference</t>
  </si>
  <si>
    <t>Title</t>
  </si>
  <si>
    <t>Description</t>
  </si>
  <si>
    <t>Contract Start Date</t>
  </si>
  <si>
    <t>Current Contract End Date</t>
  </si>
  <si>
    <t xml:space="preserve">Extension Options If Applicable </t>
  </si>
  <si>
    <t>Ultimate Contract End Date</t>
  </si>
  <si>
    <t>To be Renewed Y/N</t>
  </si>
  <si>
    <t>Awarded Suppliers</t>
  </si>
  <si>
    <t>Supplier Type
SME or VCSE</t>
  </si>
  <si>
    <t>Company Registration No.</t>
  </si>
  <si>
    <t>Service</t>
  </si>
  <si>
    <t>Directorate</t>
  </si>
  <si>
    <t xml:space="preserve">Annual Value </t>
  </si>
  <si>
    <t>Total Contract Value</t>
  </si>
  <si>
    <t>VAT that Cannot be Recovered</t>
  </si>
  <si>
    <t>Type ITQ/ITT or Waiver</t>
  </si>
  <si>
    <t>UTG Website Project including Support and Development</t>
  </si>
  <si>
    <t>Website Development and Support</t>
  </si>
  <si>
    <t>Yes</t>
  </si>
  <si>
    <t>Y</t>
  </si>
  <si>
    <t>N/A</t>
  </si>
  <si>
    <t>Creative Concern</t>
  </si>
  <si>
    <t>No</t>
  </si>
  <si>
    <t>SME</t>
  </si>
  <si>
    <t>04582786</t>
  </si>
  <si>
    <t>Urban Transport Group</t>
  </si>
  <si>
    <t>ITT</t>
  </si>
  <si>
    <t>High Level Street Design Feasibility Software</t>
  </si>
  <si>
    <t>Procurement of an intuitive, existing software tool that will enable policy staff and decision-makers as well as engineers to propose and explore different options for allocating roadspace.</t>
  </si>
  <si>
    <t>1+1</t>
  </si>
  <si>
    <t>Remix Technologies LLC</t>
  </si>
  <si>
    <t>86-1886934</t>
  </si>
  <si>
    <t>Transport Policy</t>
  </si>
  <si>
    <t>Transport Policy &amp; Delivery</t>
  </si>
  <si>
    <t xml:space="preserve">Wide Area Network </t>
  </si>
  <si>
    <t>Wide Area Network</t>
  </si>
  <si>
    <t>Virgin Media Business Limited</t>
  </si>
  <si>
    <t>01785381</t>
  </si>
  <si>
    <t>Digital &amp; Technology Services</t>
  </si>
  <si>
    <t>Corporate Centre</t>
  </si>
  <si>
    <t>Marketing and Skills Single Supplier Framework</t>
  </si>
  <si>
    <t>Delivering multiple mini projects across the Employment and Skills team around improving and creating content provisions for all-user career platforms and associated services. We are looking for a win/win collaborative approach with a provider to successfully deliver and bring innovation to this contract.</t>
  </si>
  <si>
    <t>Engaging Education Limited</t>
  </si>
  <si>
    <t>Employment &amp; Skills</t>
  </si>
  <si>
    <t>Inclusive Economy, Skills &amp; Culture</t>
  </si>
  <si>
    <t>N</t>
  </si>
  <si>
    <t>80101</t>
  </si>
  <si>
    <t>Update of Carbon Emissions Reductions Pathways (CERPs)</t>
  </si>
  <si>
    <t xml:space="preserve">This is an update of a previous, completed piece of work (and so a new contract) - the CERPs were originally procured under reference CA1176 North and West Yorkshire </t>
  </si>
  <si>
    <t>Ove Arup &amp; Partners Limited</t>
  </si>
  <si>
    <t>01312453</t>
  </si>
  <si>
    <t>Place &amp; Environment Policy</t>
  </si>
  <si>
    <t>Policing, Environment &amp; Place</t>
  </si>
  <si>
    <t>RM3821 – Data and Application Solutions Framework (CCS)</t>
  </si>
  <si>
    <t>ONI data analysis and monitoring of existing solution across multiple sites, deploying Cisco Meraki dashboard. To include 24x7 proactive monitoring, quarterly service reviews with continuous improvement plans, proactive management, remote updates and remediations.</t>
  </si>
  <si>
    <t xml:space="preserve">2 x 12 months </t>
  </si>
  <si>
    <t>Bramble Hub Limited</t>
  </si>
  <si>
    <t>04136381</t>
  </si>
  <si>
    <t>1345</t>
  </si>
  <si>
    <t>Integrated Corporate Systems - (ERP) Technology Selection</t>
  </si>
  <si>
    <t>Integrated Corporate Systems - Enterprise resource Programme (ERP) Technology Selection</t>
  </si>
  <si>
    <t>Technology One</t>
  </si>
  <si>
    <t>70405</t>
  </si>
  <si>
    <t>Huddersfield Bus Station Improvements: Design</t>
  </si>
  <si>
    <t>Design phase of Huddersfield Bus Station works - SCAPE call off</t>
  </si>
  <si>
    <t>Willmott Dixon Construction</t>
  </si>
  <si>
    <t xml:space="preserve">Private Limited Company </t>
  </si>
  <si>
    <t>00768173</t>
  </si>
  <si>
    <t>Transport Implementation</t>
  </si>
  <si>
    <t>Water Utilities (Framework - YPO - Utilities Water – 1008)</t>
  </si>
  <si>
    <t>The Combined Authority’s current call off contract with Wave via YPOs Water Utilities framework</t>
  </si>
  <si>
    <t>Anglian Water Business (National) Limited Trading as Wave</t>
  </si>
  <si>
    <t>Facilities &amp; Assets</t>
  </si>
  <si>
    <t>Transport Ops &amp; Passenger Experience</t>
  </si>
  <si>
    <t>Dewsbury Bus Station Construction (Phase One)</t>
  </si>
  <si>
    <t>Construction partner to deliver the planned Dewsbury Bus Station redevelopment programme</t>
  </si>
  <si>
    <t>Jacobs U.K. Limited</t>
  </si>
  <si>
    <t>02594504</t>
  </si>
  <si>
    <t>89262</t>
  </si>
  <si>
    <t>Leeds City Centre MT Strategy</t>
  </si>
  <si>
    <t>Transport planning, public realm, land-use planning, transport policy</t>
  </si>
  <si>
    <t xml:space="preserve">01312453 
</t>
  </si>
  <si>
    <t>Mass Transit</t>
  </si>
  <si>
    <t>91230</t>
  </si>
  <si>
    <t>Legal support services - One Stop Shop</t>
  </si>
  <si>
    <t>Womble Bond Dickinson LLP</t>
  </si>
  <si>
    <t xml:space="preserve">Limited Liability Partnership </t>
  </si>
  <si>
    <t>OC317661</t>
  </si>
  <si>
    <t>Legal and Governance</t>
  </si>
  <si>
    <t>Bradford Interchange Carriageway - Construction</t>
  </si>
  <si>
    <t>The complete resurfacing of the carriageway at Bradford Interchange, included any repairs of the concrete deck that are needed.  Superceded CA1385, as this was a direct award based on first stage.</t>
  </si>
  <si>
    <t>Balfour Beaty Civil Engineering Ltd</t>
  </si>
  <si>
    <t>90856</t>
  </si>
  <si>
    <t>Contract Management Hosting Fees</t>
  </si>
  <si>
    <t>Collaborative agreement for the provision of loacl authority contract management function</t>
  </si>
  <si>
    <t>North Yorkshire Council</t>
  </si>
  <si>
    <t>Other (please specify in Notes)</t>
  </si>
  <si>
    <t>ITQ</t>
  </si>
  <si>
    <t>CSM Assessor</t>
  </si>
  <si>
    <t xml:space="preserve"> Common Safety Method (CSM) support to develop and deliver proposals for a new rail station at Elland, in Calderdale</t>
  </si>
  <si>
    <t>ATKINSREALIS RAIL &amp; TRANSIT LIMITED formerly SNC Lavalin Ltd)</t>
  </si>
  <si>
    <t xml:space="preserve">No </t>
  </si>
  <si>
    <t>1550a</t>
  </si>
  <si>
    <t>TCF Strategic Delivery Partner 3 - Lot 2 - Highways Schemes</t>
  </si>
  <si>
    <t>Multi-disciplinary support for the development of the West Yorkshire region Transforming Cities Fund Programme and associated packages of projects from this, and other, funded programme streams. Completetion of  Outline Business Cases, Full Business Cases and similar supportative consultancy work.</t>
  </si>
  <si>
    <t>Transforming Cities Fund</t>
  </si>
  <si>
    <t>1550b</t>
  </si>
  <si>
    <t>TCF Strategic Delivery Partner 3 - Lot 1 - Bus Stations</t>
  </si>
  <si>
    <t xml:space="preserve">WSP UK Ltd
</t>
  </si>
  <si>
    <t>01383511</t>
  </si>
  <si>
    <t>1550c</t>
  </si>
  <si>
    <t>1550d</t>
  </si>
  <si>
    <t>1550e</t>
  </si>
  <si>
    <t>87678</t>
  </si>
  <si>
    <t>Bradford Interchange Urgent Infrastructure Survey - Stage 2</t>
  </si>
  <si>
    <t>Structural surveys on Bradford Interchange to determine soundness of structure and future recovery options.</t>
  </si>
  <si>
    <t>1538a</t>
  </si>
  <si>
    <t>Mass Transit Business Case Development Partner Lot 1</t>
  </si>
  <si>
    <t>Lot 1 - Business Case Development; Funding Bid Development; Transport Modelling; Economic / Carbon Appraisal; Expert Witness</t>
  </si>
  <si>
    <t>1538b</t>
  </si>
  <si>
    <t>Mass Transit Business Case Development Partner Lot 2</t>
  </si>
  <si>
    <t>Lot 2 - Stakeholder Management, Consultation, Engagement and Objection Management</t>
  </si>
  <si>
    <t>Mott MacDonald Limited</t>
  </si>
  <si>
    <t>1538c</t>
  </si>
  <si>
    <t>Mass Transit Business Case Development Partner Lot 3</t>
  </si>
  <si>
    <t>Lot 3 – Client Side Management</t>
  </si>
  <si>
    <t>Turner &amp; Townsend Project Management Ltd</t>
  </si>
  <si>
    <t>Regional Econometric Model</t>
  </si>
  <si>
    <t>Supplier to provide REM licence, maintenance and RPS subscription plus 2 models per year.</t>
  </si>
  <si>
    <t>Experian Limited</t>
  </si>
  <si>
    <t>Research &amp; Intelligence</t>
  </si>
  <si>
    <t>Strategy, Comms. &amp; Intelligence</t>
  </si>
  <si>
    <t>Bus Reform Depot and Land Surveys</t>
  </si>
  <si>
    <t>WYCA are to commission condition surveys of depots, and the land that the depots are situated on.</t>
  </si>
  <si>
    <t>Capita Property and Infrastructure Limited</t>
  </si>
  <si>
    <t>Bus Reform</t>
  </si>
  <si>
    <t>WY Local Cycling and Walking Infrastructure Plans – phase 2</t>
  </si>
  <si>
    <t xml:space="preserve">Provision of expert consultancy services to support the further development of Local Cycling and Walking Infrastructure Plans (LCWIPs) in West Yorkshire. </t>
  </si>
  <si>
    <t>01243967</t>
  </si>
  <si>
    <t>Economic Implementation</t>
  </si>
  <si>
    <t>Real-Time Passenger Information Battery Powered Displays</t>
  </si>
  <si>
    <t>Provision of Real-Time Passenger Information Battery Powered Displays for Bus Stop Pole and Shelters</t>
  </si>
  <si>
    <t>Vix Technology (UK) Ltd</t>
  </si>
  <si>
    <t>03039051</t>
  </si>
  <si>
    <t>1369</t>
  </si>
  <si>
    <t>BHF &amp; Housing Pipeline Revenue Fund Consultant</t>
  </si>
  <si>
    <t>Multidisciplinary Technical Services Consultancy</t>
  </si>
  <si>
    <t>2 + 2</t>
  </si>
  <si>
    <t>T0A24</t>
  </si>
  <si>
    <t>Tendered Bus Services</t>
  </si>
  <si>
    <t>Tendered Bus Services for route(s) serving: Rothwell - Castleford. Borough, route and schedule explained in Notes column.</t>
  </si>
  <si>
    <t>Arriva Yorkshire Limited</t>
  </si>
  <si>
    <t>Mobility Services</t>
  </si>
  <si>
    <t>T0I1</t>
  </si>
  <si>
    <t>Tendered Bus Services for route(s) serving: Old Farnley - Pudsey Owlcotes. Borough, route and schedule explained in Notes column.</t>
  </si>
  <si>
    <t>Squarepeg Buses Ltd</t>
  </si>
  <si>
    <t>T0I2</t>
  </si>
  <si>
    <t>T0I5</t>
  </si>
  <si>
    <t>Tendered Bus Services for route(s) serving: White Rose - Leeds - Pudsey. Borough, route and schedule explained in Notes column.</t>
  </si>
  <si>
    <t>T0I6</t>
  </si>
  <si>
    <t>T0I7</t>
  </si>
  <si>
    <t>T0I8</t>
  </si>
  <si>
    <t>Tendered Bus Services for route(s) serving: Seacroft - Swillington - White Rose. Borough, route and schedule explained in Notes column.</t>
  </si>
  <si>
    <t>T701A1</t>
  </si>
  <si>
    <t>Tendered Bus Services for route(s) serving: Hebden Bridge local services. Borough, route and schedule explained in Notes column.</t>
  </si>
  <si>
    <t>TLC Travel Limited</t>
  </si>
  <si>
    <t>T701A2</t>
  </si>
  <si>
    <t>T701A3</t>
  </si>
  <si>
    <t>T701A4</t>
  </si>
  <si>
    <t>T701A5</t>
  </si>
  <si>
    <t>Tendered Bus Services for route(s) serving: Todmorden local services. Borough, route and schedule explained in Notes column.</t>
  </si>
  <si>
    <t>T701A6</t>
  </si>
  <si>
    <t>T703A1</t>
  </si>
  <si>
    <t>Tendered Bus Services for route(s) serving: Seacroft - Halton. Borough, route and schedule explained in Notes column.</t>
  </si>
  <si>
    <t>T703B1</t>
  </si>
  <si>
    <t>Tendered Bus Services for route(s) serving: Holt Park - Tinshill - Horsforth. Borough, route and schedule explained in Notes column.</t>
  </si>
  <si>
    <t>84394</t>
  </si>
  <si>
    <t>Transforming Cities Fund Interim Evaluation</t>
  </si>
  <si>
    <t>Evaluation of TCF Programme, efficacy of current solutions, and future plans.</t>
  </si>
  <si>
    <t>6903140</t>
  </si>
  <si>
    <t>Bus Franchising</t>
  </si>
  <si>
    <t>T700A1</t>
  </si>
  <si>
    <t>Tendered Bus Services for route(s) serving: Dewsbury - Morley - Pudsey - Owlcotes. Borough, route and schedule explained in Notes column.</t>
  </si>
  <si>
    <t>T700A2</t>
  </si>
  <si>
    <t>Fair Work Charter</t>
  </si>
  <si>
    <t xml:space="preserve">The CA wishes to commission the year one delivery of the WY FWC. </t>
  </si>
  <si>
    <t>Greenborough Management Limited</t>
  </si>
  <si>
    <t>New Business Start Up Programme</t>
  </si>
  <si>
    <t xml:space="preserve">Service to  provide practical help and support to people who have decided to start a new business in West Yorkshire, with a focus on businesses with lower initial growth aspiration and that do not expect to turnover more than £250k in their first 12 months of trading. The programme is expected to deliver both one-to-many support through events, workshops and seminars, and one-to-one mentoring/coaching. </t>
  </si>
  <si>
    <t>PeoplePlus Group Ltd</t>
  </si>
  <si>
    <t>05722765</t>
  </si>
  <si>
    <t>Business Support</t>
  </si>
  <si>
    <t>Evaluation of the Getting Building Fund</t>
  </si>
  <si>
    <t>The West Yorkshire Combined Authority’s (the CA) wish to commission an external
consultancy to conduct an initial interim, and later, a full evaluation of the Getting Building
Fund (GBF).</t>
  </si>
  <si>
    <t>Genecon Limited</t>
  </si>
  <si>
    <t>08840919 </t>
  </si>
  <si>
    <t>Create Growth Programme</t>
  </si>
  <si>
    <t>Tender to appoint an external delivery partner to help WYCA utilise Create Growth Grant if awarded</t>
  </si>
  <si>
    <t>Creative England Limited</t>
  </si>
  <si>
    <t>Business Innovation Skills &amp; Culture Policy</t>
  </si>
  <si>
    <t>A campaign to encourage adults to start a business</t>
  </si>
  <si>
    <t>Marketing - Exploring Enterprise</t>
  </si>
  <si>
    <t>The Ark Marketing &amp; Media Ltd</t>
  </si>
  <si>
    <t>1550i</t>
  </si>
  <si>
    <t>Consultancy Services -  Transformation Dewsbury Bus Station</t>
  </si>
  <si>
    <t>Design consultancy to support the FBC development for Dewsbury Bus Station in line with the requirements issued at initial tender stage</t>
  </si>
  <si>
    <t>74203</t>
  </si>
  <si>
    <t>Exploring Enterprise: Schools Activity</t>
  </si>
  <si>
    <t>A programme to raise awareness of entrepreneurship as a potential career option to School Students.</t>
  </si>
  <si>
    <t>Employment &amp; Skills​</t>
  </si>
  <si>
    <t>78130</t>
  </si>
  <si>
    <t xml:space="preserve">Solar Residential Collective Buying Scheme  </t>
  </si>
  <si>
    <t>Identify and engage residents within WY who may be interested and can afford to invest in Solar PV and Battery Storage technology as part of a collective buying scheme</t>
  </si>
  <si>
    <t>iChoosr Ltd</t>
  </si>
  <si>
    <t>08241539</t>
  </si>
  <si>
    <t>79761</t>
  </si>
  <si>
    <t>Business support services for Freelancers and MSMEs</t>
  </si>
  <si>
    <t>Skills &amp; Business support services for Freelancers and MSMEs within the creative industries</t>
  </si>
  <si>
    <t>The Fifth Sector Ltd</t>
  </si>
  <si>
    <t>07539809</t>
  </si>
  <si>
    <t>81009</t>
  </si>
  <si>
    <t>Specialist Upskilling Courses</t>
  </si>
  <si>
    <t xml:space="preserve">A series of targeted courses that increase opportunities for groups and sectors underrepresented in training delivery across West Yorkshire. </t>
  </si>
  <si>
    <t>Lot 2: LCG and Beam Up Ltd
Lot 3: Bidright UK
Lot 6: Talented Training Ltd
Lot 7: Screen Yorkshire Ltd</t>
  </si>
  <si>
    <t>Lot 2: LCG - Private Limited Company
 Beam Up Ltd - SME
Lot 3: Bidright UK - SME
Lot 6: Talented Training Ltd - SME
Lot 7: Screen Yorkshire Ltd - SME</t>
  </si>
  <si>
    <t>Lot 2: LCG - 5233487
 Beam Up Ltd - 10637337
Lot 3: Bidright UK - 07570878
Lot 6: Talented Training Ltd - 09467477
Lot 7: Screen Yorkshire Ltd - 04490352</t>
  </si>
  <si>
    <t xml:space="preserve">84846 </t>
  </si>
  <si>
    <t xml:space="preserve">Huddersfield Bus Station Project Economic Case Consultant
</t>
  </si>
  <si>
    <t>The purpose of this commission is to procure the production of the Economic Case and supporting documentation for the Full Business Case and associated documents of the Huddersfield Bus Station scheme.</t>
  </si>
  <si>
    <t>86228b</t>
  </si>
  <si>
    <t>Bradford Council Coldspot Responsiveness Lot 2 - Numeracy Skills to Support Primary School Children</t>
  </si>
  <si>
    <t>Procurement on behalf of CBMDC</t>
  </si>
  <si>
    <t>Realise Learning and Employment Ltd</t>
  </si>
  <si>
    <t>07703720</t>
  </si>
  <si>
    <t>Specialist Consultancy Support</t>
  </si>
  <si>
    <t>Provision of specialist support and advice to businesses to support recovery, become more resilient, and go from survival and sustainability into growth.</t>
  </si>
  <si>
    <t xml:space="preserve">Zeal Media Ltd </t>
  </si>
  <si>
    <t>85143</t>
  </si>
  <si>
    <t>Support and Maintenance for Real Time Displays</t>
  </si>
  <si>
    <t>R2P UK SYSTEMS LIMITED</t>
  </si>
  <si>
    <t>05803344</t>
  </si>
  <si>
    <t xml:space="preserve">Local Energy advice Demonstrators </t>
  </si>
  <si>
    <t>Groundwork Yorkshire Limited</t>
  </si>
  <si>
    <t>SPA Delivery Model Partner</t>
  </si>
  <si>
    <t xml:space="preserve">Partner to provide support in developing delivery models - Surveyor Firm. </t>
  </si>
  <si>
    <t>CBRE LIMITED</t>
  </si>
  <si>
    <t>03536032</t>
  </si>
  <si>
    <t>77928a</t>
  </si>
  <si>
    <t>Evaluation Partner for the West Yorkshire Violence 
Reduction Partnership - Lot 1  A &amp;E Navigator Evaluation (Calderdale &amp; Huddersfield)</t>
  </si>
  <si>
    <t>The VRP is committed to embedding a Public Health approach to reducing serious violent crime, which means looking at violence not as isolated incidents or solely a police enforcement problem. Instead, violence is seen as a preventable consequence of a range of factors, such as adverse early-life experiences, or harmful social or community experiences and influences.</t>
  </si>
  <si>
    <t>Wavehill Limited</t>
  </si>
  <si>
    <t>Policing &amp; Crime</t>
  </si>
  <si>
    <t>77928b</t>
  </si>
  <si>
    <t>Evaluation Partner for the West Yorkshire Violence 
Reduction Partnership - Lot 2 Custody Diversion - Impact Evluation (Randomised Control Trial)</t>
  </si>
  <si>
    <t>Cordis Bright Limited</t>
  </si>
  <si>
    <t>77928c</t>
  </si>
  <si>
    <t>Evaluation Partner for the West Yorkshire Violence 
Reduction Partnership - Lot 3 Mentoring Provision - Impact Evaluation</t>
  </si>
  <si>
    <t>The Workforce Development Trust Limited</t>
  </si>
  <si>
    <t>Cleaning, Customer Care and Posting of Bus Timetables</t>
  </si>
  <si>
    <t>Property Services Cleaning, Customer Care and Posting of Bus Timetables</t>
  </si>
  <si>
    <t>3+1+1+1+1</t>
  </si>
  <si>
    <t>Carlisle Security Services Ltd</t>
  </si>
  <si>
    <t>02654100</t>
  </si>
  <si>
    <t>Gas</t>
  </si>
  <si>
    <t>Supply of Gas</t>
  </si>
  <si>
    <t>Corona Energy Retail 4 Limited</t>
  </si>
  <si>
    <t>02798334</t>
  </si>
  <si>
    <t>80605</t>
  </si>
  <si>
    <t>HDBS Cost Consultant</t>
  </si>
  <si>
    <t>Cost and project management professional services for NEC contracts including Huddersfield Bus Station</t>
  </si>
  <si>
    <t>Rider Hunt Construction Consultants LLP</t>
  </si>
  <si>
    <t>OC362843</t>
  </si>
  <si>
    <t>TBC</t>
  </si>
  <si>
    <t>80331</t>
  </si>
  <si>
    <t>Levelling Up Fund Round 2 Post Bid Support</t>
  </si>
  <si>
    <t xml:space="preserve">a Levelling Up Fund Round 2 (LUF2) Programme-level Business Case as part of post-bid activity, in order for provisionally allocated funding to be approved by Government. </t>
  </si>
  <si>
    <t>You Can Make It Here</t>
  </si>
  <si>
    <t>We Are Unlimited Arts</t>
  </si>
  <si>
    <t>CSO 280</t>
  </si>
  <si>
    <t>RTIG membership fees for 3 years</t>
  </si>
  <si>
    <t>This is for the payment of fee’s to continue membership of RTIG(Real Time information Group)</t>
  </si>
  <si>
    <t>RTIG</t>
  </si>
  <si>
    <t>ICT</t>
  </si>
  <si>
    <t>Waiver</t>
  </si>
  <si>
    <t>Waste Disposal - Wellington House and Bus Stations</t>
  </si>
  <si>
    <t>Provision of waste management services.</t>
  </si>
  <si>
    <t>Yes 3+1+1</t>
  </si>
  <si>
    <t>Suez Recycling and Recovery UK Ltd</t>
  </si>
  <si>
    <t>02291198</t>
  </si>
  <si>
    <t>Office Supplies and Stationery</t>
  </si>
  <si>
    <t>YPO Framework call-off to procure new office supplies and stationery supplier.</t>
  </si>
  <si>
    <t>Yes - Extended</t>
  </si>
  <si>
    <t>Lyreco UK Limited</t>
  </si>
  <si>
    <t>00442696</t>
  </si>
  <si>
    <t>PassengerExperience</t>
  </si>
  <si>
    <t>T0D1</t>
  </si>
  <si>
    <t>Tendered Bus Services for route(s) serving: Keighley - Braithwaite. Borough, route and schedule explained in Notes column.</t>
  </si>
  <si>
    <t>Transdev Blazefield Ltd</t>
  </si>
  <si>
    <t>Deminimis</t>
  </si>
  <si>
    <t>T0D10</t>
  </si>
  <si>
    <t>Tendered Bus Services for route(s) serving: Keighley - Bracken Bank. Borough, route and schedule explained in Notes column.</t>
  </si>
  <si>
    <t>T0D11</t>
  </si>
  <si>
    <t>T0D12</t>
  </si>
  <si>
    <t>Tendered Bus Services for route(s) serving: Greengates - Keighley. Borough, route and schedule explained in Notes column.</t>
  </si>
  <si>
    <t>T0D13</t>
  </si>
  <si>
    <t>Tendered Bus Services for route(s) serving: Keighley - Ilkley. Borough, route and schedule explained in Notes column.</t>
  </si>
  <si>
    <t>T0D14</t>
  </si>
  <si>
    <t>T0D15</t>
  </si>
  <si>
    <t>T0D16</t>
  </si>
  <si>
    <t>Tendered Bus Services for route(s) serving: Haworth - Hebden Bridge. Borough, route and schedule explained in Notes column.</t>
  </si>
  <si>
    <t>T0D17</t>
  </si>
  <si>
    <t>Tendered Bus Services for route(s) serving: 0. Borough, route and schedule explained in Notes column.</t>
  </si>
  <si>
    <t>T0D2</t>
  </si>
  <si>
    <t>T0D3</t>
  </si>
  <si>
    <t>Tendered Bus Services for route(s) serving: Keighley- Thwaites Brow. Borough, route and schedule explained in Notes column.</t>
  </si>
  <si>
    <t>T0D4</t>
  </si>
  <si>
    <t>T0D5</t>
  </si>
  <si>
    <t>Tendered Bus Services for route(s) serving: Keighley - Fell Lane. Borough, route and schedule explained in Notes column.</t>
  </si>
  <si>
    <t>T0D6</t>
  </si>
  <si>
    <t>T0D7</t>
  </si>
  <si>
    <t>Tendered Bus Services for route(s) serving: Keighley- Laycock. Borough, route and schedule explained in Notes column.</t>
  </si>
  <si>
    <t>T0D8</t>
  </si>
  <si>
    <t>T0D9</t>
  </si>
  <si>
    <t>Tendered Bus Services for route(s) serving: Keighley- Oakworth. Borough, route and schedule explained in Notes column.</t>
  </si>
  <si>
    <t>T658A1</t>
  </si>
  <si>
    <t>Tendered Bus Services for route(s) serving: Keighley - Oxenhope  . Borough, route and schedule explained in Notes column.</t>
  </si>
  <si>
    <t>T658A2</t>
  </si>
  <si>
    <t>Tendered Bus Services for route(s) serving: Keighley - Broomhill . Borough, route and schedule explained in Notes column.</t>
  </si>
  <si>
    <t>T658A3</t>
  </si>
  <si>
    <t>Tendered Bus Services for route(s) serving: Keighley - Blackhill . Borough, route and schedule explained in Notes column.</t>
  </si>
  <si>
    <t>T658A4</t>
  </si>
  <si>
    <t>Tendered Bus Services for route(s) serving: Keighley - Riddlesden. Borough, route and schedule explained in Notes column.</t>
  </si>
  <si>
    <t>T658A5</t>
  </si>
  <si>
    <t>Tendered Bus Services for route(s) serving: Keighley - Oxenhope/Stanbury. Borough, route and schedule explained in Notes column.</t>
  </si>
  <si>
    <t>T658A6</t>
  </si>
  <si>
    <t>Tendered Bus Services for route(s) serving: Keighley - Cullingworth. Borough, route and schedule explained in Notes column.</t>
  </si>
  <si>
    <t>Economic Report 2</t>
  </si>
  <si>
    <t>Expert support to help further our understanding of how the relocation of the Channel 4 (C4) HQ into Leeds City Region (LCR) and their wider commitment to spend more outside of London has impacted key measures of growth in the economy, across specified geographies of interest.</t>
  </si>
  <si>
    <t>MARK SPILSBURY T/A SPILSBURY RESEARCH</t>
  </si>
  <si>
    <t>Software and Licensing - Travel &amp; Transport Data, &amp; Analysis</t>
  </si>
  <si>
    <t>Software and Licensing For Travel and Transport Data and Analysis</t>
  </si>
  <si>
    <t>Basemap Limited</t>
  </si>
  <si>
    <t>Trade &amp; Investment Integrated Campaign Brief</t>
  </si>
  <si>
    <t xml:space="preserve">Marketing services for trade and investment. </t>
  </si>
  <si>
    <t>McCann Erickson Central Limited/McCann Leeds</t>
  </si>
  <si>
    <t>Public Limited Company</t>
  </si>
  <si>
    <t>01983874</t>
  </si>
  <si>
    <t>Marketing &amp; Campaigns</t>
  </si>
  <si>
    <t>83150</t>
  </si>
  <si>
    <t>Langthwaite EZ - NEC Site Supervisor and Additional Services</t>
  </si>
  <si>
    <t xml:space="preserve">NEC Site Supervisor for the development of Langthwaite enterprise zone </t>
  </si>
  <si>
    <t>Rider Levett Bucknall</t>
  </si>
  <si>
    <t>04653580</t>
  </si>
  <si>
    <t xml:space="preserve">
£128,442.15
</t>
  </si>
  <si>
    <t>PCC04</t>
  </si>
  <si>
    <t>West Yorkshire Perpetrator Service</t>
  </si>
  <si>
    <t>To provide a West Yorkshire wide behaviour change to first time/standard risk perpetrators of domestic abuse who receive a conditional caution.</t>
  </si>
  <si>
    <t>utilised</t>
  </si>
  <si>
    <t>Restorative Solutions CIC</t>
  </si>
  <si>
    <t>CIC</t>
  </si>
  <si>
    <r>
      <t>Registered company number:</t>
    </r>
    <r>
      <rPr>
        <sz val="12"/>
        <rFont val="Arial"/>
        <family val="2"/>
      </rPr>
      <t xml:space="preserve"> 06110507</t>
    </r>
  </si>
  <si>
    <t>Violence Reduction Unit</t>
  </si>
  <si>
    <t>375</t>
  </si>
  <si>
    <t xml:space="preserve">Annual subscription to XpertHR which is an online resource </t>
  </si>
  <si>
    <t>XpertHR (LexisNexis)</t>
  </si>
  <si>
    <t>HR</t>
  </si>
  <si>
    <t>75875</t>
  </si>
  <si>
    <t>FBC development and design support - Mobility Hubs across WY</t>
  </si>
  <si>
    <t xml:space="preserve">Consultancy support for the Full Business case of  Mobility Hubs across West Yorkshire </t>
  </si>
  <si>
    <t>Amberside Advisors Ltd</t>
  </si>
  <si>
    <t>82524</t>
  </si>
  <si>
    <t>Transport Brand Review</t>
  </si>
  <si>
    <t xml:space="preserve">Call off from Marketing framework. ​We wish to appoint an agency to work with us on establishing a new brand identity or identities for our transport network and related applications. </t>
  </si>
  <si>
    <t>ThreeTenSeven Limited</t>
  </si>
  <si>
    <t>03745303</t>
  </si>
  <si>
    <t>84913</t>
  </si>
  <si>
    <t>MCard Annual Marketing Contract 24/25</t>
  </si>
  <si>
    <t>T0A1</t>
  </si>
  <si>
    <t>Tendered Bus Services for route(s) serving: Wakefield - Normanton - Pontefract. Borough, route and schedule explained in Notes column.</t>
  </si>
  <si>
    <t>T0A18</t>
  </si>
  <si>
    <t>Tendered Bus Services for route(s) serving: Wakefield - Batley - Dewsbury. Borough, route and schedule explained in Notes column.</t>
  </si>
  <si>
    <t>T0A22</t>
  </si>
  <si>
    <t>Tendered Bus Services for route(s) serving: Leeds - Garforth - Selby. Borough, route and schedule explained in Notes column.</t>
  </si>
  <si>
    <t>T0A23</t>
  </si>
  <si>
    <t>Tendered Bus Services for route(s) serving: Wakefield - Kettlethorpe/Whtie Rose/Dewsbury. Borough, route and schedule explained in Notes column.</t>
  </si>
  <si>
    <t>T0A25</t>
  </si>
  <si>
    <t>Tendered Bus Services for route(s) serving: Leeds - Garforth - Castleford. Borough, route and schedule explained in Notes column.</t>
  </si>
  <si>
    <t>T0A26</t>
  </si>
  <si>
    <t>Tendered Bus Services for route(s) serving: Leeds - Allerton Bywater - Castleford. Borough, route and schedule explained in Notes column.</t>
  </si>
  <si>
    <t>T0A27</t>
  </si>
  <si>
    <t>Tendered Bus Services for route(s) serving: Wakefield - Garforth - Wetherby. Borough, route and schedule explained in Notes column.</t>
  </si>
  <si>
    <t>T0A28</t>
  </si>
  <si>
    <t>T0A29</t>
  </si>
  <si>
    <t>Tendered Bus Services for route(s) serving: Wakefield - Garforth - Castleford. Borough, route and schedule explained in Notes column.</t>
  </si>
  <si>
    <t>T0A3</t>
  </si>
  <si>
    <t>Tendered Bus Services for route(s) serving: Wakefield - Morley - Bradford. Borough, route and schedule explained in Notes column.</t>
  </si>
  <si>
    <t>T0A30</t>
  </si>
  <si>
    <t>T0A31</t>
  </si>
  <si>
    <t>Tendered Bus Services for route(s) serving: Leeds - Rothwell - Wakefield. Borough, route and schedule explained in Notes column.</t>
  </si>
  <si>
    <t>T0A32</t>
  </si>
  <si>
    <t>Tendered Bus Services for route(s) serving: Wakefield - Windhill/Clifford Avenue. Borough, route and schedule explained in Notes column.</t>
  </si>
  <si>
    <t>T0A33</t>
  </si>
  <si>
    <t>T0A34</t>
  </si>
  <si>
    <t>Tendered Bus Services for route(s) serving: Eastmoor - Wakefield. Borough, route and schedule explained in Notes column.</t>
  </si>
  <si>
    <t>T0A41</t>
  </si>
  <si>
    <t>Tendered Bus Services for route(s) serving: Alverthorpe - Wakefield. Borough, route and schedule explained in Notes column.</t>
  </si>
  <si>
    <t>T0A42</t>
  </si>
  <si>
    <t>Tendered Bus Services for route(s) serving: Hall Green - Wakefield. Borough, route and schedule explained in Notes column.</t>
  </si>
  <si>
    <t>T0A43</t>
  </si>
  <si>
    <t>Tendered Bus Services for route(s) serving: Wakefield - Durkar. Borough, route and schedule explained in Notes column.</t>
  </si>
  <si>
    <t>T0A44</t>
  </si>
  <si>
    <t>Tendered Bus Services for route(s) serving: Wakefield - Ossett - Gawthorpe. Borough, route and schedule explained in Notes column.</t>
  </si>
  <si>
    <t>T0A45</t>
  </si>
  <si>
    <t>Tendered Bus Services for route(s) serving: Pontefract - Chequerfield Circular. Borough, route and schedule explained in Notes column.</t>
  </si>
  <si>
    <t>T0A46</t>
  </si>
  <si>
    <t>T0A47</t>
  </si>
  <si>
    <t>Tendered Bus Services for route(s) serving: Leeds - Castleford - Pontefract. Borough, route and schedule explained in Notes column.</t>
  </si>
  <si>
    <t>T0A48</t>
  </si>
  <si>
    <t>T0A49</t>
  </si>
  <si>
    <t>Tendered Bus Services for route(s) serving: Wakefield - Normanton- Pontefract. Borough, route and schedule explained in Notes column.</t>
  </si>
  <si>
    <t>T0A50</t>
  </si>
  <si>
    <t>Tendered Bus Services for route(s) serving: Wakefield - Pontefract - Knottingley. Borough, route and schedule explained in Notes column.</t>
  </si>
  <si>
    <t>T0A51</t>
  </si>
  <si>
    <t>Tendered Bus Services for route(s) serving: Castleford - Ferry Fryston. Borough, route and schedule explained in Notes column.</t>
  </si>
  <si>
    <t>T0A52</t>
  </si>
  <si>
    <t>T0A53</t>
  </si>
  <si>
    <t>T0A54</t>
  </si>
  <si>
    <t>Tendered Bus Services for route(s) serving: Wakefield - Hemsworth - Upton. Borough, route and schedule explained in Notes column.</t>
  </si>
  <si>
    <t>T0C1</t>
  </si>
  <si>
    <t>Tendered Bus Services for route(s) serving: Stanley/Eastmoor - Wakefield/Ossett. Borough, route and schedule explained in Notes column.</t>
  </si>
  <si>
    <t>Globe Holidays Limited</t>
  </si>
  <si>
    <t>T0C10</t>
  </si>
  <si>
    <t>Tendered Bus Services for route(s) serving: Wakefield - Upton - South Elmsall. Borough, route and schedule explained in Notes column.</t>
  </si>
  <si>
    <t>T0C11</t>
  </si>
  <si>
    <t>T0C12</t>
  </si>
  <si>
    <t>Tendered Bus Services for route(s) serving: Barnsley - Newstead. Borough, route and schedule explained in Notes column.</t>
  </si>
  <si>
    <t>T0C13</t>
  </si>
  <si>
    <t>Tendered Bus Services for route(s) serving: Wakefield - Barnsley. Borough, route and schedule explained in Notes column.</t>
  </si>
  <si>
    <t>T0C2</t>
  </si>
  <si>
    <t>T0C3</t>
  </si>
  <si>
    <t>T0C4</t>
  </si>
  <si>
    <t>T0C5</t>
  </si>
  <si>
    <t>Tendered Bus Services for route(s) serving: Castleford - Pontefract. Borough, route and schedule explained in Notes column.</t>
  </si>
  <si>
    <t>T0C6</t>
  </si>
  <si>
    <t>Tendered Bus Services for route(s) serving: Ryhill - Hemsworth - South Elmsall. Borough, route and schedule explained in Notes column.</t>
  </si>
  <si>
    <t>T0C7</t>
  </si>
  <si>
    <t>Tendered Bus Services for route(s) serving: South Elmsall - Pontefract. Borough, route and schedule explained in Notes column.</t>
  </si>
  <si>
    <t>T0C8</t>
  </si>
  <si>
    <t>Tendered Bus Services for route(s) serving: South Hiendley - Pontefract. Borough, route and schedule explained in Notes column.</t>
  </si>
  <si>
    <t>T0C9</t>
  </si>
  <si>
    <t>T0G1</t>
  </si>
  <si>
    <t>Tendered Bus Services for route(s) serving: Additional cost - estates extension. Borough, route and schedule explained in Notes column.</t>
  </si>
  <si>
    <t>Ross Travel Ltd</t>
  </si>
  <si>
    <t>T0G2</t>
  </si>
  <si>
    <t>T0G3</t>
  </si>
  <si>
    <t>T0G4</t>
  </si>
  <si>
    <t>Tendered Bus Services for route(s) serving: Castleford - Knottingley. Borough, route and schedule explained in Notes column.</t>
  </si>
  <si>
    <t>T0J1</t>
  </si>
  <si>
    <t>Tendered Bus Services for route(s) serving: Barnsley - Pontefract. Borough, route and schedule explained in Notes column.</t>
  </si>
  <si>
    <t>Stagecoach</t>
  </si>
  <si>
    <t>T0J2</t>
  </si>
  <si>
    <t>T0L1</t>
  </si>
  <si>
    <t>Tendered Bus Services for route(s) serving: Pontefract - Knottingley. Borough, route and schedule explained in Notes column.</t>
  </si>
  <si>
    <t>Stevenson’s Travel Ltd</t>
  </si>
  <si>
    <t>T0L2</t>
  </si>
  <si>
    <t>T666B1</t>
  </si>
  <si>
    <t>Tendered Bus Services for route(s) serving: Brighouse - East Bierley. Borough, route and schedule explained in Notes column.</t>
  </si>
  <si>
    <t>T666B2</t>
  </si>
  <si>
    <t>T706A1</t>
  </si>
  <si>
    <t>T706A2</t>
  </si>
  <si>
    <t>Tendered Bus Services for route(s) serving: Ossett - Batley. Borough, route and schedule explained in Notes column.</t>
  </si>
  <si>
    <t>T706A3</t>
  </si>
  <si>
    <t>T706B1</t>
  </si>
  <si>
    <t>Tendered Bus Services for route(s) serving: Morley - Batley - Dewsbury. Borough, route and schedule explained in Notes column.</t>
  </si>
  <si>
    <t>Station Coaches Ltd</t>
  </si>
  <si>
    <t>T706B2</t>
  </si>
  <si>
    <t>T706B3</t>
  </si>
  <si>
    <t>West Yorkshire Car Club</t>
  </si>
  <si>
    <t xml:space="preserve">The West Yorkshire Combined Authority along with its distrcit partners and York is seeking to appoint a West Yorkshire (and York) wider Car Club Provider for the provision of cross boundary car club operations. </t>
  </si>
  <si>
    <t xml:space="preserve">Enterpirse Rent-A-Car UK Limited </t>
  </si>
  <si>
    <t>Brownfield Housing Fund: Programme Evaluation</t>
  </si>
  <si>
    <t>Consultant to provide an interim and full report of the brownfield housing programme.</t>
  </si>
  <si>
    <t>Thrive Economics (Formerley ADD specialists limited)</t>
  </si>
  <si>
    <t>Business Cases - Climate, Energy and Environment Programmes</t>
  </si>
  <si>
    <t>To support the development of programmes to address the West Yorkshire Climate and Environment Plan actions, and ultimately our ambitious climate emergency targets.</t>
  </si>
  <si>
    <t>WATERMAN INFRASTRUCTURE &amp; ENVIRONMENT LIMITED</t>
  </si>
  <si>
    <t>81888</t>
  </si>
  <si>
    <t>Kirklees Skills Gap</t>
  </si>
  <si>
    <t xml:space="preserve">07703720
</t>
  </si>
  <si>
    <t>83020</t>
  </si>
  <si>
    <t>West Yorkshire Young Poets Laureate 2024</t>
  </si>
  <si>
    <t>Programme to work with schools to deliver creative opportunites and appoint Young Poet Laureates for West Yorkshire</t>
  </si>
  <si>
    <t xml:space="preserve">The National Literacy Trust </t>
  </si>
  <si>
    <t xml:space="preserve">05836486  </t>
  </si>
  <si>
    <t>T684A1</t>
  </si>
  <si>
    <t>Tendered Bus Services for route(s) serving: Elland Local services. Borough, route and schedule explained in Notes column.</t>
  </si>
  <si>
    <t>South Pennine Community Transport CIC</t>
  </si>
  <si>
    <t>T684A2</t>
  </si>
  <si>
    <t>T684A3</t>
  </si>
  <si>
    <t>51229</t>
  </si>
  <si>
    <t>Residents Perceptions of Transport</t>
  </si>
  <si>
    <t xml:space="preserve">DJS Research Ltd </t>
  </si>
  <si>
    <t xml:space="preserve">05494158
</t>
  </si>
  <si>
    <t>Mobile Phone, Voice and Data</t>
  </si>
  <si>
    <t>This is a call off contract for the provision of voice and data via an agregation ran by CCS.</t>
  </si>
  <si>
    <t>British Telecommunications PLC</t>
  </si>
  <si>
    <t>TS0A1</t>
  </si>
  <si>
    <t>School Bus Services</t>
  </si>
  <si>
    <t>Tendered Home-to-school Bus Service. Further explanation of route in Notes column.</t>
  </si>
  <si>
    <t>A Lyles &amp; Son</t>
  </si>
  <si>
    <t xml:space="preserve"> </t>
  </si>
  <si>
    <t>TS0A2</t>
  </si>
  <si>
    <t>TS0A3</t>
  </si>
  <si>
    <t>TS0A4</t>
  </si>
  <si>
    <t>TS0A5</t>
  </si>
  <si>
    <t>TS0A6</t>
  </si>
  <si>
    <t>TS0A7</t>
  </si>
  <si>
    <t>TS0A8</t>
  </si>
  <si>
    <t>TS0B1</t>
  </si>
  <si>
    <t>TS0B2</t>
  </si>
  <si>
    <t>TS0B3</t>
  </si>
  <si>
    <t>TS0C1</t>
  </si>
  <si>
    <t>TJs Travel</t>
  </si>
  <si>
    <t>TS1B1</t>
  </si>
  <si>
    <t>Tendered Swimming Bus Service. Further explanation of route in Notes column.</t>
  </si>
  <si>
    <t>Safeway Coaches</t>
  </si>
  <si>
    <t>TS1B2</t>
  </si>
  <si>
    <t>TS1C1</t>
  </si>
  <si>
    <t>TS1C2</t>
  </si>
  <si>
    <t>TS1C3</t>
  </si>
  <si>
    <t>TS612A1</t>
  </si>
  <si>
    <t>Blue Sky Coaches</t>
  </si>
  <si>
    <t>TS612B1</t>
  </si>
  <si>
    <t>DM Motor Services Ltd</t>
  </si>
  <si>
    <t>TS612C1</t>
  </si>
  <si>
    <t>First West Yorkshire Limited</t>
  </si>
  <si>
    <t>TS612C10</t>
  </si>
  <si>
    <t>TS612C11</t>
  </si>
  <si>
    <t>TS612C12</t>
  </si>
  <si>
    <t>TS612C13</t>
  </si>
  <si>
    <t>TS612C14</t>
  </si>
  <si>
    <t>TS612C15</t>
  </si>
  <si>
    <t>TS612C16</t>
  </si>
  <si>
    <t>TS612C17</t>
  </si>
  <si>
    <t>TS612C2</t>
  </si>
  <si>
    <t>TS612C3</t>
  </si>
  <si>
    <t>TS612C4</t>
  </si>
  <si>
    <t>TS612C5</t>
  </si>
  <si>
    <t>TS612C6</t>
  </si>
  <si>
    <t>TS612C7</t>
  </si>
  <si>
    <t>TS612C8</t>
  </si>
  <si>
    <t>TS612C9</t>
  </si>
  <si>
    <t>TS612D1</t>
  </si>
  <si>
    <t>TS612D2</t>
  </si>
  <si>
    <t>TS612E1</t>
  </si>
  <si>
    <t xml:space="preserve">Harrogate Coach Travel Ltd </t>
  </si>
  <si>
    <t>TS612E2</t>
  </si>
  <si>
    <t>TS612E3</t>
  </si>
  <si>
    <t>TS612E4</t>
  </si>
  <si>
    <t>TS612E5</t>
  </si>
  <si>
    <t>TS612E6</t>
  </si>
  <si>
    <t>TS612E7</t>
  </si>
  <si>
    <t>TS612F1</t>
  </si>
  <si>
    <t xml:space="preserve">Hunter Coaches </t>
  </si>
  <si>
    <t>TS612F10</t>
  </si>
  <si>
    <t>TS612F2</t>
  </si>
  <si>
    <t>TS612F3</t>
  </si>
  <si>
    <t>TS612F4</t>
  </si>
  <si>
    <t>TS612F5</t>
  </si>
  <si>
    <t>TS612F6</t>
  </si>
  <si>
    <t>TS612F7</t>
  </si>
  <si>
    <t>TS612F8</t>
  </si>
  <si>
    <t>TS612F9</t>
  </si>
  <si>
    <t>TS612G1</t>
  </si>
  <si>
    <t xml:space="preserve">J &amp; B Travel </t>
  </si>
  <si>
    <t>TS612G2</t>
  </si>
  <si>
    <t>TS612H1</t>
  </si>
  <si>
    <t>Kilvington of Leeds</t>
  </si>
  <si>
    <t>TS612H2</t>
  </si>
  <si>
    <t>TS612I1</t>
  </si>
  <si>
    <t>Lether's Travel Ltd</t>
  </si>
  <si>
    <t>TS612I2</t>
  </si>
  <si>
    <t>TS612J1</t>
  </si>
  <si>
    <t>TS612K1</t>
  </si>
  <si>
    <t>TS612K2</t>
  </si>
  <si>
    <t>TS612K3</t>
  </si>
  <si>
    <t>TS612K4</t>
  </si>
  <si>
    <t>TS612K5</t>
  </si>
  <si>
    <t>TS612K6</t>
  </si>
  <si>
    <t>TS612K7</t>
  </si>
  <si>
    <t>TS612L1</t>
  </si>
  <si>
    <t>Tetley's Motor Services</t>
  </si>
  <si>
    <t>TS612L10</t>
  </si>
  <si>
    <t>TS612L11</t>
  </si>
  <si>
    <t>TS612L12</t>
  </si>
  <si>
    <t>TS612L13</t>
  </si>
  <si>
    <t>TS612L14</t>
  </si>
  <si>
    <t>TS612L15</t>
  </si>
  <si>
    <t>TS612L16</t>
  </si>
  <si>
    <t>TS612L17</t>
  </si>
  <si>
    <t>TS612L18</t>
  </si>
  <si>
    <t>TS612L2</t>
  </si>
  <si>
    <t>TS612L3</t>
  </si>
  <si>
    <t>Tendered Passenger Assistant Bus Service. Further explanation of route in Notes column.</t>
  </si>
  <si>
    <t>TS612L4</t>
  </si>
  <si>
    <t>TS612L5</t>
  </si>
  <si>
    <t>TS612L6</t>
  </si>
  <si>
    <t>TS612L7</t>
  </si>
  <si>
    <t>TS612L8</t>
  </si>
  <si>
    <t>TS612L9</t>
  </si>
  <si>
    <t>TS612M1</t>
  </si>
  <si>
    <t>TS612M2</t>
  </si>
  <si>
    <t>TS612M3</t>
  </si>
  <si>
    <t>TS612N3</t>
  </si>
  <si>
    <t xml:space="preserve">Yorkshire Travel </t>
  </si>
  <si>
    <t>TS634A1</t>
  </si>
  <si>
    <t>TS634A2</t>
  </si>
  <si>
    <t>TS634A3</t>
  </si>
  <si>
    <t>TS634A4</t>
  </si>
  <si>
    <t>TS634A5</t>
  </si>
  <si>
    <t>TS634A6</t>
  </si>
  <si>
    <t>TS634A7</t>
  </si>
  <si>
    <t>TS693A1</t>
  </si>
  <si>
    <t>DK Minibuses Ltd</t>
  </si>
  <si>
    <t>TS694C1</t>
  </si>
  <si>
    <t>Stotts Coach Travel (E. Stott &amp; Sons Limited)</t>
  </si>
  <si>
    <t>TS694C2</t>
  </si>
  <si>
    <t>TS694C3</t>
  </si>
  <si>
    <t>TS694C5</t>
  </si>
  <si>
    <t>TS694C6</t>
  </si>
  <si>
    <t>TS694C8</t>
  </si>
  <si>
    <t>TS695A15</t>
  </si>
  <si>
    <t>TS695A2</t>
  </si>
  <si>
    <t>TS695A22</t>
  </si>
  <si>
    <t>TS695A27</t>
  </si>
  <si>
    <t>TS695A29</t>
  </si>
  <si>
    <t>TS704A1</t>
  </si>
  <si>
    <t xml:space="preserve">A&amp;A Coach Travel </t>
  </si>
  <si>
    <t>TS704A2</t>
  </si>
  <si>
    <t>TS704A3</t>
  </si>
  <si>
    <t>TS704A4</t>
  </si>
  <si>
    <t>TS704B1</t>
  </si>
  <si>
    <t> 00084167</t>
  </si>
  <si>
    <t>TS704C1</t>
  </si>
  <si>
    <t>TS704D1</t>
  </si>
  <si>
    <t>TS704D2</t>
  </si>
  <si>
    <t>TS704D3</t>
  </si>
  <si>
    <t>TS704E1</t>
  </si>
  <si>
    <t>TS704F1</t>
  </si>
  <si>
    <t>TS704G1</t>
  </si>
  <si>
    <t>TS704H1</t>
  </si>
  <si>
    <t>TS704H2</t>
  </si>
  <si>
    <t>TS704H3</t>
  </si>
  <si>
    <t>TS704H4</t>
  </si>
  <si>
    <t>TS704H5</t>
  </si>
  <si>
    <t>TS711A1</t>
  </si>
  <si>
    <t>TS711A2</t>
  </si>
  <si>
    <t>TS711A3</t>
  </si>
  <si>
    <t>TS711A4</t>
  </si>
  <si>
    <t>TS711B1</t>
  </si>
  <si>
    <t>W Cropper Ltd</t>
  </si>
  <si>
    <t>TS713A1</t>
  </si>
  <si>
    <t>TS713A2</t>
  </si>
  <si>
    <t>TS713A3</t>
  </si>
  <si>
    <t>TS713B1</t>
  </si>
  <si>
    <t>TS716A1</t>
  </si>
  <si>
    <t>TS716A2</t>
  </si>
  <si>
    <t>TS716A3</t>
  </si>
  <si>
    <t>TS716B1</t>
  </si>
  <si>
    <t>TS716B2</t>
  </si>
  <si>
    <t>TS716B3</t>
  </si>
  <si>
    <t>TS716B4</t>
  </si>
  <si>
    <t>TS716C1</t>
  </si>
  <si>
    <t>TS716C2</t>
  </si>
  <si>
    <t>TS716C3</t>
  </si>
  <si>
    <t>TS716C4</t>
  </si>
  <si>
    <t>TS716E1</t>
  </si>
  <si>
    <t>TS716F1</t>
  </si>
  <si>
    <t>TS716F2</t>
  </si>
  <si>
    <t>TS716G1</t>
  </si>
  <si>
    <t>TS Travels</t>
  </si>
  <si>
    <t>TS716G2</t>
  </si>
  <si>
    <t>TS716H1</t>
  </si>
  <si>
    <t>TS717A1</t>
  </si>
  <si>
    <t>TS721A1</t>
  </si>
  <si>
    <t>TS721A2</t>
  </si>
  <si>
    <t>TS721A3</t>
  </si>
  <si>
    <t>TS721A4</t>
  </si>
  <si>
    <t>TS725A1</t>
  </si>
  <si>
    <t>87879</t>
  </si>
  <si>
    <t>SEN Taxis Call Off June 2024</t>
  </si>
  <si>
    <t>Call off from Wakefield SEN Taxis and Minibus DPS for school runs based on requirement for next academic year</t>
  </si>
  <si>
    <t>Various (full batch)</t>
  </si>
  <si>
    <t>87497B</t>
  </si>
  <si>
    <t>School Transport Services</t>
  </si>
  <si>
    <t>Provision of School Leisure/Swimming Transport Services in West Yorkshire.</t>
  </si>
  <si>
    <t>Coach Travel Services Ltd</t>
  </si>
  <si>
    <t>87497D</t>
  </si>
  <si>
    <t>Safeway Coaches Ltd</t>
  </si>
  <si>
    <t>Automatic Doors: Maintenance, Repair and Replacement</t>
  </si>
  <si>
    <t xml:space="preserve">Planned and reactive maintenance and repair of Automatic and Industrial Shutter Doors, including provision for the Supply and Installation of replacement doors at the end of unit life, along with new remote locking mechanisms. </t>
  </si>
  <si>
    <t>Dormakaba UK Limited</t>
  </si>
  <si>
    <t>01361508</t>
  </si>
  <si>
    <t>Printing and Distribution of Bus Timetables</t>
  </si>
  <si>
    <t>Printing and Distribution of Bus Timetables for every bus service in the county.</t>
  </si>
  <si>
    <t>T&amp;P Print Limited</t>
  </si>
  <si>
    <t>09908839</t>
  </si>
  <si>
    <t>Smartcard Production 2021</t>
  </si>
  <si>
    <t xml:space="preserve">Single Supplier Framework Provider for the production of ENCTS and MCard Smartcards including letter production and direct customer mailing, and batch card production. </t>
  </si>
  <si>
    <t xml:space="preserve">Euclid Ltd </t>
  </si>
  <si>
    <t>PCC02</t>
  </si>
  <si>
    <t>WY Victims Referral, Assessment and Local Support Services</t>
  </si>
  <si>
    <t>To provide a West Yorkshire wide multi-crime service to provide tailored, confidential trauma informed support to victims of all ages and crime types.</t>
  </si>
  <si>
    <t xml:space="preserve">Victim Support </t>
  </si>
  <si>
    <t>VCSE</t>
  </si>
  <si>
    <r>
      <t>Registered company number:</t>
    </r>
    <r>
      <rPr>
        <sz val="12"/>
        <color rgb="FF000000"/>
        <rFont val="Arial"/>
        <family val="2"/>
      </rPr>
      <t xml:space="preserve"> 02158780    </t>
    </r>
    <r>
      <rPr>
        <b/>
        <sz val="12"/>
        <color rgb="FF000000"/>
        <rFont val="Arial"/>
        <family val="2"/>
      </rPr>
      <t>Registered charity number:</t>
    </r>
    <r>
      <rPr>
        <sz val="12"/>
        <color rgb="FF000000"/>
        <rFont val="Arial"/>
        <family val="2"/>
      </rPr>
      <t xml:space="preserve"> 298028</t>
    </r>
  </si>
  <si>
    <t>PCC03</t>
  </si>
  <si>
    <t>WY Independent Sexual Violence Advisor Service</t>
  </si>
  <si>
    <t>To provide a West Yorkshire wide service that works with people who have experienced rape and sexual assault and provide a confidential service offering impartial and independent advice. ISVA support varies based on the individual needs of the victim/survivor. The support is primarily through the criminal justice process, offering emotional and practical support and acts as the main point of contact for a victim/survivor and can liaise with the police on their behalf if needed.</t>
  </si>
  <si>
    <r>
      <t xml:space="preserve">Registered company number: </t>
    </r>
    <r>
      <rPr>
        <sz val="12"/>
        <color rgb="FF000000"/>
        <rFont val="Arial"/>
        <family val="2"/>
      </rPr>
      <t xml:space="preserve">02158780    </t>
    </r>
    <r>
      <rPr>
        <b/>
        <sz val="12"/>
        <color rgb="FF000000"/>
        <rFont val="Arial"/>
        <family val="2"/>
      </rPr>
      <t>Registered charity number:</t>
    </r>
    <r>
      <rPr>
        <sz val="12"/>
        <color rgb="FF000000"/>
        <rFont val="Arial"/>
        <family val="2"/>
      </rPr>
      <t xml:space="preserve"> 298028</t>
    </r>
  </si>
  <si>
    <t>Mechanical &amp; Electrical Maintenance/Repair Contract</t>
  </si>
  <si>
    <t>Maintenance and reactive repairs to mechanical and electrical installations and assets across WYCA’s portfolio of properties and on-street assets.</t>
  </si>
  <si>
    <t>ECG Building Maintenance Ltd</t>
  </si>
  <si>
    <t>SC147376</t>
  </si>
  <si>
    <t>1421</t>
  </si>
  <si>
    <t>Adult Skills Training Framework</t>
  </si>
  <si>
    <t xml:space="preserve">Adult training services across West Yorkshire for non-accredited training schemes for Digital, construction, redundancy prevention, social care and graduates. </t>
  </si>
  <si>
    <t>Aspire I-gen, West Yorkshire Consortium of Colleges, West Yorkshire Learning Providers, Leeds Trininty University.</t>
  </si>
  <si>
    <t>Aspire igen - 03037445, WYCoC 04165288, WYLP 04997683, Leeds Trinity Uni 06305220</t>
  </si>
  <si>
    <t>T0I3</t>
  </si>
  <si>
    <t>Tendered Bus Services for route(s) serving: Leeds - Leysholme - Pudsey. Borough, route and schedule explained in Notes column.</t>
  </si>
  <si>
    <t>T0I4</t>
  </si>
  <si>
    <t>T0Q1</t>
  </si>
  <si>
    <t>Tendered Bus Services for route(s) serving: St James - East End - South Leeds Stadium. Borough, route and schedule explained in Notes column.</t>
  </si>
  <si>
    <t>T0Q2</t>
  </si>
  <si>
    <t>T715A1</t>
  </si>
  <si>
    <t>Tendered Bus Services for route(s) serving: Horsforth - Clariant. Borough, route and schedule explained in Notes column.</t>
  </si>
  <si>
    <t>T719A1</t>
  </si>
  <si>
    <t>Tendered Bus Services for route(s) serving: Halifax - Shelf . Borough, route and schedule explained in Notes column.</t>
  </si>
  <si>
    <t>T719A2</t>
  </si>
  <si>
    <t>T719A3</t>
  </si>
  <si>
    <t>T719A4</t>
  </si>
  <si>
    <t>Tendered Bus Services for route(s) serving: Huddersfield - Mount Lindley. Borough, route and schedule explained in Notes column.</t>
  </si>
  <si>
    <t>T719A5</t>
  </si>
  <si>
    <t>T719B1</t>
  </si>
  <si>
    <t>Tendered Bus Services for route(s) serving: Leeds - Seacroft - Cross Gates. Borough, route and schedule explained in Notes column.</t>
  </si>
  <si>
    <t>T719B2</t>
  </si>
  <si>
    <t>T719C1</t>
  </si>
  <si>
    <t>Tendered Bus Services for route(s) serving: Huddersfield - South Crosland. Borough, route and schedule explained in Notes column.</t>
  </si>
  <si>
    <t>T719C2</t>
  </si>
  <si>
    <t>Tendered Bus Services for route(s) serving: Huddersfield - Stocksmoor. Borough, route and schedule explained in Notes column.</t>
  </si>
  <si>
    <t>T719C3</t>
  </si>
  <si>
    <t>T719C4</t>
  </si>
  <si>
    <t>T719C5</t>
  </si>
  <si>
    <t>Tendered Bus Services for route(s) serving: Huddersfield - Dalton. Borough, route and schedule explained in Notes column.</t>
  </si>
  <si>
    <t>76108</t>
  </si>
  <si>
    <t xml:space="preserve"> Local Area Energy Planning Framework </t>
  </si>
  <si>
    <t>Supplier to create LAEPS for local authorities within the region.</t>
  </si>
  <si>
    <t>Yes (1x6 Months)</t>
  </si>
  <si>
    <t>PriceWaterhouseCoopers LLP</t>
  </si>
  <si>
    <t>OC303525</t>
  </si>
  <si>
    <t>T0M1</t>
  </si>
  <si>
    <t>Tendered Bus Services for route(s) serving: Colne Valley. Borough, route and schedule explained in Notes column.</t>
  </si>
  <si>
    <t>Organisational Change Delivery Partner</t>
  </si>
  <si>
    <t>Consultancy to seek an organisational change partner to support the implementation of the recommended structure and operating model.</t>
  </si>
  <si>
    <t>Deloitte LLP</t>
  </si>
  <si>
    <t xml:space="preserve">OC303675 </t>
  </si>
  <si>
    <t>77160</t>
  </si>
  <si>
    <t>Creative &amp; Cultural Skills Bootcamps</t>
  </si>
  <si>
    <t xml:space="preserve">The West Yorkshire Combined Authority have appointed a provider to deliver Skills Bootcamps that address regional skills needs within the creative and cultural sectors. The Skills Bootcamp(s) delivered in this area will ensure that individuals have the competence and confidence in specialist skills allowing them to access and / or progress their careers within the creative and cultural sectors. </t>
  </si>
  <si>
    <t>Mastered Studios Ltd</t>
  </si>
  <si>
    <t>07591694</t>
  </si>
  <si>
    <t>The Coders Guild Ltd</t>
  </si>
  <si>
    <t>09622444</t>
  </si>
  <si>
    <t>83248</t>
  </si>
  <si>
    <t>Wave 5 Skills Bootcamps for Wakefield Local Authority</t>
  </si>
  <si>
    <t>Lot 3 - Skills Bootcamp in Construction Site Operative</t>
  </si>
  <si>
    <t>Heart of Yorkshire Education Group</t>
  </si>
  <si>
    <t>Lot 5 - Skills Bootcamp in Large Goods Vehicle (LGV) Driving </t>
  </si>
  <si>
    <t>CSO 286</t>
  </si>
  <si>
    <t>Procurement of Apprenticeship Training Provider</t>
  </si>
  <si>
    <t>Transport Planning Technician Apprenticeship training standard x 5</t>
  </si>
  <si>
    <t>Leeds College of Building</t>
  </si>
  <si>
    <t>Call Centre Technology</t>
  </si>
  <si>
    <t>Redcentric will design, installation, configuration set up, handover and decommissioning, migration and decommissioning from the current Skype for business to the MCA's service desk with ongoing support and maintenance contract as described in the specification below.</t>
  </si>
  <si>
    <t>Redcentric Solutions Limited</t>
  </si>
  <si>
    <t>92025</t>
  </si>
  <si>
    <t xml:space="preserve">Executive Search for Interim Director of Finance </t>
  </si>
  <si>
    <t>West Yorkshire Combined Authority have appointed a recruitment agency to put in place an interim Director of Finance prior to filling the permanent post.</t>
  </si>
  <si>
    <t>IRG Advisors LLP (trading as Odgers Interim)</t>
  </si>
  <si>
    <t>OC354226</t>
  </si>
  <si>
    <t>72922</t>
  </si>
  <si>
    <t>Portfolio Management &amp; Appraisal Services Framework</t>
  </si>
  <si>
    <t xml:space="preserve"> qualified and experienced consultant/s to provide advice and support in the appraisal and assurance of scheme project business cases that progress through its local Assurance Framework. Consultants seeking to be appointed to this commission will be expected to demonstrate a breadth of skills and expertise which reflects the broad range of projects that come forward to the Combined Authority for funding, including transport, housing, regeneration, economic development, and flood resilience.</t>
  </si>
  <si>
    <t>2+1+1</t>
  </si>
  <si>
    <t>Portfolio Mgt &amp; Appraisal</t>
  </si>
  <si>
    <t>89003a</t>
  </si>
  <si>
    <t>Lot 1 - Heritage Organisations - Business 
&amp; Skills Support Pilot</t>
  </si>
  <si>
    <t>Business support and training to help heritage organisations survive and grow</t>
  </si>
  <si>
    <t>Heritage Trust Network</t>
  </si>
  <si>
    <t xml:space="preserve"> 09943640</t>
  </si>
  <si>
    <t>89003b</t>
  </si>
  <si>
    <t>Lot 2 - Community Sports Clubs - Business &amp; Skills Support Pilot</t>
  </si>
  <si>
    <t>Business support and training to help community sports clubs survive and grow</t>
  </si>
  <si>
    <t>Third Sector Leaders Kirklees</t>
  </si>
  <si>
    <t>09943640</t>
  </si>
  <si>
    <t>65510a</t>
  </si>
  <si>
    <t xml:space="preserve">Digital Careers for the Unemployed </t>
  </si>
  <si>
    <t>Further competition via CA Digital Skills training Framework</t>
  </si>
  <si>
    <t xml:space="preserve">Academy of Live Technology Ltd </t>
  </si>
  <si>
    <t>65510d</t>
  </si>
  <si>
    <t xml:space="preserve">Digital Careers for Graduates  </t>
  </si>
  <si>
    <t>86069</t>
  </si>
  <si>
    <t>Bradford New Station Connectivity Study</t>
  </si>
  <si>
    <t>CSO 147</t>
  </si>
  <si>
    <t>FMP Payrite Renewal</t>
  </si>
  <si>
    <t>annual renewal</t>
  </si>
  <si>
    <t>FMP Global</t>
  </si>
  <si>
    <t>56970a</t>
  </si>
  <si>
    <t>Marketing and Communications Services</t>
  </si>
  <si>
    <t>McCann Erickson Central Limited t/a McCann Leeds</t>
  </si>
  <si>
    <t>56970b</t>
  </si>
  <si>
    <t>Steffco Ltd t/a Resource</t>
  </si>
  <si>
    <t>03234103</t>
  </si>
  <si>
    <t>56970c</t>
  </si>
  <si>
    <t>56970d</t>
  </si>
  <si>
    <t>Stourton Park and Ride</t>
  </si>
  <si>
    <t>Provision of Stourton Park and Ride Electric Bus service for 5 years with a possible extension of up to 2 years.</t>
  </si>
  <si>
    <t>01990370</t>
  </si>
  <si>
    <t>All categories</t>
  </si>
  <si>
    <t>1+1+1</t>
  </si>
  <si>
    <t>T0A10</t>
  </si>
  <si>
    <t>Tendered Bus Services for route(s) serving: Huddersfield - Mirfield - Cleckheaton - Heckmondwike. Borough, route and schedule explained in Notes column.</t>
  </si>
  <si>
    <t>T0A11</t>
  </si>
  <si>
    <t>T0A12</t>
  </si>
  <si>
    <t>Tendered Bus Services for route(s) serving: Cleckheaton - Heckmondwike - Batley. Borough, route and schedule explained in Notes column.</t>
  </si>
  <si>
    <t>T0A13</t>
  </si>
  <si>
    <t>Tendered Bus Services for route(s) serving: Leeds - Morley - WRC - Heckmondwike. Borough, route and schedule explained in Notes column.</t>
  </si>
  <si>
    <t>T0A14</t>
  </si>
  <si>
    <t>T0A15</t>
  </si>
  <si>
    <t>T0A16</t>
  </si>
  <si>
    <t>T0A17</t>
  </si>
  <si>
    <t>Tendered Bus Services for route(s) serving: Halifax - Brighouse - Cleckheaton - Leeds. Borough, route and schedule explained in Notes column.</t>
  </si>
  <si>
    <t>T0A2</t>
  </si>
  <si>
    <t>T0A4</t>
  </si>
  <si>
    <t>Tendered Bus Services for route(s) serving: Leeds - Heckmondwike - Huddersfield. Borough, route and schedule explained in Notes column.</t>
  </si>
  <si>
    <t>T0A5</t>
  </si>
  <si>
    <t>T0A6</t>
  </si>
  <si>
    <t>T0A7</t>
  </si>
  <si>
    <t>T0A8</t>
  </si>
  <si>
    <t>Tendered Bus Services for route(s) serving: Dewsbury - Grange Moor. Borough, route and schedule explained in Notes column.</t>
  </si>
  <si>
    <t>T0A9</t>
  </si>
  <si>
    <t>Tendered Bus Services for route(s) serving: Dewsbury - Heckmondwike. Borough, route and schedule explained in Notes column.</t>
  </si>
  <si>
    <t>85177</t>
  </si>
  <si>
    <t>Business Productivity Programme</t>
  </si>
  <si>
    <t xml:space="preserve">Specialist advisory support to assist SMEs benchmark and measure productivity more effectively. </t>
  </si>
  <si>
    <t>Exemplas Limited</t>
  </si>
  <si>
    <t>Environmental Impact Commission Partner (Mass Transit)</t>
  </si>
  <si>
    <t>To support the development of the Mass Transit programme by providing environmental impact assessments, modelling and evaluation, and providing strategic support on routes and options.</t>
  </si>
  <si>
    <t>61882</t>
  </si>
  <si>
    <t>Master Vendor Temp Labour and Perm Recruitment</t>
  </si>
  <si>
    <t>Master vendor and total talent management for permenant recruitment and temporary labour.</t>
  </si>
  <si>
    <t xml:space="preserve">Reed Specialist Recruitment Limited </t>
  </si>
  <si>
    <t>86228a</t>
  </si>
  <si>
    <t>Bradford Council Coldspot Responsiveness Lot 1 - First Steps in Engagement and Numeracy</t>
  </si>
  <si>
    <t>Dip Batley Ltd</t>
  </si>
  <si>
    <t>4743709</t>
  </si>
  <si>
    <t>82980D1</t>
  </si>
  <si>
    <t>Evaluation Services Framework - Call Off - Heritage &amp; Sport Support</t>
  </si>
  <si>
    <t>Direct Award from Evaluation Services Framework for evaluation of Heritage and Sport Support Pilot.</t>
  </si>
  <si>
    <t>SQW Limited</t>
  </si>
  <si>
    <t>01701564</t>
  </si>
  <si>
    <t>79183</t>
  </si>
  <si>
    <t>Money Collections and Associated Services</t>
  </si>
  <si>
    <t>The collection, transport and delivery of money and other related goods within the Combined Authority’s districts.</t>
  </si>
  <si>
    <t>G4S Cash solutions UK Ltd</t>
  </si>
  <si>
    <t>00354883</t>
  </si>
  <si>
    <t>Real Time Information System</t>
  </si>
  <si>
    <t xml:space="preserve"> Provision of an Advanced Yorkshire &amp; Humber Real Time Information System and associated services to the Combined Authority (the Services)</t>
  </si>
  <si>
    <t>Multi Functional Devices</t>
  </si>
  <si>
    <t>Contractor to provide mutli functional devices to all CA sites and associated services.</t>
  </si>
  <si>
    <t xml:space="preserve">Y </t>
  </si>
  <si>
    <t>Canon (UK) Ltd</t>
  </si>
  <si>
    <t>Export Accelerator for the Creative Industries</t>
  </si>
  <si>
    <t>Supplier to support creative industries businesses to diversify revenue, grow new audiences, develop new business models and increase exports</t>
  </si>
  <si>
    <t xml:space="preserve">Full Circle Management Solutions Ltd </t>
  </si>
  <si>
    <t>NI602544</t>
  </si>
  <si>
    <t>72923a</t>
  </si>
  <si>
    <t xml:space="preserve">The Mayor’s Innovation Challenge - Lot 1 </t>
  </si>
  <si>
    <t xml:space="preserve">A bespoke innovation challenge targeted at a younger audience (16–26 year olds) and will focus largely on ideation. The purpose of this lot will be to entice young people to explore the possibilities of innovation, use their creativity and find a solution to a given problem. Beneficiaries may or may not be in business, but all beneficiaries must fall within the required age demographic. </t>
  </si>
  <si>
    <t>TPXimpact LTD</t>
  </si>
  <si>
    <t>72923b</t>
  </si>
  <si>
    <t xml:space="preserve">The Mayor’s Innovation Challenge - Lot 3 </t>
  </si>
  <si>
    <t>Introduce a flagship innovation challenge designed for projects with a starting point of TRL 3-5. This will be aimed at promising and transformational innovation proposals that support SMEs to make a positive societal impact. There should be a residual benefit to the business once the solution is commercialised, but the overarching transformation should be societal.</t>
  </si>
  <si>
    <t xml:space="preserve">Nesta </t>
  </si>
  <si>
    <t>82481</t>
  </si>
  <si>
    <t>Green economy careers programme for primary aged children</t>
  </si>
  <si>
    <t>A supplier to deliver engagement activities to inspire young people about green careers and skills.</t>
  </si>
  <si>
    <t>Ahead Partnership Ltd</t>
  </si>
  <si>
    <t>87602</t>
  </si>
  <si>
    <t xml:space="preserve"> Music Network Sector Capacity Building</t>
  </si>
  <si>
    <t>Supplier to support WY music sector with knowledge sharing activities to support sector growth.</t>
  </si>
  <si>
    <t>Leeds Conservatoire</t>
  </si>
  <si>
    <t>CSO 312</t>
  </si>
  <si>
    <t>AVC Wise contract</t>
  </si>
  <si>
    <t>AVC Wise will provide the platform for staff to use to 
apply for a shared cost salary sacrifice AVC in 
conjunction with either Prudential or Scottish Widows in 
conjunction with the LGPS</t>
  </si>
  <si>
    <t xml:space="preserve">AVC Wise </t>
  </si>
  <si>
    <t xml:space="preserve">Finance </t>
  </si>
  <si>
    <t>Finance &amp; Commercial Services</t>
  </si>
  <si>
    <t xml:space="preserve">Waiver </t>
  </si>
  <si>
    <t>Lot 1 – Skills Bootcamp in Telecoms Infrastructure</t>
  </si>
  <si>
    <t>A range of adult skills course requirements to be split across 12 Lots</t>
  </si>
  <si>
    <t>Aim2Learn Ltd</t>
  </si>
  <si>
    <t>07687679</t>
  </si>
  <si>
    <t>Lot 2 – Skills Bootcamp in ESOL Tutor Training</t>
  </si>
  <si>
    <t>Luminate Education Group</t>
  </si>
  <si>
    <t>Lot 3 – Skills Bootcamp in Fabrication and Welding</t>
  </si>
  <si>
    <t>Lot 4 – Skills Bootcamp in Digital Skills (to be delivered for HMP Wealstun)</t>
  </si>
  <si>
    <t>Lot 5 – Skills Bootcamp in Pipe Laying and Groundworks</t>
  </si>
  <si>
    <t>Lot 6 – Skills Bootcamp in Project Management</t>
  </si>
  <si>
    <t>Lot 7 – Skills Bootcamp – exclusive employer co-funding programme</t>
  </si>
  <si>
    <t>Realise Learning and Employment Limited</t>
  </si>
  <si>
    <t>Lot 8 – Skills Bootcamp in Telehandler</t>
  </si>
  <si>
    <t>Lot 9 – Skills Bootcamp in Excavator 360</t>
  </si>
  <si>
    <t>Lot 10 – Skills Bootcamp in EWI &amp; Treatments</t>
  </si>
  <si>
    <t>Lot 11 – Skills Bootcamp in Glass ad Glazing Fenestration</t>
  </si>
  <si>
    <t>Lot 12 – Skills Bootcamp in Construction – HMP Wealstun</t>
  </si>
  <si>
    <t>Total Training Provision</t>
  </si>
  <si>
    <t>08423110</t>
  </si>
  <si>
    <t>Lot 13 – Skills Bootcamp in Web Designs &amp; Development</t>
  </si>
  <si>
    <t xml:space="preserve">West Yorkshire Transport &amp; Active Mode Count </t>
  </si>
  <si>
    <t>A snapshot count of road users across West Yorkshire</t>
  </si>
  <si>
    <t>Tracsis Traffic Data Limited</t>
  </si>
  <si>
    <t>03896384</t>
  </si>
  <si>
    <t>T0Q3</t>
  </si>
  <si>
    <t>Tendered Bus Services for route(s) serving: White Rose - Pudsey - Horsforth. Borough, route and schedule explained in Notes column.</t>
  </si>
  <si>
    <t>T724A1</t>
  </si>
  <si>
    <t>Tendered Bus Services for route(s) serving: Huddersfield - Asda Circular. Borough, route and schedule explained in Notes column.</t>
  </si>
  <si>
    <t>53197</t>
  </si>
  <si>
    <t>Maintenance and Repair of On-street Infrastructure</t>
  </si>
  <si>
    <t>Provision of on-street new infrastructure which will include new shelters and bus stops, in addition to ongoing maintenance and repair works to existing stock consisting of circa 4,000 shelters and 10,000 bus stops.</t>
  </si>
  <si>
    <t>2+1+1+1</t>
  </si>
  <si>
    <t>Bus Shelters Limited</t>
  </si>
  <si>
    <t>01822681</t>
  </si>
  <si>
    <t>81703</t>
  </si>
  <si>
    <t>Domestic Retrofit Low-Cost Loan</t>
  </si>
  <si>
    <t>A pilot programme to source a partner to develop and operate a proof of concept loan pool for domestic retrofit to improve housing stock within West Yorkshire</t>
  </si>
  <si>
    <t>Lendology CIC</t>
  </si>
  <si>
    <t>04512225</t>
  </si>
  <si>
    <t>Land and Property Partner (Mass Transit)</t>
  </si>
  <si>
    <t>To support the development of the Mass Transit programme by providing land and property advice, guidance, expert witness services, and similar land related specialist services.</t>
  </si>
  <si>
    <t>Arcadis Consulting (UK) Limited</t>
  </si>
  <si>
    <t>86806</t>
  </si>
  <si>
    <t xml:space="preserve"> Extract-Transform-Load Enterprise Subscription Model</t>
  </si>
  <si>
    <t>Dotted Eyes Limited</t>
  </si>
  <si>
    <t>04471760</t>
  </si>
  <si>
    <t>Cycle to Work Scheme</t>
  </si>
  <si>
    <t>Arrangements for the WYCA Cycle to Work scheme</t>
  </si>
  <si>
    <t>Green Commute</t>
  </si>
  <si>
    <t>10315668</t>
  </si>
  <si>
    <t>On Application</t>
  </si>
  <si>
    <t>84115</t>
  </si>
  <si>
    <t>Development of Walking &amp; Cycling Infrastructure</t>
  </si>
  <si>
    <t>2+2</t>
  </si>
  <si>
    <t>Phil Jones Association Limited</t>
  </si>
  <si>
    <t>4685684</t>
  </si>
  <si>
    <t>82679</t>
  </si>
  <si>
    <t>Food and Drinks Vending Provision</t>
  </si>
  <si>
    <t>The Combined Authority have appointed a provider for the provision, installation, maintenance and de-installation of snacks and soft drink vending machines at our bus stations/sites.</t>
  </si>
  <si>
    <t>Selecta U.K Limited</t>
  </si>
  <si>
    <t>02605313</t>
  </si>
  <si>
    <t>64885a</t>
  </si>
  <si>
    <t xml:space="preserve">Resource Efficiency Audits for SME Businesses </t>
  </si>
  <si>
    <t>Audits for SMEs to identify opportunities to improve operations in relation to energy, water and waste.</t>
  </si>
  <si>
    <t xml:space="preserve">Edge Efficiency Ltd </t>
  </si>
  <si>
    <t>64885b</t>
  </si>
  <si>
    <t xml:space="preserve">University of Central Lancashire </t>
  </si>
  <si>
    <t>64885c</t>
  </si>
  <si>
    <t xml:space="preserve">GEP Environmental Ltd </t>
  </si>
  <si>
    <t>64885d</t>
  </si>
  <si>
    <t>Green Gain (Leeds) Ltd</t>
  </si>
  <si>
    <t>64885e</t>
  </si>
  <si>
    <t xml:space="preserve">Environmental Strategies Ltd </t>
  </si>
  <si>
    <t>Elland Station - GRIP 5-8 - Building Contractor</t>
  </si>
  <si>
    <t>Procurement of Main Contractor for new Elland Railway Station.  Stage 1 Detailed Design &amp; FBC.</t>
  </si>
  <si>
    <t>Keltbray Highways Ltd</t>
  </si>
  <si>
    <t>79593</t>
  </si>
  <si>
    <t>Mayors Graduate Pilot</t>
  </si>
  <si>
    <t>The Mayoral SME Graduate Pilot will provide support with attracting, onboarding and training talent.</t>
  </si>
  <si>
    <t>Gradconsult Ltd</t>
  </si>
  <si>
    <t>T0A35</t>
  </si>
  <si>
    <t>Tendered Bus Services for route(s) serving: Wakefield - Pinderfields - City Fields. Borough, route and schedule explained in Notes column.</t>
  </si>
  <si>
    <t>T0A36</t>
  </si>
  <si>
    <t>T0A37</t>
  </si>
  <si>
    <t>T0A38</t>
  </si>
  <si>
    <t>T0A39</t>
  </si>
  <si>
    <t>T0A40</t>
  </si>
  <si>
    <t>Tendered Bus Services for route(s) serving: 60 - Shipley - Leeds. Borough, route and schedule explained in Notes column.</t>
  </si>
  <si>
    <t>Tendered Bus Services for route(s) serving: Keighley - K2/3, K12 - flat fare. Borough, route and schedule explained in Notes column.</t>
  </si>
  <si>
    <t xml:space="preserve">West Yorkshire Annual Business Survey </t>
  </si>
  <si>
    <t>West Yorkshire Combined Authority has procured a contractor to provide a survey of 1,000-1,500 businesses across the West Yorkshire area.</t>
  </si>
  <si>
    <t xml:space="preserve">BMG RESEARCH LIMITED </t>
  </si>
  <si>
    <t xml:space="preserve">Digital Skills Framework </t>
  </si>
  <si>
    <t xml:space="preserve">Setting up a multiple supplier framework in order to train individuals in digital skills across West Yorkshire. </t>
  </si>
  <si>
    <t>The Skills Network; Backstage Academy (Training) Ltd; Generation: You Employed, UK; COGRAMMAR LTD; Apprentify Ltd</t>
  </si>
  <si>
    <t>06445363, GB117112067, 319334505, 10493520,10286725</t>
  </si>
  <si>
    <t>73729</t>
  </si>
  <si>
    <t xml:space="preserve">Support Services for Regional Domestic Retrofit Programme </t>
  </si>
  <si>
    <t xml:space="preserve">The purpose of the commission was to appoint a consultant to work alongside the Combined Authority in developing the Better Homes Hub, a programme to scale-up domestic retrofit in the region that supports and adds value to the work of the five Local Authority’s, West Yorkshire Housing Partnership and other key stakeholders, building on existing activity and funding.  </t>
  </si>
  <si>
    <t xml:space="preserve">Energy Saving Trust </t>
  </si>
  <si>
    <t xml:space="preserve">Place &amp; Environment Policy </t>
  </si>
  <si>
    <t>Stakeholder Management &amp; Consultation
System</t>
  </si>
  <si>
    <t>The software will help record all engagement with stakeholders from one to one engagements to mass communications such as email, newsletters, events and survey. Enabling the client to understand and share the sentiment of stakeholders and ensure the delivery of consistent and cohesive messaging at all times.</t>
  </si>
  <si>
    <t>Tractivity Limited</t>
  </si>
  <si>
    <t>Project Management Software</t>
  </si>
  <si>
    <t>Procurement of monday.com via G-Cloud</t>
  </si>
  <si>
    <t>Provident CRM</t>
  </si>
  <si>
    <t>*0462574</t>
  </si>
  <si>
    <t>Media</t>
  </si>
  <si>
    <t>Quarterly Economic Survey - Leading Indicator Intelligence</t>
  </si>
  <si>
    <t xml:space="preserve">The West Yorkshire Combined Authority wishes to procure a quarterly indicator survey of business intelligence to provide timely insight on business confidence and performance across the Leeds City Region. </t>
  </si>
  <si>
    <t>West &amp; North Yorkshire Chamber of Commerce</t>
  </si>
  <si>
    <t>00054940</t>
  </si>
  <si>
    <t>75768</t>
  </si>
  <si>
    <t xml:space="preserve">Sentinel SIEM and Security Operations Centre  </t>
  </si>
  <si>
    <t>The supplier will implement Microsoft's Sentinel System Incident Event Monitoring (SIEM) tool.</t>
  </si>
  <si>
    <t>Brightsolid Online Technology Limited</t>
  </si>
  <si>
    <t>SC161678</t>
  </si>
  <si>
    <t>79455</t>
  </si>
  <si>
    <t>Legal Case Management Software</t>
  </si>
  <si>
    <t>Call off from g cloud 13 for a legal case management software.</t>
  </si>
  <si>
    <t>Iken Business Limited</t>
  </si>
  <si>
    <t>2776536</t>
  </si>
  <si>
    <t>76751</t>
  </si>
  <si>
    <t>Employment Land Accelerator Revenue Fund Partner</t>
  </si>
  <si>
    <t>ELAF Programme to support employment development</t>
  </si>
  <si>
    <t>CSO 298</t>
  </si>
  <si>
    <t>Haven Travel Centre Tilling Systems 2023/27 </t>
  </si>
  <si>
    <t xml:space="preserve">Annual support of 15 EPOS tilling systems (terminals, touchscreens, printers, card readers and associated software) at Travel Centres for the retailing of c. £7million of bus and rail travel tickets and travel passes. 
Includes helpdesk, remote and on-site support, repair/replace of faulty equipment, software upgrades and bug fixes. Covers 7 days per week, 8am to 10pm. </t>
  </si>
  <si>
    <t>Haven Systems Ltd</t>
  </si>
  <si>
    <t>Passenger Experience</t>
  </si>
  <si>
    <t>AccessBus Service</t>
  </si>
  <si>
    <t>Delivery of the Access Bus service. Orginally in Calderdale and Kirklees and Bradford districts. Leeds and Wakefield included from 2022. Extended from 2024 to 2027.</t>
  </si>
  <si>
    <t>Evaluation of the Domestic Net Zero Programme</t>
  </si>
  <si>
    <t xml:space="preserve">Consultancy support is required to undertake a number of evaluation tasks </t>
  </si>
  <si>
    <t>Steer Davies Gleave Ltd</t>
  </si>
  <si>
    <t>87424</t>
  </si>
  <si>
    <t xml:space="preserve">Hire of Small Vehicles for AccessBus Service </t>
  </si>
  <si>
    <t>Interim requirement for replacement Access buses should any of the current fleet fail before new buses arrive.</t>
  </si>
  <si>
    <t xml:space="preserve">Fulcrum Automotive Solutions Ltd </t>
  </si>
  <si>
    <t>_07530358</t>
  </si>
  <si>
    <t>CSO 296</t>
  </si>
  <si>
    <t>Verifone Inc. (via Haven Systems Ltd)</t>
  </si>
  <si>
    <t>Replacement of 13 Travel Centre Chip &amp; PIN card payment devices which are integrated into the tilling systems supplied by Haven Systems for the retailing of c. £7million of bus and rail travel tickets and travel passes</t>
  </si>
  <si>
    <t>86315</t>
  </si>
  <si>
    <t>Qpaths Subscription</t>
  </si>
  <si>
    <t>Subscription to the cloud based Qpaths service for calculating the shortest walking routes, per</t>
  </si>
  <si>
    <t>Qroutes Limited</t>
  </si>
  <si>
    <t>09993686</t>
  </si>
  <si>
    <t>Renewable Electricity Supply</t>
  </si>
  <si>
    <t>The Combined Authority’s current call off contract with nPower via YPOs Electricity framework.</t>
  </si>
  <si>
    <t>Npower Commercial Gas Ltd</t>
  </si>
  <si>
    <t>84596 </t>
  </si>
  <si>
    <t>Location and Intelligence Data</t>
  </si>
  <si>
    <t>Call off from CCS VAS framework for Esri licences and support</t>
  </si>
  <si>
    <t>Esri UK Ltd</t>
  </si>
  <si>
    <t>01288342</t>
  </si>
  <si>
    <t>80358</t>
  </si>
  <si>
    <t>Housing Accelerator Fund Revenue Partner</t>
  </si>
  <si>
    <t>Support partner for Housing Accelerator Revenue Fund</t>
  </si>
  <si>
    <t>Cushman &amp; Wakefield</t>
  </si>
  <si>
    <t>02757768</t>
  </si>
  <si>
    <t>87167</t>
  </si>
  <si>
    <t>Modern.gov Renewal</t>
  </si>
  <si>
    <t>Renewal of Modern.gov annual support, maintenance and hosting.</t>
  </si>
  <si>
    <t>Civica UK Ltd</t>
  </si>
  <si>
    <t>01628868</t>
  </si>
  <si>
    <t>86103</t>
  </si>
  <si>
    <t>Social Value Management Software</t>
  </si>
  <si>
    <t>Solution to support WYCA in the evaluation, reporting, and management of supplier Social Value commitments</t>
  </si>
  <si>
    <t>Social Value Portal Limited</t>
  </si>
  <si>
    <t>09197997</t>
  </si>
  <si>
    <t>Commercial</t>
  </si>
  <si>
    <t>Insurance Brokerage Services</t>
  </si>
  <si>
    <t>Insurance brokerage services for the Combined Authority</t>
  </si>
  <si>
    <t>Griffiths and Armour Insurance Brokers Limited</t>
  </si>
  <si>
    <t>01774735</t>
  </si>
  <si>
    <t>82782</t>
  </si>
  <si>
    <t>Restorative Justice Service In West Yorkshire</t>
  </si>
  <si>
    <t>To provide a West Yorkshire wide victim-focused Restorative Justice service that empowers victims of crime by giving them the opportunity to communicate with the person responsible.</t>
  </si>
  <si>
    <t>06110507</t>
  </si>
  <si>
    <t>TCF Monitoring - AI mode Counter Procurement</t>
  </si>
  <si>
    <t>Supply and install 30 AI traffic counters across the five districts of West Yorkshire, with 5 years maintenance and support. Further counter may be procured within the 5 year period where required.</t>
  </si>
  <si>
    <t>Vivacity Labs Limited</t>
  </si>
  <si>
    <t>09924516</t>
  </si>
  <si>
    <t>ATM Provision at WYCA Bus Stations</t>
  </si>
  <si>
    <t>ATMs at West Yorkshire Combined Authority Bus Stations</t>
  </si>
  <si>
    <t>NoteMachine UK Limited</t>
  </si>
  <si>
    <t>82575A</t>
  </si>
  <si>
    <t>Provision of Home-to-School Transport Services in West Yorkshire.</t>
  </si>
  <si>
    <t>82575a</t>
  </si>
  <si>
    <t>Provision of various home to school transport services.</t>
  </si>
  <si>
    <t>82575b</t>
  </si>
  <si>
    <t>82575B</t>
  </si>
  <si>
    <t>Lethers Travel Ltd</t>
  </si>
  <si>
    <t>87497A</t>
  </si>
  <si>
    <t>Home-to-School and School Leisure/Swimming Transport Services in West Yorkshire.</t>
  </si>
  <si>
    <t>B&amp;H Travel Ltd</t>
  </si>
  <si>
    <t>87497C</t>
  </si>
  <si>
    <t>Bus Franchising Professional Services Support</t>
  </si>
  <si>
    <t xml:space="preserve">Procurement of consultancy services to support Network Management &amp; Planning, Assets, and Contracting workstreams. </t>
  </si>
  <si>
    <t>Ernst and Young LLP</t>
  </si>
  <si>
    <t>OC300001</t>
  </si>
  <si>
    <t>82980A</t>
  </si>
  <si>
    <t>Evaluation Services Framework</t>
  </si>
  <si>
    <t>Multi-supplier Framework Agreement for the provision of Evaluation (Consultancy) Services. Framework can be used by WYCA or partner Councils.</t>
  </si>
  <si>
    <t>07117314</t>
  </si>
  <si>
    <t>82980B</t>
  </si>
  <si>
    <t>Jacobs UK Limited</t>
  </si>
  <si>
    <t>82980C</t>
  </si>
  <si>
    <t>01883830</t>
  </si>
  <si>
    <t>82980D</t>
  </si>
  <si>
    <t>82980E</t>
  </si>
  <si>
    <t>Cargo Bikes for Hubs</t>
  </si>
  <si>
    <t>Procurement of cargo bikes for distribution to our new Active Travel Hubs</t>
  </si>
  <si>
    <t>Green Commute Initiative</t>
  </si>
  <si>
    <t>Transport Capital Programme</t>
  </si>
  <si>
    <t>82798</t>
  </si>
  <si>
    <t>Mass Transit Technical and Planning Advisors</t>
  </si>
  <si>
    <t>Bloom Procurement Services Ltd</t>
  </si>
  <si>
    <t>08045123</t>
  </si>
  <si>
    <t>64800</t>
  </si>
  <si>
    <t>SEN Taxis Dynamic Purchasing System</t>
  </si>
  <si>
    <t>Wakefield SEN Taxis and Minibus DPS.</t>
  </si>
  <si>
    <t>84257</t>
  </si>
  <si>
    <t>Programme Management for Mass Transit</t>
  </si>
  <si>
    <t>02165592</t>
  </si>
  <si>
    <t>CSO 293</t>
  </si>
  <si>
    <t>WYCA / Leedswatch Service Level Agreement </t>
  </si>
  <si>
    <t>Monitoring of bus stations across West Yorkshire Monitoring of bus stations across West Yorkshire </t>
  </si>
  <si>
    <t>Leeds City Council </t>
  </si>
  <si>
    <t xml:space="preserve">West Yorkshire Business Accelerator Fund </t>
  </si>
  <si>
    <t xml:space="preserve">Procurement of a fund management company to manage a c.£20M investment fund into West Yorkshire businesses taking equity stakes and offering debt products to high growth / high risk businesses. </t>
  </si>
  <si>
    <t xml:space="preserve">Foresight Group LLP </t>
  </si>
  <si>
    <t>OC300878</t>
  </si>
  <si>
    <t>79200</t>
  </si>
  <si>
    <t>Mass Transit Design Development Partner 2</t>
  </si>
  <si>
    <t>Mass Transit - Design Development Partner - Engineering &amp; Design, to support on the strategic development of the Mass Transit scheme</t>
  </si>
  <si>
    <t>78758a</t>
  </si>
  <si>
    <t>DWP Provision Personal License Programme- Lot 1</t>
  </si>
  <si>
    <t>Talented Training</t>
  </si>
  <si>
    <t>78758b</t>
  </si>
  <si>
    <t>DWP Provision Personal License Programme- Lot 2</t>
  </si>
  <si>
    <t>78758c</t>
  </si>
  <si>
    <t>DWP Provision Personal License Programme- Lot 3</t>
  </si>
  <si>
    <t>79054</t>
  </si>
  <si>
    <t>System Partner to Develop CRM Application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</si>
</sst>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Red]\-&quot;£&quot;#,##0.00"/>
    <numFmt numFmtId="164" formatCode="dd/mm/yyyy;@"/>
    <numFmt numFmtId="165" formatCode="&quot;£&quot;#,##0.00"/>
  </numFmts>
  <fonts count="12" x14ac:knownFonts="1">
    <font>
      <sz val="11"/>
      <color theme="1"/>
      <name val="Aptos Narrow"/>
      <family val="2"/>
      <scheme val="minor"/>
    </font>
    <font>
      <sz val="12"/>
      <color theme="1"/>
      <name val="Arial"/>
      <family val="2"/>
    </font>
    <font>
      <b/>
      <sz val="12"/>
      <color theme="1"/>
      <name val="Arial"/>
      <family val="2"/>
    </font>
    <font>
      <sz val="11"/>
      <color theme="1"/>
      <name val="Aptos Narrow"/>
      <family val="2"/>
      <scheme val="minor"/>
    </font>
    <font>
      <sz val="12"/>
      <color rgb="FF000000"/>
      <name val="Arial"/>
      <family val="2"/>
    </font>
    <font>
      <sz val="12"/>
      <name val="Arial"/>
      <family val="2"/>
    </font>
    <font>
      <sz val="12"/>
      <color rgb="FF17243D"/>
      <name val="Arial"/>
      <family val="2"/>
    </font>
    <font>
      <sz val="12"/>
      <color rgb="FF444444"/>
      <name val="Arial"/>
      <family val="2"/>
    </font>
    <font>
      <b/>
      <sz val="12"/>
      <name val="Arial"/>
      <family val="2"/>
    </font>
    <font>
      <sz val="12"/>
      <color rgb="FF002060"/>
      <name val="Arial"/>
      <family val="2"/>
    </font>
    <font>
      <b/>
      <sz val="12"/>
      <color rgb="FF000000"/>
      <name val="Arial"/>
      <family val="2"/>
    </font>
    <font>
      <sz val="9"/>
      <color indexed="81"/>
      <name val="Tahoma"/>
    </font>
  </fonts>
  <fills count="3">
    <fill>
      <patternFill patternType="none"/>
    </fill>
    <fill>
      <patternFill patternType="gray125"/>
    </fill>
    <fill>
      <patternFill patternType="solid">
        <fgColor theme="8" tint="0.79998168889431442"/>
        <bgColor indexed="64"/>
      </patternFill>
    </fill>
  </fills>
  <borders count="29">
    <border>
      <left/>
      <right/>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indexed="64"/>
      </left>
      <right style="thin">
        <color indexed="64"/>
      </right>
      <top style="thin">
        <color indexed="64"/>
      </top>
      <bottom/>
      <diagonal/>
    </border>
    <border>
      <left/>
      <right style="thin">
        <color auto="1"/>
      </right>
      <top style="thin">
        <color auto="1"/>
      </top>
      <bottom/>
      <diagonal/>
    </border>
    <border>
      <left style="thin">
        <color auto="1"/>
      </left>
      <right/>
      <top style="thin">
        <color auto="1"/>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top style="thin">
        <color rgb="FF000000"/>
      </top>
      <bottom/>
      <diagonal/>
    </border>
    <border>
      <left style="thin">
        <color auto="1"/>
      </left>
      <right style="thin">
        <color rgb="FF000000"/>
      </right>
      <top style="thin">
        <color rgb="FF000000"/>
      </top>
      <bottom style="thin">
        <color rgb="FF000000"/>
      </bottom>
      <diagonal/>
    </border>
    <border>
      <left style="thin">
        <color auto="1"/>
      </left>
      <right/>
      <top style="thin">
        <color rgb="FF000000"/>
      </top>
      <bottom style="thin">
        <color rgb="FF000000"/>
      </bottom>
      <diagonal/>
    </border>
    <border>
      <left style="thin">
        <color auto="1"/>
      </left>
      <right style="thin">
        <color rgb="FF000000"/>
      </right>
      <top/>
      <bottom style="thin">
        <color rgb="FF000000"/>
      </bottom>
      <diagonal/>
    </border>
    <border>
      <left style="thin">
        <color auto="1"/>
      </left>
      <right style="thin">
        <color rgb="FF000000"/>
      </right>
      <top style="thin">
        <color rgb="FF000000"/>
      </top>
      <bottom/>
      <diagonal/>
    </border>
    <border>
      <left style="thin">
        <color auto="1"/>
      </left>
      <right/>
      <top style="thin">
        <color rgb="FF000000"/>
      </top>
      <bottom/>
      <diagonal/>
    </border>
    <border>
      <left style="thin">
        <color auto="1"/>
      </left>
      <right style="thin">
        <color rgb="FF000000"/>
      </right>
      <top style="thin">
        <color rgb="FF000000"/>
      </top>
      <bottom style="thin">
        <color auto="1"/>
      </bottom>
      <diagonal/>
    </border>
    <border>
      <left style="thin">
        <color rgb="FF000000"/>
      </left>
      <right style="thin">
        <color rgb="FF000000"/>
      </right>
      <top style="thin">
        <color rgb="FF000000"/>
      </top>
      <bottom style="thin">
        <color auto="1"/>
      </bottom>
      <diagonal/>
    </border>
    <border>
      <left style="thin">
        <color rgb="FF000000"/>
      </left>
      <right/>
      <top/>
      <bottom style="thin">
        <color rgb="FF000000"/>
      </bottom>
      <diagonal/>
    </border>
    <border>
      <left style="thin">
        <color rgb="FF000000"/>
      </left>
      <right/>
      <top style="thin">
        <color rgb="FF000000"/>
      </top>
      <bottom style="thin">
        <color auto="1"/>
      </bottom>
      <diagonal/>
    </border>
  </borders>
  <cellStyleXfs count="2">
    <xf numFmtId="0" fontId="0" fillId="0" borderId="0"/>
    <xf numFmtId="0" fontId="3" fillId="0" borderId="0"/>
  </cellStyleXfs>
  <cellXfs count="177">
    <xf numFmtId="0" fontId="0" fillId="0" borderId="0" xfId="0"/>
    <xf numFmtId="0" fontId="1" fillId="0" borderId="0" xfId="0" applyFont="1" applyAlignment="1">
      <alignment horizontal="center" vertical="center"/>
    </xf>
    <xf numFmtId="14" fontId="1" fillId="0" borderId="5" xfId="0" applyNumberFormat="1" applyFont="1" applyFill="1" applyBorder="1" applyAlignment="1">
      <alignment horizontal="center" vertical="center" wrapText="1"/>
    </xf>
    <xf numFmtId="0" fontId="1" fillId="0" borderId="5" xfId="0" applyFont="1" applyFill="1" applyBorder="1" applyAlignment="1">
      <alignment horizontal="center" vertical="center" wrapText="1"/>
    </xf>
    <xf numFmtId="14" fontId="1" fillId="0" borderId="5" xfId="0" applyNumberFormat="1" applyFont="1" applyFill="1" applyBorder="1" applyAlignment="1">
      <alignment horizontal="center" vertical="center"/>
    </xf>
    <xf numFmtId="0" fontId="1" fillId="0" borderId="5" xfId="0" applyFont="1" applyFill="1" applyBorder="1" applyAlignment="1">
      <alignment horizontal="center" vertical="center"/>
    </xf>
    <xf numFmtId="165" fontId="4" fillId="0" borderId="5" xfId="0" applyNumberFormat="1" applyFont="1" applyFill="1" applyBorder="1" applyAlignment="1">
      <alignment horizontal="center" vertical="center"/>
    </xf>
    <xf numFmtId="165" fontId="1" fillId="0" borderId="5" xfId="0" applyNumberFormat="1" applyFont="1" applyFill="1" applyBorder="1" applyAlignment="1">
      <alignment horizontal="center" vertical="center"/>
    </xf>
    <xf numFmtId="164" fontId="1" fillId="0" borderId="5" xfId="0" applyNumberFormat="1" applyFont="1" applyFill="1" applyBorder="1" applyAlignment="1">
      <alignment horizontal="center" vertical="center"/>
    </xf>
    <xf numFmtId="14" fontId="4" fillId="0" borderId="5"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16" fontId="4" fillId="0" borderId="5"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xf>
    <xf numFmtId="0" fontId="1" fillId="0" borderId="7" xfId="0" applyFont="1" applyFill="1" applyBorder="1" applyAlignment="1">
      <alignment horizontal="center" vertical="center" wrapText="1"/>
    </xf>
    <xf numFmtId="49" fontId="1" fillId="0" borderId="4" xfId="0" applyNumberFormat="1" applyFont="1" applyFill="1" applyBorder="1" applyAlignment="1">
      <alignment horizontal="center" vertical="center"/>
    </xf>
    <xf numFmtId="164" fontId="1" fillId="0" borderId="5" xfId="0" applyNumberFormat="1" applyFont="1" applyFill="1" applyBorder="1" applyAlignment="1">
      <alignment horizontal="center" vertical="center" wrapText="1"/>
    </xf>
    <xf numFmtId="165" fontId="1" fillId="0" borderId="5" xfId="0" applyNumberFormat="1" applyFont="1" applyFill="1" applyBorder="1" applyAlignment="1">
      <alignment horizontal="center" vertical="center" wrapText="1"/>
    </xf>
    <xf numFmtId="49" fontId="1" fillId="0" borderId="5" xfId="0" applyNumberFormat="1" applyFont="1" applyFill="1" applyBorder="1" applyAlignment="1">
      <alignment horizontal="center" vertical="center" wrapText="1"/>
    </xf>
    <xf numFmtId="0" fontId="1" fillId="0" borderId="7" xfId="0" applyFont="1" applyFill="1" applyBorder="1" applyAlignment="1">
      <alignment horizontal="center" vertical="center"/>
    </xf>
    <xf numFmtId="49" fontId="4" fillId="0" borderId="5" xfId="0" applyNumberFormat="1" applyFont="1" applyFill="1" applyBorder="1" applyAlignment="1">
      <alignment horizontal="center" vertical="center"/>
    </xf>
    <xf numFmtId="0" fontId="4" fillId="0" borderId="5" xfId="0" applyFont="1" applyFill="1" applyBorder="1" applyAlignment="1">
      <alignment horizontal="center" vertical="center"/>
    </xf>
    <xf numFmtId="165" fontId="4" fillId="0" borderId="5" xfId="0" applyNumberFormat="1" applyFont="1" applyFill="1" applyBorder="1" applyAlignment="1">
      <alignment horizontal="center" vertical="center" wrapText="1"/>
    </xf>
    <xf numFmtId="0" fontId="5" fillId="0" borderId="5" xfId="0" applyFont="1" applyFill="1" applyBorder="1" applyAlignment="1">
      <alignment horizontal="center" vertical="center"/>
    </xf>
    <xf numFmtId="49" fontId="9" fillId="0" borderId="5" xfId="0" applyNumberFormat="1" applyFont="1" applyFill="1" applyBorder="1" applyAlignment="1">
      <alignment horizontal="center" vertical="center"/>
    </xf>
    <xf numFmtId="165" fontId="5"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14" fontId="1" fillId="0" borderId="7" xfId="0" applyNumberFormat="1" applyFont="1" applyFill="1" applyBorder="1" applyAlignment="1">
      <alignment horizontal="center" vertical="center"/>
    </xf>
    <xf numFmtId="49" fontId="1" fillId="0" borderId="7" xfId="0" applyNumberFormat="1" applyFont="1" applyFill="1" applyBorder="1" applyAlignment="1">
      <alignment horizontal="center" vertical="center"/>
    </xf>
    <xf numFmtId="165" fontId="1" fillId="0" borderId="7" xfId="0" applyNumberFormat="1" applyFont="1" applyFill="1" applyBorder="1" applyAlignment="1">
      <alignment horizontal="center" vertical="center"/>
    </xf>
    <xf numFmtId="164" fontId="1" fillId="0" borderId="7" xfId="0" applyNumberFormat="1" applyFont="1" applyFill="1" applyBorder="1" applyAlignment="1">
      <alignment horizontal="center" vertical="center"/>
    </xf>
    <xf numFmtId="165" fontId="4" fillId="0" borderId="7" xfId="0" applyNumberFormat="1" applyFont="1" applyFill="1" applyBorder="1" applyAlignment="1">
      <alignment horizontal="center" vertical="center"/>
    </xf>
    <xf numFmtId="0" fontId="4" fillId="0" borderId="7" xfId="0" applyFont="1" applyFill="1" applyBorder="1" applyAlignment="1">
      <alignment horizontal="center" vertical="center" wrapText="1"/>
    </xf>
    <xf numFmtId="8" fontId="1" fillId="0" borderId="7" xfId="0" applyNumberFormat="1" applyFont="1" applyFill="1" applyBorder="1" applyAlignment="1">
      <alignment horizontal="center" vertical="center"/>
    </xf>
    <xf numFmtId="49" fontId="1" fillId="0" borderId="10" xfId="0" applyNumberFormat="1" applyFont="1" applyFill="1" applyBorder="1" applyAlignment="1">
      <alignment horizontal="center" vertical="center"/>
    </xf>
    <xf numFmtId="164" fontId="1" fillId="0" borderId="10" xfId="0" applyNumberFormat="1" applyFont="1" applyFill="1" applyBorder="1" applyAlignment="1">
      <alignment horizontal="center" vertical="center"/>
    </xf>
    <xf numFmtId="0" fontId="1" fillId="0" borderId="10" xfId="0" applyFont="1" applyFill="1" applyBorder="1" applyAlignment="1">
      <alignment horizontal="center" vertical="center"/>
    </xf>
    <xf numFmtId="0" fontId="1" fillId="0" borderId="11" xfId="0" applyFont="1" applyFill="1" applyBorder="1" applyAlignment="1">
      <alignment horizontal="center" vertical="center"/>
    </xf>
    <xf numFmtId="0" fontId="1" fillId="0" borderId="10" xfId="0" applyFont="1" applyFill="1" applyBorder="1" applyAlignment="1">
      <alignment horizontal="center" vertical="center" wrapText="1"/>
    </xf>
    <xf numFmtId="165" fontId="1" fillId="0" borderId="10" xfId="0" applyNumberFormat="1" applyFont="1" applyFill="1" applyBorder="1" applyAlignment="1">
      <alignment horizontal="center" vertical="center"/>
    </xf>
    <xf numFmtId="0" fontId="1" fillId="0" borderId="12" xfId="0" applyFont="1" applyFill="1" applyBorder="1" applyAlignment="1">
      <alignment horizontal="center" vertical="center"/>
    </xf>
    <xf numFmtId="14" fontId="1" fillId="0" borderId="12" xfId="0" applyNumberFormat="1" applyFont="1" applyFill="1" applyBorder="1" applyAlignment="1">
      <alignment horizontal="center" vertical="center"/>
    </xf>
    <xf numFmtId="0" fontId="1" fillId="0" borderId="13" xfId="0" applyFont="1" applyFill="1" applyBorder="1" applyAlignment="1">
      <alignment horizontal="center" vertical="center" wrapText="1"/>
    </xf>
    <xf numFmtId="49" fontId="1" fillId="0" borderId="12" xfId="0" applyNumberFormat="1" applyFont="1" applyFill="1" applyBorder="1" applyAlignment="1">
      <alignment horizontal="center" vertical="center"/>
    </xf>
    <xf numFmtId="165" fontId="1" fillId="0" borderId="12" xfId="0" applyNumberFormat="1" applyFont="1" applyFill="1" applyBorder="1" applyAlignment="1">
      <alignment horizontal="center" vertical="center"/>
    </xf>
    <xf numFmtId="165" fontId="1" fillId="0" borderId="13" xfId="0" applyNumberFormat="1" applyFont="1" applyFill="1" applyBorder="1" applyAlignment="1">
      <alignment horizontal="center" vertical="center"/>
    </xf>
    <xf numFmtId="164" fontId="1" fillId="0" borderId="12" xfId="0" applyNumberFormat="1" applyFont="1" applyFill="1" applyBorder="1" applyAlignment="1">
      <alignment horizontal="center" vertical="center"/>
    </xf>
    <xf numFmtId="0" fontId="1" fillId="0" borderId="12" xfId="0" applyFont="1" applyFill="1" applyBorder="1" applyAlignment="1">
      <alignment horizontal="center" vertical="center" wrapText="1"/>
    </xf>
    <xf numFmtId="49" fontId="1" fillId="0" borderId="14" xfId="0" applyNumberFormat="1" applyFont="1" applyFill="1" applyBorder="1" applyAlignment="1">
      <alignment horizontal="center" vertical="center"/>
    </xf>
    <xf numFmtId="0" fontId="1" fillId="0" borderId="14" xfId="0" applyFont="1" applyFill="1" applyBorder="1" applyAlignment="1">
      <alignment horizontal="center" vertical="center"/>
    </xf>
    <xf numFmtId="165" fontId="1" fillId="0" borderId="15" xfId="0" applyNumberFormat="1" applyFont="1" applyFill="1" applyBorder="1" applyAlignment="1">
      <alignment horizontal="center" vertical="center"/>
    </xf>
    <xf numFmtId="164" fontId="1" fillId="0" borderId="12" xfId="0" applyNumberFormat="1" applyFont="1" applyFill="1" applyBorder="1" applyAlignment="1">
      <alignment horizontal="center" vertical="center" wrapText="1"/>
    </xf>
    <xf numFmtId="0" fontId="4" fillId="0" borderId="14" xfId="0" applyFont="1" applyFill="1" applyBorder="1" applyAlignment="1">
      <alignment horizontal="center" vertical="center"/>
    </xf>
    <xf numFmtId="49" fontId="1" fillId="0" borderId="13" xfId="0" applyNumberFormat="1" applyFont="1" applyFill="1" applyBorder="1" applyAlignment="1">
      <alignment horizontal="center" vertical="center" wrapText="1"/>
    </xf>
    <xf numFmtId="49" fontId="1" fillId="0" borderId="16" xfId="0" applyNumberFormat="1" applyFont="1" applyFill="1" applyBorder="1" applyAlignment="1">
      <alignment horizontal="center" vertical="center"/>
    </xf>
    <xf numFmtId="0" fontId="1" fillId="0" borderId="16" xfId="0" applyFont="1" applyFill="1" applyBorder="1" applyAlignment="1">
      <alignment horizontal="center" vertical="center"/>
    </xf>
    <xf numFmtId="0" fontId="1" fillId="0" borderId="13" xfId="0" applyFont="1" applyFill="1" applyBorder="1" applyAlignment="1">
      <alignment horizontal="center" vertical="center"/>
    </xf>
    <xf numFmtId="49" fontId="1" fillId="0" borderId="18" xfId="0" applyNumberFormat="1" applyFont="1" applyFill="1" applyBorder="1" applyAlignment="1">
      <alignment horizontal="center" vertical="center"/>
    </xf>
    <xf numFmtId="165" fontId="1" fillId="0" borderId="18" xfId="0" applyNumberFormat="1" applyFont="1" applyFill="1" applyBorder="1" applyAlignment="1">
      <alignment horizontal="center" vertical="center"/>
    </xf>
    <xf numFmtId="0" fontId="1" fillId="0" borderId="15" xfId="0" applyFont="1" applyFill="1" applyBorder="1" applyAlignment="1">
      <alignment horizontal="center" vertical="center"/>
    </xf>
    <xf numFmtId="14" fontId="1" fillId="0" borderId="14" xfId="0" applyNumberFormat="1" applyFont="1" applyFill="1" applyBorder="1" applyAlignment="1">
      <alignment horizontal="center" vertical="center"/>
    </xf>
    <xf numFmtId="164" fontId="1" fillId="0" borderId="13" xfId="0" applyNumberFormat="1" applyFont="1" applyFill="1" applyBorder="1" applyAlignment="1">
      <alignment horizontal="center" vertical="center"/>
    </xf>
    <xf numFmtId="14" fontId="1" fillId="0" borderId="16" xfId="0" applyNumberFormat="1" applyFont="1" applyFill="1" applyBorder="1" applyAlignment="1">
      <alignment horizontal="center" vertical="center"/>
    </xf>
    <xf numFmtId="49" fontId="1" fillId="0" borderId="19" xfId="0" applyNumberFormat="1" applyFont="1" applyFill="1" applyBorder="1" applyAlignment="1">
      <alignment horizontal="center" vertical="center"/>
    </xf>
    <xf numFmtId="165" fontId="1" fillId="0" borderId="19" xfId="0" applyNumberFormat="1" applyFont="1" applyFill="1" applyBorder="1" applyAlignment="1">
      <alignment horizontal="center" vertical="center"/>
    </xf>
    <xf numFmtId="165" fontId="1" fillId="0" borderId="17" xfId="0" applyNumberFormat="1" applyFont="1" applyFill="1" applyBorder="1" applyAlignment="1">
      <alignment horizontal="center" vertical="center"/>
    </xf>
    <xf numFmtId="0" fontId="1" fillId="0" borderId="17" xfId="0" applyFont="1" applyFill="1" applyBorder="1" applyAlignment="1">
      <alignment horizontal="center" vertical="center"/>
    </xf>
    <xf numFmtId="164" fontId="1" fillId="0" borderId="8" xfId="0" applyNumberFormat="1" applyFont="1" applyFill="1" applyBorder="1" applyAlignment="1">
      <alignment horizontal="center" vertical="center"/>
    </xf>
    <xf numFmtId="14" fontId="1" fillId="0" borderId="8" xfId="0" applyNumberFormat="1" applyFont="1" applyFill="1" applyBorder="1" applyAlignment="1">
      <alignment horizontal="center" vertical="center"/>
    </xf>
    <xf numFmtId="0" fontId="1" fillId="0" borderId="18" xfId="0" applyFont="1" applyFill="1" applyBorder="1" applyAlignment="1">
      <alignment horizontal="center" vertical="center"/>
    </xf>
    <xf numFmtId="0" fontId="1" fillId="0" borderId="6" xfId="0" applyFont="1" applyFill="1" applyBorder="1" applyAlignment="1">
      <alignment horizontal="center" vertical="center"/>
    </xf>
    <xf numFmtId="0" fontId="4" fillId="0" borderId="16" xfId="0" applyFont="1" applyFill="1" applyBorder="1" applyAlignment="1">
      <alignment horizontal="center" vertical="center" wrapText="1"/>
    </xf>
    <xf numFmtId="14" fontId="1" fillId="0" borderId="6" xfId="0" applyNumberFormat="1" applyFont="1" applyFill="1" applyBorder="1" applyAlignment="1">
      <alignment horizontal="center" vertical="center"/>
    </xf>
    <xf numFmtId="49" fontId="1" fillId="0" borderId="6" xfId="0" applyNumberFormat="1" applyFont="1" applyFill="1" applyBorder="1" applyAlignment="1">
      <alignment horizontal="center" vertical="center"/>
    </xf>
    <xf numFmtId="164" fontId="1" fillId="0" borderId="19" xfId="0" applyNumberFormat="1" applyFont="1" applyFill="1" applyBorder="1" applyAlignment="1">
      <alignment horizontal="center" vertical="center"/>
    </xf>
    <xf numFmtId="0" fontId="1" fillId="0" borderId="19" xfId="0" applyFont="1" applyFill="1" applyBorder="1" applyAlignment="1">
      <alignment horizontal="center" vertical="center"/>
    </xf>
    <xf numFmtId="0" fontId="1" fillId="0" borderId="16" xfId="0" applyFont="1" applyFill="1" applyBorder="1" applyAlignment="1">
      <alignment horizontal="center" vertical="center" wrapText="1"/>
    </xf>
    <xf numFmtId="14" fontId="1" fillId="0" borderId="13" xfId="0" applyNumberFormat="1" applyFont="1" applyFill="1" applyBorder="1" applyAlignment="1">
      <alignment horizontal="center" vertical="center"/>
    </xf>
    <xf numFmtId="0" fontId="4" fillId="0" borderId="12" xfId="0" applyFont="1" applyFill="1" applyBorder="1" applyAlignment="1">
      <alignment horizontal="center" vertical="center"/>
    </xf>
    <xf numFmtId="165" fontId="4" fillId="0" borderId="12" xfId="0" applyNumberFormat="1" applyFont="1" applyFill="1" applyBorder="1" applyAlignment="1">
      <alignment horizontal="center" vertical="center"/>
    </xf>
    <xf numFmtId="0" fontId="4" fillId="0" borderId="7" xfId="0" applyFont="1" applyFill="1" applyBorder="1" applyAlignment="1">
      <alignment horizontal="center" vertical="center"/>
    </xf>
    <xf numFmtId="49" fontId="1" fillId="0" borderId="1" xfId="0" applyNumberFormat="1" applyFont="1" applyFill="1" applyBorder="1" applyAlignment="1">
      <alignment horizontal="center" vertical="center"/>
    </xf>
    <xf numFmtId="164"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xf>
    <xf numFmtId="14" fontId="1" fillId="0" borderId="2" xfId="0" applyNumberFormat="1" applyFont="1" applyFill="1" applyBorder="1" applyAlignment="1">
      <alignment horizontal="center" vertical="center"/>
    </xf>
    <xf numFmtId="49" fontId="1" fillId="0" borderId="2" xfId="0" applyNumberFormat="1" applyFont="1" applyFill="1" applyBorder="1" applyAlignment="1">
      <alignment horizontal="center" vertical="center"/>
    </xf>
    <xf numFmtId="0" fontId="1" fillId="0" borderId="2" xfId="0" applyFont="1" applyFill="1" applyBorder="1" applyAlignment="1">
      <alignment horizontal="center" vertical="center" wrapText="1"/>
    </xf>
    <xf numFmtId="165" fontId="1" fillId="0" borderId="2" xfId="0" applyNumberFormat="1" applyFont="1" applyFill="1" applyBorder="1" applyAlignment="1">
      <alignment horizontal="center" vertical="center"/>
    </xf>
    <xf numFmtId="49" fontId="4" fillId="0" borderId="12" xfId="0" applyNumberFormat="1" applyFont="1" applyFill="1" applyBorder="1" applyAlignment="1">
      <alignment horizontal="center" vertical="center"/>
    </xf>
    <xf numFmtId="14" fontId="4" fillId="0" borderId="7" xfId="0" applyNumberFormat="1" applyFont="1" applyFill="1" applyBorder="1" applyAlignment="1">
      <alignment horizontal="center" vertical="center"/>
    </xf>
    <xf numFmtId="164" fontId="1" fillId="0" borderId="6" xfId="0" applyNumberFormat="1" applyFont="1" applyFill="1" applyBorder="1" applyAlignment="1">
      <alignment horizontal="center" vertical="center"/>
    </xf>
    <xf numFmtId="14" fontId="4" fillId="0" borderId="12" xfId="0" applyNumberFormat="1" applyFont="1" applyFill="1" applyBorder="1" applyAlignment="1">
      <alignment horizontal="center" vertical="center"/>
    </xf>
    <xf numFmtId="164" fontId="4" fillId="0" borderId="8" xfId="0" applyNumberFormat="1" applyFont="1" applyFill="1" applyBorder="1" applyAlignment="1">
      <alignment horizontal="center" vertical="center"/>
    </xf>
    <xf numFmtId="164" fontId="4" fillId="0" borderId="18" xfId="0" applyNumberFormat="1" applyFont="1" applyFill="1" applyBorder="1" applyAlignment="1">
      <alignment horizontal="center" vertical="center"/>
    </xf>
    <xf numFmtId="14" fontId="1" fillId="0" borderId="6" xfId="0" applyNumberFormat="1" applyFont="1" applyFill="1" applyBorder="1" applyAlignment="1">
      <alignment horizontal="center" vertical="center" wrapText="1"/>
    </xf>
    <xf numFmtId="14" fontId="1" fillId="0" borderId="19" xfId="0" applyNumberFormat="1" applyFont="1" applyFill="1" applyBorder="1" applyAlignment="1">
      <alignment horizontal="center" vertical="center"/>
    </xf>
    <xf numFmtId="164" fontId="4" fillId="0" borderId="14" xfId="0" applyNumberFormat="1" applyFont="1" applyFill="1" applyBorder="1" applyAlignment="1">
      <alignment horizontal="center" vertical="center"/>
    </xf>
    <xf numFmtId="164" fontId="4" fillId="0" borderId="7" xfId="0" applyNumberFormat="1" applyFont="1" applyFill="1" applyBorder="1" applyAlignment="1">
      <alignment horizontal="center" vertical="center"/>
    </xf>
    <xf numFmtId="164" fontId="4" fillId="0" borderId="12" xfId="0" applyNumberFormat="1" applyFont="1" applyFill="1" applyBorder="1" applyAlignment="1">
      <alignment horizontal="center" vertical="center"/>
    </xf>
    <xf numFmtId="164" fontId="1" fillId="0" borderId="18" xfId="0" applyNumberFormat="1" applyFont="1" applyFill="1" applyBorder="1" applyAlignment="1">
      <alignment horizontal="center" vertical="center" wrapText="1"/>
    </xf>
    <xf numFmtId="164" fontId="4" fillId="0" borderId="15" xfId="0" applyNumberFormat="1" applyFont="1" applyFill="1" applyBorder="1" applyAlignment="1">
      <alignment horizontal="center" vertical="center"/>
    </xf>
    <xf numFmtId="0" fontId="1" fillId="0" borderId="6" xfId="0" applyFont="1" applyFill="1" applyBorder="1" applyAlignment="1">
      <alignment horizontal="center" vertical="center" wrapText="1"/>
    </xf>
    <xf numFmtId="0" fontId="4" fillId="0" borderId="12"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4" xfId="0" applyFont="1" applyFill="1" applyBorder="1" applyAlignment="1">
      <alignment horizontal="center" vertical="center" wrapText="1"/>
    </xf>
    <xf numFmtId="49" fontId="1" fillId="0" borderId="7" xfId="0" applyNumberFormat="1" applyFont="1" applyFill="1" applyBorder="1" applyAlignment="1">
      <alignment horizontal="center" vertical="center" wrapText="1"/>
    </xf>
    <xf numFmtId="49" fontId="4" fillId="0" borderId="13" xfId="0" applyNumberFormat="1" applyFont="1" applyFill="1" applyBorder="1" applyAlignment="1">
      <alignment horizontal="center" vertical="center"/>
    </xf>
    <xf numFmtId="165" fontId="4" fillId="0" borderId="15" xfId="0" applyNumberFormat="1" applyFont="1" applyFill="1" applyBorder="1" applyAlignment="1">
      <alignment horizontal="center" vertical="center"/>
    </xf>
    <xf numFmtId="165" fontId="7" fillId="0" borderId="12" xfId="0" applyNumberFormat="1" applyFont="1" applyFill="1" applyBorder="1" applyAlignment="1">
      <alignment horizontal="center" vertical="center"/>
    </xf>
    <xf numFmtId="165" fontId="1" fillId="0" borderId="10" xfId="0" applyNumberFormat="1" applyFont="1" applyFill="1" applyBorder="1" applyAlignment="1">
      <alignment horizontal="center" vertical="center" wrapText="1"/>
    </xf>
    <xf numFmtId="165" fontId="7" fillId="0" borderId="13" xfId="0" applyNumberFormat="1" applyFont="1" applyFill="1" applyBorder="1" applyAlignment="1">
      <alignment horizontal="center" vertical="center"/>
    </xf>
    <xf numFmtId="165" fontId="4" fillId="0" borderId="12" xfId="0" applyNumberFormat="1" applyFont="1" applyFill="1" applyBorder="1" applyAlignment="1">
      <alignment horizontal="center" vertical="center" wrapText="1"/>
    </xf>
    <xf numFmtId="0" fontId="1" fillId="0" borderId="6" xfId="0" applyNumberFormat="1" applyFont="1" applyFill="1" applyBorder="1" applyAlignment="1">
      <alignment horizontal="center" vertical="center" wrapText="1"/>
    </xf>
    <xf numFmtId="0" fontId="1" fillId="0" borderId="5"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8" fontId="4" fillId="0" borderId="5"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165" fontId="1" fillId="0" borderId="6" xfId="0" applyNumberFormat="1" applyFont="1" applyFill="1" applyBorder="1" applyAlignment="1">
      <alignment horizontal="center" vertical="center"/>
    </xf>
    <xf numFmtId="0" fontId="1" fillId="0" borderId="9" xfId="0" applyFont="1" applyFill="1" applyBorder="1" applyAlignment="1">
      <alignment horizontal="center" vertical="center"/>
    </xf>
    <xf numFmtId="49" fontId="1" fillId="0" borderId="22" xfId="0" applyNumberFormat="1" applyFont="1" applyFill="1" applyBorder="1" applyAlignment="1">
      <alignment horizontal="center" vertical="center"/>
    </xf>
    <xf numFmtId="0" fontId="1" fillId="0" borderId="27" xfId="0" applyFont="1" applyFill="1" applyBorder="1" applyAlignment="1">
      <alignment horizontal="center" vertical="center"/>
    </xf>
    <xf numFmtId="49" fontId="1" fillId="0" borderId="20" xfId="0" applyNumberFormat="1" applyFont="1" applyFill="1" applyBorder="1" applyAlignment="1">
      <alignment horizontal="center" vertical="center"/>
    </xf>
    <xf numFmtId="49" fontId="1" fillId="0" borderId="23" xfId="0" applyNumberFormat="1" applyFont="1" applyFill="1" applyBorder="1" applyAlignment="1">
      <alignment horizontal="center" vertical="center"/>
    </xf>
    <xf numFmtId="0" fontId="1" fillId="0" borderId="23" xfId="0" applyFont="1" applyFill="1" applyBorder="1" applyAlignment="1">
      <alignment horizontal="center" vertical="center"/>
    </xf>
    <xf numFmtId="0" fontId="1" fillId="0" borderId="20" xfId="0" applyFont="1" applyFill="1" applyBorder="1" applyAlignment="1">
      <alignment horizontal="center" vertical="center"/>
    </xf>
    <xf numFmtId="49" fontId="1" fillId="0" borderId="21" xfId="0" applyNumberFormat="1" applyFont="1" applyFill="1" applyBorder="1" applyAlignment="1">
      <alignment horizontal="center" vertical="center"/>
    </xf>
    <xf numFmtId="0" fontId="1" fillId="0" borderId="15" xfId="0" applyNumberFormat="1" applyFont="1" applyFill="1" applyBorder="1" applyAlignment="1">
      <alignment horizontal="center" vertical="center" wrapText="1"/>
    </xf>
    <xf numFmtId="0" fontId="1" fillId="0" borderId="7" xfId="0" applyNumberFormat="1" applyFont="1" applyFill="1" applyBorder="1" applyAlignment="1">
      <alignment horizontal="center" vertical="center" wrapText="1"/>
    </xf>
    <xf numFmtId="0" fontId="1" fillId="0" borderId="18" xfId="0" applyNumberFormat="1" applyFont="1" applyFill="1" applyBorder="1" applyAlignment="1">
      <alignment horizontal="center" vertical="center" wrapText="1"/>
    </xf>
    <xf numFmtId="49" fontId="1" fillId="0" borderId="24" xfId="0" applyNumberFormat="1" applyFont="1" applyFill="1" applyBorder="1" applyAlignment="1">
      <alignment horizontal="center" vertical="center"/>
    </xf>
    <xf numFmtId="49" fontId="4" fillId="0" borderId="20" xfId="0" applyNumberFormat="1" applyFont="1" applyFill="1" applyBorder="1" applyAlignment="1">
      <alignment horizontal="center" vertical="center"/>
    </xf>
    <xf numFmtId="0" fontId="4" fillId="0" borderId="14" xfId="0" applyFont="1" applyFill="1" applyBorder="1" applyAlignment="1">
      <alignment horizontal="center" vertical="center" wrapText="1"/>
    </xf>
    <xf numFmtId="49" fontId="4" fillId="0" borderId="7" xfId="0" applyNumberFormat="1" applyFont="1" applyFill="1" applyBorder="1" applyAlignment="1">
      <alignment horizontal="center" vertical="center"/>
    </xf>
    <xf numFmtId="0" fontId="4" fillId="0" borderId="19" xfId="0" applyFont="1" applyFill="1" applyBorder="1" applyAlignment="1">
      <alignment horizontal="center" vertical="center" wrapText="1"/>
    </xf>
    <xf numFmtId="49" fontId="4" fillId="0" borderId="25" xfId="0" applyNumberFormat="1" applyFont="1" applyFill="1" applyBorder="1" applyAlignment="1">
      <alignment horizontal="center" vertical="center"/>
    </xf>
    <xf numFmtId="14" fontId="4" fillId="0" borderId="26" xfId="0" applyNumberFormat="1" applyFont="1" applyFill="1" applyBorder="1" applyAlignment="1">
      <alignment horizontal="center" vertical="center"/>
    </xf>
    <xf numFmtId="0" fontId="4" fillId="0" borderId="26" xfId="0" applyFont="1" applyFill="1" applyBorder="1" applyAlignment="1">
      <alignment horizontal="center" vertical="center"/>
    </xf>
    <xf numFmtId="0" fontId="7" fillId="0" borderId="26" xfId="0" applyFont="1" applyFill="1" applyBorder="1" applyAlignment="1">
      <alignment horizontal="center" vertical="center" wrapText="1"/>
    </xf>
    <xf numFmtId="0" fontId="4" fillId="0" borderId="26" xfId="0" applyFont="1" applyFill="1" applyBorder="1" applyAlignment="1">
      <alignment horizontal="center" vertical="center" wrapText="1"/>
    </xf>
    <xf numFmtId="0" fontId="1" fillId="0" borderId="26" xfId="0" applyFont="1" applyFill="1" applyBorder="1" applyAlignment="1">
      <alignment horizontal="center" vertical="center"/>
    </xf>
    <xf numFmtId="0" fontId="1" fillId="0" borderId="26" xfId="0" applyFont="1" applyFill="1" applyBorder="1" applyAlignment="1">
      <alignment horizontal="center" vertical="center" wrapText="1"/>
    </xf>
    <xf numFmtId="165" fontId="4" fillId="0" borderId="26" xfId="0" applyNumberFormat="1" applyFont="1" applyFill="1" applyBorder="1" applyAlignment="1">
      <alignment horizontal="center" vertical="center"/>
    </xf>
    <xf numFmtId="165" fontId="4" fillId="0" borderId="26" xfId="0" applyNumberFormat="1" applyFont="1" applyFill="1" applyBorder="1" applyAlignment="1">
      <alignment horizontal="center" vertical="center" wrapText="1"/>
    </xf>
    <xf numFmtId="165" fontId="1" fillId="0" borderId="26" xfId="0" applyNumberFormat="1" applyFont="1" applyFill="1" applyBorder="1" applyAlignment="1">
      <alignment horizontal="center" vertical="center"/>
    </xf>
    <xf numFmtId="0" fontId="4" fillId="0" borderId="28" xfId="0" applyFont="1" applyFill="1" applyBorder="1" applyAlignment="1">
      <alignment horizontal="center" vertical="center" wrapText="1"/>
    </xf>
    <xf numFmtId="0" fontId="1" fillId="0" borderId="5" xfId="0" applyFont="1" applyFill="1" applyBorder="1" applyAlignment="1">
      <alignment horizontal="left" vertical="top" wrapText="1"/>
    </xf>
    <xf numFmtId="49" fontId="2" fillId="2"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wrapText="1"/>
    </xf>
    <xf numFmtId="164" fontId="2" fillId="2" borderId="2" xfId="0" applyNumberFormat="1" applyFont="1" applyFill="1" applyBorder="1" applyAlignment="1">
      <alignment horizontal="center" vertical="center" wrapText="1"/>
    </xf>
    <xf numFmtId="165" fontId="2" fillId="2" borderId="2"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49" fontId="10" fillId="0" borderId="12" xfId="0" applyNumberFormat="1" applyFont="1" applyFill="1" applyBorder="1" applyAlignment="1">
      <alignment horizontal="center" vertical="center" wrapText="1"/>
    </xf>
    <xf numFmtId="49" fontId="10" fillId="0" borderId="7" xfId="0" applyNumberFormat="1" applyFont="1" applyFill="1" applyBorder="1" applyAlignment="1">
      <alignment horizontal="center" vertical="center" wrapText="1"/>
    </xf>
    <xf numFmtId="165" fontId="4" fillId="0" borderId="7" xfId="0" applyNumberFormat="1" applyFont="1" applyFill="1" applyBorder="1" applyAlignment="1">
      <alignment horizontal="center" vertical="center" wrapText="1"/>
    </xf>
    <xf numFmtId="49" fontId="8" fillId="0" borderId="26" xfId="0" applyNumberFormat="1" applyFont="1" applyFill="1" applyBorder="1" applyAlignment="1">
      <alignment horizontal="center" vertical="center" wrapText="1"/>
    </xf>
    <xf numFmtId="0" fontId="1" fillId="0" borderId="5" xfId="0" applyNumberFormat="1" applyFont="1" applyFill="1" applyBorder="1" applyAlignment="1">
      <alignment horizontal="left" vertical="top" wrapText="1"/>
    </xf>
    <xf numFmtId="0" fontId="4" fillId="0" borderId="5" xfId="0" applyFont="1" applyFill="1" applyBorder="1" applyAlignment="1">
      <alignment horizontal="left" vertical="top" wrapText="1"/>
    </xf>
    <xf numFmtId="0" fontId="1" fillId="0" borderId="5" xfId="0" applyFont="1" applyFill="1" applyBorder="1" applyAlignment="1">
      <alignment horizontal="left" vertical="top"/>
    </xf>
    <xf numFmtId="0" fontId="1" fillId="0" borderId="7" xfId="0" applyFont="1" applyFill="1" applyBorder="1" applyAlignment="1">
      <alignment horizontal="left" vertical="top" wrapText="1"/>
    </xf>
    <xf numFmtId="0" fontId="1" fillId="0" borderId="7" xfId="0" applyFont="1" applyFill="1" applyBorder="1" applyAlignment="1">
      <alignment horizontal="left" vertical="top"/>
    </xf>
    <xf numFmtId="0" fontId="1" fillId="0" borderId="10" xfId="0" applyFont="1" applyFill="1" applyBorder="1" applyAlignment="1">
      <alignment horizontal="left" vertical="top" wrapText="1"/>
    </xf>
    <xf numFmtId="0" fontId="1" fillId="0" borderId="12" xfId="0" applyFont="1" applyFill="1" applyBorder="1" applyAlignment="1">
      <alignment horizontal="left" vertical="top" wrapText="1"/>
    </xf>
    <xf numFmtId="0" fontId="4" fillId="0" borderId="13" xfId="0" applyFont="1" applyFill="1" applyBorder="1" applyAlignment="1">
      <alignment horizontal="left" vertical="top"/>
    </xf>
    <xf numFmtId="0" fontId="1" fillId="0" borderId="13" xfId="0" applyFont="1" applyFill="1" applyBorder="1" applyAlignment="1">
      <alignment horizontal="left" vertical="top" wrapText="1"/>
    </xf>
    <xf numFmtId="0" fontId="1" fillId="0" borderId="15" xfId="0" applyFont="1" applyFill="1" applyBorder="1" applyAlignment="1">
      <alignment horizontal="left" vertical="top" wrapText="1"/>
    </xf>
    <xf numFmtId="0" fontId="1" fillId="0" borderId="15" xfId="0" applyNumberFormat="1" applyFont="1" applyFill="1" applyBorder="1" applyAlignment="1">
      <alignment horizontal="left" vertical="top" wrapText="1"/>
    </xf>
    <xf numFmtId="0" fontId="5" fillId="0" borderId="5" xfId="0" applyFont="1" applyFill="1" applyBorder="1" applyAlignment="1">
      <alignment horizontal="left" vertical="top" wrapText="1"/>
    </xf>
    <xf numFmtId="0" fontId="1" fillId="0" borderId="17" xfId="0" applyFont="1" applyFill="1" applyBorder="1" applyAlignment="1">
      <alignment horizontal="left" vertical="top" wrapText="1"/>
    </xf>
    <xf numFmtId="0" fontId="4" fillId="0" borderId="12" xfId="0" applyFont="1" applyFill="1" applyBorder="1" applyAlignment="1">
      <alignment horizontal="left" vertical="top" wrapText="1"/>
    </xf>
    <xf numFmtId="0" fontId="4" fillId="0" borderId="7" xfId="0" applyFont="1" applyFill="1" applyBorder="1" applyAlignment="1">
      <alignment horizontal="left" vertical="top" wrapText="1"/>
    </xf>
    <xf numFmtId="0" fontId="6" fillId="0" borderId="26" xfId="0" applyFont="1" applyFill="1" applyBorder="1" applyAlignment="1">
      <alignment horizontal="left" vertical="top" wrapText="1"/>
    </xf>
    <xf numFmtId="0" fontId="1" fillId="0" borderId="2" xfId="0" applyFont="1" applyFill="1" applyBorder="1" applyAlignment="1">
      <alignment horizontal="left" vertical="top" wrapText="1"/>
    </xf>
    <xf numFmtId="0" fontId="1" fillId="0" borderId="10" xfId="0" applyFont="1" applyFill="1" applyBorder="1" applyAlignment="1">
      <alignment horizontal="left" vertical="top"/>
    </xf>
    <xf numFmtId="0" fontId="1" fillId="0" borderId="12" xfId="0" applyFont="1" applyFill="1" applyBorder="1" applyAlignment="1">
      <alignment horizontal="left" vertical="top"/>
    </xf>
    <xf numFmtId="0" fontId="1" fillId="0" borderId="13" xfId="0" applyFont="1" applyFill="1" applyBorder="1" applyAlignment="1">
      <alignment horizontal="left" vertical="top"/>
    </xf>
    <xf numFmtId="0" fontId="4" fillId="0" borderId="5" xfId="0" applyFont="1" applyFill="1" applyBorder="1" applyAlignment="1">
      <alignment horizontal="left" vertical="top"/>
    </xf>
    <xf numFmtId="0" fontId="4" fillId="0" borderId="26" xfId="0" applyFont="1" applyFill="1" applyBorder="1" applyAlignment="1">
      <alignment horizontal="left" vertical="top" wrapText="1"/>
    </xf>
    <xf numFmtId="0" fontId="1" fillId="0" borderId="2" xfId="0" applyFont="1" applyFill="1" applyBorder="1" applyAlignment="1">
      <alignment horizontal="left" vertical="top"/>
    </xf>
  </cellXfs>
  <cellStyles count="2">
    <cellStyle name="Normal" xfId="0" builtinId="0"/>
    <cellStyle name="Normal 2" xfId="1" xr:uid="{387879D2-B95E-4520-99BE-F535371B6ECA}"/>
  </cellStyles>
  <dxfs count="21">
    <dxf>
      <font>
        <b val="0"/>
        <i val="0"/>
        <strike val="0"/>
        <condense val="0"/>
        <extend val="0"/>
        <outline val="0"/>
        <shadow val="0"/>
        <u val="none"/>
        <vertAlign val="baseline"/>
        <sz val="12"/>
        <color theme="1"/>
        <name val="Arial"/>
        <family val="2"/>
        <scheme val="none"/>
      </font>
      <fill>
        <patternFill patternType="none">
          <bgColor auto="1"/>
        </patternFill>
      </fill>
      <alignment horizontal="left" vertical="top"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165" formatCode="&quot;£&quot;#,##0.00"/>
      <fill>
        <patternFill patternType="none">
          <bgColor auto="1"/>
        </patternFill>
      </fill>
      <alignment horizontal="center" vertical="center" textRotation="0" wrapText="0" indent="0" justifyLastLine="0" shrinkToFit="0" readingOrder="0"/>
    </dxf>
    <dxf>
      <font>
        <b/>
        <i val="0"/>
        <strike val="0"/>
        <condense val="0"/>
        <extend val="0"/>
        <outline val="0"/>
        <shadow val="0"/>
        <u val="none"/>
        <vertAlign val="baseline"/>
        <sz val="12"/>
        <color theme="1"/>
        <name val="Arial"/>
        <family val="2"/>
        <scheme val="none"/>
      </font>
      <numFmt numFmtId="165" formatCode="&quot;£&quot;#,##0.00"/>
      <fill>
        <patternFill patternType="solid">
          <fgColor indexed="64"/>
          <bgColor theme="8" tint="0.79998168889431442"/>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2"/>
        <color theme="1"/>
        <name val="Arial"/>
        <family val="2"/>
        <scheme val="none"/>
      </font>
      <numFmt numFmtId="165" formatCode="&quot;£&quot;#,##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165" formatCode="&quot;£&quot;#,##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165" formatCode="&quot;£&quot;#,##0.00"/>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30" formatCode="@"/>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19" formatCode="dd/mm/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164" formatCode="dd/mm/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164" formatCode="dd/mm/yyyy;@"/>
      <fill>
        <patternFill patternType="none">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Arial"/>
        <family val="2"/>
        <scheme val="none"/>
      </font>
      <numFmt numFmtId="30" formatCode="@"/>
      <fill>
        <patternFill patternType="none">
          <bgColor auto="1"/>
        </patternFill>
      </fill>
      <alignment horizontal="center" vertical="center" textRotation="0" wrapText="0" indent="0" justifyLastLine="0" shrinkToFit="0" readingOrder="0"/>
      <border diagonalUp="0" diagonalDown="0" outline="0">
        <left/>
        <right style="thin">
          <color auto="1"/>
        </right>
        <top style="thin">
          <color auto="1"/>
        </top>
        <bottom/>
      </border>
    </dxf>
    <dxf>
      <border outline="0">
        <bottom style="thin">
          <color auto="1"/>
        </bottom>
      </border>
    </dxf>
    <dxf>
      <border outline="0">
        <right style="thin">
          <color indexed="64"/>
        </right>
        <top style="thin">
          <color auto="1"/>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microsoft.com/office/2017/10/relationships/person" Target="persons/person.xml"/><Relationship Id="rId11" Type="http://schemas.openxmlformats.org/officeDocument/2006/relationships/customXml" Target="../customXml/item4.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westyorksca.sharepoint.com/sites/CommercialTeam/Shared%20Documents/Contracts/Contracts%20Register/LATEST%20Master%20Contracts%20Register.xlsx" TargetMode="External"/><Relationship Id="rId1" Type="http://schemas.openxmlformats.org/officeDocument/2006/relationships/externalLinkPath" Target="/sites/CommercialTeam/Shared%20Documents/Contracts/Contracts%20Register/LATEST%20Master%20Contracts%20Regist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ey"/>
      <sheetName val="Updated 21.12.23 - School Bus"/>
      <sheetName val="Updated 21.12.23 - Tendered Bus"/>
      <sheetName val="Live Contracts"/>
      <sheetName val="Cat B &amp; Below"/>
      <sheetName val="Sub-Contracted Work"/>
      <sheetName val="Expired Contracts"/>
      <sheetName val="Archive - Expired Contracts"/>
      <sheetName val="Dropdown Boxes"/>
    </sheetNames>
    <sheetDataSet>
      <sheetData sheetId="0"/>
      <sheetData sheetId="1"/>
      <sheetData sheetId="2"/>
      <sheetData sheetId="3"/>
      <sheetData sheetId="4"/>
      <sheetData sheetId="5"/>
      <sheetData sheetId="6"/>
      <sheetData sheetId="7"/>
      <sheetData sheetId="8"/>
    </sheetDataSet>
  </externalBook>
</externalLink>
</file>

<file path=xl/persons/person.xml><?xml version="1.0" encoding="utf-8"?>
<personList xmlns="http://schemas.microsoft.com/office/spreadsheetml/2018/threadedcomments" xmlns:x="http://schemas.openxmlformats.org/spreadsheetml/2006/main">
  <person displayName="Paul Emmett" id="{7100D501-6423-4892-B071-EA238B6E5AE9}" userId="S::Paul.Emmett@westyorks-ca.gov.uk::03458766-0f66-4c85-a7a7-84fdd24be986" providerId="AD"/>
  <person displayName="Zayyan Steadman" id="{5F8F2B98-30A1-40CA-B995-32F459F56521}" userId="S::Zayyan.Steadman@westyorks-ca.gov.uk::7fcc2019-49a6-4f4b-9d0f-c23362a4b196"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20CAA06-0F4B-4FCF-B87D-F52B3B587D98}" name="Table2" displayName="Table2" ref="A1:Q501" totalsRowShown="0" headerRowDxfId="3" dataDxfId="2" headerRowBorderDxfId="19" tableBorderDxfId="20">
  <autoFilter ref="A1:Q501" xr:uid="{320CAA06-0F4B-4FCF-B87D-F52B3B587D98}"/>
  <tableColumns count="17">
    <tableColumn id="1" xr3:uid="{F52D3B16-2B3D-4F16-9608-662204436671}" name="Reference" dataDxfId="18"/>
    <tableColumn id="2" xr3:uid="{869A4288-4E02-4069-AF67-50FB46774A7F}" name="Title" dataDxfId="0"/>
    <tableColumn id="3" xr3:uid="{88B84ED7-03FB-4442-9427-741424B2F37B}" name="Description" dataDxfId="1"/>
    <tableColumn id="4" xr3:uid="{AB95C439-42FB-45BB-A8C2-269CB79B75BB}" name="Contract Start Date" dataDxfId="17"/>
    <tableColumn id="5" xr3:uid="{3CCB54AC-6FBE-43AA-917D-36670D4CADB9}" name="Current Contract End Date" dataDxfId="16"/>
    <tableColumn id="6" xr3:uid="{5F16B1E2-8B31-4148-B7CA-11EA4E124E58}" name="Extension Options If Applicable " dataDxfId="15"/>
    <tableColumn id="7" xr3:uid="{650E5588-0384-4361-B578-81F0EA4DC6DC}" name="Ultimate Contract End Date" dataDxfId="14"/>
    <tableColumn id="8" xr3:uid="{1EF88E22-25D3-45F9-887F-4D21CEE57100}" name="To be Renewed Y/N" dataDxfId="13"/>
    <tableColumn id="9" xr3:uid="{DFDFC1F0-C9FE-45E4-8A56-7CA8A07C86D5}" name="Awarded Suppliers" dataDxfId="12"/>
    <tableColumn id="10" xr3:uid="{A5F42A61-EC4E-4A61-BC02-1585DB69B715}" name="Supplier Type_x000a_SME or VCSE" dataDxfId="11"/>
    <tableColumn id="11" xr3:uid="{95F61026-D3D9-4A10-831B-B8AC12268655}" name="Company Registration No." dataDxfId="10"/>
    <tableColumn id="12" xr3:uid="{03569ED4-79B7-4151-B783-704F68C4F3A1}" name="Service" dataDxfId="9"/>
    <tableColumn id="13" xr3:uid="{49C59004-49CD-4F9C-A85B-0C38F7F1176D}" name="Directorate" dataDxfId="8"/>
    <tableColumn id="14" xr3:uid="{C7CE03D0-1B54-4F93-B967-46E1CDC14461}" name="Annual Value " dataDxfId="7"/>
    <tableColumn id="15" xr3:uid="{6266F7E6-3A71-41B6-8315-1853AB070D86}" name="Total Contract Value" dataDxfId="6"/>
    <tableColumn id="16" xr3:uid="{60B58AFD-AB1C-4FAB-AB5E-88AC3607F27E}" name="VAT that Cannot be Recovered" dataDxfId="5"/>
    <tableColumn id="17" xr3:uid="{61B45BBE-12BC-45B3-80D8-3D455B17A9AF}" name="Type ITQ/ITT or Waiver" dataDxfId="4"/>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8" dT="2024-08-12T11:08:27.44" personId="{5F8F2B98-30A1-40CA-B995-32F459F56521}" id="{6678B0CF-D041-4A6D-9BAE-030B882150F5}">
    <text>Unable to locate on Companies House</text>
  </threadedComment>
  <threadedComment ref="I24" dT="2024-08-12T11:40:01.21" personId="{5F8F2B98-30A1-40CA-B995-32F459F56521}" id="{DEC68669-EC46-43DA-9C15-3A64AEA1E5A2}">
    <text>Unable to locate on Companies House</text>
  </threadedComment>
  <threadedComment ref="I24" dT="2024-08-12T11:42:02.01" personId="{5F8F2B98-30A1-40CA-B995-32F459F56521}" id="{3EA005AF-4E47-4D54-9232-35D56A0DD50F}" parentId="{DEC68669-EC46-43DA-9C15-3A64AEA1E5A2}">
    <text>Based in Florida, USA</text>
  </threadedComment>
  <threadedComment ref="G428" dT="2025-02-03T15:09:16.25" personId="{7100D501-6423-4892-B071-EA238B6E5AE9}" id="{971108BA-2C3C-4D53-A59A-EC62AE73BC2A}">
    <text>Ten year repayment period following final loan being issued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F43B6-54F9-45DC-961E-A77F79D8FB95}">
  <dimension ref="A1:Q501"/>
  <sheetViews>
    <sheetView tabSelected="1" workbookViewId="0">
      <pane ySplit="1" topLeftCell="A2" activePane="bottomLeft" state="frozen"/>
      <selection pane="bottomLeft" activeCell="B2" sqref="B2:B501"/>
    </sheetView>
  </sheetViews>
  <sheetFormatPr defaultColWidth="45.7109375" defaultRowHeight="33.75" customHeight="1" x14ac:dyDescent="0.25"/>
  <cols>
    <col min="1" max="1" width="45.7109375" style="1"/>
    <col min="2" max="2" width="60.85546875" style="1" customWidth="1"/>
    <col min="3" max="16384" width="45.7109375" style="1"/>
  </cols>
  <sheetData>
    <row r="1" spans="1:17" ht="33.75" customHeight="1" x14ac:dyDescent="0.25">
      <c r="A1" s="145" t="s">
        <v>0</v>
      </c>
      <c r="B1" s="146" t="s">
        <v>1</v>
      </c>
      <c r="C1" s="146" t="s">
        <v>2</v>
      </c>
      <c r="D1" s="147" t="s">
        <v>3</v>
      </c>
      <c r="E1" s="147" t="s">
        <v>4</v>
      </c>
      <c r="F1" s="146" t="s">
        <v>5</v>
      </c>
      <c r="G1" s="146" t="s">
        <v>6</v>
      </c>
      <c r="H1" s="146" t="s">
        <v>7</v>
      </c>
      <c r="I1" s="146" t="s">
        <v>8</v>
      </c>
      <c r="J1" s="146" t="s">
        <v>9</v>
      </c>
      <c r="K1" s="145" t="s">
        <v>10</v>
      </c>
      <c r="L1" s="146" t="s">
        <v>11</v>
      </c>
      <c r="M1" s="146" t="s">
        <v>12</v>
      </c>
      <c r="N1" s="148" t="s">
        <v>13</v>
      </c>
      <c r="O1" s="148" t="s">
        <v>14</v>
      </c>
      <c r="P1" s="148" t="s">
        <v>15</v>
      </c>
      <c r="Q1" s="149" t="s">
        <v>16</v>
      </c>
    </row>
    <row r="2" spans="1:17" ht="33.75" customHeight="1" x14ac:dyDescent="0.25">
      <c r="A2" s="17">
        <v>266</v>
      </c>
      <c r="B2" s="144" t="s">
        <v>1042</v>
      </c>
      <c r="C2" s="144" t="s">
        <v>1043</v>
      </c>
      <c r="D2" s="2">
        <v>42832</v>
      </c>
      <c r="E2" s="2">
        <v>46477</v>
      </c>
      <c r="F2" s="3" t="s">
        <v>23</v>
      </c>
      <c r="G2" s="2">
        <v>46477</v>
      </c>
      <c r="H2" s="3" t="s">
        <v>20</v>
      </c>
      <c r="I2" s="5" t="s">
        <v>166</v>
      </c>
      <c r="J2" s="3" t="s">
        <v>24</v>
      </c>
      <c r="K2" s="12">
        <v>3914156</v>
      </c>
      <c r="L2" s="5" t="s">
        <v>295</v>
      </c>
      <c r="M2" s="3" t="s">
        <v>74</v>
      </c>
      <c r="N2" s="16">
        <v>3400000</v>
      </c>
      <c r="O2" s="16">
        <v>34000000</v>
      </c>
      <c r="P2" s="16">
        <v>0</v>
      </c>
      <c r="Q2" s="100" t="s">
        <v>27</v>
      </c>
    </row>
    <row r="3" spans="1:17" ht="33.75" customHeight="1" x14ac:dyDescent="0.25">
      <c r="A3" s="17">
        <v>1088</v>
      </c>
      <c r="B3" s="144" t="s">
        <v>141</v>
      </c>
      <c r="C3" s="144" t="s">
        <v>142</v>
      </c>
      <c r="D3" s="15">
        <v>43882</v>
      </c>
      <c r="E3" s="2">
        <v>45709</v>
      </c>
      <c r="F3" s="3" t="s">
        <v>23</v>
      </c>
      <c r="G3" s="2">
        <v>45709</v>
      </c>
      <c r="H3" s="3" t="s">
        <v>20</v>
      </c>
      <c r="I3" s="3" t="s">
        <v>143</v>
      </c>
      <c r="J3" s="3" t="s">
        <v>24</v>
      </c>
      <c r="K3" s="17" t="s">
        <v>144</v>
      </c>
      <c r="L3" s="13" t="s">
        <v>33</v>
      </c>
      <c r="M3" s="13" t="s">
        <v>34</v>
      </c>
      <c r="N3" s="6">
        <v>2500000</v>
      </c>
      <c r="O3" s="6">
        <v>10000000</v>
      </c>
      <c r="P3" s="16">
        <v>0</v>
      </c>
      <c r="Q3" s="100" t="s">
        <v>27</v>
      </c>
    </row>
    <row r="4" spans="1:17" ht="33.75" customHeight="1" x14ac:dyDescent="0.25">
      <c r="A4" s="17">
        <v>1146</v>
      </c>
      <c r="B4" s="144" t="s">
        <v>827</v>
      </c>
      <c r="C4" s="144" t="s">
        <v>828</v>
      </c>
      <c r="D4" s="15">
        <v>43815</v>
      </c>
      <c r="E4" s="2">
        <v>46040</v>
      </c>
      <c r="F4" s="3" t="s">
        <v>23</v>
      </c>
      <c r="G4" s="2">
        <v>46770</v>
      </c>
      <c r="H4" s="3" t="s">
        <v>46</v>
      </c>
      <c r="I4" s="3" t="s">
        <v>536</v>
      </c>
      <c r="J4" s="3" t="s">
        <v>23</v>
      </c>
      <c r="K4" s="12" t="s">
        <v>829</v>
      </c>
      <c r="L4" s="3" t="s">
        <v>33</v>
      </c>
      <c r="M4" s="3" t="s">
        <v>34</v>
      </c>
      <c r="N4" s="6">
        <v>688655</v>
      </c>
      <c r="O4" s="6" t="s">
        <v>830</v>
      </c>
      <c r="P4" s="16">
        <v>0</v>
      </c>
      <c r="Q4" s="111" t="s">
        <v>27</v>
      </c>
    </row>
    <row r="5" spans="1:17" ht="33.75" customHeight="1" x14ac:dyDescent="0.25">
      <c r="A5" s="17">
        <v>1168</v>
      </c>
      <c r="B5" s="144" t="s">
        <v>54</v>
      </c>
      <c r="C5" s="144" t="s">
        <v>55</v>
      </c>
      <c r="D5" s="15">
        <v>44075</v>
      </c>
      <c r="E5" s="2">
        <v>45535</v>
      </c>
      <c r="F5" s="3" t="s">
        <v>56</v>
      </c>
      <c r="G5" s="2">
        <v>46265</v>
      </c>
      <c r="H5" s="3" t="s">
        <v>46</v>
      </c>
      <c r="I5" s="3" t="s">
        <v>57</v>
      </c>
      <c r="J5" s="3" t="s">
        <v>24</v>
      </c>
      <c r="K5" s="17" t="s">
        <v>58</v>
      </c>
      <c r="L5" s="3" t="s">
        <v>39</v>
      </c>
      <c r="M5" s="112" t="s">
        <v>40</v>
      </c>
      <c r="N5" s="6">
        <v>37658.33</v>
      </c>
      <c r="O5" s="6">
        <v>203698.95</v>
      </c>
      <c r="P5" s="16">
        <v>0</v>
      </c>
      <c r="Q5" s="111" t="s">
        <v>27</v>
      </c>
    </row>
    <row r="6" spans="1:17" ht="33.75" customHeight="1" x14ac:dyDescent="0.25">
      <c r="A6" s="12" t="s">
        <v>47</v>
      </c>
      <c r="B6" s="156" t="s">
        <v>48</v>
      </c>
      <c r="C6" s="144" t="s">
        <v>49</v>
      </c>
      <c r="D6" s="8">
        <v>45347</v>
      </c>
      <c r="E6" s="8">
        <v>45529</v>
      </c>
      <c r="F6" s="5" t="s">
        <v>21</v>
      </c>
      <c r="G6" s="4">
        <v>45529</v>
      </c>
      <c r="H6" s="5" t="s">
        <v>46</v>
      </c>
      <c r="I6" s="5" t="s">
        <v>50</v>
      </c>
      <c r="J6" s="3" t="s">
        <v>23</v>
      </c>
      <c r="K6" s="12" t="s">
        <v>51</v>
      </c>
      <c r="L6" s="5" t="s">
        <v>52</v>
      </c>
      <c r="M6" s="3" t="s">
        <v>53</v>
      </c>
      <c r="N6" s="7">
        <v>108547.83</v>
      </c>
      <c r="O6" s="7">
        <v>108547.83</v>
      </c>
      <c r="P6" s="7">
        <v>0</v>
      </c>
      <c r="Q6" s="69" t="s">
        <v>27</v>
      </c>
    </row>
    <row r="7" spans="1:17" ht="33.75" customHeight="1" x14ac:dyDescent="0.25">
      <c r="A7" s="17">
        <v>1181</v>
      </c>
      <c r="B7" s="144" t="s">
        <v>99</v>
      </c>
      <c r="C7" s="144" t="s">
        <v>100</v>
      </c>
      <c r="D7" s="2">
        <v>44290</v>
      </c>
      <c r="E7" s="4">
        <v>45660</v>
      </c>
      <c r="F7" s="3" t="s">
        <v>23</v>
      </c>
      <c r="G7" s="4">
        <v>45660</v>
      </c>
      <c r="H7" s="5" t="s">
        <v>20</v>
      </c>
      <c r="I7" s="3" t="s">
        <v>101</v>
      </c>
      <c r="J7" s="3" t="s">
        <v>23</v>
      </c>
      <c r="K7" s="17">
        <v>3062722</v>
      </c>
      <c r="L7" s="3" t="s">
        <v>69</v>
      </c>
      <c r="M7" s="112" t="s">
        <v>34</v>
      </c>
      <c r="N7" s="6">
        <v>100000</v>
      </c>
      <c r="O7" s="6">
        <v>552503.66</v>
      </c>
      <c r="P7" s="16" t="s">
        <v>21</v>
      </c>
      <c r="Q7" s="111" t="s">
        <v>27</v>
      </c>
    </row>
    <row r="8" spans="1:17" ht="33.75" customHeight="1" x14ac:dyDescent="0.25">
      <c r="A8" s="17">
        <v>1205</v>
      </c>
      <c r="B8" s="144" t="s">
        <v>337</v>
      </c>
      <c r="C8" s="144" t="s">
        <v>338</v>
      </c>
      <c r="D8" s="2">
        <v>43862</v>
      </c>
      <c r="E8" s="2">
        <v>45808</v>
      </c>
      <c r="F8" s="3" t="s">
        <v>23</v>
      </c>
      <c r="G8" s="2">
        <v>45808</v>
      </c>
      <c r="H8" s="5" t="s">
        <v>46</v>
      </c>
      <c r="I8" s="3" t="s">
        <v>339</v>
      </c>
      <c r="J8" s="3" t="s">
        <v>24</v>
      </c>
      <c r="K8" s="17" t="s">
        <v>21</v>
      </c>
      <c r="L8" s="3" t="s">
        <v>200</v>
      </c>
      <c r="M8" s="3" t="s">
        <v>45</v>
      </c>
      <c r="N8" s="6">
        <f>O8/5</f>
        <v>21560</v>
      </c>
      <c r="O8" s="6">
        <v>107800</v>
      </c>
      <c r="P8" s="16">
        <v>0</v>
      </c>
      <c r="Q8" s="111" t="s">
        <v>27</v>
      </c>
    </row>
    <row r="9" spans="1:17" ht="33.75" customHeight="1" x14ac:dyDescent="0.25">
      <c r="A9" s="17">
        <v>1226</v>
      </c>
      <c r="B9" s="144" t="s">
        <v>259</v>
      </c>
      <c r="C9" s="144" t="s">
        <v>260</v>
      </c>
      <c r="D9" s="15">
        <v>44287</v>
      </c>
      <c r="E9" s="15">
        <v>45747</v>
      </c>
      <c r="F9" s="3" t="s">
        <v>261</v>
      </c>
      <c r="G9" s="2">
        <v>46843</v>
      </c>
      <c r="H9" s="3" t="s">
        <v>20</v>
      </c>
      <c r="I9" s="3" t="s">
        <v>262</v>
      </c>
      <c r="J9" s="3" t="s">
        <v>23</v>
      </c>
      <c r="K9" s="12" t="s">
        <v>263</v>
      </c>
      <c r="L9" s="5" t="s">
        <v>73</v>
      </c>
      <c r="M9" s="3" t="s">
        <v>74</v>
      </c>
      <c r="N9" s="6">
        <v>2780228.81</v>
      </c>
      <c r="O9" s="6">
        <v>14525002.380000001</v>
      </c>
      <c r="P9" s="16">
        <v>0</v>
      </c>
      <c r="Q9" s="100" t="s">
        <v>27</v>
      </c>
    </row>
    <row r="10" spans="1:17" ht="33.75" customHeight="1" x14ac:dyDescent="0.25">
      <c r="A10" s="17">
        <v>1230</v>
      </c>
      <c r="B10" s="154" t="s">
        <v>35</v>
      </c>
      <c r="C10" s="154" t="s">
        <v>36</v>
      </c>
      <c r="D10" s="2">
        <v>43983</v>
      </c>
      <c r="E10" s="2">
        <v>45077</v>
      </c>
      <c r="F10" s="3" t="s">
        <v>19</v>
      </c>
      <c r="G10" s="2">
        <v>45777</v>
      </c>
      <c r="H10" s="3" t="s">
        <v>20</v>
      </c>
      <c r="I10" s="112" t="s">
        <v>37</v>
      </c>
      <c r="J10" s="3" t="s">
        <v>23</v>
      </c>
      <c r="K10" s="17" t="s">
        <v>38</v>
      </c>
      <c r="L10" s="3" t="s">
        <v>39</v>
      </c>
      <c r="M10" s="112" t="s">
        <v>40</v>
      </c>
      <c r="N10" s="6">
        <v>49846.8</v>
      </c>
      <c r="O10" s="6">
        <v>249234</v>
      </c>
      <c r="P10" s="16">
        <v>0</v>
      </c>
      <c r="Q10" s="111" t="s">
        <v>27</v>
      </c>
    </row>
    <row r="11" spans="1:17" ht="33.75" customHeight="1" x14ac:dyDescent="0.25">
      <c r="A11" s="17">
        <v>1259</v>
      </c>
      <c r="B11" s="144" t="s">
        <v>700</v>
      </c>
      <c r="C11" s="144" t="s">
        <v>701</v>
      </c>
      <c r="D11" s="2">
        <v>44105</v>
      </c>
      <c r="E11" s="2">
        <v>45930</v>
      </c>
      <c r="F11" s="3" t="s">
        <v>23</v>
      </c>
      <c r="G11" s="4">
        <v>45930</v>
      </c>
      <c r="H11" s="5" t="s">
        <v>20</v>
      </c>
      <c r="I11" s="3" t="s">
        <v>702</v>
      </c>
      <c r="J11" s="3" t="s">
        <v>23</v>
      </c>
      <c r="K11" s="12" t="s">
        <v>703</v>
      </c>
      <c r="L11" s="5" t="s">
        <v>73</v>
      </c>
      <c r="M11" s="3" t="s">
        <v>74</v>
      </c>
      <c r="N11" s="6">
        <v>140000</v>
      </c>
      <c r="O11" s="6">
        <f>N11*5</f>
        <v>700000</v>
      </c>
      <c r="P11" s="7">
        <v>0</v>
      </c>
      <c r="Q11" s="69" t="s">
        <v>27</v>
      </c>
    </row>
    <row r="12" spans="1:17" ht="33.75" customHeight="1" x14ac:dyDescent="0.25">
      <c r="A12" s="17">
        <v>1304</v>
      </c>
      <c r="B12" s="144" t="s">
        <v>17</v>
      </c>
      <c r="C12" s="144" t="s">
        <v>18</v>
      </c>
      <c r="D12" s="2">
        <v>44004</v>
      </c>
      <c r="E12" s="2">
        <v>44227</v>
      </c>
      <c r="F12" s="3" t="s">
        <v>19</v>
      </c>
      <c r="G12" s="4">
        <v>45822</v>
      </c>
      <c r="H12" s="5" t="s">
        <v>20</v>
      </c>
      <c r="I12" s="3" t="s">
        <v>22</v>
      </c>
      <c r="J12" s="3" t="s">
        <v>24</v>
      </c>
      <c r="K12" s="17" t="s">
        <v>25</v>
      </c>
      <c r="L12" s="18" t="s">
        <v>26</v>
      </c>
      <c r="M12" s="13" t="s">
        <v>26</v>
      </c>
      <c r="N12" s="6">
        <v>10781</v>
      </c>
      <c r="O12" s="6">
        <v>53905</v>
      </c>
      <c r="P12" s="7">
        <v>0</v>
      </c>
      <c r="Q12" s="69" t="s">
        <v>27</v>
      </c>
    </row>
    <row r="13" spans="1:17" ht="33.75" customHeight="1" x14ac:dyDescent="0.25">
      <c r="A13" s="17">
        <v>1307</v>
      </c>
      <c r="B13" s="144" t="s">
        <v>957</v>
      </c>
      <c r="C13" s="144" t="s">
        <v>958</v>
      </c>
      <c r="D13" s="2">
        <v>43987</v>
      </c>
      <c r="E13" s="2">
        <v>46178</v>
      </c>
      <c r="F13" s="5" t="s">
        <v>23</v>
      </c>
      <c r="G13" s="4">
        <v>46178</v>
      </c>
      <c r="H13" s="5" t="s">
        <v>46</v>
      </c>
      <c r="I13" s="3" t="s">
        <v>959</v>
      </c>
      <c r="J13" s="3" t="s">
        <v>24</v>
      </c>
      <c r="K13" s="12" t="s">
        <v>960</v>
      </c>
      <c r="L13" s="18" t="s">
        <v>908</v>
      </c>
      <c r="M13" s="13" t="s">
        <v>909</v>
      </c>
      <c r="N13" s="6" t="s">
        <v>961</v>
      </c>
      <c r="O13" s="6" t="s">
        <v>961</v>
      </c>
      <c r="P13" s="7">
        <v>0</v>
      </c>
      <c r="Q13" s="69" t="s">
        <v>27</v>
      </c>
    </row>
    <row r="14" spans="1:17" ht="33.75" customHeight="1" x14ac:dyDescent="0.25">
      <c r="A14" s="12">
        <v>52896</v>
      </c>
      <c r="B14" s="144" t="s">
        <v>90</v>
      </c>
      <c r="C14" s="144" t="s">
        <v>91</v>
      </c>
      <c r="D14" s="8">
        <v>44793</v>
      </c>
      <c r="E14" s="8">
        <v>45657</v>
      </c>
      <c r="F14" s="5" t="s">
        <v>23</v>
      </c>
      <c r="G14" s="4">
        <v>45450</v>
      </c>
      <c r="H14" s="5" t="s">
        <v>46</v>
      </c>
      <c r="I14" s="5" t="s">
        <v>92</v>
      </c>
      <c r="J14" s="3" t="s">
        <v>23</v>
      </c>
      <c r="K14" s="12">
        <v>4482405</v>
      </c>
      <c r="L14" s="5" t="s">
        <v>73</v>
      </c>
      <c r="M14" s="3" t="s">
        <v>74</v>
      </c>
      <c r="N14" s="7">
        <v>7193233</v>
      </c>
      <c r="O14" s="7">
        <v>7193233</v>
      </c>
      <c r="P14" s="7">
        <v>0</v>
      </c>
      <c r="Q14" s="69" t="s">
        <v>27</v>
      </c>
    </row>
    <row r="15" spans="1:17" ht="33.75" customHeight="1" x14ac:dyDescent="0.25">
      <c r="A15" s="12">
        <v>1322</v>
      </c>
      <c r="B15" s="144" t="s">
        <v>704</v>
      </c>
      <c r="C15" s="144" t="s">
        <v>705</v>
      </c>
      <c r="D15" s="2">
        <v>44105</v>
      </c>
      <c r="E15" s="9">
        <v>45930</v>
      </c>
      <c r="F15" s="3" t="s">
        <v>19</v>
      </c>
      <c r="G15" s="9">
        <v>45930</v>
      </c>
      <c r="H15" s="5" t="s">
        <v>20</v>
      </c>
      <c r="I15" s="20" t="s">
        <v>706</v>
      </c>
      <c r="J15" s="3" t="s">
        <v>24</v>
      </c>
      <c r="K15" s="12" t="s">
        <v>707</v>
      </c>
      <c r="L15" s="5" t="s">
        <v>295</v>
      </c>
      <c r="M15" s="3" t="s">
        <v>74</v>
      </c>
      <c r="N15" s="6">
        <v>70000</v>
      </c>
      <c r="O15" s="6">
        <v>210000</v>
      </c>
      <c r="P15" s="16">
        <v>0</v>
      </c>
      <c r="Q15" s="69" t="s">
        <v>27</v>
      </c>
    </row>
    <row r="16" spans="1:17" ht="33.75" customHeight="1" x14ac:dyDescent="0.25">
      <c r="A16" s="17">
        <v>1367</v>
      </c>
      <c r="B16" s="144" t="s">
        <v>137</v>
      </c>
      <c r="C16" s="144" t="s">
        <v>138</v>
      </c>
      <c r="D16" s="2">
        <v>44235</v>
      </c>
      <c r="E16" s="2">
        <v>45695</v>
      </c>
      <c r="F16" s="3" t="s">
        <v>23</v>
      </c>
      <c r="G16" s="4">
        <v>45695</v>
      </c>
      <c r="H16" s="5" t="s">
        <v>46</v>
      </c>
      <c r="I16" s="3" t="s">
        <v>123</v>
      </c>
      <c r="J16" s="3" t="s">
        <v>23</v>
      </c>
      <c r="K16" s="12" t="s">
        <v>139</v>
      </c>
      <c r="L16" s="3" t="s">
        <v>140</v>
      </c>
      <c r="M16" s="3" t="s">
        <v>53</v>
      </c>
      <c r="N16" s="6">
        <v>187500</v>
      </c>
      <c r="O16" s="6">
        <v>750000</v>
      </c>
      <c r="P16" s="16">
        <v>0</v>
      </c>
      <c r="Q16" s="111" t="s">
        <v>27</v>
      </c>
    </row>
    <row r="17" spans="1:17" ht="33.75" customHeight="1" x14ac:dyDescent="0.25">
      <c r="A17" s="17">
        <v>1429</v>
      </c>
      <c r="B17" s="144" t="s">
        <v>878</v>
      </c>
      <c r="C17" s="144" t="s">
        <v>879</v>
      </c>
      <c r="D17" s="2">
        <v>44621</v>
      </c>
      <c r="E17" s="2">
        <v>46081</v>
      </c>
      <c r="F17" s="5" t="s">
        <v>19</v>
      </c>
      <c r="G17" s="4">
        <v>48301</v>
      </c>
      <c r="H17" s="5" t="s">
        <v>20</v>
      </c>
      <c r="I17" s="3" t="s">
        <v>143</v>
      </c>
      <c r="J17" s="3" t="s">
        <v>24</v>
      </c>
      <c r="K17" s="17">
        <v>3039051</v>
      </c>
      <c r="L17" s="3" t="s">
        <v>39</v>
      </c>
      <c r="M17" s="112" t="s">
        <v>40</v>
      </c>
      <c r="N17" s="6">
        <v>170351</v>
      </c>
      <c r="O17" s="6">
        <v>830456.8</v>
      </c>
      <c r="P17" s="7">
        <v>0</v>
      </c>
      <c r="Q17" s="69" t="s">
        <v>27</v>
      </c>
    </row>
    <row r="18" spans="1:17" ht="33.75" customHeight="1" x14ac:dyDescent="0.25">
      <c r="A18" s="17">
        <v>1459</v>
      </c>
      <c r="B18" s="144" t="s">
        <v>285</v>
      </c>
      <c r="C18" s="144" t="s">
        <v>286</v>
      </c>
      <c r="D18" s="15">
        <v>44329</v>
      </c>
      <c r="E18" s="15">
        <v>45789</v>
      </c>
      <c r="F18" s="3" t="s">
        <v>287</v>
      </c>
      <c r="G18" s="2">
        <v>46154</v>
      </c>
      <c r="H18" s="3" t="s">
        <v>20</v>
      </c>
      <c r="I18" s="3" t="s">
        <v>288</v>
      </c>
      <c r="J18" s="3" t="s">
        <v>23</v>
      </c>
      <c r="K18" s="12" t="s">
        <v>289</v>
      </c>
      <c r="L18" s="3" t="s">
        <v>73</v>
      </c>
      <c r="M18" s="3" t="s">
        <v>74</v>
      </c>
      <c r="N18" s="6">
        <f>O18/5</f>
        <v>33610.259999999995</v>
      </c>
      <c r="O18" s="6">
        <v>168051.3</v>
      </c>
      <c r="P18" s="16">
        <v>0</v>
      </c>
      <c r="Q18" s="69" t="s">
        <v>27</v>
      </c>
    </row>
    <row r="19" spans="1:17" ht="33.75" customHeight="1" x14ac:dyDescent="0.25">
      <c r="A19" s="12">
        <v>1483</v>
      </c>
      <c r="B19" s="144" t="s">
        <v>41</v>
      </c>
      <c r="C19" s="144" t="s">
        <v>42</v>
      </c>
      <c r="D19" s="8">
        <v>44393</v>
      </c>
      <c r="E19" s="4">
        <v>45853</v>
      </c>
      <c r="F19" s="5" t="s">
        <v>19</v>
      </c>
      <c r="G19" s="4">
        <v>45853</v>
      </c>
      <c r="H19" s="5" t="s">
        <v>20</v>
      </c>
      <c r="I19" s="5" t="s">
        <v>43</v>
      </c>
      <c r="J19" s="3" t="s">
        <v>24</v>
      </c>
      <c r="K19" s="12">
        <v>7769023</v>
      </c>
      <c r="L19" s="5" t="s">
        <v>44</v>
      </c>
      <c r="M19" s="3" t="s">
        <v>45</v>
      </c>
      <c r="N19" s="7">
        <v>112500</v>
      </c>
      <c r="O19" s="7">
        <v>450000</v>
      </c>
      <c r="P19" s="7">
        <v>0</v>
      </c>
      <c r="Q19" s="69" t="s">
        <v>27</v>
      </c>
    </row>
    <row r="20" spans="1:17" ht="33.75" customHeight="1" x14ac:dyDescent="0.25">
      <c r="A20" s="12">
        <v>1489</v>
      </c>
      <c r="B20" s="144" t="s">
        <v>1142</v>
      </c>
      <c r="C20" s="144" t="s">
        <v>1143</v>
      </c>
      <c r="D20" s="8">
        <v>44713</v>
      </c>
      <c r="E20" s="8">
        <v>48365</v>
      </c>
      <c r="F20" s="5" t="s">
        <v>23</v>
      </c>
      <c r="G20" s="8">
        <v>48365</v>
      </c>
      <c r="H20" s="5" t="s">
        <v>46</v>
      </c>
      <c r="I20" s="5" t="s">
        <v>1144</v>
      </c>
      <c r="J20" s="3" t="s">
        <v>23</v>
      </c>
      <c r="K20" s="12" t="s">
        <v>1145</v>
      </c>
      <c r="L20" s="20" t="s">
        <v>192</v>
      </c>
      <c r="M20" s="10" t="s">
        <v>45</v>
      </c>
      <c r="N20" s="7">
        <f>SUM(O20/10)</f>
        <v>400024.6</v>
      </c>
      <c r="O20" s="7">
        <v>4000246</v>
      </c>
      <c r="P20" s="7">
        <v>0</v>
      </c>
      <c r="Q20" s="69" t="s">
        <v>27</v>
      </c>
    </row>
    <row r="21" spans="1:17" ht="33.75" customHeight="1" x14ac:dyDescent="0.25">
      <c r="A21" s="12">
        <v>1498</v>
      </c>
      <c r="B21" s="156" t="s">
        <v>708</v>
      </c>
      <c r="C21" s="144" t="s">
        <v>709</v>
      </c>
      <c r="D21" s="8">
        <v>44470</v>
      </c>
      <c r="E21" s="8">
        <v>45930</v>
      </c>
      <c r="F21" s="5" t="s">
        <v>23</v>
      </c>
      <c r="G21" s="8">
        <v>45930</v>
      </c>
      <c r="H21" s="5" t="s">
        <v>20</v>
      </c>
      <c r="I21" s="22" t="s">
        <v>710</v>
      </c>
      <c r="J21" s="3" t="s">
        <v>24</v>
      </c>
      <c r="K21" s="23">
        <v>2248713</v>
      </c>
      <c r="L21" s="5" t="s">
        <v>295</v>
      </c>
      <c r="M21" s="3" t="s">
        <v>74</v>
      </c>
      <c r="N21" s="7">
        <v>223237</v>
      </c>
      <c r="O21" s="24">
        <v>892948</v>
      </c>
      <c r="P21" s="16">
        <v>0</v>
      </c>
      <c r="Q21" s="111" t="s">
        <v>27</v>
      </c>
    </row>
    <row r="22" spans="1:17" ht="33.75" customHeight="1" x14ac:dyDescent="0.25">
      <c r="A22" s="17">
        <v>1504</v>
      </c>
      <c r="B22" s="144" t="s">
        <v>188</v>
      </c>
      <c r="C22" s="144" t="s">
        <v>189</v>
      </c>
      <c r="D22" s="15">
        <v>44459</v>
      </c>
      <c r="E22" s="15">
        <v>45747</v>
      </c>
      <c r="F22" s="3" t="s">
        <v>46</v>
      </c>
      <c r="G22" s="2">
        <v>45747</v>
      </c>
      <c r="H22" s="3" t="s">
        <v>46</v>
      </c>
      <c r="I22" s="3" t="s">
        <v>190</v>
      </c>
      <c r="J22" s="3" t="s">
        <v>23</v>
      </c>
      <c r="K22" s="17" t="s">
        <v>191</v>
      </c>
      <c r="L22" s="5" t="s">
        <v>192</v>
      </c>
      <c r="M22" s="3" t="s">
        <v>45</v>
      </c>
      <c r="N22" s="16">
        <v>666666</v>
      </c>
      <c r="O22" s="16">
        <v>2000000</v>
      </c>
      <c r="P22" s="16">
        <v>0</v>
      </c>
      <c r="Q22" s="100" t="s">
        <v>27</v>
      </c>
    </row>
    <row r="23" spans="1:17" ht="33.75" customHeight="1" x14ac:dyDescent="0.25">
      <c r="A23" s="12">
        <v>1505</v>
      </c>
      <c r="B23" s="144" t="s">
        <v>290</v>
      </c>
      <c r="C23" s="144" t="s">
        <v>291</v>
      </c>
      <c r="D23" s="8">
        <v>44333</v>
      </c>
      <c r="E23" s="8">
        <v>45793</v>
      </c>
      <c r="F23" s="5" t="s">
        <v>292</v>
      </c>
      <c r="G23" s="4">
        <v>45793</v>
      </c>
      <c r="H23" s="5" t="s">
        <v>20</v>
      </c>
      <c r="I23" s="5" t="s">
        <v>293</v>
      </c>
      <c r="J23" s="3" t="s">
        <v>23</v>
      </c>
      <c r="K23" s="12" t="s">
        <v>294</v>
      </c>
      <c r="L23" s="5" t="s">
        <v>295</v>
      </c>
      <c r="M23" s="3" t="s">
        <v>74</v>
      </c>
      <c r="N23" s="6">
        <v>15000</v>
      </c>
      <c r="O23" s="6">
        <v>60000</v>
      </c>
      <c r="P23" s="7">
        <v>0</v>
      </c>
      <c r="Q23" s="69" t="s">
        <v>27</v>
      </c>
    </row>
    <row r="24" spans="1:17" ht="33.75" customHeight="1" x14ac:dyDescent="0.25">
      <c r="A24" s="113">
        <v>1559</v>
      </c>
      <c r="B24" s="155" t="s">
        <v>28</v>
      </c>
      <c r="C24" s="155" t="s">
        <v>29</v>
      </c>
      <c r="D24" s="8">
        <v>44589</v>
      </c>
      <c r="E24" s="9">
        <v>45016</v>
      </c>
      <c r="F24" s="114" t="s">
        <v>30</v>
      </c>
      <c r="G24" s="9">
        <v>45747</v>
      </c>
      <c r="H24" s="10" t="s">
        <v>20</v>
      </c>
      <c r="I24" s="5" t="s">
        <v>31</v>
      </c>
      <c r="J24" s="11" t="s">
        <v>23</v>
      </c>
      <c r="K24" s="12" t="s">
        <v>32</v>
      </c>
      <c r="L24" s="3" t="s">
        <v>33</v>
      </c>
      <c r="M24" s="3" t="s">
        <v>34</v>
      </c>
      <c r="N24" s="7">
        <v>72500</v>
      </c>
      <c r="O24" s="7">
        <v>72500</v>
      </c>
      <c r="P24" s="7">
        <v>0</v>
      </c>
      <c r="Q24" s="115" t="s">
        <v>27</v>
      </c>
    </row>
    <row r="25" spans="1:17" ht="33.75" customHeight="1" x14ac:dyDescent="0.25">
      <c r="A25" s="17">
        <v>49132</v>
      </c>
      <c r="B25" s="144" t="s">
        <v>340</v>
      </c>
      <c r="C25" s="144" t="s">
        <v>341</v>
      </c>
      <c r="D25" s="8">
        <v>44713</v>
      </c>
      <c r="E25" s="8">
        <v>45814</v>
      </c>
      <c r="F25" s="3" t="s">
        <v>23</v>
      </c>
      <c r="G25" s="4">
        <v>45814</v>
      </c>
      <c r="H25" s="5" t="s">
        <v>20</v>
      </c>
      <c r="I25" s="5" t="s">
        <v>342</v>
      </c>
      <c r="J25" s="3" t="s">
        <v>23</v>
      </c>
      <c r="K25" s="12">
        <v>4121166</v>
      </c>
      <c r="L25" s="5" t="s">
        <v>131</v>
      </c>
      <c r="M25" s="3" t="s">
        <v>132</v>
      </c>
      <c r="N25" s="7">
        <v>43566.66</v>
      </c>
      <c r="O25" s="7">
        <v>130700</v>
      </c>
      <c r="P25" s="7">
        <v>0</v>
      </c>
      <c r="Q25" s="69" t="s">
        <v>27</v>
      </c>
    </row>
    <row r="26" spans="1:17" ht="33.75" customHeight="1" x14ac:dyDescent="0.25">
      <c r="A26" s="17">
        <v>49137</v>
      </c>
      <c r="B26" s="144" t="s">
        <v>784</v>
      </c>
      <c r="C26" s="144" t="s">
        <v>785</v>
      </c>
      <c r="D26" s="2">
        <v>44873</v>
      </c>
      <c r="E26" s="2">
        <v>45968</v>
      </c>
      <c r="F26" s="3" t="s">
        <v>19</v>
      </c>
      <c r="G26" s="2">
        <v>46698</v>
      </c>
      <c r="H26" s="3" t="s">
        <v>20</v>
      </c>
      <c r="I26" s="3" t="s">
        <v>786</v>
      </c>
      <c r="J26" s="3" t="s">
        <v>67</v>
      </c>
      <c r="K26" s="17">
        <v>8322856</v>
      </c>
      <c r="L26" s="3" t="s">
        <v>39</v>
      </c>
      <c r="M26" s="112" t="s">
        <v>40</v>
      </c>
      <c r="N26" s="7">
        <v>49076.4</v>
      </c>
      <c r="O26" s="7">
        <v>256524.78</v>
      </c>
      <c r="P26" s="7">
        <v>0</v>
      </c>
      <c r="Q26" s="100" t="s">
        <v>27</v>
      </c>
    </row>
    <row r="27" spans="1:17" ht="33.75" customHeight="1" x14ac:dyDescent="0.25">
      <c r="A27" s="12">
        <v>51317</v>
      </c>
      <c r="B27" s="144" t="s">
        <v>1092</v>
      </c>
      <c r="C27" s="144" t="s">
        <v>1093</v>
      </c>
      <c r="D27" s="8">
        <v>44778</v>
      </c>
      <c r="E27" s="8">
        <v>46603</v>
      </c>
      <c r="F27" s="5" t="s">
        <v>23</v>
      </c>
      <c r="G27" s="4">
        <v>46603</v>
      </c>
      <c r="H27" s="5" t="s">
        <v>46</v>
      </c>
      <c r="I27" s="5" t="s">
        <v>1094</v>
      </c>
      <c r="J27" s="3" t="s">
        <v>24</v>
      </c>
      <c r="K27" s="12" t="s">
        <v>1095</v>
      </c>
      <c r="L27" s="5" t="s">
        <v>131</v>
      </c>
      <c r="M27" s="3" t="s">
        <v>132</v>
      </c>
      <c r="N27" s="7">
        <v>10300</v>
      </c>
      <c r="O27" s="7">
        <v>300000</v>
      </c>
      <c r="P27" s="7">
        <v>0</v>
      </c>
      <c r="Q27" s="69" t="s">
        <v>27</v>
      </c>
    </row>
    <row r="28" spans="1:17" ht="33.75" customHeight="1" x14ac:dyDescent="0.25">
      <c r="A28" s="12">
        <v>51754</v>
      </c>
      <c r="B28" s="144" t="s">
        <v>984</v>
      </c>
      <c r="C28" s="144" t="s">
        <v>985</v>
      </c>
      <c r="D28" s="8">
        <v>45488</v>
      </c>
      <c r="E28" s="8">
        <v>46218</v>
      </c>
      <c r="F28" s="5" t="s">
        <v>23</v>
      </c>
      <c r="G28" s="4">
        <v>46218</v>
      </c>
      <c r="H28" s="5" t="s">
        <v>46</v>
      </c>
      <c r="I28" s="5" t="s">
        <v>986</v>
      </c>
      <c r="J28" s="3" t="s">
        <v>23</v>
      </c>
      <c r="K28" s="12">
        <v>12788652</v>
      </c>
      <c r="L28" s="3" t="s">
        <v>69</v>
      </c>
      <c r="M28" s="112" t="s">
        <v>34</v>
      </c>
      <c r="N28" s="7">
        <v>1100000</v>
      </c>
      <c r="O28" s="7">
        <v>2200000</v>
      </c>
      <c r="P28" s="7" t="s">
        <v>21</v>
      </c>
      <c r="Q28" s="69" t="s">
        <v>27</v>
      </c>
    </row>
    <row r="29" spans="1:17" ht="33.75" customHeight="1" x14ac:dyDescent="0.25">
      <c r="A29" s="17">
        <v>51855</v>
      </c>
      <c r="B29" s="144" t="s">
        <v>721</v>
      </c>
      <c r="C29" s="144" t="s">
        <v>722</v>
      </c>
      <c r="D29" s="2">
        <v>44835</v>
      </c>
      <c r="E29" s="2">
        <v>45930</v>
      </c>
      <c r="F29" s="3" t="s">
        <v>19</v>
      </c>
      <c r="G29" s="2">
        <v>46660</v>
      </c>
      <c r="H29" s="3" t="s">
        <v>20</v>
      </c>
      <c r="I29" s="3" t="s">
        <v>723</v>
      </c>
      <c r="J29" s="3" t="s">
        <v>23</v>
      </c>
      <c r="K29" s="17" t="s">
        <v>724</v>
      </c>
      <c r="L29" s="112" t="s">
        <v>73</v>
      </c>
      <c r="M29" s="3" t="s">
        <v>74</v>
      </c>
      <c r="N29" s="6">
        <v>444213</v>
      </c>
      <c r="O29" s="6">
        <v>2221065</v>
      </c>
      <c r="P29" s="7">
        <v>0</v>
      </c>
      <c r="Q29" s="100" t="s">
        <v>27</v>
      </c>
    </row>
    <row r="30" spans="1:17" ht="33.75" customHeight="1" x14ac:dyDescent="0.25">
      <c r="A30" s="17">
        <v>53161</v>
      </c>
      <c r="B30" s="144" t="s">
        <v>1003</v>
      </c>
      <c r="C30" s="144" t="s">
        <v>1004</v>
      </c>
      <c r="D30" s="2">
        <v>44837</v>
      </c>
      <c r="E30" s="2">
        <v>46297</v>
      </c>
      <c r="F30" s="3" t="s">
        <v>23</v>
      </c>
      <c r="G30" s="2">
        <v>46297</v>
      </c>
      <c r="H30" s="3" t="s">
        <v>20</v>
      </c>
      <c r="I30" s="3" t="s">
        <v>1005</v>
      </c>
      <c r="J30" s="3" t="s">
        <v>24</v>
      </c>
      <c r="K30" s="17" t="s">
        <v>1006</v>
      </c>
      <c r="L30" s="3" t="s">
        <v>210</v>
      </c>
      <c r="M30" s="3" t="s">
        <v>45</v>
      </c>
      <c r="N30" s="16">
        <v>7500000</v>
      </c>
      <c r="O30" s="16">
        <v>30000000</v>
      </c>
      <c r="P30" s="7">
        <v>0</v>
      </c>
      <c r="Q30" s="100" t="s">
        <v>27</v>
      </c>
    </row>
    <row r="31" spans="1:17" ht="33.75" customHeight="1" x14ac:dyDescent="0.25">
      <c r="A31" s="12" t="s">
        <v>149</v>
      </c>
      <c r="B31" s="156" t="s">
        <v>150</v>
      </c>
      <c r="C31" s="144" t="s">
        <v>151</v>
      </c>
      <c r="D31" s="8">
        <v>44619</v>
      </c>
      <c r="E31" s="8">
        <v>45710</v>
      </c>
      <c r="F31" s="5"/>
      <c r="G31" s="4"/>
      <c r="H31" s="5"/>
      <c r="I31" s="5" t="s">
        <v>152</v>
      </c>
      <c r="J31" s="3"/>
      <c r="K31" s="12"/>
      <c r="L31" s="5" t="s">
        <v>153</v>
      </c>
      <c r="M31" s="3" t="s">
        <v>74</v>
      </c>
      <c r="N31" s="7">
        <v>31685</v>
      </c>
      <c r="O31" s="7"/>
      <c r="P31" s="7">
        <v>0</v>
      </c>
      <c r="Q31" s="69" t="s">
        <v>27</v>
      </c>
    </row>
    <row r="32" spans="1:17" ht="33.75" customHeight="1" x14ac:dyDescent="0.25">
      <c r="A32" s="12" t="s">
        <v>154</v>
      </c>
      <c r="B32" s="156" t="s">
        <v>150</v>
      </c>
      <c r="C32" s="144" t="s">
        <v>155</v>
      </c>
      <c r="D32" s="8">
        <v>44619</v>
      </c>
      <c r="E32" s="8">
        <v>45710</v>
      </c>
      <c r="F32" s="5"/>
      <c r="G32" s="4"/>
      <c r="H32" s="5"/>
      <c r="I32" s="5" t="s">
        <v>156</v>
      </c>
      <c r="J32" s="3"/>
      <c r="K32" s="12">
        <v>9431407</v>
      </c>
      <c r="L32" s="5" t="s">
        <v>153</v>
      </c>
      <c r="M32" s="3" t="s">
        <v>74</v>
      </c>
      <c r="N32" s="7">
        <v>103202</v>
      </c>
      <c r="O32" s="7"/>
      <c r="P32" s="7">
        <v>0</v>
      </c>
      <c r="Q32" s="69" t="s">
        <v>27</v>
      </c>
    </row>
    <row r="33" spans="1:17" ht="33.75" customHeight="1" x14ac:dyDescent="0.25">
      <c r="A33" s="12" t="s">
        <v>157</v>
      </c>
      <c r="B33" s="156" t="s">
        <v>150</v>
      </c>
      <c r="C33" s="144" t="s">
        <v>155</v>
      </c>
      <c r="D33" s="8">
        <v>44619</v>
      </c>
      <c r="E33" s="8">
        <v>45710</v>
      </c>
      <c r="F33" s="5"/>
      <c r="G33" s="4"/>
      <c r="H33" s="5"/>
      <c r="I33" s="5" t="s">
        <v>156</v>
      </c>
      <c r="J33" s="3"/>
      <c r="K33" s="12">
        <v>9431407</v>
      </c>
      <c r="L33" s="5" t="s">
        <v>153</v>
      </c>
      <c r="M33" s="3" t="s">
        <v>74</v>
      </c>
      <c r="N33" s="7">
        <v>103202</v>
      </c>
      <c r="O33" s="7"/>
      <c r="P33" s="7">
        <v>0</v>
      </c>
      <c r="Q33" s="69" t="s">
        <v>27</v>
      </c>
    </row>
    <row r="34" spans="1:17" ht="33.75" customHeight="1" x14ac:dyDescent="0.25">
      <c r="A34" s="12" t="s">
        <v>158</v>
      </c>
      <c r="B34" s="156" t="s">
        <v>150</v>
      </c>
      <c r="C34" s="144" t="s">
        <v>159</v>
      </c>
      <c r="D34" s="8">
        <v>43674</v>
      </c>
      <c r="E34" s="8">
        <v>45710</v>
      </c>
      <c r="F34" s="5"/>
      <c r="G34" s="4"/>
      <c r="H34" s="5"/>
      <c r="I34" s="5" t="s">
        <v>156</v>
      </c>
      <c r="J34" s="3"/>
      <c r="K34" s="12">
        <v>9431407</v>
      </c>
      <c r="L34" s="5" t="s">
        <v>153</v>
      </c>
      <c r="M34" s="3" t="s">
        <v>74</v>
      </c>
      <c r="N34" s="7">
        <v>14149</v>
      </c>
      <c r="O34" s="7"/>
      <c r="P34" s="7">
        <v>0</v>
      </c>
      <c r="Q34" s="69" t="s">
        <v>27</v>
      </c>
    </row>
    <row r="35" spans="1:17" ht="33.75" customHeight="1" x14ac:dyDescent="0.25">
      <c r="A35" s="12" t="s">
        <v>160</v>
      </c>
      <c r="B35" s="156" t="s">
        <v>150</v>
      </c>
      <c r="C35" s="144" t="s">
        <v>159</v>
      </c>
      <c r="D35" s="8">
        <v>43674</v>
      </c>
      <c r="E35" s="8">
        <v>45710</v>
      </c>
      <c r="F35" s="5"/>
      <c r="G35" s="4"/>
      <c r="H35" s="5"/>
      <c r="I35" s="5" t="s">
        <v>156</v>
      </c>
      <c r="J35" s="3"/>
      <c r="K35" s="12">
        <v>9431407</v>
      </c>
      <c r="L35" s="5" t="s">
        <v>153</v>
      </c>
      <c r="M35" s="3" t="s">
        <v>74</v>
      </c>
      <c r="N35" s="7">
        <v>14149</v>
      </c>
      <c r="O35" s="7"/>
      <c r="P35" s="7">
        <v>0</v>
      </c>
      <c r="Q35" s="69" t="s">
        <v>27</v>
      </c>
    </row>
    <row r="36" spans="1:17" ht="33.75" customHeight="1" x14ac:dyDescent="0.25">
      <c r="A36" s="12" t="s">
        <v>161</v>
      </c>
      <c r="B36" s="156" t="s">
        <v>150</v>
      </c>
      <c r="C36" s="144" t="s">
        <v>159</v>
      </c>
      <c r="D36" s="8">
        <v>43674</v>
      </c>
      <c r="E36" s="8">
        <v>45710</v>
      </c>
      <c r="F36" s="5"/>
      <c r="G36" s="4"/>
      <c r="H36" s="5"/>
      <c r="I36" s="5" t="s">
        <v>156</v>
      </c>
      <c r="J36" s="3"/>
      <c r="K36" s="12">
        <v>9431407</v>
      </c>
      <c r="L36" s="5" t="s">
        <v>153</v>
      </c>
      <c r="M36" s="3" t="s">
        <v>74</v>
      </c>
      <c r="N36" s="7">
        <v>137704</v>
      </c>
      <c r="O36" s="7"/>
      <c r="P36" s="7">
        <v>0</v>
      </c>
      <c r="Q36" s="69" t="s">
        <v>27</v>
      </c>
    </row>
    <row r="37" spans="1:17" ht="33.75" customHeight="1" x14ac:dyDescent="0.25">
      <c r="A37" s="12" t="s">
        <v>162</v>
      </c>
      <c r="B37" s="156" t="s">
        <v>150</v>
      </c>
      <c r="C37" s="144" t="s">
        <v>163</v>
      </c>
      <c r="D37" s="8">
        <v>44619</v>
      </c>
      <c r="E37" s="8">
        <v>45710</v>
      </c>
      <c r="F37" s="5"/>
      <c r="G37" s="4"/>
      <c r="H37" s="5"/>
      <c r="I37" s="5" t="s">
        <v>156</v>
      </c>
      <c r="J37" s="3"/>
      <c r="K37" s="12">
        <v>9431407</v>
      </c>
      <c r="L37" s="5" t="s">
        <v>153</v>
      </c>
      <c r="M37" s="3" t="s">
        <v>74</v>
      </c>
      <c r="N37" s="7">
        <v>36372</v>
      </c>
      <c r="O37" s="7"/>
      <c r="P37" s="7">
        <v>0</v>
      </c>
      <c r="Q37" s="69" t="s">
        <v>27</v>
      </c>
    </row>
    <row r="38" spans="1:17" ht="33.75" customHeight="1" x14ac:dyDescent="0.25">
      <c r="A38" s="12" t="s">
        <v>164</v>
      </c>
      <c r="B38" s="156" t="s">
        <v>150</v>
      </c>
      <c r="C38" s="144" t="s">
        <v>165</v>
      </c>
      <c r="D38" s="8">
        <v>44619</v>
      </c>
      <c r="E38" s="8">
        <v>45710</v>
      </c>
      <c r="F38" s="5"/>
      <c r="G38" s="4"/>
      <c r="H38" s="5"/>
      <c r="I38" s="5" t="s">
        <v>166</v>
      </c>
      <c r="J38" s="3"/>
      <c r="K38" s="12"/>
      <c r="L38" s="5" t="s">
        <v>153</v>
      </c>
      <c r="M38" s="3" t="s">
        <v>74</v>
      </c>
      <c r="N38" s="7">
        <v>124299</v>
      </c>
      <c r="O38" s="7"/>
      <c r="P38" s="7">
        <v>0</v>
      </c>
      <c r="Q38" s="69" t="s">
        <v>27</v>
      </c>
    </row>
    <row r="39" spans="1:17" ht="33.75" customHeight="1" x14ac:dyDescent="0.25">
      <c r="A39" s="12" t="s">
        <v>167</v>
      </c>
      <c r="B39" s="156" t="s">
        <v>150</v>
      </c>
      <c r="C39" s="144" t="s">
        <v>165</v>
      </c>
      <c r="D39" s="8">
        <v>44619</v>
      </c>
      <c r="E39" s="8">
        <v>45710</v>
      </c>
      <c r="F39" s="5"/>
      <c r="G39" s="4"/>
      <c r="H39" s="5"/>
      <c r="I39" s="5" t="s">
        <v>166</v>
      </c>
      <c r="J39" s="3"/>
      <c r="K39" s="12"/>
      <c r="L39" s="5" t="s">
        <v>153</v>
      </c>
      <c r="M39" s="3" t="s">
        <v>74</v>
      </c>
      <c r="N39" s="7">
        <v>106561</v>
      </c>
      <c r="O39" s="7"/>
      <c r="P39" s="7">
        <v>0</v>
      </c>
      <c r="Q39" s="69" t="s">
        <v>27</v>
      </c>
    </row>
    <row r="40" spans="1:17" ht="33.75" customHeight="1" x14ac:dyDescent="0.25">
      <c r="A40" s="12" t="s">
        <v>168</v>
      </c>
      <c r="B40" s="156" t="s">
        <v>150</v>
      </c>
      <c r="C40" s="144" t="s">
        <v>165</v>
      </c>
      <c r="D40" s="8">
        <v>44619</v>
      </c>
      <c r="E40" s="8">
        <v>45710</v>
      </c>
      <c r="F40" s="5"/>
      <c r="G40" s="4"/>
      <c r="H40" s="5"/>
      <c r="I40" s="5" t="s">
        <v>166</v>
      </c>
      <c r="J40" s="3"/>
      <c r="K40" s="12"/>
      <c r="L40" s="5" t="s">
        <v>153</v>
      </c>
      <c r="M40" s="3" t="s">
        <v>74</v>
      </c>
      <c r="N40" s="7">
        <v>356191</v>
      </c>
      <c r="O40" s="7"/>
      <c r="P40" s="7">
        <v>0</v>
      </c>
      <c r="Q40" s="69" t="s">
        <v>27</v>
      </c>
    </row>
    <row r="41" spans="1:17" ht="33.75" customHeight="1" x14ac:dyDescent="0.25">
      <c r="A41" s="12" t="s">
        <v>169</v>
      </c>
      <c r="B41" s="156" t="s">
        <v>150</v>
      </c>
      <c r="C41" s="144" t="s">
        <v>165</v>
      </c>
      <c r="D41" s="8">
        <v>44619</v>
      </c>
      <c r="E41" s="8">
        <v>45710</v>
      </c>
      <c r="F41" s="5"/>
      <c r="G41" s="4"/>
      <c r="H41" s="5"/>
      <c r="I41" s="5" t="s">
        <v>166</v>
      </c>
      <c r="J41" s="3"/>
      <c r="K41" s="12"/>
      <c r="L41" s="5" t="s">
        <v>153</v>
      </c>
      <c r="M41" s="3" t="s">
        <v>74</v>
      </c>
      <c r="N41" s="7">
        <v>115559</v>
      </c>
      <c r="O41" s="7"/>
      <c r="P41" s="7">
        <v>0</v>
      </c>
      <c r="Q41" s="69" t="s">
        <v>27</v>
      </c>
    </row>
    <row r="42" spans="1:17" ht="33.75" customHeight="1" x14ac:dyDescent="0.25">
      <c r="A42" s="12" t="s">
        <v>170</v>
      </c>
      <c r="B42" s="156" t="s">
        <v>150</v>
      </c>
      <c r="C42" s="144" t="s">
        <v>171</v>
      </c>
      <c r="D42" s="8">
        <v>44619</v>
      </c>
      <c r="E42" s="8">
        <v>45710</v>
      </c>
      <c r="F42" s="5"/>
      <c r="G42" s="4"/>
      <c r="H42" s="5"/>
      <c r="I42" s="5" t="s">
        <v>166</v>
      </c>
      <c r="J42" s="3"/>
      <c r="K42" s="12"/>
      <c r="L42" s="5" t="s">
        <v>153</v>
      </c>
      <c r="M42" s="3" t="s">
        <v>74</v>
      </c>
      <c r="N42" s="7">
        <v>223504</v>
      </c>
      <c r="O42" s="7"/>
      <c r="P42" s="7">
        <v>0</v>
      </c>
      <c r="Q42" s="69" t="s">
        <v>27</v>
      </c>
    </row>
    <row r="43" spans="1:17" ht="33.75" customHeight="1" x14ac:dyDescent="0.25">
      <c r="A43" s="12" t="s">
        <v>172</v>
      </c>
      <c r="B43" s="156" t="s">
        <v>150</v>
      </c>
      <c r="C43" s="144" t="s">
        <v>171</v>
      </c>
      <c r="D43" s="8">
        <v>44619</v>
      </c>
      <c r="E43" s="8">
        <v>45710</v>
      </c>
      <c r="F43" s="5"/>
      <c r="G43" s="4"/>
      <c r="H43" s="5"/>
      <c r="I43" s="5" t="s">
        <v>166</v>
      </c>
      <c r="J43" s="3"/>
      <c r="K43" s="12"/>
      <c r="L43" s="5" t="s">
        <v>153</v>
      </c>
      <c r="M43" s="3" t="s">
        <v>74</v>
      </c>
      <c r="N43" s="7">
        <v>82602</v>
      </c>
      <c r="O43" s="7"/>
      <c r="P43" s="7">
        <v>0</v>
      </c>
      <c r="Q43" s="69" t="s">
        <v>27</v>
      </c>
    </row>
    <row r="44" spans="1:17" ht="33.75" customHeight="1" x14ac:dyDescent="0.25">
      <c r="A44" s="12" t="s">
        <v>173</v>
      </c>
      <c r="B44" s="156" t="s">
        <v>150</v>
      </c>
      <c r="C44" s="144" t="s">
        <v>174</v>
      </c>
      <c r="D44" s="8">
        <v>44619</v>
      </c>
      <c r="E44" s="8">
        <v>45710</v>
      </c>
      <c r="F44" s="5"/>
      <c r="G44" s="4"/>
      <c r="H44" s="5"/>
      <c r="I44" s="5" t="s">
        <v>152</v>
      </c>
      <c r="J44" s="3"/>
      <c r="K44" s="12"/>
      <c r="L44" s="5" t="s">
        <v>153</v>
      </c>
      <c r="M44" s="3" t="s">
        <v>74</v>
      </c>
      <c r="N44" s="7">
        <v>39638</v>
      </c>
      <c r="O44" s="7"/>
      <c r="P44" s="7">
        <v>0</v>
      </c>
      <c r="Q44" s="69" t="s">
        <v>27</v>
      </c>
    </row>
    <row r="45" spans="1:17" ht="33.75" customHeight="1" x14ac:dyDescent="0.25">
      <c r="A45" s="12" t="s">
        <v>175</v>
      </c>
      <c r="B45" s="156" t="s">
        <v>150</v>
      </c>
      <c r="C45" s="144" t="s">
        <v>176</v>
      </c>
      <c r="D45" s="8">
        <v>44619</v>
      </c>
      <c r="E45" s="8">
        <v>45710</v>
      </c>
      <c r="F45" s="5"/>
      <c r="G45" s="4"/>
      <c r="H45" s="5"/>
      <c r="I45" s="5" t="s">
        <v>156</v>
      </c>
      <c r="J45" s="3"/>
      <c r="K45" s="12">
        <v>9431407</v>
      </c>
      <c r="L45" s="5" t="s">
        <v>153</v>
      </c>
      <c r="M45" s="3" t="s">
        <v>74</v>
      </c>
      <c r="N45" s="7">
        <v>69300</v>
      </c>
      <c r="O45" s="7"/>
      <c r="P45" s="7">
        <v>0</v>
      </c>
      <c r="Q45" s="69" t="s">
        <v>27</v>
      </c>
    </row>
    <row r="46" spans="1:17" ht="33.75" customHeight="1" x14ac:dyDescent="0.25">
      <c r="A46" s="12">
        <v>53568</v>
      </c>
      <c r="B46" s="144" t="s">
        <v>478</v>
      </c>
      <c r="C46" s="144" t="s">
        <v>479</v>
      </c>
      <c r="D46" s="8">
        <v>44770</v>
      </c>
      <c r="E46" s="8">
        <v>45866</v>
      </c>
      <c r="F46" s="5" t="s">
        <v>19</v>
      </c>
      <c r="G46" s="4">
        <v>46231</v>
      </c>
      <c r="H46" s="5" t="s">
        <v>20</v>
      </c>
      <c r="I46" s="5" t="s">
        <v>480</v>
      </c>
      <c r="J46" s="3" t="s">
        <v>23</v>
      </c>
      <c r="K46" s="12">
        <v>2946689</v>
      </c>
      <c r="L46" s="3" t="s">
        <v>33</v>
      </c>
      <c r="M46" s="3" t="s">
        <v>34</v>
      </c>
      <c r="N46" s="7">
        <v>625000</v>
      </c>
      <c r="O46" s="7">
        <v>2500000</v>
      </c>
      <c r="P46" s="7">
        <v>0</v>
      </c>
      <c r="Q46" s="69" t="s">
        <v>27</v>
      </c>
    </row>
    <row r="47" spans="1:17" ht="33.75" customHeight="1" x14ac:dyDescent="0.25">
      <c r="A47" s="12" t="s">
        <v>182</v>
      </c>
      <c r="B47" s="156" t="s">
        <v>150</v>
      </c>
      <c r="C47" s="144" t="s">
        <v>183</v>
      </c>
      <c r="D47" s="8">
        <v>44494</v>
      </c>
      <c r="E47" s="8">
        <v>45745</v>
      </c>
      <c r="F47" s="5"/>
      <c r="G47" s="4"/>
      <c r="H47" s="5"/>
      <c r="I47" s="5" t="s">
        <v>166</v>
      </c>
      <c r="J47" s="3"/>
      <c r="K47" s="12">
        <v>3914156</v>
      </c>
      <c r="L47" s="5" t="s">
        <v>153</v>
      </c>
      <c r="M47" s="3" t="s">
        <v>74</v>
      </c>
      <c r="N47" s="7">
        <v>212519</v>
      </c>
      <c r="O47" s="7"/>
      <c r="P47" s="7">
        <v>0</v>
      </c>
      <c r="Q47" s="69" t="s">
        <v>27</v>
      </c>
    </row>
    <row r="48" spans="1:17" ht="33.75" customHeight="1" x14ac:dyDescent="0.25">
      <c r="A48" s="12" t="s">
        <v>184</v>
      </c>
      <c r="B48" s="156" t="s">
        <v>150</v>
      </c>
      <c r="C48" s="144" t="s">
        <v>183</v>
      </c>
      <c r="D48" s="8">
        <v>44494</v>
      </c>
      <c r="E48" s="8">
        <v>45745</v>
      </c>
      <c r="F48" s="5"/>
      <c r="G48" s="4"/>
      <c r="H48" s="5"/>
      <c r="I48" s="5" t="s">
        <v>166</v>
      </c>
      <c r="J48" s="3"/>
      <c r="K48" s="12">
        <v>3914156</v>
      </c>
      <c r="L48" s="5" t="s">
        <v>153</v>
      </c>
      <c r="M48" s="3" t="s">
        <v>74</v>
      </c>
      <c r="N48" s="7">
        <v>29542</v>
      </c>
      <c r="O48" s="7"/>
      <c r="P48" s="7">
        <v>0</v>
      </c>
      <c r="Q48" s="69" t="s">
        <v>27</v>
      </c>
    </row>
    <row r="49" spans="1:17" ht="33.75" customHeight="1" x14ac:dyDescent="0.25">
      <c r="A49" s="17">
        <v>55831</v>
      </c>
      <c r="B49" s="144" t="s">
        <v>1096</v>
      </c>
      <c r="C49" s="144" t="s">
        <v>1097</v>
      </c>
      <c r="D49" s="4">
        <v>44805</v>
      </c>
      <c r="E49" s="4">
        <v>46630</v>
      </c>
      <c r="F49" s="3" t="s">
        <v>19</v>
      </c>
      <c r="G49" s="2">
        <v>46996</v>
      </c>
      <c r="H49" s="5" t="s">
        <v>882</v>
      </c>
      <c r="I49" s="22" t="s">
        <v>1098</v>
      </c>
      <c r="J49" s="3" t="s">
        <v>23</v>
      </c>
      <c r="K49" s="17">
        <v>1359357</v>
      </c>
      <c r="L49" s="3" t="s">
        <v>73</v>
      </c>
      <c r="M49" s="3" t="s">
        <v>74</v>
      </c>
      <c r="N49" s="16">
        <v>0</v>
      </c>
      <c r="O49" s="16">
        <v>0</v>
      </c>
      <c r="P49" s="7">
        <v>0</v>
      </c>
      <c r="Q49" s="111" t="s">
        <v>27</v>
      </c>
    </row>
    <row r="50" spans="1:17" ht="33.75" customHeight="1" x14ac:dyDescent="0.25">
      <c r="A50" s="17">
        <v>56921</v>
      </c>
      <c r="B50" s="144" t="s">
        <v>193</v>
      </c>
      <c r="C50" s="144" t="s">
        <v>194</v>
      </c>
      <c r="D50" s="8">
        <v>44816</v>
      </c>
      <c r="E50" s="8">
        <v>45747</v>
      </c>
      <c r="F50" s="5" t="s">
        <v>21</v>
      </c>
      <c r="G50" s="4">
        <v>45747</v>
      </c>
      <c r="H50" s="5" t="s">
        <v>46</v>
      </c>
      <c r="I50" s="5" t="s">
        <v>195</v>
      </c>
      <c r="J50" s="3" t="s">
        <v>24</v>
      </c>
      <c r="K50" s="19" t="s">
        <v>196</v>
      </c>
      <c r="L50" s="5" t="s">
        <v>131</v>
      </c>
      <c r="M50" s="3" t="s">
        <v>132</v>
      </c>
      <c r="N50" s="7">
        <v>22258</v>
      </c>
      <c r="O50" s="7">
        <v>57500</v>
      </c>
      <c r="P50" s="7">
        <v>0</v>
      </c>
      <c r="Q50" s="69" t="s">
        <v>27</v>
      </c>
    </row>
    <row r="51" spans="1:17" ht="33.75" customHeight="1" x14ac:dyDescent="0.25">
      <c r="A51" s="12">
        <v>57104</v>
      </c>
      <c r="B51" s="156" t="s">
        <v>764</v>
      </c>
      <c r="C51" s="144" t="s">
        <v>765</v>
      </c>
      <c r="D51" s="8">
        <v>44869</v>
      </c>
      <c r="E51" s="8">
        <v>45961</v>
      </c>
      <c r="F51" s="5" t="s">
        <v>19</v>
      </c>
      <c r="G51" s="8">
        <v>45961</v>
      </c>
      <c r="H51" s="5" t="s">
        <v>46</v>
      </c>
      <c r="I51" s="3" t="s">
        <v>766</v>
      </c>
      <c r="J51" s="3" t="s">
        <v>23</v>
      </c>
      <c r="K51" s="12" t="s">
        <v>767</v>
      </c>
      <c r="L51" s="5" t="s">
        <v>33</v>
      </c>
      <c r="M51" s="3" t="s">
        <v>45</v>
      </c>
      <c r="N51" s="7">
        <v>250000</v>
      </c>
      <c r="O51" s="7">
        <v>250000</v>
      </c>
      <c r="P51" s="7">
        <v>0</v>
      </c>
      <c r="Q51" s="69" t="s">
        <v>27</v>
      </c>
    </row>
    <row r="52" spans="1:17" ht="33.75" customHeight="1" x14ac:dyDescent="0.25">
      <c r="A52" s="12">
        <v>57683</v>
      </c>
      <c r="B52" s="156" t="s">
        <v>880</v>
      </c>
      <c r="C52" s="144" t="s">
        <v>881</v>
      </c>
      <c r="D52" s="8">
        <v>44992</v>
      </c>
      <c r="E52" s="8">
        <v>46087</v>
      </c>
      <c r="F52" s="5" t="s">
        <v>20</v>
      </c>
      <c r="G52" s="4">
        <v>46818</v>
      </c>
      <c r="H52" s="5" t="s">
        <v>882</v>
      </c>
      <c r="I52" s="5" t="s">
        <v>883</v>
      </c>
      <c r="J52" s="3" t="s">
        <v>67</v>
      </c>
      <c r="K52" s="12">
        <v>1264300</v>
      </c>
      <c r="L52" s="3" t="s">
        <v>39</v>
      </c>
      <c r="M52" s="112" t="s">
        <v>40</v>
      </c>
      <c r="N52" s="7">
        <v>17501.2</v>
      </c>
      <c r="O52" s="7">
        <v>87506</v>
      </c>
      <c r="P52" s="7">
        <v>0</v>
      </c>
      <c r="Q52" s="69" t="s">
        <v>27</v>
      </c>
    </row>
    <row r="53" spans="1:17" ht="33.75" customHeight="1" x14ac:dyDescent="0.25">
      <c r="A53" s="17">
        <v>58650</v>
      </c>
      <c r="B53" s="144" t="s">
        <v>1060</v>
      </c>
      <c r="C53" s="144" t="s">
        <v>1061</v>
      </c>
      <c r="D53" s="2">
        <v>45017</v>
      </c>
      <c r="E53" s="2">
        <v>46477</v>
      </c>
      <c r="F53" s="3" t="s">
        <v>19</v>
      </c>
      <c r="G53" s="2">
        <v>47938</v>
      </c>
      <c r="H53" s="3" t="s">
        <v>20</v>
      </c>
      <c r="I53" s="3" t="s">
        <v>1062</v>
      </c>
      <c r="J53" s="3" t="s">
        <v>23</v>
      </c>
      <c r="K53" s="17">
        <v>3768856</v>
      </c>
      <c r="L53" s="3" t="s">
        <v>73</v>
      </c>
      <c r="M53" s="3" t="s">
        <v>74</v>
      </c>
      <c r="N53" s="6">
        <v>1250000</v>
      </c>
      <c r="O53" s="6">
        <v>10000000</v>
      </c>
      <c r="P53" s="7">
        <v>0</v>
      </c>
      <c r="Q53" s="100" t="s">
        <v>27</v>
      </c>
    </row>
    <row r="54" spans="1:17" ht="33.75" customHeight="1" x14ac:dyDescent="0.25">
      <c r="A54" s="12">
        <v>58982</v>
      </c>
      <c r="B54" s="156" t="s">
        <v>1020</v>
      </c>
      <c r="C54" s="144" t="s">
        <v>1021</v>
      </c>
      <c r="D54" s="8">
        <v>44927</v>
      </c>
      <c r="E54" s="8">
        <v>46387</v>
      </c>
      <c r="F54" s="5" t="s">
        <v>20</v>
      </c>
      <c r="G54" s="8">
        <v>46752</v>
      </c>
      <c r="H54" s="5" t="s">
        <v>20</v>
      </c>
      <c r="I54" s="5" t="s">
        <v>1022</v>
      </c>
      <c r="J54" s="3" t="s">
        <v>24</v>
      </c>
      <c r="K54" s="12" t="s">
        <v>1023</v>
      </c>
      <c r="L54" s="5" t="s">
        <v>131</v>
      </c>
      <c r="M54" s="3" t="s">
        <v>132</v>
      </c>
      <c r="N54" s="7">
        <v>28000</v>
      </c>
      <c r="O54" s="7">
        <v>112000</v>
      </c>
      <c r="P54" s="7">
        <v>0</v>
      </c>
      <c r="Q54" s="69" t="s">
        <v>27</v>
      </c>
    </row>
    <row r="55" spans="1:17" ht="33.75" customHeight="1" x14ac:dyDescent="0.25">
      <c r="A55" s="12">
        <v>59386</v>
      </c>
      <c r="B55" s="156" t="s">
        <v>858</v>
      </c>
      <c r="C55" s="144" t="s">
        <v>859</v>
      </c>
      <c r="D55" s="8">
        <v>44959</v>
      </c>
      <c r="E55" s="8">
        <v>46053</v>
      </c>
      <c r="F55" s="5" t="s">
        <v>20</v>
      </c>
      <c r="G55" s="4">
        <v>46418</v>
      </c>
      <c r="H55" s="5" t="s">
        <v>46</v>
      </c>
      <c r="I55" s="5" t="s">
        <v>77</v>
      </c>
      <c r="J55" s="3" t="s">
        <v>67</v>
      </c>
      <c r="K55" s="12" t="s">
        <v>78</v>
      </c>
      <c r="L55" s="5" t="s">
        <v>83</v>
      </c>
      <c r="M55" s="3" t="s">
        <v>83</v>
      </c>
      <c r="N55" s="7">
        <f>O55/4</f>
        <v>2500000</v>
      </c>
      <c r="O55" s="7">
        <v>10000000</v>
      </c>
      <c r="P55" s="7">
        <v>0</v>
      </c>
      <c r="Q55" s="69" t="s">
        <v>27</v>
      </c>
    </row>
    <row r="56" spans="1:17" ht="33.75" customHeight="1" x14ac:dyDescent="0.25">
      <c r="A56" s="12">
        <v>59935</v>
      </c>
      <c r="B56" s="156" t="s">
        <v>950</v>
      </c>
      <c r="C56" s="144" t="s">
        <v>951</v>
      </c>
      <c r="D56" s="8">
        <v>45078</v>
      </c>
      <c r="E56" s="8">
        <v>46172</v>
      </c>
      <c r="F56" s="5" t="s">
        <v>20</v>
      </c>
      <c r="G56" s="4">
        <v>46537</v>
      </c>
      <c r="H56" s="5" t="s">
        <v>46</v>
      </c>
      <c r="I56" s="5" t="s">
        <v>952</v>
      </c>
      <c r="J56" s="3" t="s">
        <v>67</v>
      </c>
      <c r="K56" s="12">
        <v>2212959</v>
      </c>
      <c r="L56" s="5" t="s">
        <v>83</v>
      </c>
      <c r="M56" s="3" t="s">
        <v>83</v>
      </c>
      <c r="N56" s="7">
        <f>O56/4</f>
        <v>1250000</v>
      </c>
      <c r="O56" s="7">
        <v>5000000</v>
      </c>
      <c r="P56" s="7">
        <v>0</v>
      </c>
      <c r="Q56" s="69" t="s">
        <v>27</v>
      </c>
    </row>
    <row r="57" spans="1:17" ht="33.75" customHeight="1" x14ac:dyDescent="0.25">
      <c r="A57" s="12">
        <v>60193</v>
      </c>
      <c r="B57" s="156" t="s">
        <v>75</v>
      </c>
      <c r="C57" s="144" t="s">
        <v>76</v>
      </c>
      <c r="D57" s="8">
        <v>45229</v>
      </c>
      <c r="E57" s="8">
        <v>45597</v>
      </c>
      <c r="F57" s="5" t="s">
        <v>20</v>
      </c>
      <c r="G57" s="4">
        <v>45597</v>
      </c>
      <c r="H57" s="5" t="s">
        <v>46</v>
      </c>
      <c r="I57" s="5" t="s">
        <v>77</v>
      </c>
      <c r="J57" s="3" t="s">
        <v>67</v>
      </c>
      <c r="K57" s="12" t="s">
        <v>78</v>
      </c>
      <c r="L57" s="5" t="s">
        <v>73</v>
      </c>
      <c r="M57" s="3" t="s">
        <v>74</v>
      </c>
      <c r="N57" s="7">
        <v>599132.07999999996</v>
      </c>
      <c r="O57" s="7">
        <v>599132.07999999996</v>
      </c>
      <c r="P57" s="7">
        <v>0</v>
      </c>
      <c r="Q57" s="69" t="s">
        <v>27</v>
      </c>
    </row>
    <row r="58" spans="1:17" ht="33.75" customHeight="1" x14ac:dyDescent="0.25">
      <c r="A58" s="12">
        <v>60331</v>
      </c>
      <c r="B58" s="156" t="s">
        <v>931</v>
      </c>
      <c r="C58" s="144" t="s">
        <v>932</v>
      </c>
      <c r="D58" s="8">
        <v>45019</v>
      </c>
      <c r="E58" s="8">
        <v>46114</v>
      </c>
      <c r="F58" s="5" t="s">
        <v>21</v>
      </c>
      <c r="G58" s="8">
        <v>46114</v>
      </c>
      <c r="H58" s="5" t="s">
        <v>20</v>
      </c>
      <c r="I58" s="5" t="s">
        <v>933</v>
      </c>
      <c r="J58" s="3" t="s">
        <v>24</v>
      </c>
      <c r="K58" s="12" t="s">
        <v>934</v>
      </c>
      <c r="L58" s="5" t="s">
        <v>131</v>
      </c>
      <c r="M58" s="3" t="s">
        <v>132</v>
      </c>
      <c r="N58" s="7">
        <v>160000</v>
      </c>
      <c r="O58" s="7">
        <v>480000</v>
      </c>
      <c r="P58" s="7">
        <v>0</v>
      </c>
      <c r="Q58" s="69" t="s">
        <v>27</v>
      </c>
    </row>
    <row r="59" spans="1:17" ht="33.75" customHeight="1" x14ac:dyDescent="0.25">
      <c r="A59" s="17">
        <v>61774</v>
      </c>
      <c r="B59" s="144" t="s">
        <v>264</v>
      </c>
      <c r="C59" s="144" t="s">
        <v>265</v>
      </c>
      <c r="D59" s="2">
        <v>44682</v>
      </c>
      <c r="E59" s="2">
        <v>45748</v>
      </c>
      <c r="F59" s="3" t="s">
        <v>23</v>
      </c>
      <c r="G59" s="2">
        <v>45748</v>
      </c>
      <c r="H59" s="3" t="s">
        <v>20</v>
      </c>
      <c r="I59" s="3" t="s">
        <v>266</v>
      </c>
      <c r="J59" s="3" t="s">
        <v>23</v>
      </c>
      <c r="K59" s="17" t="s">
        <v>267</v>
      </c>
      <c r="L59" s="3" t="s">
        <v>73</v>
      </c>
      <c r="M59" s="3" t="s">
        <v>74</v>
      </c>
      <c r="N59" s="6">
        <v>100000</v>
      </c>
      <c r="O59" s="6">
        <v>300000</v>
      </c>
      <c r="P59" s="7">
        <v>0</v>
      </c>
      <c r="Q59" s="100" t="s">
        <v>27</v>
      </c>
    </row>
    <row r="60" spans="1:17" ht="33.75" customHeight="1" x14ac:dyDescent="0.25">
      <c r="A60" s="12">
        <v>62579</v>
      </c>
      <c r="B60" s="156" t="s">
        <v>504</v>
      </c>
      <c r="C60" s="156" t="s">
        <v>505</v>
      </c>
      <c r="D60" s="8">
        <v>45170</v>
      </c>
      <c r="E60" s="8">
        <v>45900</v>
      </c>
      <c r="F60" s="5" t="s">
        <v>20</v>
      </c>
      <c r="G60" s="4">
        <v>46630</v>
      </c>
      <c r="H60" s="5" t="s">
        <v>20</v>
      </c>
      <c r="I60" s="5" t="s">
        <v>506</v>
      </c>
      <c r="J60" s="3" t="s">
        <v>346</v>
      </c>
      <c r="K60" s="12">
        <v>1800000</v>
      </c>
      <c r="L60" s="3" t="s">
        <v>39</v>
      </c>
      <c r="M60" s="112" t="s">
        <v>40</v>
      </c>
      <c r="N60" s="7">
        <v>6430.36</v>
      </c>
      <c r="O60" s="7">
        <v>12860.72</v>
      </c>
      <c r="P60" s="7">
        <v>0</v>
      </c>
      <c r="Q60" s="69" t="s">
        <v>98</v>
      </c>
    </row>
    <row r="61" spans="1:17" ht="33.75" customHeight="1" x14ac:dyDescent="0.25">
      <c r="A61" s="12">
        <v>63840</v>
      </c>
      <c r="B61" s="144" t="s">
        <v>484</v>
      </c>
      <c r="C61" s="144" t="s">
        <v>485</v>
      </c>
      <c r="D61" s="8">
        <v>45131</v>
      </c>
      <c r="E61" s="8">
        <v>45869</v>
      </c>
      <c r="F61" s="3" t="s">
        <v>102</v>
      </c>
      <c r="G61" s="8">
        <v>45869</v>
      </c>
      <c r="H61" s="5" t="s">
        <v>46</v>
      </c>
      <c r="I61" s="3" t="s">
        <v>486</v>
      </c>
      <c r="J61" s="3" t="s">
        <v>67</v>
      </c>
      <c r="K61" s="12">
        <v>3269195</v>
      </c>
      <c r="L61" s="5" t="s">
        <v>52</v>
      </c>
      <c r="M61" s="3" t="s">
        <v>53</v>
      </c>
      <c r="N61" s="7">
        <v>87500</v>
      </c>
      <c r="O61" s="7">
        <v>175000</v>
      </c>
      <c r="P61" s="7">
        <v>0</v>
      </c>
      <c r="Q61" s="69" t="s">
        <v>27</v>
      </c>
    </row>
    <row r="62" spans="1:17" ht="33.75" customHeight="1" x14ac:dyDescent="0.25">
      <c r="A62" s="12">
        <v>64200</v>
      </c>
      <c r="B62" s="156" t="s">
        <v>128</v>
      </c>
      <c r="C62" s="144" t="s">
        <v>129</v>
      </c>
      <c r="D62" s="8">
        <v>45047</v>
      </c>
      <c r="E62" s="8">
        <v>45689</v>
      </c>
      <c r="F62" s="5" t="s">
        <v>46</v>
      </c>
      <c r="G62" s="4">
        <v>45689</v>
      </c>
      <c r="H62" s="5" t="s">
        <v>46</v>
      </c>
      <c r="I62" s="5" t="s">
        <v>130</v>
      </c>
      <c r="J62" s="3" t="s">
        <v>67</v>
      </c>
      <c r="K62" s="12">
        <v>653331</v>
      </c>
      <c r="L62" s="5" t="s">
        <v>131</v>
      </c>
      <c r="M62" s="3" t="s">
        <v>132</v>
      </c>
      <c r="N62" s="7">
        <v>75000</v>
      </c>
      <c r="O62" s="7">
        <v>150000</v>
      </c>
      <c r="P62" s="7">
        <v>0</v>
      </c>
      <c r="Q62" s="69" t="s">
        <v>27</v>
      </c>
    </row>
    <row r="63" spans="1:17" ht="33.75" customHeight="1" x14ac:dyDescent="0.25">
      <c r="A63" s="12">
        <v>66535</v>
      </c>
      <c r="B63" s="156" t="s">
        <v>1000</v>
      </c>
      <c r="C63" s="144" t="s">
        <v>1001</v>
      </c>
      <c r="D63" s="8">
        <v>45112</v>
      </c>
      <c r="E63" s="8">
        <v>46295</v>
      </c>
      <c r="F63" s="5" t="s">
        <v>46</v>
      </c>
      <c r="G63" s="8">
        <v>46295</v>
      </c>
      <c r="H63" s="5" t="s">
        <v>20</v>
      </c>
      <c r="I63" s="5" t="s">
        <v>1002</v>
      </c>
      <c r="J63" s="3" t="s">
        <v>67</v>
      </c>
      <c r="K63" s="12">
        <v>2841970</v>
      </c>
      <c r="L63" s="5" t="s">
        <v>131</v>
      </c>
      <c r="M63" s="3" t="s">
        <v>132</v>
      </c>
      <c r="N63" s="7">
        <v>72939</v>
      </c>
      <c r="O63" s="7">
        <v>218819</v>
      </c>
      <c r="P63" s="7">
        <v>0</v>
      </c>
      <c r="Q63" s="69" t="s">
        <v>27</v>
      </c>
    </row>
    <row r="64" spans="1:17" ht="33.75" customHeight="1" x14ac:dyDescent="0.25">
      <c r="A64" s="17">
        <v>68204</v>
      </c>
      <c r="B64" s="144" t="s">
        <v>70</v>
      </c>
      <c r="C64" s="144" t="s">
        <v>71</v>
      </c>
      <c r="D64" s="2">
        <v>45016</v>
      </c>
      <c r="E64" s="2">
        <v>45594</v>
      </c>
      <c r="F64" s="3" t="s">
        <v>19</v>
      </c>
      <c r="G64" s="2">
        <v>46324</v>
      </c>
      <c r="H64" s="3" t="s">
        <v>20</v>
      </c>
      <c r="I64" s="3" t="s">
        <v>72</v>
      </c>
      <c r="J64" s="3" t="s">
        <v>67</v>
      </c>
      <c r="K64" s="17">
        <v>3017251</v>
      </c>
      <c r="L64" s="3" t="s">
        <v>73</v>
      </c>
      <c r="M64" s="3" t="s">
        <v>74</v>
      </c>
      <c r="N64" s="6">
        <v>55593</v>
      </c>
      <c r="O64" s="6">
        <v>166779</v>
      </c>
      <c r="P64" s="7">
        <v>0</v>
      </c>
      <c r="Q64" s="100" t="s">
        <v>27</v>
      </c>
    </row>
    <row r="65" spans="1:17" ht="33.75" customHeight="1" x14ac:dyDescent="0.25">
      <c r="A65" s="17">
        <v>75199</v>
      </c>
      <c r="B65" s="144" t="s">
        <v>481</v>
      </c>
      <c r="C65" s="144" t="s">
        <v>482</v>
      </c>
      <c r="D65" s="15">
        <v>45271</v>
      </c>
      <c r="E65" s="15">
        <v>45868</v>
      </c>
      <c r="F65" s="3" t="s">
        <v>46</v>
      </c>
      <c r="G65" s="2">
        <v>45868</v>
      </c>
      <c r="H65" s="3" t="s">
        <v>46</v>
      </c>
      <c r="I65" s="5" t="s">
        <v>483</v>
      </c>
      <c r="J65" s="3" t="s">
        <v>24</v>
      </c>
      <c r="K65" s="12">
        <v>7424081</v>
      </c>
      <c r="L65" s="3" t="s">
        <v>131</v>
      </c>
      <c r="M65" s="3" t="s">
        <v>132</v>
      </c>
      <c r="N65" s="16">
        <v>32775</v>
      </c>
      <c r="O65" s="16">
        <v>73837.5</v>
      </c>
      <c r="P65" s="7">
        <v>0</v>
      </c>
      <c r="Q65" s="69" t="s">
        <v>27</v>
      </c>
    </row>
    <row r="66" spans="1:17" ht="33.75" customHeight="1" x14ac:dyDescent="0.25">
      <c r="A66" s="12">
        <v>76812</v>
      </c>
      <c r="B66" s="144" t="s">
        <v>1012</v>
      </c>
      <c r="C66" s="144" t="s">
        <v>1013</v>
      </c>
      <c r="D66" s="8">
        <v>45208</v>
      </c>
      <c r="E66" s="8">
        <v>46303</v>
      </c>
      <c r="F66" s="5" t="s">
        <v>20</v>
      </c>
      <c r="G66" s="8">
        <v>46668</v>
      </c>
      <c r="H66" s="5" t="s">
        <v>20</v>
      </c>
      <c r="I66" s="5" t="s">
        <v>1014</v>
      </c>
      <c r="J66" s="3" t="s">
        <v>67</v>
      </c>
      <c r="K66" s="12">
        <v>4207789</v>
      </c>
      <c r="L66" s="5" t="s">
        <v>348</v>
      </c>
      <c r="M66" s="3" t="s">
        <v>132</v>
      </c>
      <c r="N66" s="7">
        <v>49495</v>
      </c>
      <c r="O66" s="7">
        <v>148485</v>
      </c>
      <c r="P66" s="7">
        <v>0</v>
      </c>
      <c r="Q66" s="69" t="s">
        <v>27</v>
      </c>
    </row>
    <row r="67" spans="1:17" ht="33.75" customHeight="1" x14ac:dyDescent="0.25">
      <c r="A67" s="5">
        <v>77731</v>
      </c>
      <c r="B67" s="156" t="s">
        <v>242</v>
      </c>
      <c r="C67" s="144"/>
      <c r="D67" s="8">
        <v>45323</v>
      </c>
      <c r="E67" s="8">
        <v>45747</v>
      </c>
      <c r="F67" s="8" t="s">
        <v>20</v>
      </c>
      <c r="G67" s="8">
        <v>46477</v>
      </c>
      <c r="H67" s="5" t="s">
        <v>46</v>
      </c>
      <c r="I67" s="5" t="s">
        <v>243</v>
      </c>
      <c r="J67" s="3" t="s">
        <v>23</v>
      </c>
      <c r="K67" s="12">
        <v>2202681</v>
      </c>
      <c r="L67" s="5" t="s">
        <v>52</v>
      </c>
      <c r="M67" s="3" t="s">
        <v>53</v>
      </c>
      <c r="N67" s="7">
        <v>439377.75</v>
      </c>
      <c r="O67" s="7">
        <v>585837</v>
      </c>
      <c r="P67" s="7">
        <v>0</v>
      </c>
      <c r="Q67" s="69" t="s">
        <v>27</v>
      </c>
    </row>
    <row r="68" spans="1:17" ht="33.75" customHeight="1" x14ac:dyDescent="0.25">
      <c r="A68" s="12">
        <v>77740</v>
      </c>
      <c r="B68" s="144" t="s">
        <v>277</v>
      </c>
      <c r="C68" s="156"/>
      <c r="D68" s="8">
        <v>45288</v>
      </c>
      <c r="E68" s="8">
        <v>45777</v>
      </c>
      <c r="F68" s="5" t="s">
        <v>21</v>
      </c>
      <c r="G68" s="8">
        <v>45777</v>
      </c>
      <c r="H68" s="5" t="s">
        <v>46</v>
      </c>
      <c r="I68" s="5" t="s">
        <v>278</v>
      </c>
      <c r="J68" s="3" t="s">
        <v>24</v>
      </c>
      <c r="K68" s="12">
        <v>1196665</v>
      </c>
      <c r="L68" s="3" t="s">
        <v>200</v>
      </c>
      <c r="M68" s="3" t="s">
        <v>45</v>
      </c>
      <c r="N68" s="7">
        <v>90000</v>
      </c>
      <c r="O68" s="7">
        <v>90000</v>
      </c>
      <c r="P68" s="7">
        <v>0</v>
      </c>
      <c r="Q68" s="69" t="s">
        <v>27</v>
      </c>
    </row>
    <row r="69" spans="1:17" ht="33.75" customHeight="1" x14ac:dyDescent="0.25">
      <c r="A69" s="12">
        <v>78217</v>
      </c>
      <c r="B69" s="156" t="s">
        <v>235</v>
      </c>
      <c r="C69" s="144" t="s">
        <v>236</v>
      </c>
      <c r="D69" s="8">
        <v>45274</v>
      </c>
      <c r="E69" s="8">
        <v>45747</v>
      </c>
      <c r="F69" s="5" t="s">
        <v>19</v>
      </c>
      <c r="G69" s="4">
        <v>46112</v>
      </c>
      <c r="H69" s="5" t="s">
        <v>46</v>
      </c>
      <c r="I69" s="5" t="s">
        <v>237</v>
      </c>
      <c r="J69" s="3" t="s">
        <v>24</v>
      </c>
      <c r="K69" s="12">
        <v>7201193</v>
      </c>
      <c r="L69" s="5" t="s">
        <v>192</v>
      </c>
      <c r="M69" s="3" t="s">
        <v>45</v>
      </c>
      <c r="N69" s="7">
        <v>105000</v>
      </c>
      <c r="O69" s="7">
        <v>210000</v>
      </c>
      <c r="P69" s="7">
        <v>0</v>
      </c>
      <c r="Q69" s="69" t="s">
        <v>27</v>
      </c>
    </row>
    <row r="70" spans="1:17" ht="33.75" customHeight="1" x14ac:dyDescent="0.25">
      <c r="A70" s="12">
        <v>78219</v>
      </c>
      <c r="B70" s="156" t="s">
        <v>197</v>
      </c>
      <c r="C70" s="144" t="s">
        <v>198</v>
      </c>
      <c r="D70" s="8">
        <v>45306</v>
      </c>
      <c r="E70" s="8">
        <v>45747</v>
      </c>
      <c r="F70" s="5" t="s">
        <v>21</v>
      </c>
      <c r="G70" s="8">
        <v>45747</v>
      </c>
      <c r="H70" s="5" t="s">
        <v>46</v>
      </c>
      <c r="I70" s="5" t="s">
        <v>199</v>
      </c>
      <c r="J70" s="3" t="s">
        <v>24</v>
      </c>
      <c r="K70" s="12">
        <v>7432947</v>
      </c>
      <c r="L70" s="3" t="s">
        <v>200</v>
      </c>
      <c r="M70" s="3" t="s">
        <v>45</v>
      </c>
      <c r="N70" s="7">
        <v>334119.56</v>
      </c>
      <c r="O70" s="7">
        <v>445492.75</v>
      </c>
      <c r="P70" s="7">
        <v>0</v>
      </c>
      <c r="Q70" s="69" t="s">
        <v>27</v>
      </c>
    </row>
    <row r="71" spans="1:17" ht="33.75" customHeight="1" x14ac:dyDescent="0.25">
      <c r="A71" s="5">
        <v>78377</v>
      </c>
      <c r="B71" s="156" t="s">
        <v>185</v>
      </c>
      <c r="C71" s="156" t="s">
        <v>186</v>
      </c>
      <c r="D71" s="8">
        <v>45293</v>
      </c>
      <c r="E71" s="8">
        <v>45747</v>
      </c>
      <c r="F71" s="5" t="s">
        <v>21</v>
      </c>
      <c r="G71" s="8">
        <v>45747</v>
      </c>
      <c r="H71" s="5" t="s">
        <v>46</v>
      </c>
      <c r="I71" s="5" t="s">
        <v>187</v>
      </c>
      <c r="J71" s="3" t="s">
        <v>24</v>
      </c>
      <c r="K71" s="12">
        <v>4726302</v>
      </c>
      <c r="L71" s="5" t="s">
        <v>44</v>
      </c>
      <c r="M71" s="3" t="s">
        <v>45</v>
      </c>
      <c r="N71" s="7">
        <v>188750</v>
      </c>
      <c r="O71" s="7">
        <v>188750</v>
      </c>
      <c r="P71" s="7">
        <v>0</v>
      </c>
      <c r="Q71" s="69" t="s">
        <v>27</v>
      </c>
    </row>
    <row r="72" spans="1:17" ht="33.75" customHeight="1" x14ac:dyDescent="0.25">
      <c r="A72" s="5">
        <v>79193</v>
      </c>
      <c r="B72" s="156" t="s">
        <v>244</v>
      </c>
      <c r="C72" s="144" t="s">
        <v>245</v>
      </c>
      <c r="D72" s="4">
        <v>45383</v>
      </c>
      <c r="E72" s="4">
        <v>45747</v>
      </c>
      <c r="F72" s="5" t="s">
        <v>19</v>
      </c>
      <c r="G72" s="4">
        <v>46477</v>
      </c>
      <c r="H72" s="5" t="s">
        <v>46</v>
      </c>
      <c r="I72" s="5" t="s">
        <v>246</v>
      </c>
      <c r="J72" s="5"/>
      <c r="K72" s="12" t="s">
        <v>247</v>
      </c>
      <c r="L72" s="5" t="s">
        <v>131</v>
      </c>
      <c r="M72" s="10" t="s">
        <v>40</v>
      </c>
      <c r="N72" s="7">
        <v>430800</v>
      </c>
      <c r="O72" s="7">
        <v>500000</v>
      </c>
      <c r="P72" s="7">
        <v>0</v>
      </c>
      <c r="Q72" s="69" t="s">
        <v>27</v>
      </c>
    </row>
    <row r="73" spans="1:17" ht="33.75" customHeight="1" x14ac:dyDescent="0.25">
      <c r="A73" s="12">
        <v>79588</v>
      </c>
      <c r="B73" s="156" t="s">
        <v>201</v>
      </c>
      <c r="C73" s="156" t="s">
        <v>202</v>
      </c>
      <c r="D73" s="8">
        <v>45299</v>
      </c>
      <c r="E73" s="8">
        <v>45747</v>
      </c>
      <c r="F73" s="5" t="s">
        <v>23</v>
      </c>
      <c r="G73" s="4">
        <v>45747</v>
      </c>
      <c r="H73" s="5" t="s">
        <v>46</v>
      </c>
      <c r="I73" s="5" t="s">
        <v>203</v>
      </c>
      <c r="J73" s="3" t="s">
        <v>24</v>
      </c>
      <c r="K73" s="12">
        <v>10971918</v>
      </c>
      <c r="L73" s="5" t="s">
        <v>44</v>
      </c>
      <c r="M73" s="3" t="s">
        <v>45</v>
      </c>
      <c r="N73" s="7">
        <v>65000</v>
      </c>
      <c r="O73" s="7">
        <v>65000</v>
      </c>
      <c r="P73" s="7">
        <v>0</v>
      </c>
      <c r="Q73" s="69" t="s">
        <v>27</v>
      </c>
    </row>
    <row r="74" spans="1:17" ht="33.75" customHeight="1" x14ac:dyDescent="0.25">
      <c r="A74" s="5">
        <v>84180</v>
      </c>
      <c r="B74" s="156" t="s">
        <v>1044</v>
      </c>
      <c r="C74" s="144" t="s">
        <v>1045</v>
      </c>
      <c r="D74" s="4">
        <v>45586</v>
      </c>
      <c r="E74" s="4">
        <v>46477</v>
      </c>
      <c r="F74" s="5" t="s">
        <v>102</v>
      </c>
      <c r="G74" s="4">
        <v>46477</v>
      </c>
      <c r="H74" s="5" t="s">
        <v>46</v>
      </c>
      <c r="I74" s="5" t="s">
        <v>1046</v>
      </c>
      <c r="J74" s="10" t="s">
        <v>67</v>
      </c>
      <c r="K74" s="12">
        <v>1883830</v>
      </c>
      <c r="L74" s="5" t="s">
        <v>52</v>
      </c>
      <c r="M74" s="10" t="s">
        <v>53</v>
      </c>
      <c r="N74" s="7">
        <v>74072.800000000003</v>
      </c>
      <c r="O74" s="7">
        <v>185182</v>
      </c>
      <c r="P74" s="7">
        <v>0</v>
      </c>
      <c r="Q74" s="69" t="s">
        <v>27</v>
      </c>
    </row>
    <row r="75" spans="1:17" ht="33.75" customHeight="1" x14ac:dyDescent="0.25">
      <c r="A75" s="5">
        <v>84911</v>
      </c>
      <c r="B75" s="156" t="s">
        <v>911</v>
      </c>
      <c r="C75" s="144" t="s">
        <v>912</v>
      </c>
      <c r="D75" s="4">
        <v>45554</v>
      </c>
      <c r="E75" s="4">
        <v>46112</v>
      </c>
      <c r="F75" s="5" t="s">
        <v>19</v>
      </c>
      <c r="G75" s="4">
        <v>46295</v>
      </c>
      <c r="H75" s="5" t="s">
        <v>46</v>
      </c>
      <c r="I75" s="5" t="s">
        <v>913</v>
      </c>
      <c r="J75" s="5" t="s">
        <v>24</v>
      </c>
      <c r="K75" s="12" t="s">
        <v>914</v>
      </c>
      <c r="L75" s="5" t="s">
        <v>44</v>
      </c>
      <c r="M75" s="10" t="s">
        <v>45</v>
      </c>
      <c r="N75" s="7">
        <v>168075</v>
      </c>
      <c r="O75" s="7">
        <v>224100</v>
      </c>
      <c r="P75" s="7">
        <v>0</v>
      </c>
      <c r="Q75" s="69" t="s">
        <v>27</v>
      </c>
    </row>
    <row r="76" spans="1:17" ht="33.75" customHeight="1" x14ac:dyDescent="0.25">
      <c r="A76" s="12" t="s">
        <v>296</v>
      </c>
      <c r="B76" s="156" t="s">
        <v>150</v>
      </c>
      <c r="C76" s="144" t="s">
        <v>297</v>
      </c>
      <c r="D76" s="8">
        <v>44703</v>
      </c>
      <c r="E76" s="8">
        <v>45801</v>
      </c>
      <c r="F76" s="5"/>
      <c r="G76" s="4"/>
      <c r="H76" s="5"/>
      <c r="I76" s="5" t="s">
        <v>298</v>
      </c>
      <c r="J76" s="3"/>
      <c r="K76" s="12">
        <v>2605399</v>
      </c>
      <c r="L76" s="5" t="s">
        <v>153</v>
      </c>
      <c r="M76" s="3" t="s">
        <v>74</v>
      </c>
      <c r="N76" s="7">
        <v>10898</v>
      </c>
      <c r="O76" s="7"/>
      <c r="P76" s="7">
        <v>0</v>
      </c>
      <c r="Q76" s="69" t="s">
        <v>299</v>
      </c>
    </row>
    <row r="77" spans="1:17" ht="33.75" customHeight="1" x14ac:dyDescent="0.25">
      <c r="A77" s="12" t="s">
        <v>300</v>
      </c>
      <c r="B77" s="156" t="s">
        <v>150</v>
      </c>
      <c r="C77" s="144" t="s">
        <v>301</v>
      </c>
      <c r="D77" s="8">
        <v>44703</v>
      </c>
      <c r="E77" s="8">
        <v>45801</v>
      </c>
      <c r="F77" s="5"/>
      <c r="G77" s="4"/>
      <c r="H77" s="5"/>
      <c r="I77" s="5" t="s">
        <v>298</v>
      </c>
      <c r="J77" s="3"/>
      <c r="K77" s="12">
        <v>2605399</v>
      </c>
      <c r="L77" s="5" t="s">
        <v>153</v>
      </c>
      <c r="M77" s="3" t="s">
        <v>74</v>
      </c>
      <c r="N77" s="7">
        <v>19080</v>
      </c>
      <c r="O77" s="7"/>
      <c r="P77" s="7">
        <v>0</v>
      </c>
      <c r="Q77" s="69" t="s">
        <v>27</v>
      </c>
    </row>
    <row r="78" spans="1:17" ht="33.75" customHeight="1" x14ac:dyDescent="0.25">
      <c r="A78" s="12" t="s">
        <v>302</v>
      </c>
      <c r="B78" s="156" t="s">
        <v>150</v>
      </c>
      <c r="C78" s="144" t="s">
        <v>301</v>
      </c>
      <c r="D78" s="8">
        <v>44703</v>
      </c>
      <c r="E78" s="8">
        <v>45801</v>
      </c>
      <c r="F78" s="5"/>
      <c r="G78" s="4"/>
      <c r="H78" s="5"/>
      <c r="I78" s="5" t="s">
        <v>298</v>
      </c>
      <c r="J78" s="3"/>
      <c r="K78" s="12">
        <v>2605399</v>
      </c>
      <c r="L78" s="5" t="s">
        <v>153</v>
      </c>
      <c r="M78" s="3" t="s">
        <v>74</v>
      </c>
      <c r="N78" s="7">
        <v>4956</v>
      </c>
      <c r="O78" s="7"/>
      <c r="P78" s="7">
        <v>0</v>
      </c>
      <c r="Q78" s="69" t="s">
        <v>27</v>
      </c>
    </row>
    <row r="79" spans="1:17" ht="33.75" customHeight="1" x14ac:dyDescent="0.25">
      <c r="A79" s="12" t="s">
        <v>303</v>
      </c>
      <c r="B79" s="156" t="s">
        <v>150</v>
      </c>
      <c r="C79" s="144" t="s">
        <v>304</v>
      </c>
      <c r="D79" s="8">
        <v>44703</v>
      </c>
      <c r="E79" s="8">
        <v>45801</v>
      </c>
      <c r="F79" s="5"/>
      <c r="G79" s="4"/>
      <c r="H79" s="5"/>
      <c r="I79" s="5" t="s">
        <v>298</v>
      </c>
      <c r="J79" s="3"/>
      <c r="K79" s="12">
        <v>2605399</v>
      </c>
      <c r="L79" s="5" t="s">
        <v>153</v>
      </c>
      <c r="M79" s="3" t="s">
        <v>74</v>
      </c>
      <c r="N79" s="7">
        <v>8861</v>
      </c>
      <c r="O79" s="7"/>
      <c r="P79" s="7">
        <v>0</v>
      </c>
      <c r="Q79" s="69" t="s">
        <v>27</v>
      </c>
    </row>
    <row r="80" spans="1:17" ht="33.75" customHeight="1" x14ac:dyDescent="0.25">
      <c r="A80" s="12" t="s">
        <v>305</v>
      </c>
      <c r="B80" s="156" t="s">
        <v>150</v>
      </c>
      <c r="C80" s="144" t="s">
        <v>306</v>
      </c>
      <c r="D80" s="8">
        <v>44703</v>
      </c>
      <c r="E80" s="8">
        <v>45801</v>
      </c>
      <c r="F80" s="5"/>
      <c r="G80" s="4"/>
      <c r="H80" s="5"/>
      <c r="I80" s="5" t="s">
        <v>298</v>
      </c>
      <c r="J80" s="3"/>
      <c r="K80" s="12">
        <v>2605399</v>
      </c>
      <c r="L80" s="5" t="s">
        <v>153</v>
      </c>
      <c r="M80" s="3" t="s">
        <v>74</v>
      </c>
      <c r="N80" s="7">
        <v>81316</v>
      </c>
      <c r="O80" s="7"/>
      <c r="P80" s="7">
        <v>0</v>
      </c>
      <c r="Q80" s="69" t="s">
        <v>27</v>
      </c>
    </row>
    <row r="81" spans="1:17" ht="33.75" customHeight="1" x14ac:dyDescent="0.25">
      <c r="A81" s="12" t="s">
        <v>307</v>
      </c>
      <c r="B81" s="156" t="s">
        <v>150</v>
      </c>
      <c r="C81" s="144" t="s">
        <v>306</v>
      </c>
      <c r="D81" s="8">
        <v>44703</v>
      </c>
      <c r="E81" s="8">
        <v>45801</v>
      </c>
      <c r="F81" s="5"/>
      <c r="G81" s="4"/>
      <c r="H81" s="5"/>
      <c r="I81" s="5" t="s">
        <v>298</v>
      </c>
      <c r="J81" s="3"/>
      <c r="K81" s="12">
        <v>2605399</v>
      </c>
      <c r="L81" s="5" t="s">
        <v>153</v>
      </c>
      <c r="M81" s="3" t="s">
        <v>74</v>
      </c>
      <c r="N81" s="7">
        <v>33163</v>
      </c>
      <c r="O81" s="7"/>
      <c r="P81" s="7">
        <v>0</v>
      </c>
      <c r="Q81" s="69" t="s">
        <v>27</v>
      </c>
    </row>
    <row r="82" spans="1:17" ht="33.75" customHeight="1" x14ac:dyDescent="0.25">
      <c r="A82" s="12" t="s">
        <v>308</v>
      </c>
      <c r="B82" s="156" t="s">
        <v>150</v>
      </c>
      <c r="C82" s="144" t="s">
        <v>306</v>
      </c>
      <c r="D82" s="8">
        <v>44703</v>
      </c>
      <c r="E82" s="8">
        <v>45801</v>
      </c>
      <c r="F82" s="5"/>
      <c r="G82" s="4"/>
      <c r="H82" s="5"/>
      <c r="I82" s="5" t="s">
        <v>298</v>
      </c>
      <c r="J82" s="3"/>
      <c r="K82" s="12">
        <v>2605399</v>
      </c>
      <c r="L82" s="5" t="s">
        <v>153</v>
      </c>
      <c r="M82" s="3" t="s">
        <v>74</v>
      </c>
      <c r="N82" s="7">
        <v>19785</v>
      </c>
      <c r="O82" s="7"/>
      <c r="P82" s="7">
        <v>0</v>
      </c>
      <c r="Q82" s="69" t="s">
        <v>27</v>
      </c>
    </row>
    <row r="83" spans="1:17" ht="33.75" customHeight="1" x14ac:dyDescent="0.25">
      <c r="A83" s="12" t="s">
        <v>309</v>
      </c>
      <c r="B83" s="156" t="s">
        <v>150</v>
      </c>
      <c r="C83" s="144" t="s">
        <v>310</v>
      </c>
      <c r="D83" s="8">
        <v>44703</v>
      </c>
      <c r="E83" s="8">
        <v>45801</v>
      </c>
      <c r="F83" s="5"/>
      <c r="G83" s="4"/>
      <c r="H83" s="5"/>
      <c r="I83" s="5" t="s">
        <v>298</v>
      </c>
      <c r="J83" s="3"/>
      <c r="K83" s="12">
        <v>2605399</v>
      </c>
      <c r="L83" s="5" t="s">
        <v>153</v>
      </c>
      <c r="M83" s="3" t="s">
        <v>74</v>
      </c>
      <c r="N83" s="7">
        <v>146034</v>
      </c>
      <c r="O83" s="7"/>
      <c r="P83" s="7">
        <v>0</v>
      </c>
      <c r="Q83" s="69" t="s">
        <v>27</v>
      </c>
    </row>
    <row r="84" spans="1:17" ht="33.75" customHeight="1" x14ac:dyDescent="0.25">
      <c r="A84" s="12" t="s">
        <v>311</v>
      </c>
      <c r="B84" s="156" t="s">
        <v>150</v>
      </c>
      <c r="C84" s="144" t="s">
        <v>312</v>
      </c>
      <c r="D84" s="8">
        <v>44703</v>
      </c>
      <c r="E84" s="8">
        <v>45801</v>
      </c>
      <c r="F84" s="5"/>
      <c r="G84" s="4"/>
      <c r="H84" s="5"/>
      <c r="I84" s="5" t="s">
        <v>298</v>
      </c>
      <c r="J84" s="3"/>
      <c r="K84" s="12">
        <v>2605399</v>
      </c>
      <c r="L84" s="5" t="s">
        <v>153</v>
      </c>
      <c r="M84" s="3" t="s">
        <v>74</v>
      </c>
      <c r="N84" s="7">
        <v>61047</v>
      </c>
      <c r="O84" s="7"/>
      <c r="P84" s="7">
        <v>0</v>
      </c>
      <c r="Q84" s="69" t="s">
        <v>27</v>
      </c>
    </row>
    <row r="85" spans="1:17" ht="33.75" customHeight="1" x14ac:dyDescent="0.25">
      <c r="A85" s="12" t="s">
        <v>313</v>
      </c>
      <c r="B85" s="156" t="s">
        <v>150</v>
      </c>
      <c r="C85" s="144" t="s">
        <v>297</v>
      </c>
      <c r="D85" s="8">
        <v>44703</v>
      </c>
      <c r="E85" s="8">
        <v>45801</v>
      </c>
      <c r="F85" s="5"/>
      <c r="G85" s="4"/>
      <c r="H85" s="5"/>
      <c r="I85" s="5" t="s">
        <v>298</v>
      </c>
      <c r="J85" s="3"/>
      <c r="K85" s="12">
        <v>2605399</v>
      </c>
      <c r="L85" s="5" t="s">
        <v>153</v>
      </c>
      <c r="M85" s="3" t="s">
        <v>74</v>
      </c>
      <c r="N85" s="7">
        <v>3852</v>
      </c>
      <c r="O85" s="7"/>
      <c r="P85" s="7">
        <v>0</v>
      </c>
      <c r="Q85" s="69" t="s">
        <v>299</v>
      </c>
    </row>
    <row r="86" spans="1:17" ht="33.75" customHeight="1" x14ac:dyDescent="0.25">
      <c r="A86" s="12" t="s">
        <v>314</v>
      </c>
      <c r="B86" s="156" t="s">
        <v>150</v>
      </c>
      <c r="C86" s="144" t="s">
        <v>315</v>
      </c>
      <c r="D86" s="8">
        <v>44703</v>
      </c>
      <c r="E86" s="8">
        <v>45801</v>
      </c>
      <c r="F86" s="5"/>
      <c r="G86" s="4"/>
      <c r="H86" s="5"/>
      <c r="I86" s="5" t="s">
        <v>298</v>
      </c>
      <c r="J86" s="3"/>
      <c r="K86" s="12">
        <v>2605399</v>
      </c>
      <c r="L86" s="5" t="s">
        <v>153</v>
      </c>
      <c r="M86" s="3" t="s">
        <v>74</v>
      </c>
      <c r="N86" s="7">
        <v>17497</v>
      </c>
      <c r="O86" s="7"/>
      <c r="P86" s="7">
        <v>0</v>
      </c>
      <c r="Q86" s="69" t="s">
        <v>27</v>
      </c>
    </row>
    <row r="87" spans="1:17" ht="33.75" customHeight="1" x14ac:dyDescent="0.25">
      <c r="A87" s="12" t="s">
        <v>316</v>
      </c>
      <c r="B87" s="156" t="s">
        <v>150</v>
      </c>
      <c r="C87" s="144" t="s">
        <v>315</v>
      </c>
      <c r="D87" s="8">
        <v>44703</v>
      </c>
      <c r="E87" s="8">
        <v>45801</v>
      </c>
      <c r="F87" s="5"/>
      <c r="G87" s="4"/>
      <c r="H87" s="5"/>
      <c r="I87" s="5" t="s">
        <v>298</v>
      </c>
      <c r="J87" s="3"/>
      <c r="K87" s="12">
        <v>2605399</v>
      </c>
      <c r="L87" s="5" t="s">
        <v>153</v>
      </c>
      <c r="M87" s="3" t="s">
        <v>74</v>
      </c>
      <c r="N87" s="7">
        <v>10560</v>
      </c>
      <c r="O87" s="7"/>
      <c r="P87" s="7">
        <v>0</v>
      </c>
      <c r="Q87" s="69" t="s">
        <v>27</v>
      </c>
    </row>
    <row r="88" spans="1:17" ht="33.75" customHeight="1" x14ac:dyDescent="0.25">
      <c r="A88" s="12" t="s">
        <v>317</v>
      </c>
      <c r="B88" s="156" t="s">
        <v>150</v>
      </c>
      <c r="C88" s="144" t="s">
        <v>318</v>
      </c>
      <c r="D88" s="8">
        <v>44703</v>
      </c>
      <c r="E88" s="8">
        <v>45801</v>
      </c>
      <c r="F88" s="5"/>
      <c r="G88" s="4"/>
      <c r="H88" s="5"/>
      <c r="I88" s="5" t="s">
        <v>298</v>
      </c>
      <c r="J88" s="3"/>
      <c r="K88" s="12">
        <v>2605399</v>
      </c>
      <c r="L88" s="5" t="s">
        <v>153</v>
      </c>
      <c r="M88" s="3" t="s">
        <v>74</v>
      </c>
      <c r="N88" s="7">
        <v>18722</v>
      </c>
      <c r="O88" s="7"/>
      <c r="P88" s="7">
        <v>0</v>
      </c>
      <c r="Q88" s="69" t="s">
        <v>27</v>
      </c>
    </row>
    <row r="89" spans="1:17" ht="33.75" customHeight="1" x14ac:dyDescent="0.25">
      <c r="A89" s="12" t="s">
        <v>319</v>
      </c>
      <c r="B89" s="156" t="s">
        <v>150</v>
      </c>
      <c r="C89" s="144" t="s">
        <v>318</v>
      </c>
      <c r="D89" s="8">
        <v>44703</v>
      </c>
      <c r="E89" s="8">
        <v>45801</v>
      </c>
      <c r="F89" s="5"/>
      <c r="G89" s="4"/>
      <c r="H89" s="5"/>
      <c r="I89" s="5" t="s">
        <v>298</v>
      </c>
      <c r="J89" s="3"/>
      <c r="K89" s="12">
        <v>2605399</v>
      </c>
      <c r="L89" s="5" t="s">
        <v>153</v>
      </c>
      <c r="M89" s="3" t="s">
        <v>74</v>
      </c>
      <c r="N89" s="7">
        <v>4177</v>
      </c>
      <c r="O89" s="7"/>
      <c r="P89" s="7">
        <v>0</v>
      </c>
      <c r="Q89" s="69" t="s">
        <v>27</v>
      </c>
    </row>
    <row r="90" spans="1:17" ht="33.75" customHeight="1" x14ac:dyDescent="0.25">
      <c r="A90" s="12" t="s">
        <v>320</v>
      </c>
      <c r="B90" s="156" t="s">
        <v>150</v>
      </c>
      <c r="C90" s="144" t="s">
        <v>321</v>
      </c>
      <c r="D90" s="8">
        <v>44703</v>
      </c>
      <c r="E90" s="8">
        <v>45801</v>
      </c>
      <c r="F90" s="5"/>
      <c r="G90" s="4"/>
      <c r="H90" s="5"/>
      <c r="I90" s="5" t="s">
        <v>298</v>
      </c>
      <c r="J90" s="3"/>
      <c r="K90" s="12">
        <v>2605399</v>
      </c>
      <c r="L90" s="5" t="s">
        <v>153</v>
      </c>
      <c r="M90" s="3" t="s">
        <v>74</v>
      </c>
      <c r="N90" s="7">
        <v>4763</v>
      </c>
      <c r="O90" s="7"/>
      <c r="P90" s="7">
        <v>0</v>
      </c>
      <c r="Q90" s="69" t="s">
        <v>27</v>
      </c>
    </row>
    <row r="91" spans="1:17" ht="33.75" customHeight="1" x14ac:dyDescent="0.25">
      <c r="A91" s="12" t="s">
        <v>322</v>
      </c>
      <c r="B91" s="156" t="s">
        <v>150</v>
      </c>
      <c r="C91" s="144" t="s">
        <v>321</v>
      </c>
      <c r="D91" s="8">
        <v>44703</v>
      </c>
      <c r="E91" s="8">
        <v>45801</v>
      </c>
      <c r="F91" s="5"/>
      <c r="G91" s="4"/>
      <c r="H91" s="5"/>
      <c r="I91" s="5" t="s">
        <v>298</v>
      </c>
      <c r="J91" s="3"/>
      <c r="K91" s="12">
        <v>2605399</v>
      </c>
      <c r="L91" s="5" t="s">
        <v>153</v>
      </c>
      <c r="M91" s="3" t="s">
        <v>74</v>
      </c>
      <c r="N91" s="7">
        <v>7956</v>
      </c>
      <c r="O91" s="7"/>
      <c r="P91" s="7">
        <v>0</v>
      </c>
      <c r="Q91" s="69" t="s">
        <v>27</v>
      </c>
    </row>
    <row r="92" spans="1:17" ht="33.75" customHeight="1" x14ac:dyDescent="0.25">
      <c r="A92" s="12" t="s">
        <v>323</v>
      </c>
      <c r="B92" s="156" t="s">
        <v>150</v>
      </c>
      <c r="C92" s="144" t="s">
        <v>324</v>
      </c>
      <c r="D92" s="8">
        <v>44703</v>
      </c>
      <c r="E92" s="8">
        <v>45801</v>
      </c>
      <c r="F92" s="5"/>
      <c r="G92" s="4"/>
      <c r="H92" s="5"/>
      <c r="I92" s="5" t="s">
        <v>298</v>
      </c>
      <c r="J92" s="3"/>
      <c r="K92" s="12">
        <v>2605399</v>
      </c>
      <c r="L92" s="5" t="s">
        <v>153</v>
      </c>
      <c r="M92" s="3" t="s">
        <v>74</v>
      </c>
      <c r="N92" s="7">
        <v>11353</v>
      </c>
      <c r="O92" s="7"/>
      <c r="P92" s="7">
        <v>0</v>
      </c>
      <c r="Q92" s="69" t="s">
        <v>27</v>
      </c>
    </row>
    <row r="93" spans="1:17" ht="33.75" customHeight="1" x14ac:dyDescent="0.25">
      <c r="A93" s="12" t="s">
        <v>325</v>
      </c>
      <c r="B93" s="156" t="s">
        <v>150</v>
      </c>
      <c r="C93" s="144" t="s">
        <v>326</v>
      </c>
      <c r="D93" s="8">
        <v>43240</v>
      </c>
      <c r="E93" s="8">
        <v>45801</v>
      </c>
      <c r="F93" s="5"/>
      <c r="G93" s="4"/>
      <c r="H93" s="5"/>
      <c r="I93" s="5" t="s">
        <v>298</v>
      </c>
      <c r="J93" s="3"/>
      <c r="K93" s="12">
        <v>2605399</v>
      </c>
      <c r="L93" s="5" t="s">
        <v>153</v>
      </c>
      <c r="M93" s="3" t="s">
        <v>74</v>
      </c>
      <c r="N93" s="7">
        <v>47793</v>
      </c>
      <c r="O93" s="7"/>
      <c r="P93" s="7">
        <v>0</v>
      </c>
      <c r="Q93" s="69" t="s">
        <v>27</v>
      </c>
    </row>
    <row r="94" spans="1:17" ht="33.75" customHeight="1" x14ac:dyDescent="0.25">
      <c r="A94" s="12" t="s">
        <v>327</v>
      </c>
      <c r="B94" s="156" t="s">
        <v>150</v>
      </c>
      <c r="C94" s="144" t="s">
        <v>328</v>
      </c>
      <c r="D94" s="8">
        <v>43240</v>
      </c>
      <c r="E94" s="8">
        <v>45801</v>
      </c>
      <c r="F94" s="5"/>
      <c r="G94" s="4"/>
      <c r="H94" s="5"/>
      <c r="I94" s="5" t="s">
        <v>298</v>
      </c>
      <c r="J94" s="3"/>
      <c r="K94" s="12">
        <v>2605399</v>
      </c>
      <c r="L94" s="5" t="s">
        <v>153</v>
      </c>
      <c r="M94" s="3" t="s">
        <v>74</v>
      </c>
      <c r="N94" s="7">
        <v>27966</v>
      </c>
      <c r="O94" s="7"/>
      <c r="P94" s="7">
        <v>0</v>
      </c>
      <c r="Q94" s="69" t="s">
        <v>27</v>
      </c>
    </row>
    <row r="95" spans="1:17" ht="33.75" customHeight="1" x14ac:dyDescent="0.25">
      <c r="A95" s="12" t="s">
        <v>329</v>
      </c>
      <c r="B95" s="156" t="s">
        <v>150</v>
      </c>
      <c r="C95" s="144" t="s">
        <v>330</v>
      </c>
      <c r="D95" s="8">
        <v>43240</v>
      </c>
      <c r="E95" s="8">
        <v>45801</v>
      </c>
      <c r="F95" s="5"/>
      <c r="G95" s="4"/>
      <c r="H95" s="5"/>
      <c r="I95" s="5" t="s">
        <v>298</v>
      </c>
      <c r="J95" s="3"/>
      <c r="K95" s="12">
        <v>2605399</v>
      </c>
      <c r="L95" s="5" t="s">
        <v>153</v>
      </c>
      <c r="M95" s="3" t="s">
        <v>74</v>
      </c>
      <c r="N95" s="7">
        <v>27065</v>
      </c>
      <c r="O95" s="7"/>
      <c r="P95" s="7">
        <v>0</v>
      </c>
      <c r="Q95" s="69" t="s">
        <v>27</v>
      </c>
    </row>
    <row r="96" spans="1:17" ht="33.75" customHeight="1" x14ac:dyDescent="0.25">
      <c r="A96" s="12" t="s">
        <v>331</v>
      </c>
      <c r="B96" s="156" t="s">
        <v>150</v>
      </c>
      <c r="C96" s="144" t="s">
        <v>332</v>
      </c>
      <c r="D96" s="8">
        <v>43240</v>
      </c>
      <c r="E96" s="8">
        <v>45801</v>
      </c>
      <c r="F96" s="5"/>
      <c r="G96" s="4"/>
      <c r="H96" s="5"/>
      <c r="I96" s="5" t="s">
        <v>298</v>
      </c>
      <c r="J96" s="3"/>
      <c r="K96" s="12">
        <v>2605399</v>
      </c>
      <c r="L96" s="5" t="s">
        <v>153</v>
      </c>
      <c r="M96" s="3" t="s">
        <v>74</v>
      </c>
      <c r="N96" s="7">
        <v>52486</v>
      </c>
      <c r="O96" s="7"/>
      <c r="P96" s="7">
        <v>0</v>
      </c>
      <c r="Q96" s="69" t="s">
        <v>27</v>
      </c>
    </row>
    <row r="97" spans="1:17" ht="33.75" customHeight="1" x14ac:dyDescent="0.25">
      <c r="A97" s="12" t="s">
        <v>333</v>
      </c>
      <c r="B97" s="156" t="s">
        <v>150</v>
      </c>
      <c r="C97" s="144" t="s">
        <v>334</v>
      </c>
      <c r="D97" s="8">
        <v>43240</v>
      </c>
      <c r="E97" s="8">
        <v>45801</v>
      </c>
      <c r="F97" s="5"/>
      <c r="G97" s="4"/>
      <c r="H97" s="5"/>
      <c r="I97" s="5" t="s">
        <v>298</v>
      </c>
      <c r="J97" s="3"/>
      <c r="K97" s="12">
        <v>2605399</v>
      </c>
      <c r="L97" s="5" t="s">
        <v>153</v>
      </c>
      <c r="M97" s="3" t="s">
        <v>74</v>
      </c>
      <c r="N97" s="7">
        <v>95130</v>
      </c>
      <c r="O97" s="7"/>
      <c r="P97" s="7">
        <v>0</v>
      </c>
      <c r="Q97" s="69" t="s">
        <v>27</v>
      </c>
    </row>
    <row r="98" spans="1:17" ht="33.75" customHeight="1" x14ac:dyDescent="0.25">
      <c r="A98" s="12" t="s">
        <v>335</v>
      </c>
      <c r="B98" s="156" t="s">
        <v>150</v>
      </c>
      <c r="C98" s="144" t="s">
        <v>336</v>
      </c>
      <c r="D98" s="8">
        <v>43240</v>
      </c>
      <c r="E98" s="8">
        <v>45801</v>
      </c>
      <c r="F98" s="5"/>
      <c r="G98" s="4"/>
      <c r="H98" s="5"/>
      <c r="I98" s="5" t="s">
        <v>298</v>
      </c>
      <c r="J98" s="3"/>
      <c r="K98" s="12">
        <v>2605399</v>
      </c>
      <c r="L98" s="5" t="s">
        <v>153</v>
      </c>
      <c r="M98" s="3" t="s">
        <v>74</v>
      </c>
      <c r="N98" s="7">
        <v>118252</v>
      </c>
      <c r="O98" s="7"/>
      <c r="P98" s="7">
        <v>0</v>
      </c>
      <c r="Q98" s="69" t="s">
        <v>27</v>
      </c>
    </row>
    <row r="99" spans="1:17" ht="33.75" customHeight="1" x14ac:dyDescent="0.25">
      <c r="A99" s="5">
        <v>84911</v>
      </c>
      <c r="B99" s="156" t="s">
        <v>915</v>
      </c>
      <c r="C99" s="144" t="s">
        <v>912</v>
      </c>
      <c r="D99" s="4">
        <v>45580</v>
      </c>
      <c r="E99" s="4">
        <v>46112</v>
      </c>
      <c r="F99" s="5" t="s">
        <v>19</v>
      </c>
      <c r="G99" s="4">
        <v>46295</v>
      </c>
      <c r="H99" s="5" t="s">
        <v>46</v>
      </c>
      <c r="I99" s="5" t="s">
        <v>916</v>
      </c>
      <c r="J99" s="5" t="s">
        <v>23</v>
      </c>
      <c r="K99" s="12"/>
      <c r="L99" s="5" t="s">
        <v>44</v>
      </c>
      <c r="M99" s="10" t="s">
        <v>45</v>
      </c>
      <c r="N99" s="7">
        <v>78750</v>
      </c>
      <c r="O99" s="7">
        <v>105000</v>
      </c>
      <c r="P99" s="7">
        <v>0</v>
      </c>
      <c r="Q99" s="69" t="s">
        <v>27</v>
      </c>
    </row>
    <row r="100" spans="1:17" ht="33.75" customHeight="1" x14ac:dyDescent="0.25">
      <c r="A100" s="5">
        <v>84911</v>
      </c>
      <c r="B100" s="156" t="s">
        <v>917</v>
      </c>
      <c r="C100" s="144" t="s">
        <v>912</v>
      </c>
      <c r="D100" s="4">
        <v>45580</v>
      </c>
      <c r="E100" s="4">
        <v>46112</v>
      </c>
      <c r="F100" s="5" t="s">
        <v>19</v>
      </c>
      <c r="G100" s="4">
        <v>46295</v>
      </c>
      <c r="H100" s="5" t="s">
        <v>46</v>
      </c>
      <c r="I100" s="5" t="s">
        <v>916</v>
      </c>
      <c r="J100" s="5" t="s">
        <v>23</v>
      </c>
      <c r="K100" s="12"/>
      <c r="L100" s="5" t="s">
        <v>44</v>
      </c>
      <c r="M100" s="10" t="s">
        <v>45</v>
      </c>
      <c r="N100" s="7">
        <v>94500</v>
      </c>
      <c r="O100" s="7">
        <v>126000</v>
      </c>
      <c r="P100" s="7">
        <v>0</v>
      </c>
      <c r="Q100" s="69" t="s">
        <v>27</v>
      </c>
    </row>
    <row r="101" spans="1:17" ht="33.75" customHeight="1" x14ac:dyDescent="0.25">
      <c r="A101" s="5">
        <v>84911</v>
      </c>
      <c r="B101" s="156" t="s">
        <v>918</v>
      </c>
      <c r="C101" s="144" t="s">
        <v>912</v>
      </c>
      <c r="D101" s="4">
        <v>45554</v>
      </c>
      <c r="E101" s="4">
        <v>46112</v>
      </c>
      <c r="F101" s="5" t="s">
        <v>19</v>
      </c>
      <c r="G101" s="4">
        <v>46295</v>
      </c>
      <c r="H101" s="5" t="s">
        <v>46</v>
      </c>
      <c r="I101" s="5" t="s">
        <v>913</v>
      </c>
      <c r="J101" s="5" t="s">
        <v>24</v>
      </c>
      <c r="K101" s="12" t="s">
        <v>914</v>
      </c>
      <c r="L101" s="5" t="s">
        <v>44</v>
      </c>
      <c r="M101" s="10" t="s">
        <v>45</v>
      </c>
      <c r="N101" s="7">
        <v>50625</v>
      </c>
      <c r="O101" s="7">
        <v>67500</v>
      </c>
      <c r="P101" s="7">
        <v>0</v>
      </c>
      <c r="Q101" s="69" t="s">
        <v>27</v>
      </c>
    </row>
    <row r="102" spans="1:17" ht="33.75" customHeight="1" x14ac:dyDescent="0.25">
      <c r="A102" s="5">
        <v>84911</v>
      </c>
      <c r="B102" s="156" t="s">
        <v>919</v>
      </c>
      <c r="C102" s="144" t="s">
        <v>912</v>
      </c>
      <c r="D102" s="4">
        <v>45606</v>
      </c>
      <c r="E102" s="4">
        <v>46112</v>
      </c>
      <c r="F102" s="5" t="s">
        <v>19</v>
      </c>
      <c r="G102" s="4">
        <v>46295</v>
      </c>
      <c r="H102" s="5" t="s">
        <v>46</v>
      </c>
      <c r="I102" s="5" t="s">
        <v>916</v>
      </c>
      <c r="J102" s="5" t="s">
        <v>23</v>
      </c>
      <c r="K102" s="12"/>
      <c r="L102" s="5" t="s">
        <v>44</v>
      </c>
      <c r="M102" s="10" t="s">
        <v>45</v>
      </c>
      <c r="N102" s="7">
        <v>189000</v>
      </c>
      <c r="O102" s="7">
        <v>252000</v>
      </c>
      <c r="P102" s="7">
        <v>0</v>
      </c>
      <c r="Q102" s="69" t="s">
        <v>27</v>
      </c>
    </row>
    <row r="103" spans="1:17" ht="33.75" customHeight="1" x14ac:dyDescent="0.25">
      <c r="A103" s="5">
        <v>84911</v>
      </c>
      <c r="B103" s="156" t="s">
        <v>920</v>
      </c>
      <c r="C103" s="144" t="s">
        <v>912</v>
      </c>
      <c r="D103" s="4">
        <v>45593</v>
      </c>
      <c r="E103" s="4">
        <v>46112</v>
      </c>
      <c r="F103" s="5" t="s">
        <v>19</v>
      </c>
      <c r="G103" s="4">
        <v>46295</v>
      </c>
      <c r="H103" s="5" t="s">
        <v>46</v>
      </c>
      <c r="I103" s="5" t="s">
        <v>773</v>
      </c>
      <c r="J103" s="5" t="s">
        <v>24</v>
      </c>
      <c r="K103" s="12" t="s">
        <v>774</v>
      </c>
      <c r="L103" s="5" t="s">
        <v>44</v>
      </c>
      <c r="M103" s="10" t="s">
        <v>45</v>
      </c>
      <c r="N103" s="7">
        <v>191467.63</v>
      </c>
      <c r="O103" s="7">
        <v>255290.17</v>
      </c>
      <c r="P103" s="7">
        <v>0</v>
      </c>
      <c r="Q103" s="69" t="s">
        <v>27</v>
      </c>
    </row>
    <row r="104" spans="1:17" ht="33.75" customHeight="1" x14ac:dyDescent="0.25">
      <c r="A104" s="5">
        <v>84911</v>
      </c>
      <c r="B104" s="156" t="s">
        <v>921</v>
      </c>
      <c r="C104" s="144" t="s">
        <v>912</v>
      </c>
      <c r="D104" s="4">
        <v>45580</v>
      </c>
      <c r="E104" s="4">
        <v>46112</v>
      </c>
      <c r="F104" s="5" t="s">
        <v>19</v>
      </c>
      <c r="G104" s="4">
        <v>46295</v>
      </c>
      <c r="H104" s="5" t="s">
        <v>46</v>
      </c>
      <c r="I104" s="5" t="s">
        <v>922</v>
      </c>
      <c r="J104" s="5" t="s">
        <v>23</v>
      </c>
      <c r="K104" s="12" t="s">
        <v>234</v>
      </c>
      <c r="L104" s="5" t="s">
        <v>44</v>
      </c>
      <c r="M104" s="10" t="s">
        <v>45</v>
      </c>
      <c r="N104" s="7">
        <v>235434.32</v>
      </c>
      <c r="O104" s="7">
        <v>313912.42</v>
      </c>
      <c r="P104" s="7">
        <v>0</v>
      </c>
      <c r="Q104" s="69" t="s">
        <v>27</v>
      </c>
    </row>
    <row r="105" spans="1:17" ht="33.75" customHeight="1" x14ac:dyDescent="0.25">
      <c r="A105" s="5">
        <v>84911</v>
      </c>
      <c r="B105" s="156" t="s">
        <v>923</v>
      </c>
      <c r="C105" s="144" t="s">
        <v>912</v>
      </c>
      <c r="D105" s="4">
        <v>45606</v>
      </c>
      <c r="E105" s="4">
        <v>46112</v>
      </c>
      <c r="F105" s="5" t="s">
        <v>19</v>
      </c>
      <c r="G105" s="4">
        <v>46295</v>
      </c>
      <c r="H105" s="5" t="s">
        <v>46</v>
      </c>
      <c r="I105" s="5" t="s">
        <v>916</v>
      </c>
      <c r="J105" s="5" t="s">
        <v>23</v>
      </c>
      <c r="K105" s="12"/>
      <c r="L105" s="5" t="s">
        <v>44</v>
      </c>
      <c r="M105" s="10" t="s">
        <v>45</v>
      </c>
      <c r="N105" s="7">
        <v>54100.05</v>
      </c>
      <c r="O105" s="7">
        <v>72133.399999999994</v>
      </c>
      <c r="P105" s="7">
        <v>0</v>
      </c>
      <c r="Q105" s="69" t="s">
        <v>27</v>
      </c>
    </row>
    <row r="106" spans="1:17" ht="33.75" customHeight="1" x14ac:dyDescent="0.25">
      <c r="A106" s="5">
        <v>84911</v>
      </c>
      <c r="B106" s="156" t="s">
        <v>924</v>
      </c>
      <c r="C106" s="144" t="s">
        <v>912</v>
      </c>
      <c r="D106" s="4">
        <v>45606</v>
      </c>
      <c r="E106" s="4">
        <v>46112</v>
      </c>
      <c r="F106" s="5" t="s">
        <v>19</v>
      </c>
      <c r="G106" s="4">
        <v>46295</v>
      </c>
      <c r="H106" s="5" t="s">
        <v>46</v>
      </c>
      <c r="I106" s="5" t="s">
        <v>916</v>
      </c>
      <c r="J106" s="5" t="s">
        <v>23</v>
      </c>
      <c r="K106" s="12"/>
      <c r="L106" s="5" t="s">
        <v>44</v>
      </c>
      <c r="M106" s="10" t="s">
        <v>45</v>
      </c>
      <c r="N106" s="7">
        <v>44799.96</v>
      </c>
      <c r="O106" s="7">
        <v>59733.279999999999</v>
      </c>
      <c r="P106" s="7">
        <v>0</v>
      </c>
      <c r="Q106" s="69" t="s">
        <v>27</v>
      </c>
    </row>
    <row r="107" spans="1:17" ht="33.75" customHeight="1" x14ac:dyDescent="0.25">
      <c r="A107" s="5">
        <v>84911</v>
      </c>
      <c r="B107" s="156" t="s">
        <v>925</v>
      </c>
      <c r="C107" s="144" t="s">
        <v>912</v>
      </c>
      <c r="D107" s="4">
        <v>45606</v>
      </c>
      <c r="E107" s="4">
        <v>46112</v>
      </c>
      <c r="F107" s="5" t="s">
        <v>19</v>
      </c>
      <c r="G107" s="4">
        <v>46295</v>
      </c>
      <c r="H107" s="5" t="s">
        <v>46</v>
      </c>
      <c r="I107" s="5" t="s">
        <v>916</v>
      </c>
      <c r="J107" s="5" t="s">
        <v>23</v>
      </c>
      <c r="K107" s="12"/>
      <c r="L107" s="5" t="s">
        <v>44</v>
      </c>
      <c r="M107" s="10" t="s">
        <v>45</v>
      </c>
      <c r="N107" s="7">
        <v>63000</v>
      </c>
      <c r="O107" s="7">
        <v>84000</v>
      </c>
      <c r="P107" s="7">
        <v>0</v>
      </c>
      <c r="Q107" s="69" t="s">
        <v>27</v>
      </c>
    </row>
    <row r="108" spans="1:17" ht="33.75" customHeight="1" x14ac:dyDescent="0.25">
      <c r="A108" s="12" t="s">
        <v>378</v>
      </c>
      <c r="B108" s="156" t="s">
        <v>150</v>
      </c>
      <c r="C108" s="144" t="s">
        <v>379</v>
      </c>
      <c r="D108" s="8">
        <v>44766</v>
      </c>
      <c r="E108" s="8">
        <v>45864</v>
      </c>
      <c r="F108" s="5"/>
      <c r="G108" s="4"/>
      <c r="H108" s="5"/>
      <c r="I108" s="5" t="s">
        <v>152</v>
      </c>
      <c r="J108" s="3"/>
      <c r="K108" s="12"/>
      <c r="L108" s="5" t="s">
        <v>153</v>
      </c>
      <c r="M108" s="3" t="s">
        <v>74</v>
      </c>
      <c r="N108" s="7">
        <v>94471</v>
      </c>
      <c r="O108" s="7"/>
      <c r="P108" s="7">
        <v>0</v>
      </c>
      <c r="Q108" s="69" t="s">
        <v>27</v>
      </c>
    </row>
    <row r="109" spans="1:17" ht="33.75" customHeight="1" x14ac:dyDescent="0.25">
      <c r="A109" s="12" t="s">
        <v>380</v>
      </c>
      <c r="B109" s="156" t="s">
        <v>150</v>
      </c>
      <c r="C109" s="144" t="s">
        <v>381</v>
      </c>
      <c r="D109" s="8">
        <v>44766</v>
      </c>
      <c r="E109" s="8">
        <v>45864</v>
      </c>
      <c r="F109" s="5"/>
      <c r="G109" s="4"/>
      <c r="H109" s="5"/>
      <c r="I109" s="5" t="s">
        <v>152</v>
      </c>
      <c r="J109" s="3"/>
      <c r="K109" s="12"/>
      <c r="L109" s="5" t="s">
        <v>153</v>
      </c>
      <c r="M109" s="3" t="s">
        <v>74</v>
      </c>
      <c r="N109" s="7">
        <v>16521</v>
      </c>
      <c r="O109" s="7"/>
      <c r="P109" s="7">
        <v>0</v>
      </c>
      <c r="Q109" s="69" t="s">
        <v>27</v>
      </c>
    </row>
    <row r="110" spans="1:17" ht="33.75" customHeight="1" x14ac:dyDescent="0.25">
      <c r="A110" s="12" t="s">
        <v>382</v>
      </c>
      <c r="B110" s="156" t="s">
        <v>150</v>
      </c>
      <c r="C110" s="144" t="s">
        <v>383</v>
      </c>
      <c r="D110" s="8">
        <v>44766</v>
      </c>
      <c r="E110" s="8">
        <v>45864</v>
      </c>
      <c r="F110" s="5"/>
      <c r="G110" s="4"/>
      <c r="H110" s="5"/>
      <c r="I110" s="5" t="s">
        <v>152</v>
      </c>
      <c r="J110" s="3"/>
      <c r="K110" s="12"/>
      <c r="L110" s="5" t="s">
        <v>153</v>
      </c>
      <c r="M110" s="3" t="s">
        <v>74</v>
      </c>
      <c r="N110" s="7">
        <v>94756</v>
      </c>
      <c r="O110" s="7"/>
      <c r="P110" s="7">
        <v>0</v>
      </c>
      <c r="Q110" s="69" t="s">
        <v>27</v>
      </c>
    </row>
    <row r="111" spans="1:17" ht="33.75" customHeight="1" x14ac:dyDescent="0.25">
      <c r="A111" s="12" t="s">
        <v>384</v>
      </c>
      <c r="B111" s="156" t="s">
        <v>150</v>
      </c>
      <c r="C111" s="144" t="s">
        <v>385</v>
      </c>
      <c r="D111" s="8">
        <v>44766</v>
      </c>
      <c r="E111" s="8">
        <v>45864</v>
      </c>
      <c r="F111" s="5"/>
      <c r="G111" s="4"/>
      <c r="H111" s="5"/>
      <c r="I111" s="5" t="s">
        <v>152</v>
      </c>
      <c r="J111" s="3"/>
      <c r="K111" s="12"/>
      <c r="L111" s="5" t="s">
        <v>153</v>
      </c>
      <c r="M111" s="3" t="s">
        <v>74</v>
      </c>
      <c r="N111" s="7">
        <v>34173</v>
      </c>
      <c r="O111" s="7"/>
      <c r="P111" s="7">
        <v>0</v>
      </c>
      <c r="Q111" s="69" t="s">
        <v>27</v>
      </c>
    </row>
    <row r="112" spans="1:17" ht="33.75" customHeight="1" x14ac:dyDescent="0.25">
      <c r="A112" s="12" t="s">
        <v>386</v>
      </c>
      <c r="B112" s="156" t="s">
        <v>150</v>
      </c>
      <c r="C112" s="144" t="s">
        <v>387</v>
      </c>
      <c r="D112" s="8">
        <v>44766</v>
      </c>
      <c r="E112" s="8">
        <v>45864</v>
      </c>
      <c r="F112" s="5"/>
      <c r="G112" s="4"/>
      <c r="H112" s="5"/>
      <c r="I112" s="5" t="s">
        <v>152</v>
      </c>
      <c r="J112" s="3"/>
      <c r="K112" s="12"/>
      <c r="L112" s="5" t="s">
        <v>153</v>
      </c>
      <c r="M112" s="3" t="s">
        <v>74</v>
      </c>
      <c r="N112" s="7">
        <v>162302</v>
      </c>
      <c r="O112" s="7"/>
      <c r="P112" s="7">
        <v>0</v>
      </c>
      <c r="Q112" s="69" t="s">
        <v>27</v>
      </c>
    </row>
    <row r="113" spans="1:17" ht="33.75" customHeight="1" x14ac:dyDescent="0.25">
      <c r="A113" s="12" t="s">
        <v>388</v>
      </c>
      <c r="B113" s="156" t="s">
        <v>150</v>
      </c>
      <c r="C113" s="144" t="s">
        <v>389</v>
      </c>
      <c r="D113" s="8">
        <v>44766</v>
      </c>
      <c r="E113" s="8">
        <v>45864</v>
      </c>
      <c r="F113" s="5"/>
      <c r="G113" s="4"/>
      <c r="H113" s="5"/>
      <c r="I113" s="5" t="s">
        <v>152</v>
      </c>
      <c r="J113" s="3"/>
      <c r="K113" s="12"/>
      <c r="L113" s="5" t="s">
        <v>153</v>
      </c>
      <c r="M113" s="3" t="s">
        <v>74</v>
      </c>
      <c r="N113" s="7">
        <v>90839</v>
      </c>
      <c r="O113" s="7"/>
      <c r="P113" s="7">
        <v>0</v>
      </c>
      <c r="Q113" s="69" t="s">
        <v>27</v>
      </c>
    </row>
    <row r="114" spans="1:17" ht="33.75" customHeight="1" x14ac:dyDescent="0.25">
      <c r="A114" s="12" t="s">
        <v>390</v>
      </c>
      <c r="B114" s="156" t="s">
        <v>150</v>
      </c>
      <c r="C114" s="144" t="s">
        <v>391</v>
      </c>
      <c r="D114" s="8">
        <v>44766</v>
      </c>
      <c r="E114" s="8">
        <v>45864</v>
      </c>
      <c r="F114" s="5"/>
      <c r="G114" s="4"/>
      <c r="H114" s="5"/>
      <c r="I114" s="5" t="s">
        <v>152</v>
      </c>
      <c r="J114" s="3"/>
      <c r="K114" s="12"/>
      <c r="L114" s="5" t="s">
        <v>153</v>
      </c>
      <c r="M114" s="3" t="s">
        <v>74</v>
      </c>
      <c r="N114" s="7">
        <v>272323</v>
      </c>
      <c r="O114" s="7"/>
      <c r="P114" s="7">
        <v>0</v>
      </c>
      <c r="Q114" s="69" t="s">
        <v>27</v>
      </c>
    </row>
    <row r="115" spans="1:17" ht="33.75" customHeight="1" x14ac:dyDescent="0.25">
      <c r="A115" s="12" t="s">
        <v>392</v>
      </c>
      <c r="B115" s="156" t="s">
        <v>150</v>
      </c>
      <c r="C115" s="144" t="s">
        <v>391</v>
      </c>
      <c r="D115" s="8">
        <v>44766</v>
      </c>
      <c r="E115" s="8">
        <v>45864</v>
      </c>
      <c r="F115" s="5"/>
      <c r="G115" s="4"/>
      <c r="H115" s="5"/>
      <c r="I115" s="5" t="s">
        <v>152</v>
      </c>
      <c r="J115" s="3"/>
      <c r="K115" s="12"/>
      <c r="L115" s="5" t="s">
        <v>153</v>
      </c>
      <c r="M115" s="3" t="s">
        <v>74</v>
      </c>
      <c r="N115" s="7">
        <v>22803</v>
      </c>
      <c r="O115" s="7"/>
      <c r="P115" s="7">
        <v>0</v>
      </c>
      <c r="Q115" s="69" t="s">
        <v>27</v>
      </c>
    </row>
    <row r="116" spans="1:17" ht="33.75" customHeight="1" x14ac:dyDescent="0.25">
      <c r="A116" s="12" t="s">
        <v>393</v>
      </c>
      <c r="B116" s="156" t="s">
        <v>150</v>
      </c>
      <c r="C116" s="144" t="s">
        <v>394</v>
      </c>
      <c r="D116" s="8">
        <v>44766</v>
      </c>
      <c r="E116" s="8">
        <v>45864</v>
      </c>
      <c r="F116" s="5"/>
      <c r="G116" s="4"/>
      <c r="H116" s="5"/>
      <c r="I116" s="5" t="s">
        <v>152</v>
      </c>
      <c r="J116" s="3"/>
      <c r="K116" s="12"/>
      <c r="L116" s="5" t="s">
        <v>153</v>
      </c>
      <c r="M116" s="3" t="s">
        <v>74</v>
      </c>
      <c r="N116" s="7">
        <v>243091</v>
      </c>
      <c r="O116" s="7"/>
      <c r="P116" s="7">
        <v>0</v>
      </c>
      <c r="Q116" s="69" t="s">
        <v>27</v>
      </c>
    </row>
    <row r="117" spans="1:17" ht="33.75" customHeight="1" x14ac:dyDescent="0.25">
      <c r="A117" s="12" t="s">
        <v>395</v>
      </c>
      <c r="B117" s="156" t="s">
        <v>150</v>
      </c>
      <c r="C117" s="144" t="s">
        <v>396</v>
      </c>
      <c r="D117" s="8">
        <v>44766</v>
      </c>
      <c r="E117" s="8">
        <v>45864</v>
      </c>
      <c r="F117" s="5"/>
      <c r="G117" s="4"/>
      <c r="H117" s="5"/>
      <c r="I117" s="5" t="s">
        <v>152</v>
      </c>
      <c r="J117" s="3"/>
      <c r="K117" s="12"/>
      <c r="L117" s="5" t="s">
        <v>153</v>
      </c>
      <c r="M117" s="3" t="s">
        <v>74</v>
      </c>
      <c r="N117" s="7">
        <v>120895</v>
      </c>
      <c r="O117" s="7"/>
      <c r="P117" s="7">
        <v>0</v>
      </c>
      <c r="Q117" s="69" t="s">
        <v>27</v>
      </c>
    </row>
    <row r="118" spans="1:17" ht="33.75" customHeight="1" x14ac:dyDescent="0.25">
      <c r="A118" s="12" t="s">
        <v>397</v>
      </c>
      <c r="B118" s="156" t="s">
        <v>150</v>
      </c>
      <c r="C118" s="144" t="s">
        <v>394</v>
      </c>
      <c r="D118" s="8">
        <v>44766</v>
      </c>
      <c r="E118" s="8">
        <v>45864</v>
      </c>
      <c r="F118" s="5"/>
      <c r="G118" s="4"/>
      <c r="H118" s="5"/>
      <c r="I118" s="5" t="s">
        <v>152</v>
      </c>
      <c r="J118" s="3"/>
      <c r="K118" s="12"/>
      <c r="L118" s="5" t="s">
        <v>153</v>
      </c>
      <c r="M118" s="3" t="s">
        <v>74</v>
      </c>
      <c r="N118" s="7">
        <v>27532</v>
      </c>
      <c r="O118" s="7"/>
      <c r="P118" s="7">
        <v>0</v>
      </c>
      <c r="Q118" s="69" t="s">
        <v>27</v>
      </c>
    </row>
    <row r="119" spans="1:17" ht="33.75" customHeight="1" x14ac:dyDescent="0.25">
      <c r="A119" s="12" t="s">
        <v>398</v>
      </c>
      <c r="B119" s="156" t="s">
        <v>150</v>
      </c>
      <c r="C119" s="144" t="s">
        <v>399</v>
      </c>
      <c r="D119" s="8">
        <v>44766</v>
      </c>
      <c r="E119" s="8">
        <v>45864</v>
      </c>
      <c r="F119" s="5"/>
      <c r="G119" s="4"/>
      <c r="H119" s="5"/>
      <c r="I119" s="5" t="s">
        <v>152</v>
      </c>
      <c r="J119" s="3"/>
      <c r="K119" s="12"/>
      <c r="L119" s="5" t="s">
        <v>153</v>
      </c>
      <c r="M119" s="3" t="s">
        <v>74</v>
      </c>
      <c r="N119" s="7">
        <v>157205</v>
      </c>
      <c r="O119" s="7"/>
      <c r="P119" s="7">
        <v>0</v>
      </c>
      <c r="Q119" s="69" t="s">
        <v>27</v>
      </c>
    </row>
    <row r="120" spans="1:17" ht="33.75" customHeight="1" x14ac:dyDescent="0.25">
      <c r="A120" s="12" t="s">
        <v>400</v>
      </c>
      <c r="B120" s="156" t="s">
        <v>150</v>
      </c>
      <c r="C120" s="144" t="s">
        <v>401</v>
      </c>
      <c r="D120" s="8">
        <v>44766</v>
      </c>
      <c r="E120" s="8">
        <v>45864</v>
      </c>
      <c r="F120" s="5"/>
      <c r="G120" s="4"/>
      <c r="H120" s="5"/>
      <c r="I120" s="5" t="s">
        <v>152</v>
      </c>
      <c r="J120" s="3"/>
      <c r="K120" s="12"/>
      <c r="L120" s="5" t="s">
        <v>153</v>
      </c>
      <c r="M120" s="3" t="s">
        <v>74</v>
      </c>
      <c r="N120" s="7">
        <v>49362</v>
      </c>
      <c r="O120" s="7"/>
      <c r="P120" s="7">
        <v>0</v>
      </c>
      <c r="Q120" s="69" t="s">
        <v>27</v>
      </c>
    </row>
    <row r="121" spans="1:17" ht="33.75" customHeight="1" x14ac:dyDescent="0.25">
      <c r="A121" s="12" t="s">
        <v>402</v>
      </c>
      <c r="B121" s="156" t="s">
        <v>150</v>
      </c>
      <c r="C121" s="144" t="s">
        <v>401</v>
      </c>
      <c r="D121" s="8">
        <v>44766</v>
      </c>
      <c r="E121" s="8">
        <v>45864</v>
      </c>
      <c r="F121" s="5"/>
      <c r="G121" s="4"/>
      <c r="H121" s="5"/>
      <c r="I121" s="5" t="s">
        <v>152</v>
      </c>
      <c r="J121" s="3"/>
      <c r="K121" s="12"/>
      <c r="L121" s="5" t="s">
        <v>153</v>
      </c>
      <c r="M121" s="3" t="s">
        <v>74</v>
      </c>
      <c r="N121" s="7">
        <v>13297</v>
      </c>
      <c r="O121" s="7"/>
      <c r="P121" s="7">
        <v>0</v>
      </c>
      <c r="Q121" s="69" t="s">
        <v>27</v>
      </c>
    </row>
    <row r="122" spans="1:17" ht="33.75" customHeight="1" x14ac:dyDescent="0.25">
      <c r="A122" s="12" t="s">
        <v>403</v>
      </c>
      <c r="B122" s="156" t="s">
        <v>150</v>
      </c>
      <c r="C122" s="144" t="s">
        <v>404</v>
      </c>
      <c r="D122" s="8">
        <v>44766</v>
      </c>
      <c r="E122" s="8">
        <v>45864</v>
      </c>
      <c r="F122" s="5"/>
      <c r="G122" s="4"/>
      <c r="H122" s="5"/>
      <c r="I122" s="5" t="s">
        <v>152</v>
      </c>
      <c r="J122" s="3"/>
      <c r="K122" s="12"/>
      <c r="L122" s="5" t="s">
        <v>153</v>
      </c>
      <c r="M122" s="3" t="s">
        <v>74</v>
      </c>
      <c r="N122" s="7">
        <v>9876</v>
      </c>
      <c r="O122" s="7"/>
      <c r="P122" s="7">
        <v>0</v>
      </c>
      <c r="Q122" s="69" t="s">
        <v>27</v>
      </c>
    </row>
    <row r="123" spans="1:17" ht="33.75" customHeight="1" x14ac:dyDescent="0.25">
      <c r="A123" s="12" t="s">
        <v>405</v>
      </c>
      <c r="B123" s="156" t="s">
        <v>150</v>
      </c>
      <c r="C123" s="144" t="s">
        <v>406</v>
      </c>
      <c r="D123" s="8">
        <v>44766</v>
      </c>
      <c r="E123" s="8">
        <v>45864</v>
      </c>
      <c r="F123" s="5"/>
      <c r="G123" s="4"/>
      <c r="H123" s="5"/>
      <c r="I123" s="5" t="s">
        <v>152</v>
      </c>
      <c r="J123" s="3"/>
      <c r="K123" s="12"/>
      <c r="L123" s="5" t="s">
        <v>153</v>
      </c>
      <c r="M123" s="3" t="s">
        <v>74</v>
      </c>
      <c r="N123" s="7">
        <v>19650</v>
      </c>
      <c r="O123" s="7"/>
      <c r="P123" s="7">
        <v>0</v>
      </c>
      <c r="Q123" s="69" t="s">
        <v>27</v>
      </c>
    </row>
    <row r="124" spans="1:17" ht="33.75" customHeight="1" x14ac:dyDescent="0.25">
      <c r="A124" s="12" t="s">
        <v>407</v>
      </c>
      <c r="B124" s="156" t="s">
        <v>150</v>
      </c>
      <c r="C124" s="144" t="s">
        <v>408</v>
      </c>
      <c r="D124" s="8">
        <v>44766</v>
      </c>
      <c r="E124" s="8">
        <v>45864</v>
      </c>
      <c r="F124" s="5"/>
      <c r="G124" s="4"/>
      <c r="H124" s="5"/>
      <c r="I124" s="5" t="s">
        <v>152</v>
      </c>
      <c r="J124" s="3"/>
      <c r="K124" s="12"/>
      <c r="L124" s="5" t="s">
        <v>153</v>
      </c>
      <c r="M124" s="3" t="s">
        <v>74</v>
      </c>
      <c r="N124" s="7">
        <v>26931</v>
      </c>
      <c r="O124" s="7"/>
      <c r="P124" s="7">
        <v>0</v>
      </c>
      <c r="Q124" s="69" t="s">
        <v>27</v>
      </c>
    </row>
    <row r="125" spans="1:17" ht="33.75" customHeight="1" x14ac:dyDescent="0.25">
      <c r="A125" s="12" t="s">
        <v>409</v>
      </c>
      <c r="B125" s="156" t="s">
        <v>150</v>
      </c>
      <c r="C125" s="144" t="s">
        <v>410</v>
      </c>
      <c r="D125" s="8">
        <v>44766</v>
      </c>
      <c r="E125" s="8">
        <v>45864</v>
      </c>
      <c r="F125" s="5"/>
      <c r="G125" s="4"/>
      <c r="H125" s="5"/>
      <c r="I125" s="5" t="s">
        <v>152</v>
      </c>
      <c r="J125" s="3"/>
      <c r="K125" s="12"/>
      <c r="L125" s="5" t="s">
        <v>153</v>
      </c>
      <c r="M125" s="3" t="s">
        <v>74</v>
      </c>
      <c r="N125" s="7">
        <v>11650</v>
      </c>
      <c r="O125" s="7"/>
      <c r="P125" s="7">
        <v>0</v>
      </c>
      <c r="Q125" s="69" t="s">
        <v>27</v>
      </c>
    </row>
    <row r="126" spans="1:17" ht="33.75" customHeight="1" x14ac:dyDescent="0.25">
      <c r="A126" s="12" t="s">
        <v>411</v>
      </c>
      <c r="B126" s="156" t="s">
        <v>150</v>
      </c>
      <c r="C126" s="144" t="s">
        <v>412</v>
      </c>
      <c r="D126" s="8">
        <v>44766</v>
      </c>
      <c r="E126" s="8">
        <v>45864</v>
      </c>
      <c r="F126" s="5"/>
      <c r="G126" s="4"/>
      <c r="H126" s="5"/>
      <c r="I126" s="5" t="s">
        <v>152</v>
      </c>
      <c r="J126" s="3"/>
      <c r="K126" s="12"/>
      <c r="L126" s="5" t="s">
        <v>153</v>
      </c>
      <c r="M126" s="3" t="s">
        <v>74</v>
      </c>
      <c r="N126" s="7">
        <v>4502</v>
      </c>
      <c r="O126" s="7"/>
      <c r="P126" s="7">
        <v>0</v>
      </c>
      <c r="Q126" s="69" t="s">
        <v>27</v>
      </c>
    </row>
    <row r="127" spans="1:17" ht="33.75" customHeight="1" x14ac:dyDescent="0.25">
      <c r="A127" s="12" t="s">
        <v>413</v>
      </c>
      <c r="B127" s="156" t="s">
        <v>150</v>
      </c>
      <c r="C127" s="144" t="s">
        <v>414</v>
      </c>
      <c r="D127" s="8">
        <v>44766</v>
      </c>
      <c r="E127" s="8">
        <v>45864</v>
      </c>
      <c r="F127" s="5"/>
      <c r="G127" s="4"/>
      <c r="H127" s="5"/>
      <c r="I127" s="5" t="s">
        <v>152</v>
      </c>
      <c r="J127" s="3"/>
      <c r="K127" s="12"/>
      <c r="L127" s="5" t="s">
        <v>153</v>
      </c>
      <c r="M127" s="3" t="s">
        <v>74</v>
      </c>
      <c r="N127" s="7">
        <v>37322</v>
      </c>
      <c r="O127" s="7"/>
      <c r="P127" s="7">
        <v>0</v>
      </c>
      <c r="Q127" s="69" t="s">
        <v>27</v>
      </c>
    </row>
    <row r="128" spans="1:17" ht="33.75" customHeight="1" x14ac:dyDescent="0.25">
      <c r="A128" s="12" t="s">
        <v>415</v>
      </c>
      <c r="B128" s="156" t="s">
        <v>150</v>
      </c>
      <c r="C128" s="144" t="s">
        <v>414</v>
      </c>
      <c r="D128" s="8">
        <v>44766</v>
      </c>
      <c r="E128" s="8">
        <v>45864</v>
      </c>
      <c r="F128" s="5"/>
      <c r="G128" s="4"/>
      <c r="H128" s="5"/>
      <c r="I128" s="5" t="s">
        <v>152</v>
      </c>
      <c r="J128" s="3"/>
      <c r="K128" s="12"/>
      <c r="L128" s="5" t="s">
        <v>153</v>
      </c>
      <c r="M128" s="3" t="s">
        <v>74</v>
      </c>
      <c r="N128" s="7">
        <v>7173</v>
      </c>
      <c r="O128" s="7"/>
      <c r="P128" s="7">
        <v>0</v>
      </c>
      <c r="Q128" s="69" t="s">
        <v>27</v>
      </c>
    </row>
    <row r="129" spans="1:17" ht="33.75" customHeight="1" x14ac:dyDescent="0.25">
      <c r="A129" s="12" t="s">
        <v>416</v>
      </c>
      <c r="B129" s="156" t="s">
        <v>150</v>
      </c>
      <c r="C129" s="144" t="s">
        <v>417</v>
      </c>
      <c r="D129" s="8">
        <v>44766</v>
      </c>
      <c r="E129" s="8">
        <v>45864</v>
      </c>
      <c r="F129" s="5"/>
      <c r="G129" s="4"/>
      <c r="H129" s="5"/>
      <c r="I129" s="5" t="s">
        <v>152</v>
      </c>
      <c r="J129" s="3"/>
      <c r="K129" s="12"/>
      <c r="L129" s="5" t="s">
        <v>153</v>
      </c>
      <c r="M129" s="3" t="s">
        <v>74</v>
      </c>
      <c r="N129" s="7">
        <v>127230</v>
      </c>
      <c r="O129" s="7"/>
      <c r="P129" s="7">
        <v>0</v>
      </c>
      <c r="Q129" s="69" t="s">
        <v>27</v>
      </c>
    </row>
    <row r="130" spans="1:17" ht="33.75" customHeight="1" x14ac:dyDescent="0.25">
      <c r="A130" s="12" t="s">
        <v>418</v>
      </c>
      <c r="B130" s="156" t="s">
        <v>150</v>
      </c>
      <c r="C130" s="144" t="s">
        <v>379</v>
      </c>
      <c r="D130" s="8">
        <v>44766</v>
      </c>
      <c r="E130" s="8">
        <v>45864</v>
      </c>
      <c r="F130" s="5"/>
      <c r="G130" s="4"/>
      <c r="H130" s="5"/>
      <c r="I130" s="5" t="s">
        <v>152</v>
      </c>
      <c r="J130" s="3"/>
      <c r="K130" s="12"/>
      <c r="L130" s="5" t="s">
        <v>153</v>
      </c>
      <c r="M130" s="3" t="s">
        <v>74</v>
      </c>
      <c r="N130" s="7">
        <v>40196</v>
      </c>
      <c r="O130" s="7"/>
      <c r="P130" s="7">
        <v>0</v>
      </c>
      <c r="Q130" s="69" t="s">
        <v>27</v>
      </c>
    </row>
    <row r="131" spans="1:17" ht="33.75" customHeight="1" x14ac:dyDescent="0.25">
      <c r="A131" s="12" t="s">
        <v>419</v>
      </c>
      <c r="B131" s="156" t="s">
        <v>150</v>
      </c>
      <c r="C131" s="144" t="s">
        <v>420</v>
      </c>
      <c r="D131" s="8">
        <v>44766</v>
      </c>
      <c r="E131" s="8">
        <v>45864</v>
      </c>
      <c r="F131" s="5"/>
      <c r="G131" s="4"/>
      <c r="H131" s="5"/>
      <c r="I131" s="5" t="s">
        <v>152</v>
      </c>
      <c r="J131" s="3"/>
      <c r="K131" s="12"/>
      <c r="L131" s="5" t="s">
        <v>153</v>
      </c>
      <c r="M131" s="3" t="s">
        <v>74</v>
      </c>
      <c r="N131" s="7">
        <v>158054</v>
      </c>
      <c r="O131" s="7"/>
      <c r="P131" s="7">
        <v>0</v>
      </c>
      <c r="Q131" s="69" t="s">
        <v>27</v>
      </c>
    </row>
    <row r="132" spans="1:17" ht="33.75" customHeight="1" x14ac:dyDescent="0.25">
      <c r="A132" s="12" t="s">
        <v>421</v>
      </c>
      <c r="B132" s="156" t="s">
        <v>150</v>
      </c>
      <c r="C132" s="144" t="s">
        <v>422</v>
      </c>
      <c r="D132" s="8">
        <v>44766</v>
      </c>
      <c r="E132" s="8">
        <v>45864</v>
      </c>
      <c r="F132" s="5"/>
      <c r="G132" s="4"/>
      <c r="H132" s="5"/>
      <c r="I132" s="5" t="s">
        <v>152</v>
      </c>
      <c r="J132" s="3"/>
      <c r="K132" s="12"/>
      <c r="L132" s="5" t="s">
        <v>153</v>
      </c>
      <c r="M132" s="3" t="s">
        <v>74</v>
      </c>
      <c r="N132" s="7">
        <v>103323</v>
      </c>
      <c r="O132" s="7"/>
      <c r="P132" s="7">
        <v>0</v>
      </c>
      <c r="Q132" s="69" t="s">
        <v>27</v>
      </c>
    </row>
    <row r="133" spans="1:17" ht="33.75" customHeight="1" x14ac:dyDescent="0.25">
      <c r="A133" s="12" t="s">
        <v>423</v>
      </c>
      <c r="B133" s="156" t="s">
        <v>150</v>
      </c>
      <c r="C133" s="144" t="s">
        <v>424</v>
      </c>
      <c r="D133" s="8">
        <v>44766</v>
      </c>
      <c r="E133" s="8">
        <v>45864</v>
      </c>
      <c r="F133" s="5"/>
      <c r="G133" s="4"/>
      <c r="H133" s="5"/>
      <c r="I133" s="5" t="s">
        <v>152</v>
      </c>
      <c r="J133" s="3"/>
      <c r="K133" s="12"/>
      <c r="L133" s="5" t="s">
        <v>153</v>
      </c>
      <c r="M133" s="3" t="s">
        <v>74</v>
      </c>
      <c r="N133" s="7">
        <v>35476</v>
      </c>
      <c r="O133" s="7"/>
      <c r="P133" s="7">
        <v>0</v>
      </c>
      <c r="Q133" s="69" t="s">
        <v>27</v>
      </c>
    </row>
    <row r="134" spans="1:17" ht="33.75" customHeight="1" x14ac:dyDescent="0.25">
      <c r="A134" s="12" t="s">
        <v>425</v>
      </c>
      <c r="B134" s="156" t="s">
        <v>150</v>
      </c>
      <c r="C134" s="144" t="s">
        <v>424</v>
      </c>
      <c r="D134" s="8">
        <v>44766</v>
      </c>
      <c r="E134" s="8">
        <v>45864</v>
      </c>
      <c r="F134" s="5"/>
      <c r="G134" s="4"/>
      <c r="H134" s="5"/>
      <c r="I134" s="5" t="s">
        <v>152</v>
      </c>
      <c r="J134" s="3"/>
      <c r="K134" s="12"/>
      <c r="L134" s="5" t="s">
        <v>153</v>
      </c>
      <c r="M134" s="3" t="s">
        <v>74</v>
      </c>
      <c r="N134" s="7">
        <v>5624</v>
      </c>
      <c r="O134" s="7"/>
      <c r="P134" s="7">
        <v>0</v>
      </c>
      <c r="Q134" s="69" t="s">
        <v>27</v>
      </c>
    </row>
    <row r="135" spans="1:17" ht="33.75" customHeight="1" x14ac:dyDescent="0.25">
      <c r="A135" s="12" t="s">
        <v>426</v>
      </c>
      <c r="B135" s="156" t="s">
        <v>150</v>
      </c>
      <c r="C135" s="144" t="s">
        <v>424</v>
      </c>
      <c r="D135" s="8">
        <v>44766</v>
      </c>
      <c r="E135" s="8">
        <v>45864</v>
      </c>
      <c r="F135" s="5"/>
      <c r="G135" s="4"/>
      <c r="H135" s="5"/>
      <c r="I135" s="5" t="s">
        <v>152</v>
      </c>
      <c r="J135" s="3"/>
      <c r="K135" s="12"/>
      <c r="L135" s="5" t="s">
        <v>153</v>
      </c>
      <c r="M135" s="3" t="s">
        <v>74</v>
      </c>
      <c r="N135" s="7">
        <v>6496</v>
      </c>
      <c r="O135" s="7"/>
      <c r="P135" s="7">
        <v>0</v>
      </c>
      <c r="Q135" s="69" t="s">
        <v>27</v>
      </c>
    </row>
    <row r="136" spans="1:17" ht="33.75" customHeight="1" x14ac:dyDescent="0.25">
      <c r="A136" s="12" t="s">
        <v>427</v>
      </c>
      <c r="B136" s="156" t="s">
        <v>150</v>
      </c>
      <c r="C136" s="144" t="s">
        <v>428</v>
      </c>
      <c r="D136" s="8">
        <v>44766</v>
      </c>
      <c r="E136" s="8">
        <v>45864</v>
      </c>
      <c r="F136" s="5"/>
      <c r="G136" s="4"/>
      <c r="H136" s="5"/>
      <c r="I136" s="5" t="s">
        <v>152</v>
      </c>
      <c r="J136" s="3"/>
      <c r="K136" s="12"/>
      <c r="L136" s="5" t="s">
        <v>153</v>
      </c>
      <c r="M136" s="3" t="s">
        <v>74</v>
      </c>
      <c r="N136" s="7">
        <v>121476</v>
      </c>
      <c r="O136" s="7"/>
      <c r="P136" s="7">
        <v>0</v>
      </c>
      <c r="Q136" s="69" t="s">
        <v>27</v>
      </c>
    </row>
    <row r="137" spans="1:17" ht="33.75" customHeight="1" x14ac:dyDescent="0.25">
      <c r="A137" s="12" t="s">
        <v>429</v>
      </c>
      <c r="B137" s="156" t="s">
        <v>150</v>
      </c>
      <c r="C137" s="144" t="s">
        <v>430</v>
      </c>
      <c r="D137" s="8">
        <v>44766</v>
      </c>
      <c r="E137" s="8">
        <v>45864</v>
      </c>
      <c r="F137" s="5"/>
      <c r="G137" s="4"/>
      <c r="H137" s="5"/>
      <c r="I137" s="5" t="s">
        <v>431</v>
      </c>
      <c r="J137" s="3"/>
      <c r="K137" s="12">
        <v>2778802</v>
      </c>
      <c r="L137" s="5" t="s">
        <v>153</v>
      </c>
      <c r="M137" s="3" t="s">
        <v>74</v>
      </c>
      <c r="N137" s="7">
        <v>196273</v>
      </c>
      <c r="O137" s="7"/>
      <c r="P137" s="7">
        <v>0</v>
      </c>
      <c r="Q137" s="69" t="s">
        <v>27</v>
      </c>
    </row>
    <row r="138" spans="1:17" ht="33.75" customHeight="1" x14ac:dyDescent="0.25">
      <c r="A138" s="12" t="s">
        <v>432</v>
      </c>
      <c r="B138" s="156" t="s">
        <v>150</v>
      </c>
      <c r="C138" s="144" t="s">
        <v>433</v>
      </c>
      <c r="D138" s="8">
        <v>44766</v>
      </c>
      <c r="E138" s="8">
        <v>45864</v>
      </c>
      <c r="F138" s="5"/>
      <c r="G138" s="4"/>
      <c r="H138" s="5"/>
      <c r="I138" s="5" t="s">
        <v>431</v>
      </c>
      <c r="J138" s="3"/>
      <c r="K138" s="12">
        <v>2778802</v>
      </c>
      <c r="L138" s="5" t="s">
        <v>153</v>
      </c>
      <c r="M138" s="3" t="s">
        <v>74</v>
      </c>
      <c r="N138" s="7">
        <v>28983</v>
      </c>
      <c r="O138" s="7"/>
      <c r="P138" s="7">
        <v>0</v>
      </c>
      <c r="Q138" s="69" t="s">
        <v>27</v>
      </c>
    </row>
    <row r="139" spans="1:17" ht="33.75" customHeight="1" x14ac:dyDescent="0.25">
      <c r="A139" s="12" t="s">
        <v>434</v>
      </c>
      <c r="B139" s="156" t="s">
        <v>150</v>
      </c>
      <c r="C139" s="144" t="s">
        <v>433</v>
      </c>
      <c r="D139" s="8">
        <v>44766</v>
      </c>
      <c r="E139" s="8">
        <v>45864</v>
      </c>
      <c r="F139" s="5"/>
      <c r="G139" s="4"/>
      <c r="H139" s="5"/>
      <c r="I139" s="5" t="s">
        <v>431</v>
      </c>
      <c r="J139" s="3"/>
      <c r="K139" s="12">
        <v>2778802</v>
      </c>
      <c r="L139" s="5" t="s">
        <v>153</v>
      </c>
      <c r="M139" s="3" t="s">
        <v>74</v>
      </c>
      <c r="N139" s="7">
        <v>11908</v>
      </c>
      <c r="O139" s="7"/>
      <c r="P139" s="7">
        <v>0</v>
      </c>
      <c r="Q139" s="69" t="s">
        <v>27</v>
      </c>
    </row>
    <row r="140" spans="1:17" ht="33.75" customHeight="1" x14ac:dyDescent="0.25">
      <c r="A140" s="12" t="s">
        <v>435</v>
      </c>
      <c r="B140" s="156" t="s">
        <v>150</v>
      </c>
      <c r="C140" s="144" t="s">
        <v>436</v>
      </c>
      <c r="D140" s="8">
        <v>44087</v>
      </c>
      <c r="E140" s="8">
        <v>45864</v>
      </c>
      <c r="F140" s="5"/>
      <c r="G140" s="4"/>
      <c r="H140" s="5"/>
      <c r="I140" s="5" t="s">
        <v>431</v>
      </c>
      <c r="J140" s="3"/>
      <c r="K140" s="12">
        <v>2778802</v>
      </c>
      <c r="L140" s="5" t="s">
        <v>153</v>
      </c>
      <c r="M140" s="3" t="s">
        <v>74</v>
      </c>
      <c r="N140" s="7">
        <v>159611</v>
      </c>
      <c r="O140" s="7"/>
      <c r="P140" s="7">
        <v>0</v>
      </c>
      <c r="Q140" s="69" t="s">
        <v>27</v>
      </c>
    </row>
    <row r="141" spans="1:17" ht="33.75" customHeight="1" x14ac:dyDescent="0.25">
      <c r="A141" s="12" t="s">
        <v>437</v>
      </c>
      <c r="B141" s="156" t="s">
        <v>150</v>
      </c>
      <c r="C141" s="144" t="s">
        <v>438</v>
      </c>
      <c r="D141" s="8">
        <v>43303</v>
      </c>
      <c r="E141" s="8">
        <v>45864</v>
      </c>
      <c r="F141" s="5"/>
      <c r="G141" s="4"/>
      <c r="H141" s="5"/>
      <c r="I141" s="5" t="s">
        <v>431</v>
      </c>
      <c r="J141" s="3"/>
      <c r="K141" s="12">
        <v>2778802</v>
      </c>
      <c r="L141" s="5" t="s">
        <v>153</v>
      </c>
      <c r="M141" s="3" t="s">
        <v>74</v>
      </c>
      <c r="N141" s="7">
        <v>74288</v>
      </c>
      <c r="O141" s="7"/>
      <c r="P141" s="7">
        <v>0</v>
      </c>
      <c r="Q141" s="69" t="s">
        <v>27</v>
      </c>
    </row>
    <row r="142" spans="1:17" ht="33.75" customHeight="1" x14ac:dyDescent="0.25">
      <c r="A142" s="12" t="s">
        <v>439</v>
      </c>
      <c r="B142" s="156" t="s">
        <v>150</v>
      </c>
      <c r="C142" s="144" t="s">
        <v>430</v>
      </c>
      <c r="D142" s="8">
        <v>44766</v>
      </c>
      <c r="E142" s="8">
        <v>45864</v>
      </c>
      <c r="F142" s="5"/>
      <c r="G142" s="4"/>
      <c r="H142" s="5"/>
      <c r="I142" s="5" t="s">
        <v>431</v>
      </c>
      <c r="J142" s="3"/>
      <c r="K142" s="12">
        <v>2778802</v>
      </c>
      <c r="L142" s="5" t="s">
        <v>153</v>
      </c>
      <c r="M142" s="3" t="s">
        <v>74</v>
      </c>
      <c r="N142" s="7">
        <v>46891</v>
      </c>
      <c r="O142" s="7"/>
      <c r="P142" s="7">
        <v>0</v>
      </c>
      <c r="Q142" s="69" t="s">
        <v>27</v>
      </c>
    </row>
    <row r="143" spans="1:17" ht="33.75" customHeight="1" x14ac:dyDescent="0.25">
      <c r="A143" s="12" t="s">
        <v>440</v>
      </c>
      <c r="B143" s="156" t="s">
        <v>150</v>
      </c>
      <c r="C143" s="144" t="s">
        <v>430</v>
      </c>
      <c r="D143" s="8">
        <v>44766</v>
      </c>
      <c r="E143" s="8">
        <v>45864</v>
      </c>
      <c r="F143" s="5"/>
      <c r="G143" s="4"/>
      <c r="H143" s="5"/>
      <c r="I143" s="5" t="s">
        <v>431</v>
      </c>
      <c r="J143" s="3"/>
      <c r="K143" s="12">
        <v>2778802</v>
      </c>
      <c r="L143" s="5" t="s">
        <v>153</v>
      </c>
      <c r="M143" s="3" t="s">
        <v>74</v>
      </c>
      <c r="N143" s="7">
        <v>20506</v>
      </c>
      <c r="O143" s="7"/>
      <c r="P143" s="7">
        <v>0</v>
      </c>
      <c r="Q143" s="69" t="s">
        <v>27</v>
      </c>
    </row>
    <row r="144" spans="1:17" ht="33.75" customHeight="1" x14ac:dyDescent="0.25">
      <c r="A144" s="12" t="s">
        <v>441</v>
      </c>
      <c r="B144" s="156" t="s">
        <v>150</v>
      </c>
      <c r="C144" s="144" t="s">
        <v>410</v>
      </c>
      <c r="D144" s="8">
        <v>44766</v>
      </c>
      <c r="E144" s="8">
        <v>45864</v>
      </c>
      <c r="F144" s="5"/>
      <c r="G144" s="4"/>
      <c r="H144" s="5"/>
      <c r="I144" s="5" t="s">
        <v>431</v>
      </c>
      <c r="J144" s="3"/>
      <c r="K144" s="12">
        <v>2778802</v>
      </c>
      <c r="L144" s="5" t="s">
        <v>153</v>
      </c>
      <c r="M144" s="3" t="s">
        <v>74</v>
      </c>
      <c r="N144" s="7">
        <v>31280</v>
      </c>
      <c r="O144" s="7"/>
      <c r="P144" s="7">
        <v>0</v>
      </c>
      <c r="Q144" s="69" t="s">
        <v>27</v>
      </c>
    </row>
    <row r="145" spans="1:17" ht="33.75" customHeight="1" x14ac:dyDescent="0.25">
      <c r="A145" s="12" t="s">
        <v>442</v>
      </c>
      <c r="B145" s="156" t="s">
        <v>150</v>
      </c>
      <c r="C145" s="144" t="s">
        <v>443</v>
      </c>
      <c r="D145" s="8">
        <v>44766</v>
      </c>
      <c r="E145" s="8">
        <v>45864</v>
      </c>
      <c r="F145" s="5"/>
      <c r="G145" s="4"/>
      <c r="H145" s="5"/>
      <c r="I145" s="5" t="s">
        <v>431</v>
      </c>
      <c r="J145" s="3"/>
      <c r="K145" s="12">
        <v>2778802</v>
      </c>
      <c r="L145" s="5" t="s">
        <v>153</v>
      </c>
      <c r="M145" s="3" t="s">
        <v>74</v>
      </c>
      <c r="N145" s="7">
        <v>14477</v>
      </c>
      <c r="O145" s="7"/>
      <c r="P145" s="7">
        <v>0</v>
      </c>
      <c r="Q145" s="69" t="s">
        <v>27</v>
      </c>
    </row>
    <row r="146" spans="1:17" ht="33.75" customHeight="1" x14ac:dyDescent="0.25">
      <c r="A146" s="12" t="s">
        <v>444</v>
      </c>
      <c r="B146" s="156" t="s">
        <v>150</v>
      </c>
      <c r="C146" s="144" t="s">
        <v>445</v>
      </c>
      <c r="D146" s="8">
        <v>44766</v>
      </c>
      <c r="E146" s="8">
        <v>45864</v>
      </c>
      <c r="F146" s="5"/>
      <c r="G146" s="4"/>
      <c r="H146" s="5"/>
      <c r="I146" s="5" t="s">
        <v>431</v>
      </c>
      <c r="J146" s="3"/>
      <c r="K146" s="12">
        <v>2778802</v>
      </c>
      <c r="L146" s="5" t="s">
        <v>153</v>
      </c>
      <c r="M146" s="3" t="s">
        <v>74</v>
      </c>
      <c r="N146" s="7">
        <v>68967</v>
      </c>
      <c r="O146" s="7"/>
      <c r="P146" s="7">
        <v>0</v>
      </c>
      <c r="Q146" s="69" t="s">
        <v>27</v>
      </c>
    </row>
    <row r="147" spans="1:17" ht="33.75" customHeight="1" x14ac:dyDescent="0.25">
      <c r="A147" s="12" t="s">
        <v>446</v>
      </c>
      <c r="B147" s="156" t="s">
        <v>150</v>
      </c>
      <c r="C147" s="144" t="s">
        <v>447</v>
      </c>
      <c r="D147" s="8">
        <v>44766</v>
      </c>
      <c r="E147" s="8">
        <v>45864</v>
      </c>
      <c r="F147" s="5"/>
      <c r="G147" s="4"/>
      <c r="H147" s="5"/>
      <c r="I147" s="5" t="s">
        <v>431</v>
      </c>
      <c r="J147" s="3"/>
      <c r="K147" s="12">
        <v>2778802</v>
      </c>
      <c r="L147" s="5" t="s">
        <v>153</v>
      </c>
      <c r="M147" s="3" t="s">
        <v>74</v>
      </c>
      <c r="N147" s="7">
        <v>45346</v>
      </c>
      <c r="O147" s="7"/>
      <c r="P147" s="7">
        <v>0</v>
      </c>
      <c r="Q147" s="69" t="s">
        <v>27</v>
      </c>
    </row>
    <row r="148" spans="1:17" ht="33.75" customHeight="1" x14ac:dyDescent="0.25">
      <c r="A148" s="12" t="s">
        <v>448</v>
      </c>
      <c r="B148" s="156" t="s">
        <v>150</v>
      </c>
      <c r="C148" s="144" t="s">
        <v>449</v>
      </c>
      <c r="D148" s="8">
        <v>44766</v>
      </c>
      <c r="E148" s="8">
        <v>45864</v>
      </c>
      <c r="F148" s="5"/>
      <c r="G148" s="4"/>
      <c r="H148" s="5"/>
      <c r="I148" s="5" t="s">
        <v>431</v>
      </c>
      <c r="J148" s="3"/>
      <c r="K148" s="12">
        <v>2778802</v>
      </c>
      <c r="L148" s="5" t="s">
        <v>153</v>
      </c>
      <c r="M148" s="3" t="s">
        <v>74</v>
      </c>
      <c r="N148" s="7">
        <v>13430</v>
      </c>
      <c r="O148" s="7"/>
      <c r="P148" s="7">
        <v>0</v>
      </c>
      <c r="Q148" s="69" t="s">
        <v>27</v>
      </c>
    </row>
    <row r="149" spans="1:17" ht="33.75" customHeight="1" x14ac:dyDescent="0.25">
      <c r="A149" s="12" t="s">
        <v>450</v>
      </c>
      <c r="B149" s="156" t="s">
        <v>150</v>
      </c>
      <c r="C149" s="144" t="s">
        <v>433</v>
      </c>
      <c r="D149" s="8">
        <v>44766</v>
      </c>
      <c r="E149" s="8">
        <v>45864</v>
      </c>
      <c r="F149" s="5"/>
      <c r="G149" s="4"/>
      <c r="H149" s="5"/>
      <c r="I149" s="5" t="s">
        <v>431</v>
      </c>
      <c r="J149" s="3"/>
      <c r="K149" s="12">
        <v>2778802</v>
      </c>
      <c r="L149" s="5" t="s">
        <v>153</v>
      </c>
      <c r="M149" s="3" t="s">
        <v>74</v>
      </c>
      <c r="N149" s="7">
        <v>128494</v>
      </c>
      <c r="O149" s="7"/>
      <c r="P149" s="7">
        <v>0</v>
      </c>
      <c r="Q149" s="69" t="s">
        <v>27</v>
      </c>
    </row>
    <row r="150" spans="1:17" ht="33.75" customHeight="1" x14ac:dyDescent="0.25">
      <c r="A150" s="12" t="s">
        <v>451</v>
      </c>
      <c r="B150" s="156" t="s">
        <v>150</v>
      </c>
      <c r="C150" s="144" t="s">
        <v>452</v>
      </c>
      <c r="D150" s="8">
        <v>44564</v>
      </c>
      <c r="E150" s="8">
        <v>45864</v>
      </c>
      <c r="F150" s="5"/>
      <c r="G150" s="4"/>
      <c r="H150" s="5"/>
      <c r="I150" s="5" t="s">
        <v>453</v>
      </c>
      <c r="J150" s="3"/>
      <c r="K150" s="12">
        <v>9325352</v>
      </c>
      <c r="L150" s="5" t="s">
        <v>153</v>
      </c>
      <c r="M150" s="3" t="s">
        <v>74</v>
      </c>
      <c r="N150" s="7">
        <v>92576</v>
      </c>
      <c r="O150" s="7"/>
      <c r="P150" s="7">
        <v>0</v>
      </c>
      <c r="Q150" s="69" t="s">
        <v>27</v>
      </c>
    </row>
    <row r="151" spans="1:17" ht="33.75" customHeight="1" x14ac:dyDescent="0.25">
      <c r="A151" s="12" t="s">
        <v>454</v>
      </c>
      <c r="B151" s="156" t="s">
        <v>150</v>
      </c>
      <c r="C151" s="144" t="s">
        <v>443</v>
      </c>
      <c r="D151" s="8">
        <v>43303</v>
      </c>
      <c r="E151" s="8">
        <v>45864</v>
      </c>
      <c r="F151" s="5"/>
      <c r="G151" s="4"/>
      <c r="H151" s="5"/>
      <c r="I151" s="5" t="s">
        <v>453</v>
      </c>
      <c r="J151" s="3"/>
      <c r="K151" s="12">
        <v>9325352</v>
      </c>
      <c r="L151" s="5" t="s">
        <v>153</v>
      </c>
      <c r="M151" s="3" t="s">
        <v>74</v>
      </c>
      <c r="N151" s="7">
        <v>56000</v>
      </c>
      <c r="O151" s="7"/>
      <c r="P151" s="7">
        <v>0</v>
      </c>
      <c r="Q151" s="69" t="s">
        <v>27</v>
      </c>
    </row>
    <row r="152" spans="1:17" ht="33.75" customHeight="1" x14ac:dyDescent="0.25">
      <c r="A152" s="12" t="s">
        <v>455</v>
      </c>
      <c r="B152" s="156" t="s">
        <v>150</v>
      </c>
      <c r="C152" s="144" t="s">
        <v>443</v>
      </c>
      <c r="D152" s="8">
        <v>43303</v>
      </c>
      <c r="E152" s="8">
        <v>45864</v>
      </c>
      <c r="F152" s="5"/>
      <c r="G152" s="4"/>
      <c r="H152" s="5"/>
      <c r="I152" s="5" t="s">
        <v>453</v>
      </c>
      <c r="J152" s="3"/>
      <c r="K152" s="12">
        <v>9325352</v>
      </c>
      <c r="L152" s="5" t="s">
        <v>153</v>
      </c>
      <c r="M152" s="3" t="s">
        <v>74</v>
      </c>
      <c r="N152" s="7">
        <v>52000</v>
      </c>
      <c r="O152" s="7"/>
      <c r="P152" s="7">
        <v>0</v>
      </c>
      <c r="Q152" s="69" t="s">
        <v>27</v>
      </c>
    </row>
    <row r="153" spans="1:17" ht="33.75" customHeight="1" x14ac:dyDescent="0.25">
      <c r="A153" s="12" t="s">
        <v>456</v>
      </c>
      <c r="B153" s="156" t="s">
        <v>150</v>
      </c>
      <c r="C153" s="144" t="s">
        <v>457</v>
      </c>
      <c r="D153" s="8">
        <v>44620</v>
      </c>
      <c r="E153" s="8">
        <v>45864</v>
      </c>
      <c r="F153" s="5"/>
      <c r="G153" s="4"/>
      <c r="H153" s="5"/>
      <c r="I153" s="5" t="s">
        <v>453</v>
      </c>
      <c r="J153" s="3"/>
      <c r="K153" s="12">
        <v>9325352</v>
      </c>
      <c r="L153" s="5" t="s">
        <v>153</v>
      </c>
      <c r="M153" s="3" t="s">
        <v>74</v>
      </c>
      <c r="N153" s="7">
        <v>141750</v>
      </c>
      <c r="O153" s="7"/>
      <c r="P153" s="7">
        <v>0</v>
      </c>
      <c r="Q153" s="69" t="s">
        <v>27</v>
      </c>
    </row>
    <row r="154" spans="1:17" ht="33.75" customHeight="1" x14ac:dyDescent="0.25">
      <c r="A154" s="12" t="s">
        <v>458</v>
      </c>
      <c r="B154" s="156" t="s">
        <v>150</v>
      </c>
      <c r="C154" s="144" t="s">
        <v>459</v>
      </c>
      <c r="D154" s="8">
        <v>43303</v>
      </c>
      <c r="E154" s="8">
        <v>45864</v>
      </c>
      <c r="F154" s="5"/>
      <c r="G154" s="4"/>
      <c r="H154" s="5"/>
      <c r="I154" s="5" t="s">
        <v>460</v>
      </c>
      <c r="J154" s="3"/>
      <c r="K154" s="12"/>
      <c r="L154" s="5" t="s">
        <v>153</v>
      </c>
      <c r="M154" s="3" t="s">
        <v>74</v>
      </c>
      <c r="N154" s="7">
        <v>27685</v>
      </c>
      <c r="O154" s="7"/>
      <c r="P154" s="7">
        <v>0</v>
      </c>
      <c r="Q154" s="69" t="s">
        <v>27</v>
      </c>
    </row>
    <row r="155" spans="1:17" ht="33.75" customHeight="1" x14ac:dyDescent="0.25">
      <c r="A155" s="12" t="s">
        <v>461</v>
      </c>
      <c r="B155" s="156" t="s">
        <v>150</v>
      </c>
      <c r="C155" s="144" t="s">
        <v>459</v>
      </c>
      <c r="D155" s="8">
        <v>43303</v>
      </c>
      <c r="E155" s="8">
        <v>45864</v>
      </c>
      <c r="F155" s="5"/>
      <c r="G155" s="4"/>
      <c r="H155" s="5"/>
      <c r="I155" s="5" t="s">
        <v>460</v>
      </c>
      <c r="J155" s="3"/>
      <c r="K155" s="12"/>
      <c r="L155" s="5" t="s">
        <v>153</v>
      </c>
      <c r="M155" s="3" t="s">
        <v>74</v>
      </c>
      <c r="N155" s="7">
        <v>61910</v>
      </c>
      <c r="O155" s="7"/>
      <c r="P155" s="7">
        <v>0</v>
      </c>
      <c r="Q155" s="69" t="s">
        <v>27</v>
      </c>
    </row>
    <row r="156" spans="1:17" ht="33.75" customHeight="1" x14ac:dyDescent="0.25">
      <c r="A156" s="12" t="s">
        <v>462</v>
      </c>
      <c r="B156" s="156" t="s">
        <v>150</v>
      </c>
      <c r="C156" s="144" t="s">
        <v>463</v>
      </c>
      <c r="D156" s="8">
        <v>43303</v>
      </c>
      <c r="E156" s="8">
        <v>45864</v>
      </c>
      <c r="F156" s="5"/>
      <c r="G156" s="4"/>
      <c r="H156" s="5"/>
      <c r="I156" s="5" t="s">
        <v>464</v>
      </c>
      <c r="J156" s="3"/>
      <c r="K156" s="12">
        <v>5842482</v>
      </c>
      <c r="L156" s="5" t="s">
        <v>153</v>
      </c>
      <c r="M156" s="3" t="s">
        <v>74</v>
      </c>
      <c r="N156" s="7">
        <v>30600</v>
      </c>
      <c r="O156" s="7"/>
      <c r="P156" s="7">
        <v>0</v>
      </c>
      <c r="Q156" s="69" t="s">
        <v>27</v>
      </c>
    </row>
    <row r="157" spans="1:17" ht="33.75" customHeight="1" x14ac:dyDescent="0.25">
      <c r="A157" s="12" t="s">
        <v>465</v>
      </c>
      <c r="B157" s="156" t="s">
        <v>150</v>
      </c>
      <c r="C157" s="144" t="s">
        <v>463</v>
      </c>
      <c r="D157" s="8">
        <v>43303</v>
      </c>
      <c r="E157" s="8">
        <v>45864</v>
      </c>
      <c r="F157" s="5"/>
      <c r="G157" s="4"/>
      <c r="H157" s="5"/>
      <c r="I157" s="5" t="s">
        <v>464</v>
      </c>
      <c r="J157" s="3"/>
      <c r="K157" s="12"/>
      <c r="L157" s="5" t="s">
        <v>153</v>
      </c>
      <c r="M157" s="3" t="s">
        <v>74</v>
      </c>
      <c r="N157" s="7">
        <v>30600</v>
      </c>
      <c r="O157" s="7"/>
      <c r="P157" s="7">
        <v>0</v>
      </c>
      <c r="Q157" s="69" t="s">
        <v>27</v>
      </c>
    </row>
    <row r="158" spans="1:17" ht="33.75" customHeight="1" x14ac:dyDescent="0.25">
      <c r="A158" s="12" t="s">
        <v>466</v>
      </c>
      <c r="B158" s="156" t="s">
        <v>150</v>
      </c>
      <c r="C158" s="144" t="s">
        <v>467</v>
      </c>
      <c r="D158" s="8">
        <v>43520</v>
      </c>
      <c r="E158" s="8">
        <v>45864</v>
      </c>
      <c r="F158" s="5"/>
      <c r="G158" s="4"/>
      <c r="H158" s="5"/>
      <c r="I158" s="5" t="s">
        <v>166</v>
      </c>
      <c r="J158" s="3"/>
      <c r="K158" s="12">
        <v>3914156</v>
      </c>
      <c r="L158" s="5" t="s">
        <v>153</v>
      </c>
      <c r="M158" s="3" t="s">
        <v>74</v>
      </c>
      <c r="N158" s="7">
        <v>174871</v>
      </c>
      <c r="O158" s="7"/>
      <c r="P158" s="7">
        <v>0</v>
      </c>
      <c r="Q158" s="69" t="s">
        <v>27</v>
      </c>
    </row>
    <row r="159" spans="1:17" ht="33.75" customHeight="1" x14ac:dyDescent="0.25">
      <c r="A159" s="12" t="s">
        <v>468</v>
      </c>
      <c r="B159" s="156" t="s">
        <v>150</v>
      </c>
      <c r="C159" s="144" t="s">
        <v>467</v>
      </c>
      <c r="D159" s="8">
        <v>43520</v>
      </c>
      <c r="E159" s="8">
        <v>45864</v>
      </c>
      <c r="F159" s="5"/>
      <c r="G159" s="4"/>
      <c r="H159" s="5"/>
      <c r="I159" s="5" t="s">
        <v>166</v>
      </c>
      <c r="J159" s="3"/>
      <c r="K159" s="12">
        <v>3914156</v>
      </c>
      <c r="L159" s="5" t="s">
        <v>153</v>
      </c>
      <c r="M159" s="3" t="s">
        <v>74</v>
      </c>
      <c r="N159" s="7">
        <v>30903</v>
      </c>
      <c r="O159" s="7"/>
      <c r="P159" s="7">
        <v>0</v>
      </c>
      <c r="Q159" s="69" t="s">
        <v>27</v>
      </c>
    </row>
    <row r="160" spans="1:17" ht="33.75" customHeight="1" x14ac:dyDescent="0.25">
      <c r="A160" s="12" t="s">
        <v>469</v>
      </c>
      <c r="B160" s="156" t="s">
        <v>150</v>
      </c>
      <c r="C160" s="144" t="s">
        <v>401</v>
      </c>
      <c r="D160" s="8">
        <v>44766</v>
      </c>
      <c r="E160" s="8">
        <v>45864</v>
      </c>
      <c r="F160" s="5"/>
      <c r="G160" s="4"/>
      <c r="H160" s="5"/>
      <c r="I160" s="5" t="s">
        <v>152</v>
      </c>
      <c r="J160" s="3"/>
      <c r="K160" s="12"/>
      <c r="L160" s="5" t="s">
        <v>153</v>
      </c>
      <c r="M160" s="3" t="s">
        <v>74</v>
      </c>
      <c r="N160" s="7">
        <v>8648</v>
      </c>
      <c r="O160" s="7"/>
      <c r="P160" s="7">
        <v>0</v>
      </c>
      <c r="Q160" s="69" t="s">
        <v>27</v>
      </c>
    </row>
    <row r="161" spans="1:17" ht="33.75" customHeight="1" x14ac:dyDescent="0.25">
      <c r="A161" s="12" t="s">
        <v>470</v>
      </c>
      <c r="B161" s="156" t="s">
        <v>150</v>
      </c>
      <c r="C161" s="144" t="s">
        <v>471</v>
      </c>
      <c r="D161" s="8">
        <v>44766</v>
      </c>
      <c r="E161" s="8">
        <v>45864</v>
      </c>
      <c r="F161" s="5"/>
      <c r="G161" s="4"/>
      <c r="H161" s="5"/>
      <c r="I161" s="5" t="s">
        <v>152</v>
      </c>
      <c r="J161" s="3"/>
      <c r="K161" s="12"/>
      <c r="L161" s="5" t="s">
        <v>153</v>
      </c>
      <c r="M161" s="3" t="s">
        <v>74</v>
      </c>
      <c r="N161" s="7">
        <v>39525</v>
      </c>
      <c r="O161" s="7"/>
      <c r="P161" s="7">
        <v>0</v>
      </c>
      <c r="Q161" s="69" t="s">
        <v>27</v>
      </c>
    </row>
    <row r="162" spans="1:17" ht="33.75" customHeight="1" x14ac:dyDescent="0.25">
      <c r="A162" s="12" t="s">
        <v>472</v>
      </c>
      <c r="B162" s="156" t="s">
        <v>150</v>
      </c>
      <c r="C162" s="144" t="s">
        <v>471</v>
      </c>
      <c r="D162" s="8">
        <v>44766</v>
      </c>
      <c r="E162" s="8">
        <v>45864</v>
      </c>
      <c r="F162" s="5"/>
      <c r="G162" s="4"/>
      <c r="H162" s="5"/>
      <c r="I162" s="5" t="s">
        <v>152</v>
      </c>
      <c r="J162" s="3"/>
      <c r="K162" s="12"/>
      <c r="L162" s="5" t="s">
        <v>153</v>
      </c>
      <c r="M162" s="3" t="s">
        <v>74</v>
      </c>
      <c r="N162" s="7">
        <v>6281</v>
      </c>
      <c r="O162" s="7"/>
      <c r="P162" s="7">
        <v>0</v>
      </c>
      <c r="Q162" s="69" t="s">
        <v>27</v>
      </c>
    </row>
    <row r="163" spans="1:17" ht="33.75" customHeight="1" x14ac:dyDescent="0.25">
      <c r="A163" s="12" t="s">
        <v>473</v>
      </c>
      <c r="B163" s="156" t="s">
        <v>150</v>
      </c>
      <c r="C163" s="144" t="s">
        <v>474</v>
      </c>
      <c r="D163" s="8">
        <v>44766</v>
      </c>
      <c r="E163" s="8">
        <v>45864</v>
      </c>
      <c r="F163" s="5"/>
      <c r="G163" s="4"/>
      <c r="H163" s="5"/>
      <c r="I163" s="5" t="s">
        <v>475</v>
      </c>
      <c r="J163" s="3"/>
      <c r="K163" s="12">
        <v>10799374</v>
      </c>
      <c r="L163" s="5" t="s">
        <v>153</v>
      </c>
      <c r="M163" s="3" t="s">
        <v>74</v>
      </c>
      <c r="N163" s="7">
        <v>103179</v>
      </c>
      <c r="O163" s="7"/>
      <c r="P163" s="7">
        <v>0</v>
      </c>
      <c r="Q163" s="69" t="s">
        <v>27</v>
      </c>
    </row>
    <row r="164" spans="1:17" ht="33.75" customHeight="1" x14ac:dyDescent="0.25">
      <c r="A164" s="12" t="s">
        <v>476</v>
      </c>
      <c r="B164" s="156" t="s">
        <v>150</v>
      </c>
      <c r="C164" s="144" t="s">
        <v>474</v>
      </c>
      <c r="D164" s="8">
        <v>44766</v>
      </c>
      <c r="E164" s="8">
        <v>45864</v>
      </c>
      <c r="F164" s="5"/>
      <c r="G164" s="4"/>
      <c r="H164" s="5"/>
      <c r="I164" s="5" t="s">
        <v>475</v>
      </c>
      <c r="J164" s="3"/>
      <c r="K164" s="12">
        <v>10799374</v>
      </c>
      <c r="L164" s="5" t="s">
        <v>153</v>
      </c>
      <c r="M164" s="3" t="s">
        <v>74</v>
      </c>
      <c r="N164" s="7">
        <v>22088</v>
      </c>
      <c r="O164" s="7"/>
      <c r="P164" s="7">
        <v>0</v>
      </c>
      <c r="Q164" s="69" t="s">
        <v>27</v>
      </c>
    </row>
    <row r="165" spans="1:17" ht="33.75" customHeight="1" x14ac:dyDescent="0.25">
      <c r="A165" s="12" t="s">
        <v>477</v>
      </c>
      <c r="B165" s="156" t="s">
        <v>150</v>
      </c>
      <c r="C165" s="144" t="s">
        <v>471</v>
      </c>
      <c r="D165" s="8">
        <v>44766</v>
      </c>
      <c r="E165" s="8">
        <v>45864</v>
      </c>
      <c r="F165" s="5"/>
      <c r="G165" s="4"/>
      <c r="H165" s="5"/>
      <c r="I165" s="5" t="s">
        <v>475</v>
      </c>
      <c r="J165" s="3"/>
      <c r="K165" s="12">
        <v>10799374</v>
      </c>
      <c r="L165" s="5" t="s">
        <v>153</v>
      </c>
      <c r="M165" s="3" t="s">
        <v>74</v>
      </c>
      <c r="N165" s="7">
        <v>73831</v>
      </c>
      <c r="O165" s="7"/>
      <c r="P165" s="7">
        <v>0</v>
      </c>
      <c r="Q165" s="69" t="s">
        <v>27</v>
      </c>
    </row>
    <row r="166" spans="1:17" ht="33.75" customHeight="1" x14ac:dyDescent="0.25">
      <c r="A166" s="5">
        <v>84911</v>
      </c>
      <c r="B166" s="156" t="s">
        <v>926</v>
      </c>
      <c r="C166" s="144" t="s">
        <v>912</v>
      </c>
      <c r="D166" s="4">
        <v>45606</v>
      </c>
      <c r="E166" s="4">
        <v>46112</v>
      </c>
      <c r="F166" s="5" t="s">
        <v>19</v>
      </c>
      <c r="G166" s="4">
        <v>46295</v>
      </c>
      <c r="H166" s="5" t="s">
        <v>46</v>
      </c>
      <c r="I166" s="5" t="s">
        <v>916</v>
      </c>
      <c r="J166" s="5" t="s">
        <v>23</v>
      </c>
      <c r="K166" s="12"/>
      <c r="L166" s="5" t="s">
        <v>44</v>
      </c>
      <c r="M166" s="10" t="s">
        <v>45</v>
      </c>
      <c r="N166" s="7">
        <v>63000</v>
      </c>
      <c r="O166" s="7">
        <v>84000</v>
      </c>
      <c r="P166" s="7">
        <v>0</v>
      </c>
      <c r="Q166" s="69" t="s">
        <v>27</v>
      </c>
    </row>
    <row r="167" spans="1:17" ht="33.75" customHeight="1" x14ac:dyDescent="0.25">
      <c r="A167" s="5">
        <v>84911</v>
      </c>
      <c r="B167" s="156" t="s">
        <v>927</v>
      </c>
      <c r="C167" s="144" t="s">
        <v>912</v>
      </c>
      <c r="D167" s="4">
        <v>45554</v>
      </c>
      <c r="E167" s="4">
        <v>46112</v>
      </c>
      <c r="F167" s="5" t="s">
        <v>19</v>
      </c>
      <c r="G167" s="4">
        <v>46295</v>
      </c>
      <c r="H167" s="5" t="s">
        <v>46</v>
      </c>
      <c r="I167" s="5" t="s">
        <v>928</v>
      </c>
      <c r="J167" s="5" t="s">
        <v>19</v>
      </c>
      <c r="K167" s="12" t="s">
        <v>929</v>
      </c>
      <c r="L167" s="5" t="s">
        <v>44</v>
      </c>
      <c r="M167" s="10" t="s">
        <v>45</v>
      </c>
      <c r="N167" s="7">
        <v>47250</v>
      </c>
      <c r="O167" s="7">
        <v>63000</v>
      </c>
      <c r="P167" s="7">
        <v>0</v>
      </c>
      <c r="Q167" s="69" t="s">
        <v>27</v>
      </c>
    </row>
    <row r="168" spans="1:17" ht="33.75" customHeight="1" x14ac:dyDescent="0.25">
      <c r="A168" s="5">
        <v>84911</v>
      </c>
      <c r="B168" s="156" t="s">
        <v>930</v>
      </c>
      <c r="C168" s="144" t="s">
        <v>912</v>
      </c>
      <c r="D168" s="4">
        <v>45554</v>
      </c>
      <c r="E168" s="4">
        <v>46112</v>
      </c>
      <c r="F168" s="5" t="s">
        <v>19</v>
      </c>
      <c r="G168" s="4">
        <v>46295</v>
      </c>
      <c r="H168" s="5" t="s">
        <v>46</v>
      </c>
      <c r="I168" s="5" t="s">
        <v>773</v>
      </c>
      <c r="J168" s="5" t="s">
        <v>24</v>
      </c>
      <c r="K168" s="12" t="s">
        <v>774</v>
      </c>
      <c r="L168" s="5" t="s">
        <v>44</v>
      </c>
      <c r="M168" s="10" t="s">
        <v>45</v>
      </c>
      <c r="N168" s="7">
        <v>99571.96</v>
      </c>
      <c r="O168" s="7">
        <v>132762.60999999999</v>
      </c>
      <c r="P168" s="7">
        <v>0</v>
      </c>
      <c r="Q168" s="69" t="s">
        <v>27</v>
      </c>
    </row>
    <row r="169" spans="1:17" ht="33.75" customHeight="1" x14ac:dyDescent="0.25">
      <c r="A169" s="12">
        <v>85065</v>
      </c>
      <c r="B169" s="156" t="s">
        <v>1110</v>
      </c>
      <c r="C169" s="144" t="s">
        <v>1111</v>
      </c>
      <c r="D169" s="8">
        <v>45539</v>
      </c>
      <c r="E169" s="8">
        <v>46633</v>
      </c>
      <c r="F169" s="5" t="s">
        <v>20</v>
      </c>
      <c r="G169" s="4">
        <v>47364</v>
      </c>
      <c r="H169" s="5"/>
      <c r="I169" s="5" t="s">
        <v>1112</v>
      </c>
      <c r="J169" s="3" t="s">
        <v>87</v>
      </c>
      <c r="K169" s="12" t="s">
        <v>1113</v>
      </c>
      <c r="L169" s="5" t="s">
        <v>136</v>
      </c>
      <c r="M169" s="3" t="s">
        <v>181</v>
      </c>
      <c r="N169" s="7">
        <f>O169/3</f>
        <v>833333.33333333337</v>
      </c>
      <c r="O169" s="7">
        <v>2500000</v>
      </c>
      <c r="P169" s="7">
        <v>0</v>
      </c>
      <c r="Q169" s="69" t="s">
        <v>27</v>
      </c>
    </row>
    <row r="170" spans="1:17" ht="33.75" customHeight="1" x14ac:dyDescent="0.25">
      <c r="A170" s="12">
        <v>86673</v>
      </c>
      <c r="B170" s="144" t="s">
        <v>133</v>
      </c>
      <c r="C170" s="144" t="s">
        <v>134</v>
      </c>
      <c r="D170" s="8">
        <v>45537</v>
      </c>
      <c r="E170" s="8">
        <v>45691</v>
      </c>
      <c r="F170" s="5" t="s">
        <v>20</v>
      </c>
      <c r="G170" s="4">
        <v>45872</v>
      </c>
      <c r="H170" s="5" t="s">
        <v>46</v>
      </c>
      <c r="I170" s="5" t="s">
        <v>135</v>
      </c>
      <c r="J170" s="3" t="s">
        <v>67</v>
      </c>
      <c r="K170" s="12">
        <v>2018542</v>
      </c>
      <c r="L170" s="5" t="s">
        <v>136</v>
      </c>
      <c r="M170" s="3" t="s">
        <v>34</v>
      </c>
      <c r="N170" s="7">
        <v>134200</v>
      </c>
      <c r="O170" s="7">
        <v>250000</v>
      </c>
      <c r="P170" s="7">
        <v>0</v>
      </c>
      <c r="Q170" s="69" t="s">
        <v>27</v>
      </c>
    </row>
    <row r="171" spans="1:17" ht="33.75" customHeight="1" x14ac:dyDescent="0.25">
      <c r="A171" s="12" t="s">
        <v>495</v>
      </c>
      <c r="B171" s="156" t="s">
        <v>150</v>
      </c>
      <c r="C171" s="144" t="s">
        <v>496</v>
      </c>
      <c r="D171" s="8">
        <v>44073</v>
      </c>
      <c r="E171" s="8">
        <v>45899</v>
      </c>
      <c r="F171" s="5"/>
      <c r="G171" s="4"/>
      <c r="H171" s="5"/>
      <c r="I171" s="5" t="s">
        <v>497</v>
      </c>
      <c r="J171" s="3"/>
      <c r="K171" s="12">
        <v>9454154</v>
      </c>
      <c r="L171" s="5" t="s">
        <v>153</v>
      </c>
      <c r="M171" s="3" t="s">
        <v>74</v>
      </c>
      <c r="N171" s="7">
        <v>46176</v>
      </c>
      <c r="O171" s="7"/>
      <c r="P171" s="7">
        <v>0</v>
      </c>
      <c r="Q171" s="69" t="s">
        <v>27</v>
      </c>
    </row>
    <row r="172" spans="1:17" ht="33.75" customHeight="1" x14ac:dyDescent="0.25">
      <c r="A172" s="12" t="s">
        <v>498</v>
      </c>
      <c r="B172" s="156" t="s">
        <v>150</v>
      </c>
      <c r="C172" s="144" t="s">
        <v>496</v>
      </c>
      <c r="D172" s="8">
        <v>44073</v>
      </c>
      <c r="E172" s="8">
        <v>45899</v>
      </c>
      <c r="F172" s="5"/>
      <c r="G172" s="4"/>
      <c r="H172" s="5"/>
      <c r="I172" s="5" t="s">
        <v>497</v>
      </c>
      <c r="J172" s="3"/>
      <c r="K172" s="12">
        <v>9454154</v>
      </c>
      <c r="L172" s="5" t="s">
        <v>153</v>
      </c>
      <c r="M172" s="3" t="s">
        <v>74</v>
      </c>
      <c r="N172" s="7">
        <v>6505</v>
      </c>
      <c r="O172" s="7"/>
      <c r="P172" s="7">
        <v>0</v>
      </c>
      <c r="Q172" s="69" t="s">
        <v>27</v>
      </c>
    </row>
    <row r="173" spans="1:17" ht="33.75" customHeight="1" x14ac:dyDescent="0.25">
      <c r="A173" s="12" t="s">
        <v>499</v>
      </c>
      <c r="B173" s="156" t="s">
        <v>150</v>
      </c>
      <c r="C173" s="144" t="s">
        <v>496</v>
      </c>
      <c r="D173" s="8">
        <v>44073</v>
      </c>
      <c r="E173" s="8">
        <v>45899</v>
      </c>
      <c r="F173" s="5"/>
      <c r="G173" s="4"/>
      <c r="H173" s="5"/>
      <c r="I173" s="5" t="s">
        <v>497</v>
      </c>
      <c r="J173" s="3"/>
      <c r="K173" s="12">
        <v>9454154</v>
      </c>
      <c r="L173" s="5" t="s">
        <v>153</v>
      </c>
      <c r="M173" s="3" t="s">
        <v>74</v>
      </c>
      <c r="N173" s="7">
        <v>121577</v>
      </c>
      <c r="O173" s="7"/>
      <c r="P173" s="7">
        <v>0</v>
      </c>
      <c r="Q173" s="69" t="s">
        <v>27</v>
      </c>
    </row>
    <row r="174" spans="1:17" ht="33.75" customHeight="1" x14ac:dyDescent="0.25">
      <c r="A174" s="12">
        <v>87456</v>
      </c>
      <c r="B174" s="156" t="s">
        <v>1084</v>
      </c>
      <c r="C174" s="144" t="s">
        <v>1085</v>
      </c>
      <c r="D174" s="8">
        <v>45523</v>
      </c>
      <c r="E174" s="8">
        <v>46568</v>
      </c>
      <c r="F174" s="5" t="s">
        <v>20</v>
      </c>
      <c r="G174" s="4">
        <v>47299</v>
      </c>
      <c r="H174" s="5" t="s">
        <v>20</v>
      </c>
      <c r="I174" s="5" t="s">
        <v>1086</v>
      </c>
      <c r="J174" s="3" t="s">
        <v>67</v>
      </c>
      <c r="K174" s="12" t="s">
        <v>1087</v>
      </c>
      <c r="L174" s="5" t="s">
        <v>89</v>
      </c>
      <c r="M174" s="3" t="s">
        <v>40</v>
      </c>
      <c r="N174" s="7">
        <v>18500</v>
      </c>
      <c r="O174" s="7">
        <v>55500</v>
      </c>
      <c r="P174" s="7">
        <v>0</v>
      </c>
      <c r="Q174" s="69" t="s">
        <v>27</v>
      </c>
    </row>
    <row r="175" spans="1:17" ht="33.75" customHeight="1" x14ac:dyDescent="0.25">
      <c r="A175" s="5">
        <v>88096</v>
      </c>
      <c r="B175" s="156" t="s">
        <v>884</v>
      </c>
      <c r="C175" s="144" t="s">
        <v>885</v>
      </c>
      <c r="D175" s="4">
        <v>45607</v>
      </c>
      <c r="E175" s="4">
        <v>46112</v>
      </c>
      <c r="F175" s="5" t="s">
        <v>102</v>
      </c>
      <c r="G175" s="4">
        <v>46112</v>
      </c>
      <c r="H175" s="5" t="s">
        <v>46</v>
      </c>
      <c r="I175" s="5" t="s">
        <v>886</v>
      </c>
      <c r="J175" s="5" t="s">
        <v>24</v>
      </c>
      <c r="K175" s="12" t="s">
        <v>887</v>
      </c>
      <c r="L175" s="5" t="s">
        <v>200</v>
      </c>
      <c r="M175" s="10" t="s">
        <v>45</v>
      </c>
      <c r="N175" s="7">
        <v>70588.23</v>
      </c>
      <c r="O175" s="7">
        <v>100000</v>
      </c>
      <c r="P175" s="7">
        <v>0</v>
      </c>
      <c r="Q175" s="69" t="s">
        <v>27</v>
      </c>
    </row>
    <row r="176" spans="1:17" ht="33.75" customHeight="1" x14ac:dyDescent="0.25">
      <c r="A176" s="12" t="s">
        <v>507</v>
      </c>
      <c r="B176" s="156" t="s">
        <v>508</v>
      </c>
      <c r="C176" s="144" t="s">
        <v>509</v>
      </c>
      <c r="D176" s="8"/>
      <c r="E176" s="8">
        <v>45900</v>
      </c>
      <c r="F176" s="5"/>
      <c r="G176" s="4"/>
      <c r="H176" s="5"/>
      <c r="I176" s="5" t="s">
        <v>510</v>
      </c>
      <c r="J176" s="3"/>
      <c r="K176" s="12" t="s">
        <v>511</v>
      </c>
      <c r="L176" s="5" t="s">
        <v>153</v>
      </c>
      <c r="M176" s="3" t="s">
        <v>74</v>
      </c>
      <c r="N176" s="7">
        <v>43460</v>
      </c>
      <c r="O176" s="7"/>
      <c r="P176" s="7">
        <v>0</v>
      </c>
      <c r="Q176" s="69"/>
    </row>
    <row r="177" spans="1:17" ht="33.75" customHeight="1" x14ac:dyDescent="0.25">
      <c r="A177" s="12" t="s">
        <v>512</v>
      </c>
      <c r="B177" s="156" t="s">
        <v>508</v>
      </c>
      <c r="C177" s="144" t="s">
        <v>509</v>
      </c>
      <c r="D177" s="8"/>
      <c r="E177" s="8">
        <v>45900</v>
      </c>
      <c r="F177" s="5"/>
      <c r="G177" s="4"/>
      <c r="H177" s="5"/>
      <c r="I177" s="5" t="s">
        <v>510</v>
      </c>
      <c r="J177" s="3"/>
      <c r="K177" s="12" t="s">
        <v>511</v>
      </c>
      <c r="L177" s="5" t="s">
        <v>153</v>
      </c>
      <c r="M177" s="3" t="s">
        <v>74</v>
      </c>
      <c r="N177" s="7">
        <v>43460</v>
      </c>
      <c r="O177" s="7"/>
      <c r="P177" s="7">
        <v>0</v>
      </c>
      <c r="Q177" s="69"/>
    </row>
    <row r="178" spans="1:17" ht="33.75" customHeight="1" x14ac:dyDescent="0.25">
      <c r="A178" s="12" t="s">
        <v>513</v>
      </c>
      <c r="B178" s="156" t="s">
        <v>508</v>
      </c>
      <c r="C178" s="144" t="s">
        <v>509</v>
      </c>
      <c r="D178" s="8"/>
      <c r="E178" s="8">
        <v>45900</v>
      </c>
      <c r="F178" s="5"/>
      <c r="G178" s="4"/>
      <c r="H178" s="5"/>
      <c r="I178" s="5" t="s">
        <v>510</v>
      </c>
      <c r="J178" s="3"/>
      <c r="K178" s="12" t="s">
        <v>511</v>
      </c>
      <c r="L178" s="5" t="s">
        <v>153</v>
      </c>
      <c r="M178" s="3" t="s">
        <v>74</v>
      </c>
      <c r="N178" s="7">
        <v>43460</v>
      </c>
      <c r="O178" s="7"/>
      <c r="P178" s="7">
        <v>0</v>
      </c>
      <c r="Q178" s="69"/>
    </row>
    <row r="179" spans="1:17" ht="33.75" customHeight="1" x14ac:dyDescent="0.25">
      <c r="A179" s="12" t="s">
        <v>514</v>
      </c>
      <c r="B179" s="156" t="s">
        <v>508</v>
      </c>
      <c r="C179" s="144" t="s">
        <v>509</v>
      </c>
      <c r="D179" s="8"/>
      <c r="E179" s="8">
        <v>45900</v>
      </c>
      <c r="F179" s="5"/>
      <c r="G179" s="4"/>
      <c r="H179" s="5"/>
      <c r="I179" s="5" t="s">
        <v>510</v>
      </c>
      <c r="J179" s="3"/>
      <c r="K179" s="12" t="s">
        <v>511</v>
      </c>
      <c r="L179" s="5" t="s">
        <v>153</v>
      </c>
      <c r="M179" s="3" t="s">
        <v>74</v>
      </c>
      <c r="N179" s="7">
        <v>43460</v>
      </c>
      <c r="O179" s="7"/>
      <c r="P179" s="7">
        <v>0</v>
      </c>
      <c r="Q179" s="69"/>
    </row>
    <row r="180" spans="1:17" ht="33.75" customHeight="1" x14ac:dyDescent="0.25">
      <c r="A180" s="12" t="s">
        <v>515</v>
      </c>
      <c r="B180" s="156" t="s">
        <v>508</v>
      </c>
      <c r="C180" s="144" t="s">
        <v>509</v>
      </c>
      <c r="D180" s="8"/>
      <c r="E180" s="8">
        <v>45900</v>
      </c>
      <c r="F180" s="5"/>
      <c r="G180" s="4"/>
      <c r="H180" s="5"/>
      <c r="I180" s="5" t="s">
        <v>510</v>
      </c>
      <c r="J180" s="3"/>
      <c r="K180" s="12" t="s">
        <v>511</v>
      </c>
      <c r="L180" s="5" t="s">
        <v>153</v>
      </c>
      <c r="M180" s="3" t="s">
        <v>74</v>
      </c>
      <c r="N180" s="7">
        <v>43460</v>
      </c>
      <c r="O180" s="7"/>
      <c r="P180" s="7">
        <v>0</v>
      </c>
      <c r="Q180" s="69"/>
    </row>
    <row r="181" spans="1:17" ht="33.75" customHeight="1" x14ac:dyDescent="0.25">
      <c r="A181" s="12" t="s">
        <v>516</v>
      </c>
      <c r="B181" s="156" t="s">
        <v>508</v>
      </c>
      <c r="C181" s="144" t="s">
        <v>509</v>
      </c>
      <c r="D181" s="8"/>
      <c r="E181" s="8">
        <v>45900</v>
      </c>
      <c r="F181" s="5"/>
      <c r="G181" s="4"/>
      <c r="H181" s="5"/>
      <c r="I181" s="5" t="s">
        <v>510</v>
      </c>
      <c r="J181" s="3"/>
      <c r="K181" s="12" t="s">
        <v>511</v>
      </c>
      <c r="L181" s="5" t="s">
        <v>153</v>
      </c>
      <c r="M181" s="3" t="s">
        <v>74</v>
      </c>
      <c r="N181" s="7">
        <v>21730</v>
      </c>
      <c r="O181" s="7"/>
      <c r="P181" s="7">
        <v>0</v>
      </c>
      <c r="Q181" s="69"/>
    </row>
    <row r="182" spans="1:17" ht="33.75" customHeight="1" x14ac:dyDescent="0.25">
      <c r="A182" s="12" t="s">
        <v>517</v>
      </c>
      <c r="B182" s="156" t="s">
        <v>508</v>
      </c>
      <c r="C182" s="144" t="s">
        <v>509</v>
      </c>
      <c r="D182" s="8"/>
      <c r="E182" s="8">
        <v>45900</v>
      </c>
      <c r="F182" s="5"/>
      <c r="G182" s="4"/>
      <c r="H182" s="5"/>
      <c r="I182" s="5" t="s">
        <v>510</v>
      </c>
      <c r="J182" s="3"/>
      <c r="K182" s="12" t="s">
        <v>511</v>
      </c>
      <c r="L182" s="5" t="s">
        <v>153</v>
      </c>
      <c r="M182" s="3" t="s">
        <v>74</v>
      </c>
      <c r="N182" s="7">
        <v>43460</v>
      </c>
      <c r="O182" s="7"/>
      <c r="P182" s="7">
        <v>0</v>
      </c>
      <c r="Q182" s="69"/>
    </row>
    <row r="183" spans="1:17" ht="33.75" customHeight="1" x14ac:dyDescent="0.25">
      <c r="A183" s="12" t="s">
        <v>518</v>
      </c>
      <c r="B183" s="156" t="s">
        <v>508</v>
      </c>
      <c r="C183" s="144" t="s">
        <v>509</v>
      </c>
      <c r="D183" s="8"/>
      <c r="E183" s="8">
        <v>45900</v>
      </c>
      <c r="F183" s="5"/>
      <c r="G183" s="4"/>
      <c r="H183" s="5"/>
      <c r="I183" s="5" t="s">
        <v>510</v>
      </c>
      <c r="J183" s="3"/>
      <c r="K183" s="12" t="s">
        <v>511</v>
      </c>
      <c r="L183" s="5" t="s">
        <v>153</v>
      </c>
      <c r="M183" s="3" t="s">
        <v>74</v>
      </c>
      <c r="N183" s="7">
        <v>43460</v>
      </c>
      <c r="O183" s="7"/>
      <c r="P183" s="7">
        <v>0</v>
      </c>
      <c r="Q183" s="69"/>
    </row>
    <row r="184" spans="1:17" ht="33.75" customHeight="1" x14ac:dyDescent="0.25">
      <c r="A184" s="12" t="s">
        <v>519</v>
      </c>
      <c r="B184" s="156" t="s">
        <v>508</v>
      </c>
      <c r="C184" s="144" t="s">
        <v>509</v>
      </c>
      <c r="D184" s="8"/>
      <c r="E184" s="8">
        <v>45900</v>
      </c>
      <c r="F184" s="5"/>
      <c r="G184" s="4"/>
      <c r="H184" s="5"/>
      <c r="I184" s="5" t="s">
        <v>431</v>
      </c>
      <c r="J184" s="3"/>
      <c r="K184" s="12">
        <v>2778802</v>
      </c>
      <c r="L184" s="5" t="s">
        <v>153</v>
      </c>
      <c r="M184" s="3" t="s">
        <v>74</v>
      </c>
      <c r="N184" s="7">
        <v>40536.969696969696</v>
      </c>
      <c r="O184" s="7"/>
      <c r="P184" s="7">
        <v>0</v>
      </c>
      <c r="Q184" s="69"/>
    </row>
    <row r="185" spans="1:17" ht="33.75" customHeight="1" x14ac:dyDescent="0.25">
      <c r="A185" s="12" t="s">
        <v>520</v>
      </c>
      <c r="B185" s="156" t="s">
        <v>508</v>
      </c>
      <c r="C185" s="144" t="s">
        <v>509</v>
      </c>
      <c r="D185" s="8"/>
      <c r="E185" s="8">
        <v>45900</v>
      </c>
      <c r="F185" s="5"/>
      <c r="G185" s="4"/>
      <c r="H185" s="5"/>
      <c r="I185" s="5" t="s">
        <v>431</v>
      </c>
      <c r="J185" s="3"/>
      <c r="K185" s="12">
        <v>2778802</v>
      </c>
      <c r="L185" s="5" t="s">
        <v>153</v>
      </c>
      <c r="M185" s="3" t="s">
        <v>74</v>
      </c>
      <c r="N185" s="7">
        <v>32480.9696969697</v>
      </c>
      <c r="O185" s="7"/>
      <c r="P185" s="7">
        <v>0</v>
      </c>
      <c r="Q185" s="69"/>
    </row>
    <row r="186" spans="1:17" ht="33.75" customHeight="1" x14ac:dyDescent="0.25">
      <c r="A186" s="12" t="s">
        <v>521</v>
      </c>
      <c r="B186" s="156" t="s">
        <v>508</v>
      </c>
      <c r="C186" s="144" t="s">
        <v>509</v>
      </c>
      <c r="D186" s="8"/>
      <c r="E186" s="8">
        <v>45900</v>
      </c>
      <c r="F186" s="5"/>
      <c r="G186" s="4"/>
      <c r="H186" s="5"/>
      <c r="I186" s="5" t="s">
        <v>431</v>
      </c>
      <c r="J186" s="3"/>
      <c r="K186" s="12">
        <v>2778802</v>
      </c>
      <c r="L186" s="5" t="s">
        <v>153</v>
      </c>
      <c r="M186" s="3" t="s">
        <v>74</v>
      </c>
      <c r="N186" s="7">
        <v>40536.969696969696</v>
      </c>
      <c r="O186" s="7"/>
      <c r="P186" s="7">
        <v>0</v>
      </c>
      <c r="Q186" s="69"/>
    </row>
    <row r="187" spans="1:17" ht="33.75" customHeight="1" x14ac:dyDescent="0.25">
      <c r="A187" s="12" t="s">
        <v>522</v>
      </c>
      <c r="B187" s="156" t="s">
        <v>508</v>
      </c>
      <c r="C187" s="144" t="s">
        <v>509</v>
      </c>
      <c r="D187" s="8"/>
      <c r="E187" s="8">
        <v>45900</v>
      </c>
      <c r="F187" s="5"/>
      <c r="G187" s="4"/>
      <c r="H187" s="5"/>
      <c r="I187" s="5" t="s">
        <v>523</v>
      </c>
      <c r="J187" s="3"/>
      <c r="K187" s="12">
        <v>8618209</v>
      </c>
      <c r="L187" s="5" t="s">
        <v>153</v>
      </c>
      <c r="M187" s="3" t="s">
        <v>74</v>
      </c>
      <c r="N187" s="7">
        <v>65000</v>
      </c>
      <c r="O187" s="7"/>
      <c r="P187" s="7">
        <v>0</v>
      </c>
      <c r="Q187" s="69"/>
    </row>
    <row r="188" spans="1:17" ht="33.75" customHeight="1" x14ac:dyDescent="0.25">
      <c r="A188" s="12" t="s">
        <v>524</v>
      </c>
      <c r="B188" s="156" t="s">
        <v>508</v>
      </c>
      <c r="C188" s="144" t="s">
        <v>525</v>
      </c>
      <c r="D188" s="8"/>
      <c r="E188" s="8">
        <v>45900</v>
      </c>
      <c r="F188" s="5"/>
      <c r="G188" s="4"/>
      <c r="H188" s="5"/>
      <c r="I188" s="5" t="s">
        <v>526</v>
      </c>
      <c r="J188" s="3"/>
      <c r="K188" s="12">
        <v>5021863</v>
      </c>
      <c r="L188" s="5" t="s">
        <v>153</v>
      </c>
      <c r="M188" s="3" t="s">
        <v>74</v>
      </c>
      <c r="N188" s="7">
        <v>26600</v>
      </c>
      <c r="O188" s="7"/>
      <c r="P188" s="7">
        <v>0</v>
      </c>
      <c r="Q188" s="69"/>
    </row>
    <row r="189" spans="1:17" ht="33.75" customHeight="1" x14ac:dyDescent="0.25">
      <c r="A189" s="12" t="s">
        <v>527</v>
      </c>
      <c r="B189" s="156" t="s">
        <v>508</v>
      </c>
      <c r="C189" s="144" t="s">
        <v>525</v>
      </c>
      <c r="D189" s="8"/>
      <c r="E189" s="8">
        <v>45900</v>
      </c>
      <c r="F189" s="5"/>
      <c r="G189" s="4"/>
      <c r="H189" s="5"/>
      <c r="I189" s="5" t="s">
        <v>526</v>
      </c>
      <c r="J189" s="3"/>
      <c r="K189" s="12">
        <v>5021863</v>
      </c>
      <c r="L189" s="5" t="s">
        <v>153</v>
      </c>
      <c r="M189" s="3" t="s">
        <v>74</v>
      </c>
      <c r="N189" s="7">
        <v>8000</v>
      </c>
      <c r="O189" s="7"/>
      <c r="P189" s="7">
        <v>0</v>
      </c>
      <c r="Q189" s="69"/>
    </row>
    <row r="190" spans="1:17" ht="33.75" customHeight="1" x14ac:dyDescent="0.25">
      <c r="A190" s="12" t="s">
        <v>528</v>
      </c>
      <c r="B190" s="156" t="s">
        <v>508</v>
      </c>
      <c r="C190" s="144" t="s">
        <v>525</v>
      </c>
      <c r="D190" s="8"/>
      <c r="E190" s="8">
        <v>45900</v>
      </c>
      <c r="F190" s="5"/>
      <c r="G190" s="4"/>
      <c r="H190" s="5"/>
      <c r="I190" s="5" t="s">
        <v>523</v>
      </c>
      <c r="J190" s="3"/>
      <c r="K190" s="12">
        <v>8618209</v>
      </c>
      <c r="L190" s="5" t="s">
        <v>153</v>
      </c>
      <c r="M190" s="3" t="s">
        <v>74</v>
      </c>
      <c r="N190" s="7">
        <v>72600</v>
      </c>
      <c r="O190" s="7"/>
      <c r="P190" s="7">
        <v>0</v>
      </c>
      <c r="Q190" s="69"/>
    </row>
    <row r="191" spans="1:17" ht="33.75" customHeight="1" x14ac:dyDescent="0.25">
      <c r="A191" s="12" t="s">
        <v>529</v>
      </c>
      <c r="B191" s="156" t="s">
        <v>508</v>
      </c>
      <c r="C191" s="144" t="s">
        <v>509</v>
      </c>
      <c r="D191" s="8"/>
      <c r="E191" s="8">
        <v>45900</v>
      </c>
      <c r="F191" s="5"/>
      <c r="G191" s="4"/>
      <c r="H191" s="5"/>
      <c r="I191" s="5" t="s">
        <v>523</v>
      </c>
      <c r="J191" s="3"/>
      <c r="K191" s="12">
        <v>8618209</v>
      </c>
      <c r="L191" s="5" t="s">
        <v>153</v>
      </c>
      <c r="M191" s="3" t="s">
        <v>74</v>
      </c>
      <c r="N191" s="7">
        <v>38000</v>
      </c>
      <c r="O191" s="7"/>
      <c r="P191" s="7">
        <v>0</v>
      </c>
      <c r="Q191" s="69"/>
    </row>
    <row r="192" spans="1:17" ht="33.75" customHeight="1" x14ac:dyDescent="0.25">
      <c r="A192" s="12" t="s">
        <v>530</v>
      </c>
      <c r="B192" s="156" t="s">
        <v>508</v>
      </c>
      <c r="C192" s="144" t="s">
        <v>525</v>
      </c>
      <c r="D192" s="8"/>
      <c r="E192" s="8">
        <v>45900</v>
      </c>
      <c r="F192" s="5"/>
      <c r="G192" s="4"/>
      <c r="H192" s="5"/>
      <c r="I192" s="5" t="s">
        <v>523</v>
      </c>
      <c r="J192" s="3"/>
      <c r="K192" s="12">
        <v>8618209</v>
      </c>
      <c r="L192" s="5" t="s">
        <v>153</v>
      </c>
      <c r="M192" s="3" t="s">
        <v>74</v>
      </c>
      <c r="N192" s="7">
        <v>13200</v>
      </c>
      <c r="O192" s="7"/>
      <c r="P192" s="7">
        <v>0</v>
      </c>
      <c r="Q192" s="69"/>
    </row>
    <row r="193" spans="1:17" ht="33.75" customHeight="1" x14ac:dyDescent="0.25">
      <c r="A193" s="12" t="s">
        <v>531</v>
      </c>
      <c r="B193" s="156" t="s">
        <v>508</v>
      </c>
      <c r="C193" s="144" t="s">
        <v>509</v>
      </c>
      <c r="D193" s="8"/>
      <c r="E193" s="8">
        <v>45900</v>
      </c>
      <c r="F193" s="5"/>
      <c r="G193" s="4"/>
      <c r="H193" s="5"/>
      <c r="I193" s="5" t="s">
        <v>532</v>
      </c>
      <c r="J193" s="3"/>
      <c r="K193" s="12">
        <v>9378475</v>
      </c>
      <c r="L193" s="5" t="s">
        <v>153</v>
      </c>
      <c r="M193" s="3" t="s">
        <v>74</v>
      </c>
      <c r="N193" s="7">
        <v>61939.222462734928</v>
      </c>
      <c r="O193" s="7"/>
      <c r="P193" s="7">
        <v>0</v>
      </c>
      <c r="Q193" s="69"/>
    </row>
    <row r="194" spans="1:17" ht="33.75" customHeight="1" x14ac:dyDescent="0.25">
      <c r="A194" s="12" t="s">
        <v>533</v>
      </c>
      <c r="B194" s="156" t="s">
        <v>508</v>
      </c>
      <c r="C194" s="144" t="s">
        <v>509</v>
      </c>
      <c r="D194" s="8"/>
      <c r="E194" s="8">
        <v>45900</v>
      </c>
      <c r="F194" s="5"/>
      <c r="G194" s="4"/>
      <c r="H194" s="5"/>
      <c r="I194" s="5" t="s">
        <v>534</v>
      </c>
      <c r="J194" s="3"/>
      <c r="K194" s="12">
        <v>9452067</v>
      </c>
      <c r="L194" s="5" t="s">
        <v>153</v>
      </c>
      <c r="M194" s="3" t="s">
        <v>74</v>
      </c>
      <c r="N194" s="7">
        <v>64600</v>
      </c>
      <c r="O194" s="7"/>
      <c r="P194" s="7">
        <v>0</v>
      </c>
      <c r="Q194" s="69"/>
    </row>
    <row r="195" spans="1:17" ht="33.75" customHeight="1" x14ac:dyDescent="0.25">
      <c r="A195" s="12" t="s">
        <v>535</v>
      </c>
      <c r="B195" s="156" t="s">
        <v>508</v>
      </c>
      <c r="C195" s="144" t="s">
        <v>509</v>
      </c>
      <c r="D195" s="8"/>
      <c r="E195" s="8">
        <v>45900</v>
      </c>
      <c r="F195" s="5"/>
      <c r="G195" s="4"/>
      <c r="H195" s="5"/>
      <c r="I195" s="5" t="s">
        <v>536</v>
      </c>
      <c r="J195" s="3"/>
      <c r="K195" s="12">
        <v>1990370</v>
      </c>
      <c r="L195" s="5" t="s">
        <v>153</v>
      </c>
      <c r="M195" s="3" t="s">
        <v>74</v>
      </c>
      <c r="N195" s="7">
        <v>68313.629401916973</v>
      </c>
      <c r="O195" s="7"/>
      <c r="P195" s="7">
        <v>0</v>
      </c>
      <c r="Q195" s="69"/>
    </row>
    <row r="196" spans="1:17" ht="33.75" customHeight="1" x14ac:dyDescent="0.25">
      <c r="A196" s="12" t="s">
        <v>537</v>
      </c>
      <c r="B196" s="156" t="s">
        <v>508</v>
      </c>
      <c r="C196" s="144" t="s">
        <v>509</v>
      </c>
      <c r="D196" s="8"/>
      <c r="E196" s="8">
        <v>45900</v>
      </c>
      <c r="F196" s="5"/>
      <c r="G196" s="4"/>
      <c r="H196" s="5"/>
      <c r="I196" s="5" t="s">
        <v>536</v>
      </c>
      <c r="J196" s="3"/>
      <c r="K196" s="12">
        <v>1990370</v>
      </c>
      <c r="L196" s="5" t="s">
        <v>153</v>
      </c>
      <c r="M196" s="3" t="s">
        <v>74</v>
      </c>
      <c r="N196" s="7">
        <v>68313.629401916973</v>
      </c>
      <c r="O196" s="7"/>
      <c r="P196" s="7">
        <v>0</v>
      </c>
      <c r="Q196" s="69"/>
    </row>
    <row r="197" spans="1:17" ht="33.75" customHeight="1" x14ac:dyDescent="0.25">
      <c r="A197" s="12" t="s">
        <v>538</v>
      </c>
      <c r="B197" s="156" t="s">
        <v>508</v>
      </c>
      <c r="C197" s="144" t="s">
        <v>509</v>
      </c>
      <c r="D197" s="8"/>
      <c r="E197" s="8">
        <v>45900</v>
      </c>
      <c r="F197" s="5"/>
      <c r="G197" s="4"/>
      <c r="H197" s="5"/>
      <c r="I197" s="5" t="s">
        <v>536</v>
      </c>
      <c r="J197" s="3"/>
      <c r="K197" s="12">
        <v>1990370</v>
      </c>
      <c r="L197" s="5" t="s">
        <v>153</v>
      </c>
      <c r="M197" s="3" t="s">
        <v>74</v>
      </c>
      <c r="N197" s="7">
        <v>21938.448476992871</v>
      </c>
      <c r="O197" s="7"/>
      <c r="P197" s="7">
        <v>0</v>
      </c>
      <c r="Q197" s="69"/>
    </row>
    <row r="198" spans="1:17" ht="33.75" customHeight="1" x14ac:dyDescent="0.25">
      <c r="A198" s="12" t="s">
        <v>539</v>
      </c>
      <c r="B198" s="156" t="s">
        <v>508</v>
      </c>
      <c r="C198" s="144" t="s">
        <v>509</v>
      </c>
      <c r="D198" s="8"/>
      <c r="E198" s="8">
        <v>45900</v>
      </c>
      <c r="F198" s="5"/>
      <c r="G198" s="4"/>
      <c r="H198" s="5"/>
      <c r="I198" s="5" t="s">
        <v>536</v>
      </c>
      <c r="J198" s="3"/>
      <c r="K198" s="12">
        <v>1990370</v>
      </c>
      <c r="L198" s="5" t="s">
        <v>153</v>
      </c>
      <c r="M198" s="3" t="s">
        <v>74</v>
      </c>
      <c r="N198" s="7">
        <v>69409.569980557353</v>
      </c>
      <c r="O198" s="7"/>
      <c r="P198" s="7">
        <v>0</v>
      </c>
      <c r="Q198" s="69"/>
    </row>
    <row r="199" spans="1:17" ht="33.75" customHeight="1" x14ac:dyDescent="0.25">
      <c r="A199" s="12" t="s">
        <v>540</v>
      </c>
      <c r="B199" s="156" t="s">
        <v>508</v>
      </c>
      <c r="C199" s="144" t="s">
        <v>509</v>
      </c>
      <c r="D199" s="8"/>
      <c r="E199" s="8">
        <v>45900</v>
      </c>
      <c r="F199" s="5"/>
      <c r="G199" s="4"/>
      <c r="H199" s="5"/>
      <c r="I199" s="5" t="s">
        <v>536</v>
      </c>
      <c r="J199" s="3"/>
      <c r="K199" s="12">
        <v>1990370</v>
      </c>
      <c r="L199" s="5" t="s">
        <v>153</v>
      </c>
      <c r="M199" s="3" t="s">
        <v>74</v>
      </c>
      <c r="N199" s="7">
        <v>69409.569980557353</v>
      </c>
      <c r="O199" s="7"/>
      <c r="P199" s="7">
        <v>0</v>
      </c>
      <c r="Q199" s="69"/>
    </row>
    <row r="200" spans="1:17" ht="33.75" customHeight="1" x14ac:dyDescent="0.25">
      <c r="A200" s="12" t="s">
        <v>541</v>
      </c>
      <c r="B200" s="156" t="s">
        <v>508</v>
      </c>
      <c r="C200" s="144" t="s">
        <v>509</v>
      </c>
      <c r="D200" s="8"/>
      <c r="E200" s="8">
        <v>45900</v>
      </c>
      <c r="F200" s="5"/>
      <c r="G200" s="4"/>
      <c r="H200" s="5"/>
      <c r="I200" s="5" t="s">
        <v>536</v>
      </c>
      <c r="J200" s="3"/>
      <c r="K200" s="12">
        <v>1990370</v>
      </c>
      <c r="L200" s="5" t="s">
        <v>153</v>
      </c>
      <c r="M200" s="3" t="s">
        <v>74</v>
      </c>
      <c r="N200" s="7">
        <v>24183.318211276732</v>
      </c>
      <c r="O200" s="7"/>
      <c r="P200" s="7">
        <v>0</v>
      </c>
      <c r="Q200" s="69"/>
    </row>
    <row r="201" spans="1:17" ht="33.75" customHeight="1" x14ac:dyDescent="0.25">
      <c r="A201" s="12" t="s">
        <v>542</v>
      </c>
      <c r="B201" s="156" t="s">
        <v>508</v>
      </c>
      <c r="C201" s="144" t="s">
        <v>509</v>
      </c>
      <c r="D201" s="8"/>
      <c r="E201" s="8">
        <v>45900</v>
      </c>
      <c r="F201" s="5"/>
      <c r="G201" s="4"/>
      <c r="H201" s="5"/>
      <c r="I201" s="5" t="s">
        <v>536</v>
      </c>
      <c r="J201" s="3"/>
      <c r="K201" s="12">
        <v>1990370</v>
      </c>
      <c r="L201" s="5" t="s">
        <v>153</v>
      </c>
      <c r="M201" s="3" t="s">
        <v>74</v>
      </c>
      <c r="N201" s="7">
        <v>69409.569980557353</v>
      </c>
      <c r="O201" s="7"/>
      <c r="P201" s="7">
        <v>0</v>
      </c>
      <c r="Q201" s="69"/>
    </row>
    <row r="202" spans="1:17" ht="33.75" customHeight="1" x14ac:dyDescent="0.25">
      <c r="A202" s="12" t="s">
        <v>543</v>
      </c>
      <c r="B202" s="156" t="s">
        <v>508</v>
      </c>
      <c r="C202" s="144" t="s">
        <v>509</v>
      </c>
      <c r="D202" s="8"/>
      <c r="E202" s="8">
        <v>45900</v>
      </c>
      <c r="F202" s="5"/>
      <c r="G202" s="4"/>
      <c r="H202" s="5"/>
      <c r="I202" s="5" t="s">
        <v>536</v>
      </c>
      <c r="J202" s="3"/>
      <c r="K202" s="12">
        <v>1990370</v>
      </c>
      <c r="L202" s="5" t="s">
        <v>153</v>
      </c>
      <c r="M202" s="3" t="s">
        <v>74</v>
      </c>
      <c r="N202" s="7">
        <v>19038.275022683087</v>
      </c>
      <c r="O202" s="7"/>
      <c r="P202" s="7">
        <v>0</v>
      </c>
      <c r="Q202" s="69"/>
    </row>
    <row r="203" spans="1:17" ht="33.75" customHeight="1" x14ac:dyDescent="0.25">
      <c r="A203" s="12" t="s">
        <v>544</v>
      </c>
      <c r="B203" s="156" t="s">
        <v>508</v>
      </c>
      <c r="C203" s="144" t="s">
        <v>509</v>
      </c>
      <c r="D203" s="8"/>
      <c r="E203" s="8">
        <v>45900</v>
      </c>
      <c r="F203" s="5"/>
      <c r="G203" s="4"/>
      <c r="H203" s="5"/>
      <c r="I203" s="5" t="s">
        <v>536</v>
      </c>
      <c r="J203" s="3"/>
      <c r="K203" s="12">
        <v>1990370</v>
      </c>
      <c r="L203" s="5" t="s">
        <v>153</v>
      </c>
      <c r="M203" s="3" t="s">
        <v>74</v>
      </c>
      <c r="N203" s="7">
        <v>11499.999999999998</v>
      </c>
      <c r="O203" s="7"/>
      <c r="P203" s="7">
        <v>0</v>
      </c>
      <c r="Q203" s="69"/>
    </row>
    <row r="204" spans="1:17" ht="33.75" customHeight="1" x14ac:dyDescent="0.25">
      <c r="A204" s="12" t="s">
        <v>545</v>
      </c>
      <c r="B204" s="156" t="s">
        <v>508</v>
      </c>
      <c r="C204" s="144" t="s">
        <v>509</v>
      </c>
      <c r="D204" s="8"/>
      <c r="E204" s="8">
        <v>45900</v>
      </c>
      <c r="F204" s="5"/>
      <c r="G204" s="4"/>
      <c r="H204" s="5"/>
      <c r="I204" s="5" t="s">
        <v>536</v>
      </c>
      <c r="J204" s="3"/>
      <c r="K204" s="12">
        <v>1990370</v>
      </c>
      <c r="L204" s="5" t="s">
        <v>153</v>
      </c>
      <c r="M204" s="3" t="s">
        <v>74</v>
      </c>
      <c r="N204" s="7">
        <v>68313.629401916973</v>
      </c>
      <c r="O204" s="7"/>
      <c r="P204" s="7">
        <v>0</v>
      </c>
      <c r="Q204" s="69"/>
    </row>
    <row r="205" spans="1:17" ht="33.75" customHeight="1" x14ac:dyDescent="0.25">
      <c r="A205" s="12" t="s">
        <v>546</v>
      </c>
      <c r="B205" s="156" t="s">
        <v>508</v>
      </c>
      <c r="C205" s="144" t="s">
        <v>509</v>
      </c>
      <c r="D205" s="8"/>
      <c r="E205" s="8">
        <v>45900</v>
      </c>
      <c r="F205" s="5"/>
      <c r="G205" s="4"/>
      <c r="H205" s="5"/>
      <c r="I205" s="5" t="s">
        <v>536</v>
      </c>
      <c r="J205" s="3"/>
      <c r="K205" s="12">
        <v>1990370</v>
      </c>
      <c r="L205" s="5" t="s">
        <v>153</v>
      </c>
      <c r="M205" s="3" t="s">
        <v>74</v>
      </c>
      <c r="N205" s="7">
        <v>68313.629401916973</v>
      </c>
      <c r="O205" s="7"/>
      <c r="P205" s="7">
        <v>0</v>
      </c>
      <c r="Q205" s="69"/>
    </row>
    <row r="206" spans="1:17" ht="33.75" customHeight="1" x14ac:dyDescent="0.25">
      <c r="A206" s="12" t="s">
        <v>547</v>
      </c>
      <c r="B206" s="156" t="s">
        <v>508</v>
      </c>
      <c r="C206" s="144" t="s">
        <v>509</v>
      </c>
      <c r="D206" s="8"/>
      <c r="E206" s="8">
        <v>45900</v>
      </c>
      <c r="F206" s="5"/>
      <c r="G206" s="4"/>
      <c r="H206" s="5"/>
      <c r="I206" s="5" t="s">
        <v>536</v>
      </c>
      <c r="J206" s="3"/>
      <c r="K206" s="12">
        <v>1990370</v>
      </c>
      <c r="L206" s="5" t="s">
        <v>153</v>
      </c>
      <c r="M206" s="3" t="s">
        <v>74</v>
      </c>
      <c r="N206" s="7">
        <v>69409.569980557353</v>
      </c>
      <c r="O206" s="7"/>
      <c r="P206" s="7">
        <v>0</v>
      </c>
      <c r="Q206" s="69"/>
    </row>
    <row r="207" spans="1:17" ht="33.75" customHeight="1" x14ac:dyDescent="0.25">
      <c r="A207" s="12" t="s">
        <v>548</v>
      </c>
      <c r="B207" s="156" t="s">
        <v>508</v>
      </c>
      <c r="C207" s="144" t="s">
        <v>509</v>
      </c>
      <c r="D207" s="8"/>
      <c r="E207" s="8">
        <v>45900</v>
      </c>
      <c r="F207" s="5"/>
      <c r="G207" s="4"/>
      <c r="H207" s="5"/>
      <c r="I207" s="5" t="s">
        <v>536</v>
      </c>
      <c r="J207" s="3"/>
      <c r="K207" s="12">
        <v>1990370</v>
      </c>
      <c r="L207" s="5" t="s">
        <v>153</v>
      </c>
      <c r="M207" s="3" t="s">
        <v>74</v>
      </c>
      <c r="N207" s="7">
        <v>69409.569980557353</v>
      </c>
      <c r="O207" s="7"/>
      <c r="P207" s="7">
        <v>0</v>
      </c>
      <c r="Q207" s="69"/>
    </row>
    <row r="208" spans="1:17" ht="33.75" customHeight="1" x14ac:dyDescent="0.25">
      <c r="A208" s="12" t="s">
        <v>549</v>
      </c>
      <c r="B208" s="156" t="s">
        <v>508</v>
      </c>
      <c r="C208" s="144" t="s">
        <v>509</v>
      </c>
      <c r="D208" s="8"/>
      <c r="E208" s="8">
        <v>45900</v>
      </c>
      <c r="F208" s="5"/>
      <c r="G208" s="4"/>
      <c r="H208" s="5"/>
      <c r="I208" s="5" t="s">
        <v>536</v>
      </c>
      <c r="J208" s="3"/>
      <c r="K208" s="12">
        <v>1990370</v>
      </c>
      <c r="L208" s="5" t="s">
        <v>153</v>
      </c>
      <c r="M208" s="3" t="s">
        <v>74</v>
      </c>
      <c r="N208" s="7">
        <v>69409.569980557353</v>
      </c>
      <c r="O208" s="7"/>
      <c r="P208" s="7">
        <v>0</v>
      </c>
      <c r="Q208" s="69"/>
    </row>
    <row r="209" spans="1:17" ht="33.75" customHeight="1" x14ac:dyDescent="0.25">
      <c r="A209" s="12" t="s">
        <v>550</v>
      </c>
      <c r="B209" s="156" t="s">
        <v>508</v>
      </c>
      <c r="C209" s="144" t="s">
        <v>509</v>
      </c>
      <c r="D209" s="8"/>
      <c r="E209" s="8">
        <v>45900</v>
      </c>
      <c r="F209" s="5"/>
      <c r="G209" s="4"/>
      <c r="H209" s="5"/>
      <c r="I209" s="5" t="s">
        <v>536</v>
      </c>
      <c r="J209" s="3"/>
      <c r="K209" s="12">
        <v>1990370</v>
      </c>
      <c r="L209" s="5" t="s">
        <v>153</v>
      </c>
      <c r="M209" s="3" t="s">
        <v>74</v>
      </c>
      <c r="N209" s="7">
        <v>69409.569980557353</v>
      </c>
      <c r="O209" s="7"/>
      <c r="P209" s="7">
        <v>0</v>
      </c>
      <c r="Q209" s="69"/>
    </row>
    <row r="210" spans="1:17" ht="33.75" customHeight="1" x14ac:dyDescent="0.25">
      <c r="A210" s="12" t="s">
        <v>551</v>
      </c>
      <c r="B210" s="156" t="s">
        <v>508</v>
      </c>
      <c r="C210" s="144" t="s">
        <v>509</v>
      </c>
      <c r="D210" s="8"/>
      <c r="E210" s="8">
        <v>45900</v>
      </c>
      <c r="F210" s="5"/>
      <c r="G210" s="4"/>
      <c r="H210" s="5"/>
      <c r="I210" s="5" t="s">
        <v>536</v>
      </c>
      <c r="J210" s="3"/>
      <c r="K210" s="12">
        <v>1990370</v>
      </c>
      <c r="L210" s="5" t="s">
        <v>153</v>
      </c>
      <c r="M210" s="3" t="s">
        <v>74</v>
      </c>
      <c r="N210" s="7">
        <v>69409.569980557353</v>
      </c>
      <c r="O210" s="7"/>
      <c r="P210" s="7">
        <v>0</v>
      </c>
      <c r="Q210" s="69"/>
    </row>
    <row r="211" spans="1:17" ht="33.75" customHeight="1" x14ac:dyDescent="0.25">
      <c r="A211" s="12" t="s">
        <v>552</v>
      </c>
      <c r="B211" s="156" t="s">
        <v>508</v>
      </c>
      <c r="C211" s="144" t="s">
        <v>509</v>
      </c>
      <c r="D211" s="8"/>
      <c r="E211" s="8">
        <v>45900</v>
      </c>
      <c r="F211" s="5"/>
      <c r="G211" s="4"/>
      <c r="H211" s="5"/>
      <c r="I211" s="5" t="s">
        <v>536</v>
      </c>
      <c r="J211" s="3"/>
      <c r="K211" s="12">
        <v>1990370</v>
      </c>
      <c r="L211" s="5" t="s">
        <v>153</v>
      </c>
      <c r="M211" s="3" t="s">
        <v>74</v>
      </c>
      <c r="N211" s="7">
        <v>69409.569980557353</v>
      </c>
      <c r="O211" s="7"/>
      <c r="P211" s="7">
        <v>0</v>
      </c>
      <c r="Q211" s="69"/>
    </row>
    <row r="212" spans="1:17" ht="33.75" customHeight="1" x14ac:dyDescent="0.25">
      <c r="A212" s="12" t="s">
        <v>553</v>
      </c>
      <c r="B212" s="156" t="s">
        <v>508</v>
      </c>
      <c r="C212" s="144" t="s">
        <v>509</v>
      </c>
      <c r="D212" s="8"/>
      <c r="E212" s="8">
        <v>45900</v>
      </c>
      <c r="F212" s="5"/>
      <c r="G212" s="4"/>
      <c r="H212" s="5"/>
      <c r="I212" s="5" t="s">
        <v>431</v>
      </c>
      <c r="J212" s="3"/>
      <c r="K212" s="12">
        <v>2778802</v>
      </c>
      <c r="L212" s="5" t="s">
        <v>153</v>
      </c>
      <c r="M212" s="3" t="s">
        <v>74</v>
      </c>
      <c r="N212" s="7">
        <v>32000</v>
      </c>
      <c r="O212" s="7"/>
      <c r="P212" s="7">
        <v>0</v>
      </c>
      <c r="Q212" s="69"/>
    </row>
    <row r="213" spans="1:17" ht="33.75" customHeight="1" x14ac:dyDescent="0.25">
      <c r="A213" s="12" t="s">
        <v>554</v>
      </c>
      <c r="B213" s="156" t="s">
        <v>508</v>
      </c>
      <c r="C213" s="144" t="s">
        <v>509</v>
      </c>
      <c r="D213" s="8"/>
      <c r="E213" s="8">
        <v>45900</v>
      </c>
      <c r="F213" s="5"/>
      <c r="G213" s="4"/>
      <c r="H213" s="5"/>
      <c r="I213" s="5" t="s">
        <v>431</v>
      </c>
      <c r="J213" s="3"/>
      <c r="K213" s="12">
        <v>2778802</v>
      </c>
      <c r="L213" s="5" t="s">
        <v>153</v>
      </c>
      <c r="M213" s="3" t="s">
        <v>74</v>
      </c>
      <c r="N213" s="7">
        <v>54780</v>
      </c>
      <c r="O213" s="7"/>
      <c r="P213" s="7">
        <v>0</v>
      </c>
      <c r="Q213" s="69"/>
    </row>
    <row r="214" spans="1:17" ht="33.75" customHeight="1" x14ac:dyDescent="0.25">
      <c r="A214" s="12" t="s">
        <v>555</v>
      </c>
      <c r="B214" s="156" t="s">
        <v>508</v>
      </c>
      <c r="C214" s="144" t="s">
        <v>509</v>
      </c>
      <c r="D214" s="8"/>
      <c r="E214" s="8">
        <v>45900</v>
      </c>
      <c r="F214" s="5"/>
      <c r="G214" s="4"/>
      <c r="H214" s="5"/>
      <c r="I214" s="5" t="s">
        <v>556</v>
      </c>
      <c r="J214" s="3"/>
      <c r="K214" s="12">
        <v>4367719</v>
      </c>
      <c r="L214" s="5" t="s">
        <v>153</v>
      </c>
      <c r="M214" s="3" t="s">
        <v>74</v>
      </c>
      <c r="N214" s="7">
        <v>50350</v>
      </c>
      <c r="O214" s="7"/>
      <c r="P214" s="7">
        <v>0</v>
      </c>
      <c r="Q214" s="69"/>
    </row>
    <row r="215" spans="1:17" ht="33.75" customHeight="1" x14ac:dyDescent="0.25">
      <c r="A215" s="12" t="s">
        <v>557</v>
      </c>
      <c r="B215" s="156" t="s">
        <v>508</v>
      </c>
      <c r="C215" s="144" t="s">
        <v>509</v>
      </c>
      <c r="D215" s="8"/>
      <c r="E215" s="8">
        <v>45900</v>
      </c>
      <c r="F215" s="5"/>
      <c r="G215" s="4"/>
      <c r="H215" s="5"/>
      <c r="I215" s="5" t="s">
        <v>556</v>
      </c>
      <c r="J215" s="3"/>
      <c r="K215" s="12">
        <v>4367719</v>
      </c>
      <c r="L215" s="5" t="s">
        <v>153</v>
      </c>
      <c r="M215" s="3" t="s">
        <v>74</v>
      </c>
      <c r="N215" s="7">
        <v>50350</v>
      </c>
      <c r="O215" s="7"/>
      <c r="P215" s="7">
        <v>0</v>
      </c>
      <c r="Q215" s="69"/>
    </row>
    <row r="216" spans="1:17" ht="33.75" customHeight="1" x14ac:dyDescent="0.25">
      <c r="A216" s="12" t="s">
        <v>558</v>
      </c>
      <c r="B216" s="156" t="s">
        <v>508</v>
      </c>
      <c r="C216" s="144" t="s">
        <v>509</v>
      </c>
      <c r="D216" s="8"/>
      <c r="E216" s="8">
        <v>45900</v>
      </c>
      <c r="F216" s="5"/>
      <c r="G216" s="4"/>
      <c r="H216" s="5"/>
      <c r="I216" s="5" t="s">
        <v>556</v>
      </c>
      <c r="J216" s="3"/>
      <c r="K216" s="12">
        <v>4367719</v>
      </c>
      <c r="L216" s="5" t="s">
        <v>153</v>
      </c>
      <c r="M216" s="3" t="s">
        <v>74</v>
      </c>
      <c r="N216" s="7">
        <v>50350</v>
      </c>
      <c r="O216" s="7"/>
      <c r="P216" s="7">
        <v>0</v>
      </c>
      <c r="Q216" s="69"/>
    </row>
    <row r="217" spans="1:17" ht="33.75" customHeight="1" x14ac:dyDescent="0.25">
      <c r="A217" s="12" t="s">
        <v>559</v>
      </c>
      <c r="B217" s="156" t="s">
        <v>508</v>
      </c>
      <c r="C217" s="144" t="s">
        <v>509</v>
      </c>
      <c r="D217" s="8"/>
      <c r="E217" s="8">
        <v>45900</v>
      </c>
      <c r="F217" s="5"/>
      <c r="G217" s="4"/>
      <c r="H217" s="5"/>
      <c r="I217" s="5" t="s">
        <v>556</v>
      </c>
      <c r="J217" s="3"/>
      <c r="K217" s="12">
        <v>4367719</v>
      </c>
      <c r="L217" s="5" t="s">
        <v>153</v>
      </c>
      <c r="M217" s="3" t="s">
        <v>74</v>
      </c>
      <c r="N217" s="7">
        <v>50350</v>
      </c>
      <c r="O217" s="7"/>
      <c r="P217" s="7">
        <v>0</v>
      </c>
      <c r="Q217" s="69"/>
    </row>
    <row r="218" spans="1:17" ht="33.75" customHeight="1" x14ac:dyDescent="0.25">
      <c r="A218" s="12" t="s">
        <v>560</v>
      </c>
      <c r="B218" s="156" t="s">
        <v>508</v>
      </c>
      <c r="C218" s="144" t="s">
        <v>509</v>
      </c>
      <c r="D218" s="8"/>
      <c r="E218" s="8">
        <v>45900</v>
      </c>
      <c r="F218" s="5"/>
      <c r="G218" s="4"/>
      <c r="H218" s="5"/>
      <c r="I218" s="5" t="s">
        <v>556</v>
      </c>
      <c r="J218" s="3"/>
      <c r="K218" s="12">
        <v>4367719</v>
      </c>
      <c r="L218" s="5" t="s">
        <v>153</v>
      </c>
      <c r="M218" s="3" t="s">
        <v>74</v>
      </c>
      <c r="N218" s="7">
        <v>50350</v>
      </c>
      <c r="O218" s="7"/>
      <c r="P218" s="7">
        <v>0</v>
      </c>
      <c r="Q218" s="69"/>
    </row>
    <row r="219" spans="1:17" ht="33.75" customHeight="1" x14ac:dyDescent="0.25">
      <c r="A219" s="12" t="s">
        <v>561</v>
      </c>
      <c r="B219" s="156" t="s">
        <v>508</v>
      </c>
      <c r="C219" s="144" t="s">
        <v>509</v>
      </c>
      <c r="D219" s="8"/>
      <c r="E219" s="8">
        <v>45900</v>
      </c>
      <c r="F219" s="5"/>
      <c r="G219" s="4"/>
      <c r="H219" s="5"/>
      <c r="I219" s="5" t="s">
        <v>556</v>
      </c>
      <c r="J219" s="3"/>
      <c r="K219" s="12">
        <v>4367719</v>
      </c>
      <c r="L219" s="5" t="s">
        <v>153</v>
      </c>
      <c r="M219" s="3" t="s">
        <v>74</v>
      </c>
      <c r="N219" s="7">
        <v>50350</v>
      </c>
      <c r="O219" s="7"/>
      <c r="P219" s="7">
        <v>0</v>
      </c>
      <c r="Q219" s="69"/>
    </row>
    <row r="220" spans="1:17" ht="33.75" customHeight="1" x14ac:dyDescent="0.25">
      <c r="A220" s="12" t="s">
        <v>562</v>
      </c>
      <c r="B220" s="156" t="s">
        <v>508</v>
      </c>
      <c r="C220" s="144" t="s">
        <v>509</v>
      </c>
      <c r="D220" s="8"/>
      <c r="E220" s="8">
        <v>45900</v>
      </c>
      <c r="F220" s="5"/>
      <c r="G220" s="4"/>
      <c r="H220" s="5"/>
      <c r="I220" s="5" t="s">
        <v>556</v>
      </c>
      <c r="J220" s="3"/>
      <c r="K220" s="12">
        <v>4367719</v>
      </c>
      <c r="L220" s="5" t="s">
        <v>153</v>
      </c>
      <c r="M220" s="3" t="s">
        <v>74</v>
      </c>
      <c r="N220" s="7">
        <v>50350</v>
      </c>
      <c r="O220" s="7"/>
      <c r="P220" s="7">
        <v>0</v>
      </c>
      <c r="Q220" s="69"/>
    </row>
    <row r="221" spans="1:17" ht="33.75" customHeight="1" x14ac:dyDescent="0.25">
      <c r="A221" s="12" t="s">
        <v>563</v>
      </c>
      <c r="B221" s="156" t="s">
        <v>508</v>
      </c>
      <c r="C221" s="144" t="s">
        <v>509</v>
      </c>
      <c r="D221" s="8"/>
      <c r="E221" s="8">
        <v>45900</v>
      </c>
      <c r="F221" s="5"/>
      <c r="G221" s="4"/>
      <c r="H221" s="5"/>
      <c r="I221" s="5" t="s">
        <v>564</v>
      </c>
      <c r="J221" s="3"/>
      <c r="K221" s="12">
        <v>2008295</v>
      </c>
      <c r="L221" s="5" t="s">
        <v>153</v>
      </c>
      <c r="M221" s="3" t="s">
        <v>74</v>
      </c>
      <c r="N221" s="7">
        <v>65148.07958522359</v>
      </c>
      <c r="O221" s="7"/>
      <c r="P221" s="7">
        <v>0</v>
      </c>
      <c r="Q221" s="69"/>
    </row>
    <row r="222" spans="1:17" ht="33.75" customHeight="1" x14ac:dyDescent="0.25">
      <c r="A222" s="12" t="s">
        <v>565</v>
      </c>
      <c r="B222" s="156" t="s">
        <v>508</v>
      </c>
      <c r="C222" s="144" t="s">
        <v>509</v>
      </c>
      <c r="D222" s="8"/>
      <c r="E222" s="8">
        <v>45900</v>
      </c>
      <c r="F222" s="5"/>
      <c r="G222" s="4"/>
      <c r="H222" s="5"/>
      <c r="I222" s="5" t="s">
        <v>564</v>
      </c>
      <c r="J222" s="3"/>
      <c r="K222" s="12">
        <v>2008295</v>
      </c>
      <c r="L222" s="5" t="s">
        <v>153</v>
      </c>
      <c r="M222" s="3" t="s">
        <v>74</v>
      </c>
      <c r="N222" s="7">
        <v>65148.07958522359</v>
      </c>
      <c r="O222" s="7"/>
      <c r="P222" s="7">
        <v>0</v>
      </c>
      <c r="Q222" s="69"/>
    </row>
    <row r="223" spans="1:17" ht="33.75" customHeight="1" x14ac:dyDescent="0.25">
      <c r="A223" s="12" t="s">
        <v>566</v>
      </c>
      <c r="B223" s="156" t="s">
        <v>508</v>
      </c>
      <c r="C223" s="144" t="s">
        <v>509</v>
      </c>
      <c r="D223" s="8"/>
      <c r="E223" s="8">
        <v>45900</v>
      </c>
      <c r="F223" s="5"/>
      <c r="G223" s="4"/>
      <c r="H223" s="5"/>
      <c r="I223" s="5" t="s">
        <v>564</v>
      </c>
      <c r="J223" s="3"/>
      <c r="K223" s="12">
        <v>2008295</v>
      </c>
      <c r="L223" s="5" t="s">
        <v>153</v>
      </c>
      <c r="M223" s="3" t="s">
        <v>74</v>
      </c>
      <c r="N223" s="7">
        <v>65148.079585223597</v>
      </c>
      <c r="O223" s="7"/>
      <c r="P223" s="7">
        <v>0</v>
      </c>
      <c r="Q223" s="69"/>
    </row>
    <row r="224" spans="1:17" ht="33.75" customHeight="1" x14ac:dyDescent="0.25">
      <c r="A224" s="12" t="s">
        <v>567</v>
      </c>
      <c r="B224" s="156" t="s">
        <v>508</v>
      </c>
      <c r="C224" s="144" t="s">
        <v>509</v>
      </c>
      <c r="D224" s="8"/>
      <c r="E224" s="8">
        <v>45900</v>
      </c>
      <c r="F224" s="5"/>
      <c r="G224" s="4"/>
      <c r="H224" s="5"/>
      <c r="I224" s="5" t="s">
        <v>564</v>
      </c>
      <c r="J224" s="3"/>
      <c r="K224" s="12">
        <v>2008295</v>
      </c>
      <c r="L224" s="5" t="s">
        <v>153</v>
      </c>
      <c r="M224" s="3" t="s">
        <v>74</v>
      </c>
      <c r="N224" s="7">
        <v>65148.07958522359</v>
      </c>
      <c r="O224" s="7"/>
      <c r="P224" s="7">
        <v>0</v>
      </c>
      <c r="Q224" s="69"/>
    </row>
    <row r="225" spans="1:17" ht="33.75" customHeight="1" x14ac:dyDescent="0.25">
      <c r="A225" s="12" t="s">
        <v>568</v>
      </c>
      <c r="B225" s="156" t="s">
        <v>508</v>
      </c>
      <c r="C225" s="144" t="s">
        <v>509</v>
      </c>
      <c r="D225" s="8"/>
      <c r="E225" s="8">
        <v>45900</v>
      </c>
      <c r="F225" s="5"/>
      <c r="G225" s="4"/>
      <c r="H225" s="5"/>
      <c r="I225" s="5" t="s">
        <v>564</v>
      </c>
      <c r="J225" s="3"/>
      <c r="K225" s="12">
        <v>2008295</v>
      </c>
      <c r="L225" s="5" t="s">
        <v>153</v>
      </c>
      <c r="M225" s="3" t="s">
        <v>74</v>
      </c>
      <c r="N225" s="7">
        <v>65148.07958522359</v>
      </c>
      <c r="O225" s="7"/>
      <c r="P225" s="7">
        <v>0</v>
      </c>
      <c r="Q225" s="69"/>
    </row>
    <row r="226" spans="1:17" ht="33.75" customHeight="1" x14ac:dyDescent="0.25">
      <c r="A226" s="12" t="s">
        <v>569</v>
      </c>
      <c r="B226" s="156" t="s">
        <v>508</v>
      </c>
      <c r="C226" s="144" t="s">
        <v>509</v>
      </c>
      <c r="D226" s="8"/>
      <c r="E226" s="8">
        <v>45900</v>
      </c>
      <c r="F226" s="5"/>
      <c r="G226" s="4"/>
      <c r="H226" s="5"/>
      <c r="I226" s="5" t="s">
        <v>564</v>
      </c>
      <c r="J226" s="3"/>
      <c r="K226" s="12">
        <v>2008295</v>
      </c>
      <c r="L226" s="5" t="s">
        <v>153</v>
      </c>
      <c r="M226" s="3" t="s">
        <v>74</v>
      </c>
      <c r="N226" s="7">
        <v>65148.07958522359</v>
      </c>
      <c r="O226" s="7"/>
      <c r="P226" s="7">
        <v>0</v>
      </c>
      <c r="Q226" s="69"/>
    </row>
    <row r="227" spans="1:17" ht="33.75" customHeight="1" x14ac:dyDescent="0.25">
      <c r="A227" s="12" t="s">
        <v>570</v>
      </c>
      <c r="B227" s="156" t="s">
        <v>508</v>
      </c>
      <c r="C227" s="144" t="s">
        <v>509</v>
      </c>
      <c r="D227" s="8"/>
      <c r="E227" s="8">
        <v>45900</v>
      </c>
      <c r="F227" s="5"/>
      <c r="G227" s="4"/>
      <c r="H227" s="5"/>
      <c r="I227" s="5" t="s">
        <v>564</v>
      </c>
      <c r="J227" s="3"/>
      <c r="K227" s="12">
        <v>2008295</v>
      </c>
      <c r="L227" s="5" t="s">
        <v>153</v>
      </c>
      <c r="M227" s="3" t="s">
        <v>74</v>
      </c>
      <c r="N227" s="7">
        <v>65148.07958522359</v>
      </c>
      <c r="O227" s="7"/>
      <c r="P227" s="7">
        <v>0</v>
      </c>
      <c r="Q227" s="69"/>
    </row>
    <row r="228" spans="1:17" ht="33.75" customHeight="1" x14ac:dyDescent="0.25">
      <c r="A228" s="12" t="s">
        <v>571</v>
      </c>
      <c r="B228" s="156" t="s">
        <v>508</v>
      </c>
      <c r="C228" s="144" t="s">
        <v>509</v>
      </c>
      <c r="D228" s="8"/>
      <c r="E228" s="8">
        <v>45900</v>
      </c>
      <c r="F228" s="5"/>
      <c r="G228" s="4"/>
      <c r="H228" s="5"/>
      <c r="I228" s="5" t="s">
        <v>564</v>
      </c>
      <c r="J228" s="3"/>
      <c r="K228" s="12">
        <v>2008295</v>
      </c>
      <c r="L228" s="5" t="s">
        <v>153</v>
      </c>
      <c r="M228" s="3" t="s">
        <v>74</v>
      </c>
      <c r="N228" s="7">
        <v>65148.079585223597</v>
      </c>
      <c r="O228" s="7"/>
      <c r="P228" s="7">
        <v>0</v>
      </c>
      <c r="Q228" s="69"/>
    </row>
    <row r="229" spans="1:17" ht="33.75" customHeight="1" x14ac:dyDescent="0.25">
      <c r="A229" s="12" t="s">
        <v>572</v>
      </c>
      <c r="B229" s="156" t="s">
        <v>508</v>
      </c>
      <c r="C229" s="144" t="s">
        <v>509</v>
      </c>
      <c r="D229" s="8"/>
      <c r="E229" s="8">
        <v>45900</v>
      </c>
      <c r="F229" s="5"/>
      <c r="G229" s="4"/>
      <c r="H229" s="5"/>
      <c r="I229" s="5" t="s">
        <v>564</v>
      </c>
      <c r="J229" s="3"/>
      <c r="K229" s="12">
        <v>2008295</v>
      </c>
      <c r="L229" s="5" t="s">
        <v>153</v>
      </c>
      <c r="M229" s="3" t="s">
        <v>74</v>
      </c>
      <c r="N229" s="7">
        <v>65148.07958522359</v>
      </c>
      <c r="O229" s="7"/>
      <c r="P229" s="7">
        <v>0</v>
      </c>
      <c r="Q229" s="69"/>
    </row>
    <row r="230" spans="1:17" ht="33.75" customHeight="1" x14ac:dyDescent="0.25">
      <c r="A230" s="12" t="s">
        <v>573</v>
      </c>
      <c r="B230" s="156" t="s">
        <v>508</v>
      </c>
      <c r="C230" s="144" t="s">
        <v>509</v>
      </c>
      <c r="D230" s="8"/>
      <c r="E230" s="8">
        <v>45900</v>
      </c>
      <c r="F230" s="5"/>
      <c r="G230" s="4"/>
      <c r="H230" s="5"/>
      <c r="I230" s="5" t="s">
        <v>564</v>
      </c>
      <c r="J230" s="3"/>
      <c r="K230" s="12">
        <v>2008295</v>
      </c>
      <c r="L230" s="5" t="s">
        <v>153</v>
      </c>
      <c r="M230" s="3" t="s">
        <v>74</v>
      </c>
      <c r="N230" s="7">
        <v>65148.079585223597</v>
      </c>
      <c r="O230" s="7"/>
      <c r="P230" s="7">
        <v>0</v>
      </c>
      <c r="Q230" s="69"/>
    </row>
    <row r="231" spans="1:17" ht="33.75" customHeight="1" x14ac:dyDescent="0.25">
      <c r="A231" s="12" t="s">
        <v>574</v>
      </c>
      <c r="B231" s="156" t="s">
        <v>508</v>
      </c>
      <c r="C231" s="144" t="s">
        <v>509</v>
      </c>
      <c r="D231" s="8"/>
      <c r="E231" s="8">
        <v>45900</v>
      </c>
      <c r="F231" s="5"/>
      <c r="G231" s="4"/>
      <c r="H231" s="5"/>
      <c r="I231" s="5" t="s">
        <v>575</v>
      </c>
      <c r="J231" s="3"/>
      <c r="K231" s="12">
        <v>3800176</v>
      </c>
      <c r="L231" s="5" t="s">
        <v>153</v>
      </c>
      <c r="M231" s="3" t="s">
        <v>74</v>
      </c>
      <c r="N231" s="7">
        <v>64600</v>
      </c>
      <c r="O231" s="7"/>
      <c r="P231" s="7">
        <v>0</v>
      </c>
      <c r="Q231" s="69"/>
    </row>
    <row r="232" spans="1:17" ht="33.75" customHeight="1" x14ac:dyDescent="0.25">
      <c r="A232" s="12" t="s">
        <v>576</v>
      </c>
      <c r="B232" s="156" t="s">
        <v>508</v>
      </c>
      <c r="C232" s="144" t="s">
        <v>509</v>
      </c>
      <c r="D232" s="8"/>
      <c r="E232" s="8">
        <v>45900</v>
      </c>
      <c r="F232" s="5"/>
      <c r="G232" s="4"/>
      <c r="H232" s="5"/>
      <c r="I232" s="5" t="s">
        <v>575</v>
      </c>
      <c r="J232" s="3"/>
      <c r="K232" s="12">
        <v>3800176</v>
      </c>
      <c r="L232" s="5" t="s">
        <v>153</v>
      </c>
      <c r="M232" s="3" t="s">
        <v>74</v>
      </c>
      <c r="N232" s="7">
        <v>64600</v>
      </c>
      <c r="O232" s="7"/>
      <c r="P232" s="7">
        <v>0</v>
      </c>
      <c r="Q232" s="69"/>
    </row>
    <row r="233" spans="1:17" ht="33.75" customHeight="1" x14ac:dyDescent="0.25">
      <c r="A233" s="12" t="s">
        <v>577</v>
      </c>
      <c r="B233" s="156" t="s">
        <v>508</v>
      </c>
      <c r="C233" s="144" t="s">
        <v>509</v>
      </c>
      <c r="D233" s="8"/>
      <c r="E233" s="8">
        <v>45900</v>
      </c>
      <c r="F233" s="5"/>
      <c r="G233" s="4"/>
      <c r="H233" s="5"/>
      <c r="I233" s="5" t="s">
        <v>578</v>
      </c>
      <c r="J233" s="3"/>
      <c r="K233" s="12">
        <v>11532302</v>
      </c>
      <c r="L233" s="5" t="s">
        <v>153</v>
      </c>
      <c r="M233" s="3" t="s">
        <v>74</v>
      </c>
      <c r="N233" s="7">
        <v>64600</v>
      </c>
      <c r="O233" s="7"/>
      <c r="P233" s="7">
        <v>0</v>
      </c>
      <c r="Q233" s="69"/>
    </row>
    <row r="234" spans="1:17" ht="33.75" customHeight="1" x14ac:dyDescent="0.25">
      <c r="A234" s="12" t="s">
        <v>579</v>
      </c>
      <c r="B234" s="156" t="s">
        <v>508</v>
      </c>
      <c r="C234" s="144" t="s">
        <v>509</v>
      </c>
      <c r="D234" s="8"/>
      <c r="E234" s="8">
        <v>45900</v>
      </c>
      <c r="F234" s="5"/>
      <c r="G234" s="4"/>
      <c r="H234" s="5"/>
      <c r="I234" s="5" t="s">
        <v>578</v>
      </c>
      <c r="J234" s="3"/>
      <c r="K234" s="12">
        <v>11532302</v>
      </c>
      <c r="L234" s="5" t="s">
        <v>153</v>
      </c>
      <c r="M234" s="3" t="s">
        <v>74</v>
      </c>
      <c r="N234" s="7">
        <v>64600</v>
      </c>
      <c r="O234" s="7"/>
      <c r="P234" s="7">
        <v>0</v>
      </c>
      <c r="Q234" s="69"/>
    </row>
    <row r="235" spans="1:17" ht="33.75" customHeight="1" x14ac:dyDescent="0.25">
      <c r="A235" s="12" t="s">
        <v>580</v>
      </c>
      <c r="B235" s="156" t="s">
        <v>508</v>
      </c>
      <c r="C235" s="144" t="s">
        <v>509</v>
      </c>
      <c r="D235" s="8"/>
      <c r="E235" s="8">
        <v>45900</v>
      </c>
      <c r="F235" s="5"/>
      <c r="G235" s="4"/>
      <c r="H235" s="5"/>
      <c r="I235" s="5" t="s">
        <v>581</v>
      </c>
      <c r="J235" s="3"/>
      <c r="K235" s="12">
        <v>14277901</v>
      </c>
      <c r="L235" s="5" t="s">
        <v>153</v>
      </c>
      <c r="M235" s="3" t="s">
        <v>74</v>
      </c>
      <c r="N235" s="7">
        <v>64600</v>
      </c>
      <c r="O235" s="7"/>
      <c r="P235" s="7">
        <v>0</v>
      </c>
      <c r="Q235" s="69"/>
    </row>
    <row r="236" spans="1:17" ht="33.75" customHeight="1" x14ac:dyDescent="0.25">
      <c r="A236" s="12" t="s">
        <v>582</v>
      </c>
      <c r="B236" s="156" t="s">
        <v>508</v>
      </c>
      <c r="C236" s="144" t="s">
        <v>509</v>
      </c>
      <c r="D236" s="8"/>
      <c r="E236" s="8">
        <v>45900</v>
      </c>
      <c r="F236" s="5"/>
      <c r="G236" s="4"/>
      <c r="H236" s="5"/>
      <c r="I236" s="5" t="s">
        <v>581</v>
      </c>
      <c r="J236" s="3"/>
      <c r="K236" s="12">
        <v>14277900</v>
      </c>
      <c r="L236" s="5" t="s">
        <v>153</v>
      </c>
      <c r="M236" s="3" t="s">
        <v>74</v>
      </c>
      <c r="N236" s="7">
        <v>64600</v>
      </c>
      <c r="O236" s="7"/>
      <c r="P236" s="7">
        <v>0</v>
      </c>
      <c r="Q236" s="69"/>
    </row>
    <row r="237" spans="1:17" ht="33.75" customHeight="1" x14ac:dyDescent="0.25">
      <c r="A237" s="12" t="s">
        <v>583</v>
      </c>
      <c r="B237" s="156" t="s">
        <v>508</v>
      </c>
      <c r="C237" s="144" t="s">
        <v>509</v>
      </c>
      <c r="D237" s="8"/>
      <c r="E237" s="8">
        <v>45900</v>
      </c>
      <c r="F237" s="5"/>
      <c r="G237" s="4"/>
      <c r="H237" s="5"/>
      <c r="I237" s="5" t="s">
        <v>526</v>
      </c>
      <c r="J237" s="3"/>
      <c r="K237" s="12">
        <v>5021863</v>
      </c>
      <c r="L237" s="5" t="s">
        <v>153</v>
      </c>
      <c r="M237" s="3" t="s">
        <v>74</v>
      </c>
      <c r="N237" s="7">
        <v>69409.569980557353</v>
      </c>
      <c r="O237" s="7"/>
      <c r="P237" s="7">
        <v>0</v>
      </c>
      <c r="Q237" s="69"/>
    </row>
    <row r="238" spans="1:17" ht="33.75" customHeight="1" x14ac:dyDescent="0.25">
      <c r="A238" s="12" t="s">
        <v>584</v>
      </c>
      <c r="B238" s="156" t="s">
        <v>508</v>
      </c>
      <c r="C238" s="144" t="s">
        <v>509</v>
      </c>
      <c r="D238" s="8"/>
      <c r="E238" s="8">
        <v>45900</v>
      </c>
      <c r="F238" s="5"/>
      <c r="G238" s="4"/>
      <c r="H238" s="5"/>
      <c r="I238" s="5" t="s">
        <v>156</v>
      </c>
      <c r="J238" s="3"/>
      <c r="K238" s="12">
        <v>9431407</v>
      </c>
      <c r="L238" s="5" t="s">
        <v>153</v>
      </c>
      <c r="M238" s="3" t="s">
        <v>74</v>
      </c>
      <c r="N238" s="7">
        <v>61480</v>
      </c>
      <c r="O238" s="7"/>
      <c r="P238" s="7">
        <v>0</v>
      </c>
      <c r="Q238" s="69"/>
    </row>
    <row r="239" spans="1:17" ht="33.75" customHeight="1" x14ac:dyDescent="0.25">
      <c r="A239" s="12" t="s">
        <v>585</v>
      </c>
      <c r="B239" s="156" t="s">
        <v>508</v>
      </c>
      <c r="C239" s="144" t="s">
        <v>509</v>
      </c>
      <c r="D239" s="8"/>
      <c r="E239" s="8">
        <v>45900</v>
      </c>
      <c r="F239" s="5"/>
      <c r="G239" s="4"/>
      <c r="H239" s="5"/>
      <c r="I239" s="5" t="s">
        <v>156</v>
      </c>
      <c r="J239" s="3"/>
      <c r="K239" s="12">
        <v>9431407</v>
      </c>
      <c r="L239" s="5" t="s">
        <v>153</v>
      </c>
      <c r="M239" s="3" t="s">
        <v>74</v>
      </c>
      <c r="N239" s="7">
        <v>61480</v>
      </c>
      <c r="O239" s="7"/>
      <c r="P239" s="7">
        <v>0</v>
      </c>
      <c r="Q239" s="69"/>
    </row>
    <row r="240" spans="1:17" ht="33.75" customHeight="1" x14ac:dyDescent="0.25">
      <c r="A240" s="12" t="s">
        <v>586</v>
      </c>
      <c r="B240" s="156" t="s">
        <v>508</v>
      </c>
      <c r="C240" s="144" t="s">
        <v>509</v>
      </c>
      <c r="D240" s="8"/>
      <c r="E240" s="8">
        <v>45900</v>
      </c>
      <c r="F240" s="5"/>
      <c r="G240" s="4"/>
      <c r="H240" s="5"/>
      <c r="I240" s="5" t="s">
        <v>156</v>
      </c>
      <c r="J240" s="3"/>
      <c r="K240" s="12">
        <v>9431407</v>
      </c>
      <c r="L240" s="5" t="s">
        <v>153</v>
      </c>
      <c r="M240" s="3" t="s">
        <v>74</v>
      </c>
      <c r="N240" s="7">
        <v>61480</v>
      </c>
      <c r="O240" s="7"/>
      <c r="P240" s="7">
        <v>0</v>
      </c>
      <c r="Q240" s="69"/>
    </row>
    <row r="241" spans="1:17" ht="33.75" customHeight="1" x14ac:dyDescent="0.25">
      <c r="A241" s="12" t="s">
        <v>587</v>
      </c>
      <c r="B241" s="156" t="s">
        <v>508</v>
      </c>
      <c r="C241" s="144" t="s">
        <v>509</v>
      </c>
      <c r="D241" s="8"/>
      <c r="E241" s="8">
        <v>45900</v>
      </c>
      <c r="F241" s="5"/>
      <c r="G241" s="4"/>
      <c r="H241" s="5"/>
      <c r="I241" s="5" t="s">
        <v>156</v>
      </c>
      <c r="J241" s="3"/>
      <c r="K241" s="12">
        <v>9431407</v>
      </c>
      <c r="L241" s="5" t="s">
        <v>153</v>
      </c>
      <c r="M241" s="3" t="s">
        <v>74</v>
      </c>
      <c r="N241" s="7">
        <v>61480</v>
      </c>
      <c r="O241" s="7"/>
      <c r="P241" s="7">
        <v>0</v>
      </c>
      <c r="Q241" s="69"/>
    </row>
    <row r="242" spans="1:17" ht="33.75" customHeight="1" x14ac:dyDescent="0.25">
      <c r="A242" s="12" t="s">
        <v>588</v>
      </c>
      <c r="B242" s="156" t="s">
        <v>508</v>
      </c>
      <c r="C242" s="144" t="s">
        <v>509</v>
      </c>
      <c r="D242" s="8"/>
      <c r="E242" s="8">
        <v>45900</v>
      </c>
      <c r="F242" s="5"/>
      <c r="G242" s="4"/>
      <c r="H242" s="5"/>
      <c r="I242" s="5" t="s">
        <v>156</v>
      </c>
      <c r="J242" s="3"/>
      <c r="K242" s="12">
        <v>9431407</v>
      </c>
      <c r="L242" s="5" t="s">
        <v>153</v>
      </c>
      <c r="M242" s="3" t="s">
        <v>74</v>
      </c>
      <c r="N242" s="7">
        <v>61480</v>
      </c>
      <c r="O242" s="7"/>
      <c r="P242" s="7">
        <v>0</v>
      </c>
      <c r="Q242" s="69"/>
    </row>
    <row r="243" spans="1:17" ht="33.75" customHeight="1" x14ac:dyDescent="0.25">
      <c r="A243" s="12" t="s">
        <v>589</v>
      </c>
      <c r="B243" s="156" t="s">
        <v>508</v>
      </c>
      <c r="C243" s="144" t="s">
        <v>509</v>
      </c>
      <c r="D243" s="8"/>
      <c r="E243" s="8">
        <v>45900</v>
      </c>
      <c r="F243" s="5"/>
      <c r="G243" s="4"/>
      <c r="H243" s="5"/>
      <c r="I243" s="5" t="s">
        <v>156</v>
      </c>
      <c r="J243" s="3"/>
      <c r="K243" s="12">
        <v>9431407</v>
      </c>
      <c r="L243" s="5" t="s">
        <v>153</v>
      </c>
      <c r="M243" s="3" t="s">
        <v>74</v>
      </c>
      <c r="N243" s="7">
        <v>61480</v>
      </c>
      <c r="O243" s="7"/>
      <c r="P243" s="7">
        <v>0</v>
      </c>
      <c r="Q243" s="69"/>
    </row>
    <row r="244" spans="1:17" ht="33.75" customHeight="1" x14ac:dyDescent="0.25">
      <c r="A244" s="12" t="s">
        <v>590</v>
      </c>
      <c r="B244" s="156" t="s">
        <v>508</v>
      </c>
      <c r="C244" s="144" t="s">
        <v>509</v>
      </c>
      <c r="D244" s="8"/>
      <c r="E244" s="8">
        <v>45900</v>
      </c>
      <c r="F244" s="5"/>
      <c r="G244" s="4"/>
      <c r="H244" s="5"/>
      <c r="I244" s="5" t="s">
        <v>156</v>
      </c>
      <c r="J244" s="3"/>
      <c r="K244" s="12">
        <v>9431407</v>
      </c>
      <c r="L244" s="5" t="s">
        <v>153</v>
      </c>
      <c r="M244" s="3" t="s">
        <v>74</v>
      </c>
      <c r="N244" s="7">
        <v>47212.4</v>
      </c>
      <c r="O244" s="7"/>
      <c r="P244" s="7">
        <v>0</v>
      </c>
      <c r="Q244" s="69"/>
    </row>
    <row r="245" spans="1:17" ht="33.75" customHeight="1" x14ac:dyDescent="0.25">
      <c r="A245" s="12" t="s">
        <v>591</v>
      </c>
      <c r="B245" s="156" t="s">
        <v>508</v>
      </c>
      <c r="C245" s="144" t="s">
        <v>509</v>
      </c>
      <c r="D245" s="8"/>
      <c r="E245" s="8">
        <v>45900</v>
      </c>
      <c r="F245" s="5"/>
      <c r="G245" s="4"/>
      <c r="H245" s="5"/>
      <c r="I245" s="5" t="s">
        <v>592</v>
      </c>
      <c r="J245" s="3"/>
      <c r="K245" s="12">
        <v>3309948</v>
      </c>
      <c r="L245" s="5" t="s">
        <v>153</v>
      </c>
      <c r="M245" s="3" t="s">
        <v>74</v>
      </c>
      <c r="N245" s="7">
        <v>61939.226426861343</v>
      </c>
      <c r="O245" s="7"/>
      <c r="P245" s="7">
        <v>0</v>
      </c>
      <c r="Q245" s="69"/>
    </row>
    <row r="246" spans="1:17" ht="33.75" customHeight="1" x14ac:dyDescent="0.25">
      <c r="A246" s="12" t="s">
        <v>593</v>
      </c>
      <c r="B246" s="156" t="s">
        <v>508</v>
      </c>
      <c r="C246" s="144" t="s">
        <v>509</v>
      </c>
      <c r="D246" s="8"/>
      <c r="E246" s="8">
        <v>45900</v>
      </c>
      <c r="F246" s="5"/>
      <c r="G246" s="4"/>
      <c r="H246" s="5"/>
      <c r="I246" s="5" t="s">
        <v>592</v>
      </c>
      <c r="J246" s="3"/>
      <c r="K246" s="12">
        <v>3309948</v>
      </c>
      <c r="L246" s="5" t="s">
        <v>153</v>
      </c>
      <c r="M246" s="3" t="s">
        <v>74</v>
      </c>
      <c r="N246" s="7">
        <v>20900</v>
      </c>
      <c r="O246" s="7"/>
      <c r="P246" s="7">
        <v>0</v>
      </c>
      <c r="Q246" s="69"/>
    </row>
    <row r="247" spans="1:17" ht="33.75" customHeight="1" x14ac:dyDescent="0.25">
      <c r="A247" s="12" t="s">
        <v>594</v>
      </c>
      <c r="B247" s="156" t="s">
        <v>508</v>
      </c>
      <c r="C247" s="144" t="s">
        <v>509</v>
      </c>
      <c r="D247" s="8"/>
      <c r="E247" s="8">
        <v>45900</v>
      </c>
      <c r="F247" s="5"/>
      <c r="G247" s="4"/>
      <c r="H247" s="5"/>
      <c r="I247" s="5" t="s">
        <v>592</v>
      </c>
      <c r="J247" s="3"/>
      <c r="K247" s="12">
        <v>3309948</v>
      </c>
      <c r="L247" s="5" t="s">
        <v>153</v>
      </c>
      <c r="M247" s="3" t="s">
        <v>74</v>
      </c>
      <c r="N247" s="7">
        <v>63584.34</v>
      </c>
      <c r="O247" s="7"/>
      <c r="P247" s="7">
        <v>0</v>
      </c>
      <c r="Q247" s="69"/>
    </row>
    <row r="248" spans="1:17" ht="33.75" customHeight="1" x14ac:dyDescent="0.25">
      <c r="A248" s="12" t="s">
        <v>595</v>
      </c>
      <c r="B248" s="156" t="s">
        <v>508</v>
      </c>
      <c r="C248" s="144" t="s">
        <v>509</v>
      </c>
      <c r="D248" s="8"/>
      <c r="E248" s="8">
        <v>45900</v>
      </c>
      <c r="F248" s="5"/>
      <c r="G248" s="4"/>
      <c r="H248" s="5"/>
      <c r="I248" s="5" t="s">
        <v>592</v>
      </c>
      <c r="J248" s="3"/>
      <c r="K248" s="12">
        <v>3309948</v>
      </c>
      <c r="L248" s="5" t="s">
        <v>153</v>
      </c>
      <c r="M248" s="3" t="s">
        <v>74</v>
      </c>
      <c r="N248" s="7">
        <v>61939.226426861343</v>
      </c>
      <c r="O248" s="7"/>
      <c r="P248" s="7">
        <v>0</v>
      </c>
      <c r="Q248" s="69"/>
    </row>
    <row r="249" spans="1:17" ht="33.75" customHeight="1" x14ac:dyDescent="0.25">
      <c r="A249" s="12" t="s">
        <v>596</v>
      </c>
      <c r="B249" s="156" t="s">
        <v>508</v>
      </c>
      <c r="C249" s="144" t="s">
        <v>509</v>
      </c>
      <c r="D249" s="8"/>
      <c r="E249" s="8">
        <v>45900</v>
      </c>
      <c r="F249" s="5"/>
      <c r="G249" s="4"/>
      <c r="H249" s="5"/>
      <c r="I249" s="5" t="s">
        <v>592</v>
      </c>
      <c r="J249" s="3"/>
      <c r="K249" s="12">
        <v>3309948</v>
      </c>
      <c r="L249" s="5" t="s">
        <v>153</v>
      </c>
      <c r="M249" s="3" t="s">
        <v>74</v>
      </c>
      <c r="N249" s="7">
        <v>63584.34</v>
      </c>
      <c r="O249" s="7"/>
      <c r="P249" s="7">
        <v>0</v>
      </c>
      <c r="Q249" s="69"/>
    </row>
    <row r="250" spans="1:17" ht="33.75" customHeight="1" x14ac:dyDescent="0.25">
      <c r="A250" s="12" t="s">
        <v>597</v>
      </c>
      <c r="B250" s="156" t="s">
        <v>508</v>
      </c>
      <c r="C250" s="144" t="s">
        <v>509</v>
      </c>
      <c r="D250" s="8"/>
      <c r="E250" s="8">
        <v>45900</v>
      </c>
      <c r="F250" s="5"/>
      <c r="G250" s="4"/>
      <c r="H250" s="5"/>
      <c r="I250" s="5" t="s">
        <v>592</v>
      </c>
      <c r="J250" s="3"/>
      <c r="K250" s="12">
        <v>3309948</v>
      </c>
      <c r="L250" s="5" t="s">
        <v>153</v>
      </c>
      <c r="M250" s="3" t="s">
        <v>74</v>
      </c>
      <c r="N250" s="7">
        <v>61939.226426861343</v>
      </c>
      <c r="O250" s="7"/>
      <c r="P250" s="7">
        <v>0</v>
      </c>
      <c r="Q250" s="69"/>
    </row>
    <row r="251" spans="1:17" ht="33.75" customHeight="1" x14ac:dyDescent="0.25">
      <c r="A251" s="12" t="s">
        <v>598</v>
      </c>
      <c r="B251" s="156" t="s">
        <v>508</v>
      </c>
      <c r="C251" s="144" t="s">
        <v>509</v>
      </c>
      <c r="D251" s="8"/>
      <c r="E251" s="8">
        <v>45900</v>
      </c>
      <c r="F251" s="5"/>
      <c r="G251" s="4"/>
      <c r="H251" s="5"/>
      <c r="I251" s="5" t="s">
        <v>592</v>
      </c>
      <c r="J251" s="3"/>
      <c r="K251" s="12">
        <v>3309948</v>
      </c>
      <c r="L251" s="5" t="s">
        <v>153</v>
      </c>
      <c r="M251" s="3" t="s">
        <v>74</v>
      </c>
      <c r="N251" s="7">
        <v>57600.4</v>
      </c>
      <c r="O251" s="7"/>
      <c r="P251" s="7">
        <v>0</v>
      </c>
      <c r="Q251" s="69"/>
    </row>
    <row r="252" spans="1:17" ht="33.75" customHeight="1" x14ac:dyDescent="0.25">
      <c r="A252" s="12" t="s">
        <v>599</v>
      </c>
      <c r="B252" s="156" t="s">
        <v>508</v>
      </c>
      <c r="C252" s="144" t="s">
        <v>509</v>
      </c>
      <c r="D252" s="8"/>
      <c r="E252" s="8">
        <v>45900</v>
      </c>
      <c r="F252" s="5"/>
      <c r="G252" s="4"/>
      <c r="H252" s="5"/>
      <c r="I252" s="5" t="s">
        <v>592</v>
      </c>
      <c r="J252" s="3"/>
      <c r="K252" s="12">
        <v>3309948</v>
      </c>
      <c r="L252" s="5" t="s">
        <v>153</v>
      </c>
      <c r="M252" s="3" t="s">
        <v>74</v>
      </c>
      <c r="N252" s="7">
        <v>57600.4</v>
      </c>
      <c r="O252" s="7"/>
      <c r="P252" s="7">
        <v>0</v>
      </c>
      <c r="Q252" s="69"/>
    </row>
    <row r="253" spans="1:17" ht="33.75" customHeight="1" x14ac:dyDescent="0.25">
      <c r="A253" s="12" t="s">
        <v>600</v>
      </c>
      <c r="B253" s="156" t="s">
        <v>508</v>
      </c>
      <c r="C253" s="144" t="s">
        <v>509</v>
      </c>
      <c r="D253" s="8"/>
      <c r="E253" s="8">
        <v>45900</v>
      </c>
      <c r="F253" s="5"/>
      <c r="G253" s="4"/>
      <c r="H253" s="5"/>
      <c r="I253" s="5" t="s">
        <v>592</v>
      </c>
      <c r="J253" s="3"/>
      <c r="K253" s="12">
        <v>3309948</v>
      </c>
      <c r="L253" s="5" t="s">
        <v>153</v>
      </c>
      <c r="M253" s="3" t="s">
        <v>74</v>
      </c>
      <c r="N253" s="7">
        <v>57600.4</v>
      </c>
      <c r="O253" s="7"/>
      <c r="P253" s="7">
        <v>0</v>
      </c>
      <c r="Q253" s="69"/>
    </row>
    <row r="254" spans="1:17" ht="33.75" customHeight="1" x14ac:dyDescent="0.25">
      <c r="A254" s="12" t="s">
        <v>601</v>
      </c>
      <c r="B254" s="156" t="s">
        <v>508</v>
      </c>
      <c r="C254" s="144" t="s">
        <v>509</v>
      </c>
      <c r="D254" s="8"/>
      <c r="E254" s="8">
        <v>45900</v>
      </c>
      <c r="F254" s="5"/>
      <c r="G254" s="4"/>
      <c r="H254" s="5"/>
      <c r="I254" s="5" t="s">
        <v>592</v>
      </c>
      <c r="J254" s="3"/>
      <c r="K254" s="12">
        <v>3309948</v>
      </c>
      <c r="L254" s="5" t="s">
        <v>153</v>
      </c>
      <c r="M254" s="3" t="s">
        <v>74</v>
      </c>
      <c r="N254" s="7">
        <v>52364</v>
      </c>
      <c r="O254" s="7"/>
      <c r="P254" s="7">
        <v>0</v>
      </c>
      <c r="Q254" s="69"/>
    </row>
    <row r="255" spans="1:17" ht="33.75" customHeight="1" x14ac:dyDescent="0.25">
      <c r="A255" s="12" t="s">
        <v>602</v>
      </c>
      <c r="B255" s="156" t="s">
        <v>508</v>
      </c>
      <c r="C255" s="144" t="s">
        <v>509</v>
      </c>
      <c r="D255" s="8"/>
      <c r="E255" s="8">
        <v>45900</v>
      </c>
      <c r="F255" s="5"/>
      <c r="G255" s="4"/>
      <c r="H255" s="5"/>
      <c r="I255" s="5" t="s">
        <v>592</v>
      </c>
      <c r="J255" s="3"/>
      <c r="K255" s="12">
        <v>3309948</v>
      </c>
      <c r="L255" s="5" t="s">
        <v>153</v>
      </c>
      <c r="M255" s="3" t="s">
        <v>74</v>
      </c>
      <c r="N255" s="7">
        <v>61939.226426861343</v>
      </c>
      <c r="O255" s="7"/>
      <c r="P255" s="7">
        <v>0</v>
      </c>
      <c r="Q255" s="69"/>
    </row>
    <row r="256" spans="1:17" ht="33.75" customHeight="1" x14ac:dyDescent="0.25">
      <c r="A256" s="12" t="s">
        <v>603</v>
      </c>
      <c r="B256" s="156" t="s">
        <v>508</v>
      </c>
      <c r="C256" s="144" t="s">
        <v>604</v>
      </c>
      <c r="D256" s="8"/>
      <c r="E256" s="8">
        <v>45900</v>
      </c>
      <c r="F256" s="5"/>
      <c r="G256" s="4"/>
      <c r="H256" s="5"/>
      <c r="I256" s="5" t="s">
        <v>592</v>
      </c>
      <c r="J256" s="3"/>
      <c r="K256" s="12">
        <v>3309948</v>
      </c>
      <c r="L256" s="5" t="s">
        <v>153</v>
      </c>
      <c r="M256" s="3" t="s">
        <v>74</v>
      </c>
      <c r="N256" s="7">
        <v>12558</v>
      </c>
      <c r="O256" s="7"/>
      <c r="P256" s="7">
        <v>0</v>
      </c>
      <c r="Q256" s="69"/>
    </row>
    <row r="257" spans="1:17" ht="33.75" customHeight="1" x14ac:dyDescent="0.25">
      <c r="A257" s="12" t="s">
        <v>605</v>
      </c>
      <c r="B257" s="156" t="s">
        <v>508</v>
      </c>
      <c r="C257" s="144" t="s">
        <v>509</v>
      </c>
      <c r="D257" s="8"/>
      <c r="E257" s="8">
        <v>45900</v>
      </c>
      <c r="F257" s="5"/>
      <c r="G257" s="4"/>
      <c r="H257" s="5"/>
      <c r="I257" s="5" t="s">
        <v>592</v>
      </c>
      <c r="J257" s="3"/>
      <c r="K257" s="12">
        <v>3309948</v>
      </c>
      <c r="L257" s="5" t="s">
        <v>153</v>
      </c>
      <c r="M257" s="3" t="s">
        <v>74</v>
      </c>
      <c r="N257" s="7">
        <v>51933.880412371145</v>
      </c>
      <c r="O257" s="7"/>
      <c r="P257" s="7">
        <v>0</v>
      </c>
      <c r="Q257" s="69"/>
    </row>
    <row r="258" spans="1:17" ht="33.75" customHeight="1" x14ac:dyDescent="0.25">
      <c r="A258" s="12" t="s">
        <v>606</v>
      </c>
      <c r="B258" s="156" t="s">
        <v>508</v>
      </c>
      <c r="C258" s="144" t="s">
        <v>509</v>
      </c>
      <c r="D258" s="8"/>
      <c r="E258" s="8">
        <v>45900</v>
      </c>
      <c r="F258" s="5"/>
      <c r="G258" s="4"/>
      <c r="H258" s="5"/>
      <c r="I258" s="5" t="s">
        <v>592</v>
      </c>
      <c r="J258" s="3"/>
      <c r="K258" s="12">
        <v>3309948</v>
      </c>
      <c r="L258" s="5" t="s">
        <v>153</v>
      </c>
      <c r="M258" s="3" t="s">
        <v>74</v>
      </c>
      <c r="N258" s="7">
        <v>53257.557861801244</v>
      </c>
      <c r="O258" s="7"/>
      <c r="P258" s="7">
        <v>0</v>
      </c>
      <c r="Q258" s="69"/>
    </row>
    <row r="259" spans="1:17" ht="33.75" customHeight="1" x14ac:dyDescent="0.25">
      <c r="A259" s="12" t="s">
        <v>607</v>
      </c>
      <c r="B259" s="156" t="s">
        <v>508</v>
      </c>
      <c r="C259" s="144" t="s">
        <v>509</v>
      </c>
      <c r="D259" s="8"/>
      <c r="E259" s="8">
        <v>45900</v>
      </c>
      <c r="F259" s="5"/>
      <c r="G259" s="4"/>
      <c r="H259" s="5"/>
      <c r="I259" s="5" t="s">
        <v>592</v>
      </c>
      <c r="J259" s="3"/>
      <c r="K259" s="12">
        <v>3309948</v>
      </c>
      <c r="L259" s="5" t="s">
        <v>153</v>
      </c>
      <c r="M259" s="3" t="s">
        <v>74</v>
      </c>
      <c r="N259" s="7">
        <v>53950.393613354048</v>
      </c>
      <c r="O259" s="7"/>
      <c r="P259" s="7">
        <v>0</v>
      </c>
      <c r="Q259" s="69"/>
    </row>
    <row r="260" spans="1:17" ht="33.75" customHeight="1" x14ac:dyDescent="0.25">
      <c r="A260" s="12" t="s">
        <v>608</v>
      </c>
      <c r="B260" s="156" t="s">
        <v>508</v>
      </c>
      <c r="C260" s="144" t="s">
        <v>509</v>
      </c>
      <c r="D260" s="8"/>
      <c r="E260" s="8">
        <v>45900</v>
      </c>
      <c r="F260" s="5"/>
      <c r="G260" s="4"/>
      <c r="H260" s="5"/>
      <c r="I260" s="5" t="s">
        <v>592</v>
      </c>
      <c r="J260" s="3"/>
      <c r="K260" s="12">
        <v>3309948</v>
      </c>
      <c r="L260" s="5" t="s">
        <v>153</v>
      </c>
      <c r="M260" s="3" t="s">
        <v>74</v>
      </c>
      <c r="N260" s="7">
        <v>51933.880412371145</v>
      </c>
      <c r="O260" s="7"/>
      <c r="P260" s="7">
        <v>0</v>
      </c>
      <c r="Q260" s="69"/>
    </row>
    <row r="261" spans="1:17" ht="33.75" customHeight="1" x14ac:dyDescent="0.25">
      <c r="A261" s="12" t="s">
        <v>609</v>
      </c>
      <c r="B261" s="156" t="s">
        <v>508</v>
      </c>
      <c r="C261" s="144" t="s">
        <v>509</v>
      </c>
      <c r="D261" s="8"/>
      <c r="E261" s="8">
        <v>45900</v>
      </c>
      <c r="F261" s="5"/>
      <c r="G261" s="4"/>
      <c r="H261" s="5"/>
      <c r="I261" s="5" t="s">
        <v>592</v>
      </c>
      <c r="J261" s="3"/>
      <c r="K261" s="12">
        <v>3309948</v>
      </c>
      <c r="L261" s="5" t="s">
        <v>153</v>
      </c>
      <c r="M261" s="3" t="s">
        <v>74</v>
      </c>
      <c r="N261" s="7">
        <v>51933.880412371145</v>
      </c>
      <c r="O261" s="7"/>
      <c r="P261" s="7">
        <v>0</v>
      </c>
      <c r="Q261" s="69"/>
    </row>
    <row r="262" spans="1:17" ht="33.75" customHeight="1" x14ac:dyDescent="0.25">
      <c r="A262" s="12" t="s">
        <v>610</v>
      </c>
      <c r="B262" s="156" t="s">
        <v>508</v>
      </c>
      <c r="C262" s="144" t="s">
        <v>509</v>
      </c>
      <c r="D262" s="8"/>
      <c r="E262" s="8">
        <v>45900</v>
      </c>
      <c r="F262" s="5"/>
      <c r="G262" s="4"/>
      <c r="H262" s="5"/>
      <c r="I262" s="5" t="s">
        <v>592</v>
      </c>
      <c r="J262" s="3"/>
      <c r="K262" s="12">
        <v>3309948</v>
      </c>
      <c r="L262" s="5" t="s">
        <v>153</v>
      </c>
      <c r="M262" s="3" t="s">
        <v>74</v>
      </c>
      <c r="N262" s="7">
        <v>63584.34</v>
      </c>
      <c r="O262" s="7"/>
      <c r="P262" s="7">
        <v>0</v>
      </c>
      <c r="Q262" s="69"/>
    </row>
    <row r="263" spans="1:17" ht="33.75" customHeight="1" x14ac:dyDescent="0.25">
      <c r="A263" s="12" t="s">
        <v>611</v>
      </c>
      <c r="B263" s="156" t="s">
        <v>508</v>
      </c>
      <c r="C263" s="144" t="s">
        <v>509</v>
      </c>
      <c r="D263" s="8"/>
      <c r="E263" s="8">
        <v>45900</v>
      </c>
      <c r="F263" s="5"/>
      <c r="G263" s="4"/>
      <c r="H263" s="5"/>
      <c r="I263" s="5" t="s">
        <v>523</v>
      </c>
      <c r="J263" s="3"/>
      <c r="K263" s="12">
        <v>8618209</v>
      </c>
      <c r="L263" s="5" t="s">
        <v>153</v>
      </c>
      <c r="M263" s="3" t="s">
        <v>74</v>
      </c>
      <c r="N263" s="7">
        <v>61939.226426861343</v>
      </c>
      <c r="O263" s="7"/>
      <c r="P263" s="7">
        <v>0</v>
      </c>
      <c r="Q263" s="69"/>
    </row>
    <row r="264" spans="1:17" ht="33.75" customHeight="1" x14ac:dyDescent="0.25">
      <c r="A264" s="12" t="s">
        <v>612</v>
      </c>
      <c r="B264" s="156" t="s">
        <v>508</v>
      </c>
      <c r="C264" s="144" t="s">
        <v>509</v>
      </c>
      <c r="D264" s="8"/>
      <c r="E264" s="8">
        <v>45900</v>
      </c>
      <c r="F264" s="5"/>
      <c r="G264" s="4"/>
      <c r="H264" s="5"/>
      <c r="I264" s="5" t="s">
        <v>523</v>
      </c>
      <c r="J264" s="3"/>
      <c r="K264" s="12">
        <v>8618209</v>
      </c>
      <c r="L264" s="5" t="s">
        <v>153</v>
      </c>
      <c r="M264" s="3" t="s">
        <v>74</v>
      </c>
      <c r="N264" s="7">
        <v>65000</v>
      </c>
      <c r="O264" s="7"/>
      <c r="P264" s="7">
        <v>0</v>
      </c>
      <c r="Q264" s="69"/>
    </row>
    <row r="265" spans="1:17" ht="33.75" customHeight="1" x14ac:dyDescent="0.25">
      <c r="A265" s="12" t="s">
        <v>613</v>
      </c>
      <c r="B265" s="156" t="s">
        <v>508</v>
      </c>
      <c r="C265" s="144" t="s">
        <v>604</v>
      </c>
      <c r="D265" s="8"/>
      <c r="E265" s="8">
        <v>45900</v>
      </c>
      <c r="F265" s="5"/>
      <c r="G265" s="4"/>
      <c r="H265" s="5"/>
      <c r="I265" s="5" t="s">
        <v>523</v>
      </c>
      <c r="J265" s="3"/>
      <c r="K265" s="12">
        <v>8618209</v>
      </c>
      <c r="L265" s="5" t="s">
        <v>153</v>
      </c>
      <c r="M265" s="3" t="s">
        <v>74</v>
      </c>
      <c r="N265" s="7">
        <v>11378.669482576557</v>
      </c>
      <c r="O265" s="7"/>
      <c r="P265" s="7">
        <v>0</v>
      </c>
      <c r="Q265" s="69"/>
    </row>
    <row r="266" spans="1:17" ht="33.75" customHeight="1" x14ac:dyDescent="0.25">
      <c r="A266" s="12" t="s">
        <v>614</v>
      </c>
      <c r="B266" s="156" t="s">
        <v>508</v>
      </c>
      <c r="C266" s="144" t="s">
        <v>509</v>
      </c>
      <c r="D266" s="8"/>
      <c r="E266" s="8">
        <v>45900</v>
      </c>
      <c r="F266" s="5"/>
      <c r="G266" s="4"/>
      <c r="H266" s="5"/>
      <c r="I266" s="5" t="s">
        <v>615</v>
      </c>
      <c r="J266" s="3"/>
      <c r="K266" s="12">
        <v>12850883</v>
      </c>
      <c r="L266" s="5" t="s">
        <v>153</v>
      </c>
      <c r="M266" s="3" t="s">
        <v>74</v>
      </c>
      <c r="N266" s="7">
        <v>61960.230582938224</v>
      </c>
      <c r="O266" s="7"/>
      <c r="P266" s="7">
        <v>0</v>
      </c>
      <c r="Q266" s="69"/>
    </row>
    <row r="267" spans="1:17" ht="33.75" customHeight="1" x14ac:dyDescent="0.25">
      <c r="A267" s="12" t="s">
        <v>616</v>
      </c>
      <c r="B267" s="156" t="s">
        <v>508</v>
      </c>
      <c r="C267" s="144" t="s">
        <v>509</v>
      </c>
      <c r="D267" s="8"/>
      <c r="E267" s="8">
        <v>45900</v>
      </c>
      <c r="F267" s="5"/>
      <c r="G267" s="4"/>
      <c r="H267" s="5"/>
      <c r="I267" s="5" t="s">
        <v>575</v>
      </c>
      <c r="J267" s="3"/>
      <c r="K267" s="12">
        <v>3800176</v>
      </c>
      <c r="L267" s="5" t="s">
        <v>153</v>
      </c>
      <c r="M267" s="3" t="s">
        <v>74</v>
      </c>
      <c r="N267" s="7">
        <v>65171.057679844453</v>
      </c>
      <c r="O267" s="7"/>
      <c r="P267" s="7">
        <v>0</v>
      </c>
      <c r="Q267" s="69"/>
    </row>
    <row r="268" spans="1:17" ht="33.75" customHeight="1" x14ac:dyDescent="0.25">
      <c r="A268" s="12" t="s">
        <v>617</v>
      </c>
      <c r="B268" s="156" t="s">
        <v>508</v>
      </c>
      <c r="C268" s="144" t="s">
        <v>509</v>
      </c>
      <c r="D268" s="8"/>
      <c r="E268" s="8">
        <v>45900</v>
      </c>
      <c r="F268" s="5"/>
      <c r="G268" s="4"/>
      <c r="H268" s="5"/>
      <c r="I268" s="5" t="s">
        <v>575</v>
      </c>
      <c r="J268" s="3"/>
      <c r="K268" s="12">
        <v>3800176</v>
      </c>
      <c r="L268" s="5" t="s">
        <v>153</v>
      </c>
      <c r="M268" s="3" t="s">
        <v>74</v>
      </c>
      <c r="N268" s="7">
        <v>65171.057679844453</v>
      </c>
      <c r="O268" s="7"/>
      <c r="P268" s="7">
        <v>0</v>
      </c>
      <c r="Q268" s="69"/>
    </row>
    <row r="269" spans="1:17" ht="33.75" customHeight="1" x14ac:dyDescent="0.25">
      <c r="A269" s="12" t="s">
        <v>618</v>
      </c>
      <c r="B269" s="156" t="s">
        <v>508</v>
      </c>
      <c r="C269" s="144" t="s">
        <v>509</v>
      </c>
      <c r="D269" s="8"/>
      <c r="E269" s="8">
        <v>45900</v>
      </c>
      <c r="F269" s="5"/>
      <c r="G269" s="4"/>
      <c r="H269" s="5"/>
      <c r="I269" s="5" t="s">
        <v>575</v>
      </c>
      <c r="J269" s="3"/>
      <c r="K269" s="12">
        <v>3800176</v>
      </c>
      <c r="L269" s="5" t="s">
        <v>153</v>
      </c>
      <c r="M269" s="3" t="s">
        <v>74</v>
      </c>
      <c r="N269" s="7">
        <v>65171.057679844453</v>
      </c>
      <c r="O269" s="7"/>
      <c r="P269" s="7">
        <v>0</v>
      </c>
      <c r="Q269" s="69"/>
    </row>
    <row r="270" spans="1:17" ht="33.75" customHeight="1" x14ac:dyDescent="0.25">
      <c r="A270" s="12" t="s">
        <v>619</v>
      </c>
      <c r="B270" s="156" t="s">
        <v>508</v>
      </c>
      <c r="C270" s="144" t="s">
        <v>509</v>
      </c>
      <c r="D270" s="8"/>
      <c r="E270" s="8">
        <v>45900</v>
      </c>
      <c r="F270" s="5"/>
      <c r="G270" s="4"/>
      <c r="H270" s="5"/>
      <c r="I270" s="5" t="s">
        <v>575</v>
      </c>
      <c r="J270" s="3"/>
      <c r="K270" s="12">
        <v>3800176</v>
      </c>
      <c r="L270" s="5" t="s">
        <v>153</v>
      </c>
      <c r="M270" s="3" t="s">
        <v>74</v>
      </c>
      <c r="N270" s="7">
        <v>65171.057679844453</v>
      </c>
      <c r="O270" s="7"/>
      <c r="P270" s="7">
        <v>0</v>
      </c>
      <c r="Q270" s="69"/>
    </row>
    <row r="271" spans="1:17" ht="33.75" customHeight="1" x14ac:dyDescent="0.25">
      <c r="A271" s="12" t="s">
        <v>620</v>
      </c>
      <c r="B271" s="156" t="s">
        <v>508</v>
      </c>
      <c r="C271" s="144" t="s">
        <v>509</v>
      </c>
      <c r="D271" s="8"/>
      <c r="E271" s="8">
        <v>45900</v>
      </c>
      <c r="F271" s="5"/>
      <c r="G271" s="4"/>
      <c r="H271" s="5"/>
      <c r="I271" s="5" t="s">
        <v>575</v>
      </c>
      <c r="J271" s="3"/>
      <c r="K271" s="12">
        <v>3800176</v>
      </c>
      <c r="L271" s="5" t="s">
        <v>153</v>
      </c>
      <c r="M271" s="3" t="s">
        <v>74</v>
      </c>
      <c r="N271" s="7">
        <v>65171.057679844453</v>
      </c>
      <c r="O271" s="7"/>
      <c r="P271" s="7">
        <v>0</v>
      </c>
      <c r="Q271" s="69"/>
    </row>
    <row r="272" spans="1:17" ht="33.75" customHeight="1" x14ac:dyDescent="0.25">
      <c r="A272" s="12" t="s">
        <v>621</v>
      </c>
      <c r="B272" s="156" t="s">
        <v>508</v>
      </c>
      <c r="C272" s="144" t="s">
        <v>509</v>
      </c>
      <c r="D272" s="8"/>
      <c r="E272" s="8">
        <v>45900</v>
      </c>
      <c r="F272" s="5"/>
      <c r="G272" s="4"/>
      <c r="H272" s="5"/>
      <c r="I272" s="5" t="s">
        <v>575</v>
      </c>
      <c r="J272" s="3"/>
      <c r="K272" s="12">
        <v>3800176</v>
      </c>
      <c r="L272" s="5" t="s">
        <v>153</v>
      </c>
      <c r="M272" s="3" t="s">
        <v>74</v>
      </c>
      <c r="N272" s="7">
        <v>65171.057679844453</v>
      </c>
      <c r="O272" s="7"/>
      <c r="P272" s="7">
        <v>0</v>
      </c>
      <c r="Q272" s="69"/>
    </row>
    <row r="273" spans="1:17" ht="33.75" customHeight="1" x14ac:dyDescent="0.25">
      <c r="A273" s="12" t="s">
        <v>622</v>
      </c>
      <c r="B273" s="156" t="s">
        <v>508</v>
      </c>
      <c r="C273" s="144" t="s">
        <v>509</v>
      </c>
      <c r="D273" s="8"/>
      <c r="E273" s="8">
        <v>45900</v>
      </c>
      <c r="F273" s="5"/>
      <c r="G273" s="4"/>
      <c r="H273" s="5"/>
      <c r="I273" s="5" t="s">
        <v>575</v>
      </c>
      <c r="J273" s="3"/>
      <c r="K273" s="12">
        <v>3800176</v>
      </c>
      <c r="L273" s="5" t="s">
        <v>153</v>
      </c>
      <c r="M273" s="3" t="s">
        <v>74</v>
      </c>
      <c r="N273" s="7">
        <v>65171.057679844453</v>
      </c>
      <c r="O273" s="7"/>
      <c r="P273" s="7">
        <v>0</v>
      </c>
      <c r="Q273" s="69"/>
    </row>
    <row r="274" spans="1:17" ht="33.75" customHeight="1" x14ac:dyDescent="0.25">
      <c r="A274" s="12" t="s">
        <v>623</v>
      </c>
      <c r="B274" s="156" t="s">
        <v>508</v>
      </c>
      <c r="C274" s="144" t="s">
        <v>509</v>
      </c>
      <c r="D274" s="8"/>
      <c r="E274" s="8">
        <v>45900</v>
      </c>
      <c r="F274" s="5"/>
      <c r="G274" s="4"/>
      <c r="H274" s="5"/>
      <c r="I274" s="5" t="s">
        <v>624</v>
      </c>
      <c r="J274" s="3"/>
      <c r="K274" s="12">
        <v>6688788</v>
      </c>
      <c r="L274" s="5" t="s">
        <v>153</v>
      </c>
      <c r="M274" s="3" t="s">
        <v>74</v>
      </c>
      <c r="N274" s="7">
        <v>21288.52883992223</v>
      </c>
      <c r="O274" s="7"/>
      <c r="P274" s="7">
        <v>0</v>
      </c>
      <c r="Q274" s="69"/>
    </row>
    <row r="275" spans="1:17" ht="33.75" customHeight="1" x14ac:dyDescent="0.25">
      <c r="A275" s="12" t="s">
        <v>625</v>
      </c>
      <c r="B275" s="156" t="s">
        <v>508</v>
      </c>
      <c r="C275" s="144" t="s">
        <v>509</v>
      </c>
      <c r="D275" s="8"/>
      <c r="E275" s="8">
        <v>45900</v>
      </c>
      <c r="F275" s="5"/>
      <c r="G275" s="4"/>
      <c r="H275" s="5"/>
      <c r="I275" s="5" t="s">
        <v>626</v>
      </c>
      <c r="J275" s="3"/>
      <c r="K275" s="12">
        <v>2197747</v>
      </c>
      <c r="L275" s="5" t="s">
        <v>153</v>
      </c>
      <c r="M275" s="3" t="s">
        <v>74</v>
      </c>
      <c r="N275" s="7">
        <v>35363.937659207724</v>
      </c>
      <c r="O275" s="7"/>
      <c r="P275" s="7">
        <v>0</v>
      </c>
      <c r="Q275" s="69"/>
    </row>
    <row r="276" spans="1:17" ht="33.75" customHeight="1" x14ac:dyDescent="0.25">
      <c r="A276" s="12" t="s">
        <v>627</v>
      </c>
      <c r="B276" s="156" t="s">
        <v>508</v>
      </c>
      <c r="C276" s="144" t="s">
        <v>509</v>
      </c>
      <c r="D276" s="8"/>
      <c r="E276" s="8">
        <v>45900</v>
      </c>
      <c r="F276" s="5"/>
      <c r="G276" s="4"/>
      <c r="H276" s="5"/>
      <c r="I276" s="5" t="s">
        <v>626</v>
      </c>
      <c r="J276" s="3"/>
      <c r="K276" s="12">
        <v>2197747</v>
      </c>
      <c r="L276" s="5" t="s">
        <v>153</v>
      </c>
      <c r="M276" s="3" t="s">
        <v>74</v>
      </c>
      <c r="N276" s="7">
        <v>35363.937659207724</v>
      </c>
      <c r="O276" s="7"/>
      <c r="P276" s="7">
        <v>0</v>
      </c>
      <c r="Q276" s="69"/>
    </row>
    <row r="277" spans="1:17" ht="33.75" customHeight="1" x14ac:dyDescent="0.25">
      <c r="A277" s="12" t="s">
        <v>628</v>
      </c>
      <c r="B277" s="156" t="s">
        <v>508</v>
      </c>
      <c r="C277" s="144" t="s">
        <v>509</v>
      </c>
      <c r="D277" s="8"/>
      <c r="E277" s="8">
        <v>45900</v>
      </c>
      <c r="F277" s="5"/>
      <c r="G277" s="4"/>
      <c r="H277" s="5"/>
      <c r="I277" s="5" t="s">
        <v>626</v>
      </c>
      <c r="J277" s="3"/>
      <c r="K277" s="12">
        <v>2197747</v>
      </c>
      <c r="L277" s="5" t="s">
        <v>153</v>
      </c>
      <c r="M277" s="3" t="s">
        <v>74</v>
      </c>
      <c r="N277" s="7">
        <v>21878.378408924593</v>
      </c>
      <c r="O277" s="7"/>
      <c r="P277" s="7">
        <v>0</v>
      </c>
      <c r="Q277" s="69"/>
    </row>
    <row r="278" spans="1:17" ht="33.75" customHeight="1" x14ac:dyDescent="0.25">
      <c r="A278" s="12" t="s">
        <v>629</v>
      </c>
      <c r="B278" s="156" t="s">
        <v>508</v>
      </c>
      <c r="C278" s="144" t="s">
        <v>509</v>
      </c>
      <c r="D278" s="8"/>
      <c r="E278" s="8">
        <v>45900</v>
      </c>
      <c r="F278" s="5"/>
      <c r="G278" s="4"/>
      <c r="H278" s="5"/>
      <c r="I278" s="5" t="s">
        <v>626</v>
      </c>
      <c r="J278" s="3"/>
      <c r="K278" s="12">
        <v>2197747</v>
      </c>
      <c r="L278" s="5" t="s">
        <v>153</v>
      </c>
      <c r="M278" s="3" t="s">
        <v>74</v>
      </c>
      <c r="N278" s="7">
        <v>64600</v>
      </c>
      <c r="O278" s="7"/>
      <c r="P278" s="7">
        <v>0</v>
      </c>
      <c r="Q278" s="69"/>
    </row>
    <row r="279" spans="1:17" ht="33.75" customHeight="1" x14ac:dyDescent="0.25">
      <c r="A279" s="12" t="s">
        <v>630</v>
      </c>
      <c r="B279" s="156" t="s">
        <v>508</v>
      </c>
      <c r="C279" s="144" t="s">
        <v>509</v>
      </c>
      <c r="D279" s="8"/>
      <c r="E279" s="8">
        <v>45900</v>
      </c>
      <c r="F279" s="5"/>
      <c r="G279" s="4"/>
      <c r="H279" s="5"/>
      <c r="I279" s="5" t="s">
        <v>626</v>
      </c>
      <c r="J279" s="3"/>
      <c r="K279" s="12">
        <v>2197747</v>
      </c>
      <c r="L279" s="5" t="s">
        <v>153</v>
      </c>
      <c r="M279" s="3" t="s">
        <v>74</v>
      </c>
      <c r="N279" s="7">
        <v>48046.991137123914</v>
      </c>
      <c r="O279" s="7"/>
      <c r="P279" s="7">
        <v>0</v>
      </c>
      <c r="Q279" s="69"/>
    </row>
    <row r="280" spans="1:17" ht="33.75" customHeight="1" x14ac:dyDescent="0.25">
      <c r="A280" s="12" t="s">
        <v>631</v>
      </c>
      <c r="B280" s="156" t="s">
        <v>508</v>
      </c>
      <c r="C280" s="144" t="s">
        <v>509</v>
      </c>
      <c r="D280" s="8"/>
      <c r="E280" s="8">
        <v>45900</v>
      </c>
      <c r="F280" s="5"/>
      <c r="G280" s="4"/>
      <c r="H280" s="5"/>
      <c r="I280" s="5" t="s">
        <v>626</v>
      </c>
      <c r="J280" s="3"/>
      <c r="K280" s="12">
        <v>2197747</v>
      </c>
      <c r="L280" s="5" t="s">
        <v>153</v>
      </c>
      <c r="M280" s="3" t="s">
        <v>74</v>
      </c>
      <c r="N280" s="7">
        <v>35363.937659207724</v>
      </c>
      <c r="O280" s="7"/>
      <c r="P280" s="7">
        <v>0</v>
      </c>
      <c r="Q280" s="69"/>
    </row>
    <row r="281" spans="1:17" ht="33.75" customHeight="1" x14ac:dyDescent="0.25">
      <c r="A281" s="12" t="s">
        <v>632</v>
      </c>
      <c r="B281" s="156" t="s">
        <v>508</v>
      </c>
      <c r="C281" s="144" t="s">
        <v>509</v>
      </c>
      <c r="D281" s="8"/>
      <c r="E281" s="8">
        <v>45900</v>
      </c>
      <c r="F281" s="5"/>
      <c r="G281" s="4"/>
      <c r="H281" s="5"/>
      <c r="I281" s="5" t="s">
        <v>536</v>
      </c>
      <c r="J281" s="3"/>
      <c r="K281" s="12">
        <v>1990370</v>
      </c>
      <c r="L281" s="5" t="s">
        <v>153</v>
      </c>
      <c r="M281" s="3" t="s">
        <v>74</v>
      </c>
      <c r="N281" s="7">
        <v>47336.958716785484</v>
      </c>
      <c r="O281" s="7"/>
      <c r="P281" s="7">
        <v>0</v>
      </c>
      <c r="Q281" s="69"/>
    </row>
    <row r="282" spans="1:17" ht="33.75" customHeight="1" x14ac:dyDescent="0.25">
      <c r="A282" s="12" t="s">
        <v>633</v>
      </c>
      <c r="B282" s="156" t="s">
        <v>508</v>
      </c>
      <c r="C282" s="144" t="s">
        <v>509</v>
      </c>
      <c r="D282" s="8"/>
      <c r="E282" s="8">
        <v>45900</v>
      </c>
      <c r="F282" s="5"/>
      <c r="G282" s="4"/>
      <c r="H282" s="5"/>
      <c r="I282" s="5" t="s">
        <v>536</v>
      </c>
      <c r="J282" s="3"/>
      <c r="K282" s="12">
        <v>1990370</v>
      </c>
      <c r="L282" s="5" t="s">
        <v>153</v>
      </c>
      <c r="M282" s="3" t="s">
        <v>74</v>
      </c>
      <c r="N282" s="7">
        <v>58726</v>
      </c>
      <c r="O282" s="7"/>
      <c r="P282" s="7">
        <v>0</v>
      </c>
      <c r="Q282" s="69"/>
    </row>
    <row r="283" spans="1:17" ht="33.75" customHeight="1" x14ac:dyDescent="0.25">
      <c r="A283" s="12" t="s">
        <v>634</v>
      </c>
      <c r="B283" s="156" t="s">
        <v>508</v>
      </c>
      <c r="C283" s="144" t="s">
        <v>509</v>
      </c>
      <c r="D283" s="8"/>
      <c r="E283" s="8">
        <v>45900</v>
      </c>
      <c r="F283" s="5"/>
      <c r="G283" s="4"/>
      <c r="H283" s="5"/>
      <c r="I283" s="5" t="s">
        <v>536</v>
      </c>
      <c r="J283" s="3"/>
      <c r="K283" s="12">
        <v>1990370</v>
      </c>
      <c r="L283" s="5" t="s">
        <v>153</v>
      </c>
      <c r="M283" s="3" t="s">
        <v>74</v>
      </c>
      <c r="N283" s="7">
        <v>59426.5</v>
      </c>
      <c r="O283" s="7"/>
      <c r="P283" s="7">
        <v>0</v>
      </c>
      <c r="Q283" s="69"/>
    </row>
    <row r="284" spans="1:17" ht="33.75" customHeight="1" x14ac:dyDescent="0.25">
      <c r="A284" s="12" t="s">
        <v>635</v>
      </c>
      <c r="B284" s="156" t="s">
        <v>508</v>
      </c>
      <c r="C284" s="144" t="s">
        <v>509</v>
      </c>
      <c r="D284" s="8"/>
      <c r="E284" s="8">
        <v>45900</v>
      </c>
      <c r="F284" s="5"/>
      <c r="G284" s="4"/>
      <c r="H284" s="5"/>
      <c r="I284" s="5" t="s">
        <v>536</v>
      </c>
      <c r="J284" s="3"/>
      <c r="K284" s="12">
        <v>1990370</v>
      </c>
      <c r="L284" s="5" t="s">
        <v>153</v>
      </c>
      <c r="M284" s="3" t="s">
        <v>74</v>
      </c>
      <c r="N284" s="7">
        <v>58726</v>
      </c>
      <c r="O284" s="7"/>
      <c r="P284" s="7">
        <v>0</v>
      </c>
      <c r="Q284" s="69"/>
    </row>
    <row r="285" spans="1:17" ht="33.75" customHeight="1" x14ac:dyDescent="0.25">
      <c r="A285" s="12" t="s">
        <v>636</v>
      </c>
      <c r="B285" s="156" t="s">
        <v>508</v>
      </c>
      <c r="C285" s="144" t="s">
        <v>509</v>
      </c>
      <c r="D285" s="8"/>
      <c r="E285" s="8">
        <v>45900</v>
      </c>
      <c r="F285" s="5"/>
      <c r="G285" s="4"/>
      <c r="H285" s="5"/>
      <c r="I285" s="5" t="s">
        <v>536</v>
      </c>
      <c r="J285" s="3"/>
      <c r="K285" s="12">
        <v>1990370</v>
      </c>
      <c r="L285" s="5" t="s">
        <v>153</v>
      </c>
      <c r="M285" s="3" t="s">
        <v>74</v>
      </c>
      <c r="N285" s="7">
        <v>59426.5</v>
      </c>
      <c r="O285" s="7"/>
      <c r="P285" s="7">
        <v>0</v>
      </c>
      <c r="Q285" s="69"/>
    </row>
    <row r="286" spans="1:17" ht="33.75" customHeight="1" x14ac:dyDescent="0.25">
      <c r="A286" s="12" t="s">
        <v>637</v>
      </c>
      <c r="B286" s="156" t="s">
        <v>508</v>
      </c>
      <c r="C286" s="144" t="s">
        <v>509</v>
      </c>
      <c r="D286" s="8"/>
      <c r="E286" s="8">
        <v>45900</v>
      </c>
      <c r="F286" s="5"/>
      <c r="G286" s="4"/>
      <c r="H286" s="5"/>
      <c r="I286" s="5" t="s">
        <v>638</v>
      </c>
      <c r="J286" s="3"/>
      <c r="K286" s="12">
        <v>11768296</v>
      </c>
      <c r="L286" s="5" t="s">
        <v>153</v>
      </c>
      <c r="M286" s="3" t="s">
        <v>74</v>
      </c>
      <c r="N286" s="7">
        <v>60000</v>
      </c>
      <c r="O286" s="7"/>
      <c r="P286" s="7">
        <v>0</v>
      </c>
      <c r="Q286" s="69"/>
    </row>
    <row r="287" spans="1:17" ht="33.75" customHeight="1" x14ac:dyDescent="0.25">
      <c r="A287" s="12" t="s">
        <v>639</v>
      </c>
      <c r="B287" s="156" t="s">
        <v>508</v>
      </c>
      <c r="C287" s="144" t="s">
        <v>509</v>
      </c>
      <c r="D287" s="8"/>
      <c r="E287" s="8">
        <v>45900</v>
      </c>
      <c r="F287" s="5"/>
      <c r="G287" s="4"/>
      <c r="H287" s="5"/>
      <c r="I287" s="5" t="s">
        <v>638</v>
      </c>
      <c r="J287" s="3"/>
      <c r="K287" s="12">
        <v>11768296</v>
      </c>
      <c r="L287" s="5" t="s">
        <v>153</v>
      </c>
      <c r="M287" s="3" t="s">
        <v>74</v>
      </c>
      <c r="N287" s="7">
        <v>60000</v>
      </c>
      <c r="O287" s="7"/>
      <c r="P287" s="7">
        <v>0</v>
      </c>
      <c r="Q287" s="69"/>
    </row>
    <row r="288" spans="1:17" ht="33.75" customHeight="1" x14ac:dyDescent="0.25">
      <c r="A288" s="12" t="s">
        <v>640</v>
      </c>
      <c r="B288" s="156" t="s">
        <v>508</v>
      </c>
      <c r="C288" s="144" t="s">
        <v>509</v>
      </c>
      <c r="D288" s="8"/>
      <c r="E288" s="8">
        <v>45900</v>
      </c>
      <c r="F288" s="5"/>
      <c r="G288" s="4"/>
      <c r="H288" s="5"/>
      <c r="I288" s="5" t="s">
        <v>638</v>
      </c>
      <c r="J288" s="3"/>
      <c r="K288" s="12">
        <v>11768296</v>
      </c>
      <c r="L288" s="5" t="s">
        <v>153</v>
      </c>
      <c r="M288" s="3" t="s">
        <v>74</v>
      </c>
      <c r="N288" s="7">
        <v>60000</v>
      </c>
      <c r="O288" s="7"/>
      <c r="P288" s="7">
        <v>0</v>
      </c>
      <c r="Q288" s="69"/>
    </row>
    <row r="289" spans="1:17" ht="33.75" customHeight="1" x14ac:dyDescent="0.25">
      <c r="A289" s="12" t="s">
        <v>641</v>
      </c>
      <c r="B289" s="156" t="s">
        <v>508</v>
      </c>
      <c r="C289" s="144" t="s">
        <v>509</v>
      </c>
      <c r="D289" s="8"/>
      <c r="E289" s="8">
        <v>45900</v>
      </c>
      <c r="F289" s="5"/>
      <c r="G289" s="4"/>
      <c r="H289" s="5"/>
      <c r="I289" s="5" t="s">
        <v>638</v>
      </c>
      <c r="J289" s="3"/>
      <c r="K289" s="12">
        <v>11768296</v>
      </c>
      <c r="L289" s="5" t="s">
        <v>153</v>
      </c>
      <c r="M289" s="3" t="s">
        <v>74</v>
      </c>
      <c r="N289" s="7">
        <v>60000</v>
      </c>
      <c r="O289" s="7"/>
      <c r="P289" s="7">
        <v>0</v>
      </c>
      <c r="Q289" s="69"/>
    </row>
    <row r="290" spans="1:17" ht="33.75" customHeight="1" x14ac:dyDescent="0.25">
      <c r="A290" s="12" t="s">
        <v>642</v>
      </c>
      <c r="B290" s="156" t="s">
        <v>508</v>
      </c>
      <c r="C290" s="144" t="s">
        <v>509</v>
      </c>
      <c r="D290" s="8"/>
      <c r="E290" s="8">
        <v>45900</v>
      </c>
      <c r="F290" s="5"/>
      <c r="G290" s="4"/>
      <c r="H290" s="5"/>
      <c r="I290" s="5" t="s">
        <v>152</v>
      </c>
      <c r="J290" s="3"/>
      <c r="K290" s="12" t="s">
        <v>643</v>
      </c>
      <c r="L290" s="5" t="s">
        <v>153</v>
      </c>
      <c r="M290" s="3" t="s">
        <v>74</v>
      </c>
      <c r="N290" s="7">
        <v>42429</v>
      </c>
      <c r="O290" s="7"/>
      <c r="P290" s="7">
        <v>0</v>
      </c>
      <c r="Q290" s="69"/>
    </row>
    <row r="291" spans="1:17" ht="33.75" customHeight="1" x14ac:dyDescent="0.25">
      <c r="A291" s="12" t="s">
        <v>644</v>
      </c>
      <c r="B291" s="156" t="s">
        <v>508</v>
      </c>
      <c r="C291" s="144" t="s">
        <v>509</v>
      </c>
      <c r="D291" s="8"/>
      <c r="E291" s="8">
        <v>45900</v>
      </c>
      <c r="F291" s="5"/>
      <c r="G291" s="4"/>
      <c r="H291" s="5"/>
      <c r="I291" s="5" t="s">
        <v>532</v>
      </c>
      <c r="J291" s="3"/>
      <c r="K291" s="12">
        <v>9378475</v>
      </c>
      <c r="L291" s="5" t="s">
        <v>153</v>
      </c>
      <c r="M291" s="3" t="s">
        <v>74</v>
      </c>
      <c r="N291" s="7">
        <v>65921.224886584576</v>
      </c>
      <c r="O291" s="7"/>
      <c r="P291" s="7">
        <v>0</v>
      </c>
      <c r="Q291" s="69"/>
    </row>
    <row r="292" spans="1:17" ht="33.75" customHeight="1" x14ac:dyDescent="0.25">
      <c r="A292" s="12" t="s">
        <v>645</v>
      </c>
      <c r="B292" s="156" t="s">
        <v>508</v>
      </c>
      <c r="C292" s="144" t="s">
        <v>509</v>
      </c>
      <c r="D292" s="8"/>
      <c r="E292" s="8">
        <v>45900</v>
      </c>
      <c r="F292" s="5"/>
      <c r="G292" s="4"/>
      <c r="H292" s="5"/>
      <c r="I292" s="5" t="s">
        <v>556</v>
      </c>
      <c r="J292" s="3"/>
      <c r="K292" s="12">
        <v>4367719</v>
      </c>
      <c r="L292" s="5" t="s">
        <v>153</v>
      </c>
      <c r="M292" s="3" t="s">
        <v>74</v>
      </c>
      <c r="N292" s="7">
        <v>60000</v>
      </c>
      <c r="O292" s="7"/>
      <c r="P292" s="7">
        <v>0</v>
      </c>
      <c r="Q292" s="69"/>
    </row>
    <row r="293" spans="1:17" ht="33.75" customHeight="1" x14ac:dyDescent="0.25">
      <c r="A293" s="12" t="s">
        <v>646</v>
      </c>
      <c r="B293" s="156" t="s">
        <v>508</v>
      </c>
      <c r="C293" s="144" t="s">
        <v>509</v>
      </c>
      <c r="D293" s="8"/>
      <c r="E293" s="8">
        <v>45900</v>
      </c>
      <c r="F293" s="5"/>
      <c r="G293" s="4"/>
      <c r="H293" s="5"/>
      <c r="I293" s="5" t="s">
        <v>556</v>
      </c>
      <c r="J293" s="3"/>
      <c r="K293" s="12">
        <v>4367719</v>
      </c>
      <c r="L293" s="5" t="s">
        <v>153</v>
      </c>
      <c r="M293" s="3" t="s">
        <v>74</v>
      </c>
      <c r="N293" s="7">
        <v>60000</v>
      </c>
      <c r="O293" s="7"/>
      <c r="P293" s="7">
        <v>0</v>
      </c>
      <c r="Q293" s="69"/>
    </row>
    <row r="294" spans="1:17" ht="33.75" customHeight="1" x14ac:dyDescent="0.25">
      <c r="A294" s="12" t="s">
        <v>647</v>
      </c>
      <c r="B294" s="156" t="s">
        <v>508</v>
      </c>
      <c r="C294" s="144" t="s">
        <v>509</v>
      </c>
      <c r="D294" s="8"/>
      <c r="E294" s="8">
        <v>45900</v>
      </c>
      <c r="F294" s="5"/>
      <c r="G294" s="4"/>
      <c r="H294" s="5"/>
      <c r="I294" s="5" t="s">
        <v>556</v>
      </c>
      <c r="J294" s="3"/>
      <c r="K294" s="12">
        <v>4367719</v>
      </c>
      <c r="L294" s="5" t="s">
        <v>153</v>
      </c>
      <c r="M294" s="3" t="s">
        <v>74</v>
      </c>
      <c r="N294" s="7">
        <v>60000</v>
      </c>
      <c r="O294" s="7"/>
      <c r="P294" s="7">
        <v>0</v>
      </c>
      <c r="Q294" s="69"/>
    </row>
    <row r="295" spans="1:17" ht="33.75" customHeight="1" x14ac:dyDescent="0.25">
      <c r="A295" s="12" t="s">
        <v>648</v>
      </c>
      <c r="B295" s="156" t="s">
        <v>508</v>
      </c>
      <c r="C295" s="144" t="s">
        <v>509</v>
      </c>
      <c r="D295" s="8"/>
      <c r="E295" s="8">
        <v>45900</v>
      </c>
      <c r="F295" s="5"/>
      <c r="G295" s="4"/>
      <c r="H295" s="5"/>
      <c r="I295" s="5" t="s">
        <v>564</v>
      </c>
      <c r="J295" s="3"/>
      <c r="K295" s="12">
        <v>2008295</v>
      </c>
      <c r="L295" s="5" t="s">
        <v>153</v>
      </c>
      <c r="M295" s="3" t="s">
        <v>74</v>
      </c>
      <c r="N295" s="7">
        <v>72763.96629941673</v>
      </c>
      <c r="O295" s="7"/>
      <c r="P295" s="7">
        <v>0</v>
      </c>
      <c r="Q295" s="69"/>
    </row>
    <row r="296" spans="1:17" ht="33.75" customHeight="1" x14ac:dyDescent="0.25">
      <c r="A296" s="12" t="s">
        <v>649</v>
      </c>
      <c r="B296" s="156" t="s">
        <v>508</v>
      </c>
      <c r="C296" s="144" t="s">
        <v>509</v>
      </c>
      <c r="D296" s="8"/>
      <c r="E296" s="8">
        <v>45900</v>
      </c>
      <c r="F296" s="5"/>
      <c r="G296" s="4"/>
      <c r="H296" s="5"/>
      <c r="I296" s="5" t="s">
        <v>575</v>
      </c>
      <c r="J296" s="3"/>
      <c r="K296" s="12">
        <v>3800176</v>
      </c>
      <c r="L296" s="5" t="s">
        <v>153</v>
      </c>
      <c r="M296" s="3" t="s">
        <v>74</v>
      </c>
      <c r="N296" s="7">
        <v>72763.96629941673</v>
      </c>
      <c r="O296" s="7"/>
      <c r="P296" s="7">
        <v>0</v>
      </c>
      <c r="Q296" s="69"/>
    </row>
    <row r="297" spans="1:17" ht="33.75" customHeight="1" x14ac:dyDescent="0.25">
      <c r="A297" s="12" t="s">
        <v>650</v>
      </c>
      <c r="B297" s="156" t="s">
        <v>508</v>
      </c>
      <c r="C297" s="144" t="s">
        <v>509</v>
      </c>
      <c r="D297" s="8"/>
      <c r="E297" s="8">
        <v>45900</v>
      </c>
      <c r="F297" s="5"/>
      <c r="G297" s="4"/>
      <c r="H297" s="5"/>
      <c r="I297" s="5" t="s">
        <v>578</v>
      </c>
      <c r="J297" s="3"/>
      <c r="K297" s="12">
        <v>11532302</v>
      </c>
      <c r="L297" s="5" t="s">
        <v>153</v>
      </c>
      <c r="M297" s="3" t="s">
        <v>74</v>
      </c>
      <c r="N297" s="7">
        <v>64600</v>
      </c>
      <c r="O297" s="7"/>
      <c r="P297" s="7">
        <v>0</v>
      </c>
      <c r="Q297" s="69"/>
    </row>
    <row r="298" spans="1:17" ht="33.75" customHeight="1" x14ac:dyDescent="0.25">
      <c r="A298" s="12" t="s">
        <v>651</v>
      </c>
      <c r="B298" s="156" t="s">
        <v>508</v>
      </c>
      <c r="C298" s="144" t="s">
        <v>509</v>
      </c>
      <c r="D298" s="8"/>
      <c r="E298" s="8">
        <v>45900</v>
      </c>
      <c r="F298" s="5"/>
      <c r="G298" s="4"/>
      <c r="H298" s="5"/>
      <c r="I298" s="5" t="s">
        <v>592</v>
      </c>
      <c r="J298" s="3"/>
      <c r="K298" s="12">
        <v>3309948</v>
      </c>
      <c r="L298" s="5" t="s">
        <v>153</v>
      </c>
      <c r="M298" s="3" t="s">
        <v>74</v>
      </c>
      <c r="N298" s="7">
        <v>58571.613739468565</v>
      </c>
      <c r="O298" s="7"/>
      <c r="P298" s="7">
        <v>0</v>
      </c>
      <c r="Q298" s="69"/>
    </row>
    <row r="299" spans="1:17" ht="33.75" customHeight="1" x14ac:dyDescent="0.25">
      <c r="A299" s="12" t="s">
        <v>652</v>
      </c>
      <c r="B299" s="156" t="s">
        <v>508</v>
      </c>
      <c r="C299" s="144" t="s">
        <v>509</v>
      </c>
      <c r="D299" s="8"/>
      <c r="E299" s="8">
        <v>45900</v>
      </c>
      <c r="F299" s="5"/>
      <c r="G299" s="4"/>
      <c r="H299" s="5"/>
      <c r="I299" s="5" t="s">
        <v>592</v>
      </c>
      <c r="J299" s="3"/>
      <c r="K299" s="12">
        <v>3309948</v>
      </c>
      <c r="L299" s="5" t="s">
        <v>153</v>
      </c>
      <c r="M299" s="3" t="s">
        <v>74</v>
      </c>
      <c r="N299" s="7">
        <v>30400</v>
      </c>
      <c r="O299" s="7"/>
      <c r="P299" s="7">
        <v>0</v>
      </c>
      <c r="Q299" s="69"/>
    </row>
    <row r="300" spans="1:17" ht="33.75" customHeight="1" x14ac:dyDescent="0.25">
      <c r="A300" s="12" t="s">
        <v>653</v>
      </c>
      <c r="B300" s="156" t="s">
        <v>508</v>
      </c>
      <c r="C300" s="144" t="s">
        <v>509</v>
      </c>
      <c r="D300" s="8"/>
      <c r="E300" s="8">
        <v>45900</v>
      </c>
      <c r="F300" s="5"/>
      <c r="G300" s="4"/>
      <c r="H300" s="5"/>
      <c r="I300" s="5" t="s">
        <v>592</v>
      </c>
      <c r="J300" s="3"/>
      <c r="K300" s="12">
        <v>3309948</v>
      </c>
      <c r="L300" s="5" t="s">
        <v>153</v>
      </c>
      <c r="M300" s="3" t="s">
        <v>74</v>
      </c>
      <c r="N300" s="7">
        <v>58571.613739468565</v>
      </c>
      <c r="O300" s="7"/>
      <c r="P300" s="7">
        <v>0</v>
      </c>
      <c r="Q300" s="69"/>
    </row>
    <row r="301" spans="1:17" ht="33.75" customHeight="1" x14ac:dyDescent="0.25">
      <c r="A301" s="12" t="s">
        <v>654</v>
      </c>
      <c r="B301" s="156" t="s">
        <v>508</v>
      </c>
      <c r="C301" s="144" t="s">
        <v>509</v>
      </c>
      <c r="D301" s="8"/>
      <c r="E301" s="8">
        <v>45900</v>
      </c>
      <c r="F301" s="5"/>
      <c r="G301" s="4"/>
      <c r="H301" s="5"/>
      <c r="I301" s="5" t="s">
        <v>592</v>
      </c>
      <c r="J301" s="3"/>
      <c r="K301" s="12">
        <v>3309948</v>
      </c>
      <c r="L301" s="5" t="s">
        <v>153</v>
      </c>
      <c r="M301" s="3" t="s">
        <v>74</v>
      </c>
      <c r="N301" s="7">
        <v>58571.613739468565</v>
      </c>
      <c r="O301" s="7"/>
      <c r="P301" s="7">
        <v>0</v>
      </c>
      <c r="Q301" s="69"/>
    </row>
    <row r="302" spans="1:17" ht="33.75" customHeight="1" x14ac:dyDescent="0.25">
      <c r="A302" s="12" t="s">
        <v>655</v>
      </c>
      <c r="B302" s="156" t="s">
        <v>508</v>
      </c>
      <c r="C302" s="144" t="s">
        <v>509</v>
      </c>
      <c r="D302" s="8"/>
      <c r="E302" s="8">
        <v>45900</v>
      </c>
      <c r="F302" s="5"/>
      <c r="G302" s="4"/>
      <c r="H302" s="5"/>
      <c r="I302" s="5" t="s">
        <v>592</v>
      </c>
      <c r="J302" s="3"/>
      <c r="K302" s="12">
        <v>3309948</v>
      </c>
      <c r="L302" s="5" t="s">
        <v>153</v>
      </c>
      <c r="M302" s="3" t="s">
        <v>74</v>
      </c>
      <c r="N302" s="7">
        <v>60000</v>
      </c>
      <c r="O302" s="7"/>
      <c r="P302" s="7">
        <v>0</v>
      </c>
      <c r="Q302" s="69"/>
    </row>
    <row r="303" spans="1:17" ht="33.75" customHeight="1" x14ac:dyDescent="0.25">
      <c r="A303" s="12" t="s">
        <v>656</v>
      </c>
      <c r="B303" s="156" t="s">
        <v>508</v>
      </c>
      <c r="C303" s="144" t="s">
        <v>509</v>
      </c>
      <c r="D303" s="8"/>
      <c r="E303" s="8">
        <v>45900</v>
      </c>
      <c r="F303" s="5"/>
      <c r="G303" s="4"/>
      <c r="H303" s="5"/>
      <c r="I303" s="5" t="s">
        <v>536</v>
      </c>
      <c r="J303" s="3"/>
      <c r="K303" s="12">
        <v>1990370</v>
      </c>
      <c r="L303" s="5" t="s">
        <v>153</v>
      </c>
      <c r="M303" s="3" t="s">
        <v>74</v>
      </c>
      <c r="N303" s="7">
        <v>0</v>
      </c>
      <c r="O303" s="7"/>
      <c r="P303" s="7">
        <v>0</v>
      </c>
      <c r="Q303" s="69"/>
    </row>
    <row r="304" spans="1:17" ht="33.75" customHeight="1" x14ac:dyDescent="0.25">
      <c r="A304" s="12" t="s">
        <v>657</v>
      </c>
      <c r="B304" s="156" t="s">
        <v>508</v>
      </c>
      <c r="C304" s="144" t="s">
        <v>509</v>
      </c>
      <c r="D304" s="8"/>
      <c r="E304" s="8">
        <v>45900</v>
      </c>
      <c r="F304" s="5"/>
      <c r="G304" s="4"/>
      <c r="H304" s="5"/>
      <c r="I304" s="5" t="s">
        <v>536</v>
      </c>
      <c r="J304" s="3"/>
      <c r="K304" s="12">
        <v>1990370</v>
      </c>
      <c r="L304" s="5" t="s">
        <v>153</v>
      </c>
      <c r="M304" s="3" t="s">
        <v>74</v>
      </c>
      <c r="N304" s="7">
        <v>203105</v>
      </c>
      <c r="O304" s="7"/>
      <c r="P304" s="7">
        <v>0</v>
      </c>
      <c r="Q304" s="69"/>
    </row>
    <row r="305" spans="1:17" ht="33.75" customHeight="1" x14ac:dyDescent="0.25">
      <c r="A305" s="12" t="s">
        <v>658</v>
      </c>
      <c r="B305" s="156" t="s">
        <v>508</v>
      </c>
      <c r="C305" s="144" t="s">
        <v>509</v>
      </c>
      <c r="D305" s="8"/>
      <c r="E305" s="8">
        <v>45900</v>
      </c>
      <c r="F305" s="5"/>
      <c r="G305" s="4"/>
      <c r="H305" s="5"/>
      <c r="I305" s="5" t="s">
        <v>536</v>
      </c>
      <c r="J305" s="3"/>
      <c r="K305" s="12">
        <v>1990370</v>
      </c>
      <c r="L305" s="5" t="s">
        <v>153</v>
      </c>
      <c r="M305" s="3" t="s">
        <v>74</v>
      </c>
      <c r="N305" s="7">
        <v>0</v>
      </c>
      <c r="O305" s="7"/>
      <c r="P305" s="7">
        <v>0</v>
      </c>
      <c r="Q305" s="69"/>
    </row>
    <row r="306" spans="1:17" ht="33.75" customHeight="1" x14ac:dyDescent="0.25">
      <c r="A306" s="12" t="s">
        <v>659</v>
      </c>
      <c r="B306" s="156" t="s">
        <v>508</v>
      </c>
      <c r="C306" s="144" t="s">
        <v>509</v>
      </c>
      <c r="D306" s="8"/>
      <c r="E306" s="8">
        <v>45900</v>
      </c>
      <c r="F306" s="5"/>
      <c r="G306" s="4"/>
      <c r="H306" s="5"/>
      <c r="I306" s="5" t="s">
        <v>536</v>
      </c>
      <c r="J306" s="3"/>
      <c r="K306" s="12">
        <v>1990370</v>
      </c>
      <c r="L306" s="5" t="s">
        <v>153</v>
      </c>
      <c r="M306" s="3" t="s">
        <v>74</v>
      </c>
      <c r="N306" s="7">
        <v>0</v>
      </c>
      <c r="O306" s="7"/>
      <c r="P306" s="7">
        <v>0</v>
      </c>
      <c r="Q306" s="69"/>
    </row>
    <row r="307" spans="1:17" ht="33.75" customHeight="1" x14ac:dyDescent="0.25">
      <c r="A307" s="12" t="s">
        <v>660</v>
      </c>
      <c r="B307" s="156" t="s">
        <v>508</v>
      </c>
      <c r="C307" s="144" t="s">
        <v>509</v>
      </c>
      <c r="D307" s="8"/>
      <c r="E307" s="8">
        <v>45900</v>
      </c>
      <c r="F307" s="5"/>
      <c r="G307" s="4"/>
      <c r="H307" s="5"/>
      <c r="I307" s="5" t="s">
        <v>661</v>
      </c>
      <c r="J307" s="3"/>
      <c r="K307" s="12">
        <v>1308732</v>
      </c>
      <c r="L307" s="5" t="s">
        <v>153</v>
      </c>
      <c r="M307" s="3" t="s">
        <v>74</v>
      </c>
      <c r="N307" s="7">
        <v>66250</v>
      </c>
      <c r="O307" s="7"/>
      <c r="P307" s="7">
        <v>0</v>
      </c>
      <c r="Q307" s="69"/>
    </row>
    <row r="308" spans="1:17" ht="33.75" customHeight="1" x14ac:dyDescent="0.25">
      <c r="A308" s="12" t="s">
        <v>662</v>
      </c>
      <c r="B308" s="156" t="s">
        <v>508</v>
      </c>
      <c r="C308" s="144" t="s">
        <v>509</v>
      </c>
      <c r="D308" s="8"/>
      <c r="E308" s="8">
        <v>45900</v>
      </c>
      <c r="F308" s="5"/>
      <c r="G308" s="4"/>
      <c r="H308" s="5"/>
      <c r="I308" s="5" t="s">
        <v>556</v>
      </c>
      <c r="J308" s="3"/>
      <c r="K308" s="12">
        <v>4367719</v>
      </c>
      <c r="L308" s="5" t="s">
        <v>153</v>
      </c>
      <c r="M308" s="3" t="s">
        <v>74</v>
      </c>
      <c r="N308" s="7">
        <v>60000</v>
      </c>
      <c r="O308" s="7"/>
      <c r="P308" s="7">
        <v>0</v>
      </c>
      <c r="Q308" s="69"/>
    </row>
    <row r="309" spans="1:17" ht="33.75" customHeight="1" x14ac:dyDescent="0.25">
      <c r="A309" s="12" t="s">
        <v>663</v>
      </c>
      <c r="B309" s="156" t="s">
        <v>508</v>
      </c>
      <c r="C309" s="144" t="s">
        <v>509</v>
      </c>
      <c r="D309" s="8"/>
      <c r="E309" s="8">
        <v>45900</v>
      </c>
      <c r="F309" s="5"/>
      <c r="G309" s="4"/>
      <c r="H309" s="5"/>
      <c r="I309" s="5" t="s">
        <v>556</v>
      </c>
      <c r="J309" s="3"/>
      <c r="K309" s="12">
        <v>4367719</v>
      </c>
      <c r="L309" s="5" t="s">
        <v>153</v>
      </c>
      <c r="M309" s="3" t="s">
        <v>74</v>
      </c>
      <c r="N309" s="7">
        <v>60000</v>
      </c>
      <c r="O309" s="7"/>
      <c r="P309" s="7">
        <v>0</v>
      </c>
      <c r="Q309" s="69"/>
    </row>
    <row r="310" spans="1:17" ht="33.75" customHeight="1" x14ac:dyDescent="0.25">
      <c r="A310" s="12" t="s">
        <v>664</v>
      </c>
      <c r="B310" s="156" t="s">
        <v>508</v>
      </c>
      <c r="C310" s="144" t="s">
        <v>509</v>
      </c>
      <c r="D310" s="8"/>
      <c r="E310" s="8">
        <v>45900</v>
      </c>
      <c r="F310" s="5"/>
      <c r="G310" s="4"/>
      <c r="H310" s="5"/>
      <c r="I310" s="5" t="s">
        <v>556</v>
      </c>
      <c r="J310" s="3"/>
      <c r="K310" s="12">
        <v>4367719</v>
      </c>
      <c r="L310" s="5" t="s">
        <v>153</v>
      </c>
      <c r="M310" s="3" t="s">
        <v>74</v>
      </c>
      <c r="N310" s="7">
        <v>60000</v>
      </c>
      <c r="O310" s="7"/>
      <c r="P310" s="7">
        <v>0</v>
      </c>
      <c r="Q310" s="69"/>
    </row>
    <row r="311" spans="1:17" ht="33.75" customHeight="1" x14ac:dyDescent="0.25">
      <c r="A311" s="12" t="s">
        <v>665</v>
      </c>
      <c r="B311" s="156" t="s">
        <v>508</v>
      </c>
      <c r="C311" s="144" t="s">
        <v>509</v>
      </c>
      <c r="D311" s="8"/>
      <c r="E311" s="8">
        <v>45900</v>
      </c>
      <c r="F311" s="5"/>
      <c r="G311" s="4"/>
      <c r="H311" s="5"/>
      <c r="I311" s="5" t="s">
        <v>578</v>
      </c>
      <c r="J311" s="3"/>
      <c r="K311" s="12">
        <v>11532302</v>
      </c>
      <c r="L311" s="5" t="s">
        <v>153</v>
      </c>
      <c r="M311" s="3" t="s">
        <v>74</v>
      </c>
      <c r="N311" s="7">
        <v>64600</v>
      </c>
      <c r="O311" s="7"/>
      <c r="P311" s="7">
        <v>0</v>
      </c>
      <c r="Q311" s="69"/>
    </row>
    <row r="312" spans="1:17" ht="33.75" customHeight="1" x14ac:dyDescent="0.25">
      <c r="A312" s="12" t="s">
        <v>666</v>
      </c>
      <c r="B312" s="156" t="s">
        <v>508</v>
      </c>
      <c r="C312" s="144" t="s">
        <v>525</v>
      </c>
      <c r="D312" s="8"/>
      <c r="E312" s="8">
        <v>45900</v>
      </c>
      <c r="F312" s="5"/>
      <c r="G312" s="4"/>
      <c r="H312" s="5"/>
      <c r="I312" s="5" t="s">
        <v>638</v>
      </c>
      <c r="J312" s="3"/>
      <c r="K312" s="12">
        <v>11768296</v>
      </c>
      <c r="L312" s="5" t="s">
        <v>153</v>
      </c>
      <c r="M312" s="3" t="s">
        <v>74</v>
      </c>
      <c r="N312" s="7">
        <v>10575</v>
      </c>
      <c r="O312" s="7"/>
      <c r="P312" s="7">
        <v>0</v>
      </c>
      <c r="Q312" s="69"/>
    </row>
    <row r="313" spans="1:17" ht="33.75" customHeight="1" x14ac:dyDescent="0.25">
      <c r="A313" s="12" t="s">
        <v>667</v>
      </c>
      <c r="B313" s="156" t="s">
        <v>508</v>
      </c>
      <c r="C313" s="144" t="s">
        <v>509</v>
      </c>
      <c r="D313" s="8"/>
      <c r="E313" s="8">
        <v>45900</v>
      </c>
      <c r="F313" s="5"/>
      <c r="G313" s="4"/>
      <c r="H313" s="5"/>
      <c r="I313" s="5" t="s">
        <v>638</v>
      </c>
      <c r="J313" s="3"/>
      <c r="K313" s="12">
        <v>11768296</v>
      </c>
      <c r="L313" s="5" t="s">
        <v>153</v>
      </c>
      <c r="M313" s="3" t="s">
        <v>74</v>
      </c>
      <c r="N313" s="7">
        <v>30000</v>
      </c>
      <c r="O313" s="7"/>
      <c r="P313" s="7">
        <v>0</v>
      </c>
      <c r="Q313" s="69"/>
    </row>
    <row r="314" spans="1:17" ht="33.75" customHeight="1" x14ac:dyDescent="0.25">
      <c r="A314" s="12" t="s">
        <v>668</v>
      </c>
      <c r="B314" s="156" t="s">
        <v>508</v>
      </c>
      <c r="C314" s="144" t="s">
        <v>525</v>
      </c>
      <c r="D314" s="8"/>
      <c r="E314" s="8">
        <v>45900</v>
      </c>
      <c r="F314" s="5"/>
      <c r="G314" s="4"/>
      <c r="H314" s="5"/>
      <c r="I314" s="5" t="s">
        <v>638</v>
      </c>
      <c r="J314" s="3"/>
      <c r="K314" s="12">
        <v>11768296</v>
      </c>
      <c r="L314" s="5" t="s">
        <v>153</v>
      </c>
      <c r="M314" s="3" t="s">
        <v>74</v>
      </c>
      <c r="N314" s="7">
        <v>41160</v>
      </c>
      <c r="O314" s="7"/>
      <c r="P314" s="7">
        <v>0</v>
      </c>
      <c r="Q314" s="69"/>
    </row>
    <row r="315" spans="1:17" ht="33.75" customHeight="1" x14ac:dyDescent="0.25">
      <c r="A315" s="12" t="s">
        <v>669</v>
      </c>
      <c r="B315" s="156" t="s">
        <v>508</v>
      </c>
      <c r="C315" s="144" t="s">
        <v>525</v>
      </c>
      <c r="D315" s="8"/>
      <c r="E315" s="8">
        <v>45900</v>
      </c>
      <c r="F315" s="5"/>
      <c r="G315" s="4"/>
      <c r="H315" s="5"/>
      <c r="I315" s="5" t="s">
        <v>564</v>
      </c>
      <c r="J315" s="3"/>
      <c r="K315" s="12">
        <v>2008295</v>
      </c>
      <c r="L315" s="5" t="s">
        <v>153</v>
      </c>
      <c r="M315" s="3" t="s">
        <v>74</v>
      </c>
      <c r="N315" s="7">
        <v>23175</v>
      </c>
      <c r="O315" s="7"/>
      <c r="P315" s="7">
        <v>0</v>
      </c>
      <c r="Q315" s="69"/>
    </row>
    <row r="316" spans="1:17" ht="33.75" customHeight="1" x14ac:dyDescent="0.25">
      <c r="A316" s="12" t="s">
        <v>670</v>
      </c>
      <c r="B316" s="156" t="s">
        <v>508</v>
      </c>
      <c r="C316" s="144" t="s">
        <v>525</v>
      </c>
      <c r="D316" s="8"/>
      <c r="E316" s="8">
        <v>45900</v>
      </c>
      <c r="F316" s="5"/>
      <c r="G316" s="4"/>
      <c r="H316" s="5"/>
      <c r="I316" s="5" t="s">
        <v>564</v>
      </c>
      <c r="J316" s="3"/>
      <c r="K316" s="12">
        <v>2008295</v>
      </c>
      <c r="L316" s="5" t="s">
        <v>153</v>
      </c>
      <c r="M316" s="3" t="s">
        <v>74</v>
      </c>
      <c r="N316" s="7">
        <v>17325</v>
      </c>
      <c r="O316" s="7"/>
      <c r="P316" s="7">
        <v>0</v>
      </c>
      <c r="Q316" s="69"/>
    </row>
    <row r="317" spans="1:17" ht="33.75" customHeight="1" x14ac:dyDescent="0.25">
      <c r="A317" s="12" t="s">
        <v>671</v>
      </c>
      <c r="B317" s="156" t="s">
        <v>508</v>
      </c>
      <c r="C317" s="144" t="s">
        <v>525</v>
      </c>
      <c r="D317" s="8"/>
      <c r="E317" s="8">
        <v>45900</v>
      </c>
      <c r="F317" s="5"/>
      <c r="G317" s="4"/>
      <c r="H317" s="5"/>
      <c r="I317" s="5" t="s">
        <v>564</v>
      </c>
      <c r="J317" s="3"/>
      <c r="K317" s="12">
        <v>2008295</v>
      </c>
      <c r="L317" s="5" t="s">
        <v>153</v>
      </c>
      <c r="M317" s="3" t="s">
        <v>74</v>
      </c>
      <c r="N317" s="7">
        <v>18975</v>
      </c>
      <c r="O317" s="7"/>
      <c r="P317" s="7">
        <v>0</v>
      </c>
      <c r="Q317" s="69"/>
    </row>
    <row r="318" spans="1:17" ht="33.75" customHeight="1" x14ac:dyDescent="0.25">
      <c r="A318" s="12" t="s">
        <v>672</v>
      </c>
      <c r="B318" s="156" t="s">
        <v>508</v>
      </c>
      <c r="C318" s="144" t="s">
        <v>525</v>
      </c>
      <c r="D318" s="8"/>
      <c r="E318" s="8">
        <v>45900</v>
      </c>
      <c r="F318" s="5"/>
      <c r="G318" s="4"/>
      <c r="H318" s="5"/>
      <c r="I318" s="5" t="s">
        <v>564</v>
      </c>
      <c r="J318" s="3"/>
      <c r="K318" s="12">
        <v>2008295</v>
      </c>
      <c r="L318" s="5" t="s">
        <v>153</v>
      </c>
      <c r="M318" s="3" t="s">
        <v>74</v>
      </c>
      <c r="N318" s="7">
        <v>14850</v>
      </c>
      <c r="O318" s="7"/>
      <c r="P318" s="7">
        <v>0</v>
      </c>
      <c r="Q318" s="69"/>
    </row>
    <row r="319" spans="1:17" ht="33.75" customHeight="1" x14ac:dyDescent="0.25">
      <c r="A319" s="12" t="s">
        <v>673</v>
      </c>
      <c r="B319" s="156" t="s">
        <v>508</v>
      </c>
      <c r="C319" s="144" t="s">
        <v>525</v>
      </c>
      <c r="D319" s="8"/>
      <c r="E319" s="8">
        <v>45900</v>
      </c>
      <c r="F319" s="5"/>
      <c r="G319" s="4"/>
      <c r="H319" s="5"/>
      <c r="I319" s="5" t="s">
        <v>575</v>
      </c>
      <c r="J319" s="3"/>
      <c r="K319" s="12">
        <v>3800176</v>
      </c>
      <c r="L319" s="5" t="s">
        <v>153</v>
      </c>
      <c r="M319" s="3" t="s">
        <v>74</v>
      </c>
      <c r="N319" s="7">
        <v>36320</v>
      </c>
      <c r="O319" s="7"/>
      <c r="P319" s="7">
        <v>0</v>
      </c>
      <c r="Q319" s="69"/>
    </row>
    <row r="320" spans="1:17" ht="33.75" customHeight="1" x14ac:dyDescent="0.25">
      <c r="A320" s="12" t="s">
        <v>674</v>
      </c>
      <c r="B320" s="156" t="s">
        <v>508</v>
      </c>
      <c r="C320" s="144" t="s">
        <v>525</v>
      </c>
      <c r="D320" s="8"/>
      <c r="E320" s="8">
        <v>45900</v>
      </c>
      <c r="F320" s="5"/>
      <c r="G320" s="4"/>
      <c r="H320" s="5"/>
      <c r="I320" s="5" t="s">
        <v>575</v>
      </c>
      <c r="J320" s="3"/>
      <c r="K320" s="12">
        <v>3800176</v>
      </c>
      <c r="L320" s="5" t="s">
        <v>153</v>
      </c>
      <c r="M320" s="3" t="s">
        <v>74</v>
      </c>
      <c r="N320" s="7">
        <v>6000</v>
      </c>
      <c r="O320" s="7"/>
      <c r="P320" s="7">
        <v>0</v>
      </c>
      <c r="Q320" s="69"/>
    </row>
    <row r="321" spans="1:17" ht="33.75" customHeight="1" x14ac:dyDescent="0.25">
      <c r="A321" s="12" t="s">
        <v>675</v>
      </c>
      <c r="B321" s="156" t="s">
        <v>508</v>
      </c>
      <c r="C321" s="144" t="s">
        <v>525</v>
      </c>
      <c r="D321" s="8"/>
      <c r="E321" s="8">
        <v>45900</v>
      </c>
      <c r="F321" s="5"/>
      <c r="G321" s="4"/>
      <c r="H321" s="5"/>
      <c r="I321" s="5" t="s">
        <v>575</v>
      </c>
      <c r="J321" s="3"/>
      <c r="K321" s="12">
        <v>3800176</v>
      </c>
      <c r="L321" s="5" t="s">
        <v>153</v>
      </c>
      <c r="M321" s="3" t="s">
        <v>74</v>
      </c>
      <c r="N321" s="7">
        <v>41910</v>
      </c>
      <c r="O321" s="7"/>
      <c r="P321" s="7">
        <v>0</v>
      </c>
      <c r="Q321" s="69"/>
    </row>
    <row r="322" spans="1:17" ht="33.75" customHeight="1" x14ac:dyDescent="0.25">
      <c r="A322" s="12" t="s">
        <v>676</v>
      </c>
      <c r="B322" s="156" t="s">
        <v>508</v>
      </c>
      <c r="C322" s="144" t="s">
        <v>525</v>
      </c>
      <c r="D322" s="8"/>
      <c r="E322" s="8">
        <v>45900</v>
      </c>
      <c r="F322" s="5"/>
      <c r="G322" s="4"/>
      <c r="H322" s="5"/>
      <c r="I322" s="5" t="s">
        <v>575</v>
      </c>
      <c r="J322" s="3"/>
      <c r="K322" s="12">
        <v>3800176</v>
      </c>
      <c r="L322" s="5" t="s">
        <v>153</v>
      </c>
      <c r="M322" s="3" t="s">
        <v>74</v>
      </c>
      <c r="N322" s="7">
        <v>19620</v>
      </c>
      <c r="O322" s="7"/>
      <c r="P322" s="7">
        <v>0</v>
      </c>
      <c r="Q322" s="69"/>
    </row>
    <row r="323" spans="1:17" ht="33.75" customHeight="1" x14ac:dyDescent="0.25">
      <c r="A323" s="12" t="s">
        <v>677</v>
      </c>
      <c r="B323" s="156" t="s">
        <v>508</v>
      </c>
      <c r="C323" s="144" t="s">
        <v>525</v>
      </c>
      <c r="D323" s="8"/>
      <c r="E323" s="8">
        <v>45900</v>
      </c>
      <c r="F323" s="5"/>
      <c r="G323" s="4"/>
      <c r="H323" s="5"/>
      <c r="I323" s="5" t="s">
        <v>592</v>
      </c>
      <c r="J323" s="3"/>
      <c r="K323" s="12">
        <v>3309948</v>
      </c>
      <c r="L323" s="5" t="s">
        <v>153</v>
      </c>
      <c r="M323" s="3" t="s">
        <v>74</v>
      </c>
      <c r="N323" s="7">
        <v>24750</v>
      </c>
      <c r="O323" s="7"/>
      <c r="P323" s="7">
        <v>0</v>
      </c>
      <c r="Q323" s="69"/>
    </row>
    <row r="324" spans="1:17" ht="33.75" customHeight="1" x14ac:dyDescent="0.25">
      <c r="A324" s="12" t="s">
        <v>678</v>
      </c>
      <c r="B324" s="156" t="s">
        <v>508</v>
      </c>
      <c r="C324" s="144" t="s">
        <v>525</v>
      </c>
      <c r="D324" s="8"/>
      <c r="E324" s="8">
        <v>45900</v>
      </c>
      <c r="F324" s="5"/>
      <c r="G324" s="4"/>
      <c r="H324" s="5"/>
      <c r="I324" s="5" t="s">
        <v>523</v>
      </c>
      <c r="J324" s="3"/>
      <c r="K324" s="12">
        <v>8618209</v>
      </c>
      <c r="L324" s="5" t="s">
        <v>153</v>
      </c>
      <c r="M324" s="3" t="s">
        <v>74</v>
      </c>
      <c r="N324" s="7">
        <v>59400</v>
      </c>
      <c r="O324" s="7"/>
      <c r="P324" s="7">
        <v>0</v>
      </c>
      <c r="Q324" s="69"/>
    </row>
    <row r="325" spans="1:17" ht="33.75" customHeight="1" x14ac:dyDescent="0.25">
      <c r="A325" s="12" t="s">
        <v>679</v>
      </c>
      <c r="B325" s="156" t="s">
        <v>508</v>
      </c>
      <c r="C325" s="144" t="s">
        <v>525</v>
      </c>
      <c r="D325" s="8"/>
      <c r="E325" s="8">
        <v>45900</v>
      </c>
      <c r="F325" s="5"/>
      <c r="G325" s="4"/>
      <c r="H325" s="5"/>
      <c r="I325" s="5" t="s">
        <v>523</v>
      </c>
      <c r="J325" s="3"/>
      <c r="K325" s="12">
        <v>8618209</v>
      </c>
      <c r="L325" s="5" t="s">
        <v>153</v>
      </c>
      <c r="M325" s="3" t="s">
        <v>74</v>
      </c>
      <c r="N325" s="7">
        <v>52800</v>
      </c>
      <c r="O325" s="7"/>
      <c r="P325" s="7">
        <v>0</v>
      </c>
      <c r="Q325" s="69"/>
    </row>
    <row r="326" spans="1:17" ht="33.75" customHeight="1" x14ac:dyDescent="0.25">
      <c r="A326" s="12" t="s">
        <v>680</v>
      </c>
      <c r="B326" s="156" t="s">
        <v>508</v>
      </c>
      <c r="C326" s="144" t="s">
        <v>525</v>
      </c>
      <c r="D326" s="8"/>
      <c r="E326" s="8">
        <v>45900</v>
      </c>
      <c r="F326" s="5"/>
      <c r="G326" s="4"/>
      <c r="H326" s="5"/>
      <c r="I326" s="5" t="s">
        <v>681</v>
      </c>
      <c r="J326" s="3"/>
      <c r="K326" s="12">
        <v>9670374</v>
      </c>
      <c r="L326" s="5" t="s">
        <v>153</v>
      </c>
      <c r="M326" s="3" t="s">
        <v>74</v>
      </c>
      <c r="N326" s="7">
        <v>97253</v>
      </c>
      <c r="O326" s="7"/>
      <c r="P326" s="7">
        <v>0</v>
      </c>
      <c r="Q326" s="69"/>
    </row>
    <row r="327" spans="1:17" ht="33.75" customHeight="1" x14ac:dyDescent="0.25">
      <c r="A327" s="12" t="s">
        <v>682</v>
      </c>
      <c r="B327" s="156" t="s">
        <v>508</v>
      </c>
      <c r="C327" s="144" t="s">
        <v>525</v>
      </c>
      <c r="D327" s="8"/>
      <c r="E327" s="8">
        <v>45900</v>
      </c>
      <c r="F327" s="5"/>
      <c r="G327" s="4"/>
      <c r="H327" s="5"/>
      <c r="I327" s="5" t="s">
        <v>681</v>
      </c>
      <c r="J327" s="3"/>
      <c r="K327" s="12">
        <v>9670374</v>
      </c>
      <c r="L327" s="5" t="s">
        <v>153</v>
      </c>
      <c r="M327" s="3" t="s">
        <v>74</v>
      </c>
      <c r="N327" s="7">
        <v>0</v>
      </c>
      <c r="O327" s="7"/>
      <c r="P327" s="7">
        <v>0</v>
      </c>
      <c r="Q327" s="69"/>
    </row>
    <row r="328" spans="1:17" ht="33.75" customHeight="1" x14ac:dyDescent="0.25">
      <c r="A328" s="12" t="s">
        <v>683</v>
      </c>
      <c r="B328" s="156" t="s">
        <v>508</v>
      </c>
      <c r="C328" s="144" t="s">
        <v>509</v>
      </c>
      <c r="D328" s="8"/>
      <c r="E328" s="8">
        <v>45900</v>
      </c>
      <c r="F328" s="5"/>
      <c r="G328" s="4"/>
      <c r="H328" s="5"/>
      <c r="I328" s="5" t="s">
        <v>615</v>
      </c>
      <c r="J328" s="3"/>
      <c r="K328" s="12">
        <v>12850883</v>
      </c>
      <c r="L328" s="5" t="s">
        <v>153</v>
      </c>
      <c r="M328" s="3" t="s">
        <v>74</v>
      </c>
      <c r="N328" s="7">
        <v>54600</v>
      </c>
      <c r="O328" s="7"/>
      <c r="P328" s="7">
        <v>0</v>
      </c>
      <c r="Q328" s="69"/>
    </row>
    <row r="329" spans="1:17" ht="33.75" customHeight="1" x14ac:dyDescent="0.25">
      <c r="A329" s="12" t="s">
        <v>684</v>
      </c>
      <c r="B329" s="156" t="s">
        <v>508</v>
      </c>
      <c r="C329" s="144" t="s">
        <v>525</v>
      </c>
      <c r="D329" s="8"/>
      <c r="E329" s="8">
        <v>45900</v>
      </c>
      <c r="F329" s="5"/>
      <c r="G329" s="4"/>
      <c r="H329" s="5"/>
      <c r="I329" s="5" t="s">
        <v>564</v>
      </c>
      <c r="J329" s="3"/>
      <c r="K329" s="12">
        <v>2008295</v>
      </c>
      <c r="L329" s="5" t="s">
        <v>153</v>
      </c>
      <c r="M329" s="3" t="s">
        <v>74</v>
      </c>
      <c r="N329" s="7">
        <v>52800</v>
      </c>
      <c r="O329" s="7"/>
      <c r="P329" s="7">
        <v>0</v>
      </c>
      <c r="Q329" s="69"/>
    </row>
    <row r="330" spans="1:17" ht="33.75" customHeight="1" x14ac:dyDescent="0.25">
      <c r="A330" s="12" t="s">
        <v>685</v>
      </c>
      <c r="B330" s="156" t="s">
        <v>508</v>
      </c>
      <c r="C330" s="144" t="s">
        <v>509</v>
      </c>
      <c r="D330" s="8"/>
      <c r="E330" s="8">
        <v>45900</v>
      </c>
      <c r="F330" s="5"/>
      <c r="G330" s="4"/>
      <c r="H330" s="5"/>
      <c r="I330" s="5" t="s">
        <v>523</v>
      </c>
      <c r="J330" s="3"/>
      <c r="K330" s="12">
        <v>8618209</v>
      </c>
      <c r="L330" s="5" t="s">
        <v>153</v>
      </c>
      <c r="M330" s="3" t="s">
        <v>74</v>
      </c>
      <c r="N330" s="7">
        <v>62103.299456288158</v>
      </c>
      <c r="O330" s="7"/>
      <c r="P330" s="7">
        <v>0</v>
      </c>
      <c r="Q330" s="69"/>
    </row>
    <row r="331" spans="1:17" ht="33.75" customHeight="1" x14ac:dyDescent="0.25">
      <c r="A331" s="12" t="s">
        <v>685</v>
      </c>
      <c r="B331" s="156" t="s">
        <v>508</v>
      </c>
      <c r="C331" s="144" t="s">
        <v>509</v>
      </c>
      <c r="D331" s="8"/>
      <c r="E331" s="8">
        <v>45900</v>
      </c>
      <c r="F331" s="5"/>
      <c r="G331" s="4"/>
      <c r="H331" s="5"/>
      <c r="I331" s="5" t="s">
        <v>523</v>
      </c>
      <c r="J331" s="3"/>
      <c r="K331" s="12">
        <v>8618209</v>
      </c>
      <c r="L331" s="5" t="s">
        <v>153</v>
      </c>
      <c r="M331" s="3" t="s">
        <v>74</v>
      </c>
      <c r="N331" s="7">
        <v>62700</v>
      </c>
      <c r="O331" s="7"/>
      <c r="P331" s="7">
        <v>0</v>
      </c>
      <c r="Q331" s="69"/>
    </row>
    <row r="332" spans="1:17" ht="33.75" customHeight="1" x14ac:dyDescent="0.25">
      <c r="A332" s="12" t="s">
        <v>686</v>
      </c>
      <c r="B332" s="156" t="s">
        <v>508</v>
      </c>
      <c r="C332" s="144" t="s">
        <v>509</v>
      </c>
      <c r="D332" s="8"/>
      <c r="E332" s="8">
        <v>45900</v>
      </c>
      <c r="F332" s="5"/>
      <c r="G332" s="4"/>
      <c r="H332" s="5"/>
      <c r="I332" s="5" t="s">
        <v>523</v>
      </c>
      <c r="J332" s="3"/>
      <c r="K332" s="12">
        <v>8618209</v>
      </c>
      <c r="L332" s="5" t="s">
        <v>153</v>
      </c>
      <c r="M332" s="3" t="s">
        <v>74</v>
      </c>
      <c r="N332" s="7">
        <v>62103.299456288158</v>
      </c>
      <c r="O332" s="7"/>
      <c r="P332" s="7">
        <v>0</v>
      </c>
      <c r="Q332" s="69"/>
    </row>
    <row r="333" spans="1:17" ht="33.75" customHeight="1" x14ac:dyDescent="0.25">
      <c r="A333" s="12" t="s">
        <v>686</v>
      </c>
      <c r="B333" s="156" t="s">
        <v>508</v>
      </c>
      <c r="C333" s="144" t="s">
        <v>509</v>
      </c>
      <c r="D333" s="8"/>
      <c r="E333" s="8">
        <v>45900</v>
      </c>
      <c r="F333" s="5"/>
      <c r="G333" s="4"/>
      <c r="H333" s="5"/>
      <c r="I333" s="5" t="s">
        <v>523</v>
      </c>
      <c r="J333" s="3"/>
      <c r="K333" s="12">
        <v>8618209</v>
      </c>
      <c r="L333" s="5" t="s">
        <v>153</v>
      </c>
      <c r="M333" s="3" t="s">
        <v>74</v>
      </c>
      <c r="N333" s="7">
        <v>65000</v>
      </c>
      <c r="O333" s="7"/>
      <c r="P333" s="7">
        <v>0</v>
      </c>
      <c r="Q333" s="69"/>
    </row>
    <row r="334" spans="1:17" ht="33.75" customHeight="1" x14ac:dyDescent="0.25">
      <c r="A334" s="12" t="s">
        <v>686</v>
      </c>
      <c r="B334" s="156" t="s">
        <v>508</v>
      </c>
      <c r="C334" s="144" t="s">
        <v>509</v>
      </c>
      <c r="D334" s="8"/>
      <c r="E334" s="8">
        <v>45900</v>
      </c>
      <c r="F334" s="5"/>
      <c r="G334" s="4"/>
      <c r="H334" s="5"/>
      <c r="I334" s="5" t="s">
        <v>523</v>
      </c>
      <c r="J334" s="3"/>
      <c r="K334" s="12">
        <v>8618209</v>
      </c>
      <c r="L334" s="5" t="s">
        <v>153</v>
      </c>
      <c r="M334" s="3" t="s">
        <v>74</v>
      </c>
      <c r="N334" s="7">
        <v>65000</v>
      </c>
      <c r="O334" s="7"/>
      <c r="P334" s="7">
        <v>0</v>
      </c>
      <c r="Q334" s="69"/>
    </row>
    <row r="335" spans="1:17" ht="33.75" customHeight="1" x14ac:dyDescent="0.25">
      <c r="A335" s="12" t="s">
        <v>687</v>
      </c>
      <c r="B335" s="156" t="s">
        <v>508</v>
      </c>
      <c r="C335" s="144" t="s">
        <v>509</v>
      </c>
      <c r="D335" s="8"/>
      <c r="E335" s="8">
        <v>45900</v>
      </c>
      <c r="F335" s="5"/>
      <c r="G335" s="4"/>
      <c r="H335" s="5"/>
      <c r="I335" s="5" t="s">
        <v>523</v>
      </c>
      <c r="J335" s="3"/>
      <c r="K335" s="12">
        <v>8618209</v>
      </c>
      <c r="L335" s="5" t="s">
        <v>153</v>
      </c>
      <c r="M335" s="3" t="s">
        <v>74</v>
      </c>
      <c r="N335" s="7">
        <v>65000</v>
      </c>
      <c r="O335" s="7"/>
      <c r="P335" s="7">
        <v>0</v>
      </c>
      <c r="Q335" s="69"/>
    </row>
    <row r="336" spans="1:17" ht="33.75" customHeight="1" x14ac:dyDescent="0.25">
      <c r="A336" s="12" t="s">
        <v>687</v>
      </c>
      <c r="B336" s="156" t="s">
        <v>508</v>
      </c>
      <c r="C336" s="144" t="s">
        <v>509</v>
      </c>
      <c r="D336" s="8"/>
      <c r="E336" s="8">
        <v>45900</v>
      </c>
      <c r="F336" s="5"/>
      <c r="G336" s="4"/>
      <c r="H336" s="5"/>
      <c r="I336" s="5" t="s">
        <v>523</v>
      </c>
      <c r="J336" s="3"/>
      <c r="K336" s="12">
        <v>8618209</v>
      </c>
      <c r="L336" s="5" t="s">
        <v>153</v>
      </c>
      <c r="M336" s="3" t="s">
        <v>74</v>
      </c>
      <c r="N336" s="7">
        <v>65000</v>
      </c>
      <c r="O336" s="7"/>
      <c r="P336" s="7">
        <v>0</v>
      </c>
      <c r="Q336" s="69"/>
    </row>
    <row r="337" spans="1:17" ht="33.75" customHeight="1" x14ac:dyDescent="0.25">
      <c r="A337" s="12" t="s">
        <v>687</v>
      </c>
      <c r="B337" s="156" t="s">
        <v>508</v>
      </c>
      <c r="C337" s="144" t="s">
        <v>509</v>
      </c>
      <c r="D337" s="8"/>
      <c r="E337" s="8">
        <v>45900</v>
      </c>
      <c r="F337" s="5"/>
      <c r="G337" s="4"/>
      <c r="H337" s="5"/>
      <c r="I337" s="5" t="s">
        <v>523</v>
      </c>
      <c r="J337" s="3"/>
      <c r="K337" s="12">
        <v>8618209</v>
      </c>
      <c r="L337" s="5" t="s">
        <v>153</v>
      </c>
      <c r="M337" s="3" t="s">
        <v>74</v>
      </c>
      <c r="N337" s="7">
        <v>65000</v>
      </c>
      <c r="O337" s="7"/>
      <c r="P337" s="7">
        <v>0</v>
      </c>
      <c r="Q337" s="69"/>
    </row>
    <row r="338" spans="1:17" ht="33.75" customHeight="1" x14ac:dyDescent="0.25">
      <c r="A338" s="12" t="s">
        <v>688</v>
      </c>
      <c r="B338" s="156" t="s">
        <v>508</v>
      </c>
      <c r="C338" s="144" t="s">
        <v>509</v>
      </c>
      <c r="D338" s="8"/>
      <c r="E338" s="8">
        <v>45900</v>
      </c>
      <c r="F338" s="5"/>
      <c r="G338" s="4"/>
      <c r="H338" s="5"/>
      <c r="I338" s="5" t="s">
        <v>523</v>
      </c>
      <c r="J338" s="3"/>
      <c r="K338" s="12">
        <v>8618209</v>
      </c>
      <c r="L338" s="5" t="s">
        <v>153</v>
      </c>
      <c r="M338" s="3" t="s">
        <v>74</v>
      </c>
      <c r="N338" s="7">
        <v>65000</v>
      </c>
      <c r="O338" s="7"/>
      <c r="P338" s="7">
        <v>0</v>
      </c>
      <c r="Q338" s="69"/>
    </row>
    <row r="339" spans="1:17" ht="33.75" customHeight="1" x14ac:dyDescent="0.25">
      <c r="A339" s="12" t="s">
        <v>689</v>
      </c>
      <c r="B339" s="156" t="s">
        <v>508</v>
      </c>
      <c r="C339" s="144" t="s">
        <v>509</v>
      </c>
      <c r="D339" s="8"/>
      <c r="E339" s="8">
        <v>45900</v>
      </c>
      <c r="F339" s="5"/>
      <c r="G339" s="4"/>
      <c r="H339" s="5"/>
      <c r="I339" s="5" t="s">
        <v>626</v>
      </c>
      <c r="J339" s="3"/>
      <c r="K339" s="12">
        <v>2197747</v>
      </c>
      <c r="L339" s="5" t="s">
        <v>153</v>
      </c>
      <c r="M339" s="3" t="s">
        <v>74</v>
      </c>
      <c r="N339" s="7">
        <v>24196.378398405272</v>
      </c>
      <c r="O339" s="7"/>
      <c r="P339" s="7">
        <v>0</v>
      </c>
      <c r="Q339" s="69"/>
    </row>
    <row r="340" spans="1:17" ht="33.75" customHeight="1" x14ac:dyDescent="0.25">
      <c r="A340" s="5">
        <v>90093</v>
      </c>
      <c r="B340" s="156" t="s">
        <v>343</v>
      </c>
      <c r="C340" s="144" t="s">
        <v>344</v>
      </c>
      <c r="D340" s="4">
        <v>45636</v>
      </c>
      <c r="E340" s="4">
        <v>45818</v>
      </c>
      <c r="F340" s="5" t="s">
        <v>102</v>
      </c>
      <c r="G340" s="4">
        <v>45818</v>
      </c>
      <c r="H340" s="5" t="s">
        <v>46</v>
      </c>
      <c r="I340" s="5" t="s">
        <v>345</v>
      </c>
      <c r="J340" s="10" t="s">
        <v>346</v>
      </c>
      <c r="K340" s="12" t="s">
        <v>347</v>
      </c>
      <c r="L340" s="5" t="s">
        <v>348</v>
      </c>
      <c r="M340" s="10" t="s">
        <v>132</v>
      </c>
      <c r="N340" s="7">
        <v>78372</v>
      </c>
      <c r="O340" s="7">
        <v>78372</v>
      </c>
      <c r="P340" s="7">
        <v>0</v>
      </c>
      <c r="Q340" s="69" t="s">
        <v>27</v>
      </c>
    </row>
    <row r="341" spans="1:17" ht="33.75" customHeight="1" x14ac:dyDescent="0.25">
      <c r="A341" s="5">
        <v>91431</v>
      </c>
      <c r="B341" s="144" t="s">
        <v>1124</v>
      </c>
      <c r="C341" s="144" t="s">
        <v>1125</v>
      </c>
      <c r="D341" s="4">
        <v>45645</v>
      </c>
      <c r="E341" s="4">
        <v>46739</v>
      </c>
      <c r="F341" s="5" t="s">
        <v>19</v>
      </c>
      <c r="G341" s="4">
        <v>47105</v>
      </c>
      <c r="H341" s="5" t="s">
        <v>19</v>
      </c>
      <c r="I341" s="5" t="s">
        <v>1126</v>
      </c>
      <c r="J341" s="5" t="s">
        <v>24</v>
      </c>
      <c r="K341" s="12" t="s">
        <v>960</v>
      </c>
      <c r="L341" s="5" t="s">
        <v>69</v>
      </c>
      <c r="M341" s="5" t="s">
        <v>1127</v>
      </c>
      <c r="N341" s="7">
        <v>116504.85</v>
      </c>
      <c r="O341" s="7">
        <v>116504.85</v>
      </c>
      <c r="P341" s="7">
        <v>0</v>
      </c>
      <c r="Q341" s="69" t="s">
        <v>27</v>
      </c>
    </row>
    <row r="342" spans="1:17" ht="33.75" customHeight="1" x14ac:dyDescent="0.25">
      <c r="A342" s="5">
        <v>92521</v>
      </c>
      <c r="B342" s="156" t="s">
        <v>1015</v>
      </c>
      <c r="C342" s="156" t="s">
        <v>1016</v>
      </c>
      <c r="D342" s="4">
        <v>45597</v>
      </c>
      <c r="E342" s="4">
        <v>46326</v>
      </c>
      <c r="F342" s="5" t="s">
        <v>102</v>
      </c>
      <c r="G342" s="4">
        <v>46326</v>
      </c>
      <c r="H342" s="5" t="s">
        <v>46</v>
      </c>
      <c r="I342" s="5" t="s">
        <v>1017</v>
      </c>
      <c r="J342" s="3" t="s">
        <v>67</v>
      </c>
      <c r="K342" s="12" t="s">
        <v>1018</v>
      </c>
      <c r="L342" s="5" t="s">
        <v>1019</v>
      </c>
      <c r="M342" s="3" t="s">
        <v>132</v>
      </c>
      <c r="N342" s="7">
        <v>34276</v>
      </c>
      <c r="O342" s="7">
        <v>68552</v>
      </c>
      <c r="P342" s="7">
        <v>0</v>
      </c>
      <c r="Q342" s="69" t="s">
        <v>27</v>
      </c>
    </row>
    <row r="343" spans="1:17" ht="33.75" customHeight="1" x14ac:dyDescent="0.25">
      <c r="A343" s="17" t="s">
        <v>59</v>
      </c>
      <c r="B343" s="144" t="s">
        <v>60</v>
      </c>
      <c r="C343" s="144" t="s">
        <v>61</v>
      </c>
      <c r="D343" s="2">
        <v>44440</v>
      </c>
      <c r="E343" s="2">
        <v>45535</v>
      </c>
      <c r="F343" s="3" t="s">
        <v>20</v>
      </c>
      <c r="G343" s="2">
        <v>48457</v>
      </c>
      <c r="H343" s="5" t="s">
        <v>20</v>
      </c>
      <c r="I343" s="3" t="s">
        <v>62</v>
      </c>
      <c r="J343" s="3" t="s">
        <v>23</v>
      </c>
      <c r="K343" s="17">
        <v>5234413</v>
      </c>
      <c r="L343" s="3" t="s">
        <v>39</v>
      </c>
      <c r="M343" s="112" t="s">
        <v>40</v>
      </c>
      <c r="N343" s="16">
        <v>87329</v>
      </c>
      <c r="O343" s="16">
        <v>960629</v>
      </c>
      <c r="P343" s="16">
        <v>0</v>
      </c>
      <c r="Q343" s="111" t="s">
        <v>27</v>
      </c>
    </row>
    <row r="344" spans="1:17" ht="33.75" customHeight="1" x14ac:dyDescent="0.25">
      <c r="A344" s="17" t="s">
        <v>145</v>
      </c>
      <c r="B344" s="144" t="s">
        <v>146</v>
      </c>
      <c r="C344" s="144" t="s">
        <v>147</v>
      </c>
      <c r="D344" s="15">
        <v>44249</v>
      </c>
      <c r="E344" s="15">
        <v>45709</v>
      </c>
      <c r="F344" s="3" t="s">
        <v>148</v>
      </c>
      <c r="G344" s="2">
        <v>45709</v>
      </c>
      <c r="H344" s="3" t="s">
        <v>46</v>
      </c>
      <c r="I344" s="3" t="s">
        <v>109</v>
      </c>
      <c r="J344" s="3" t="s">
        <v>23</v>
      </c>
      <c r="K344" s="17" t="s">
        <v>110</v>
      </c>
      <c r="L344" s="3" t="s">
        <v>140</v>
      </c>
      <c r="M344" s="3" t="s">
        <v>53</v>
      </c>
      <c r="N344" s="6">
        <v>750000</v>
      </c>
      <c r="O344" s="6">
        <v>3000000</v>
      </c>
      <c r="P344" s="16">
        <v>0</v>
      </c>
      <c r="Q344" s="100" t="s">
        <v>27</v>
      </c>
    </row>
    <row r="345" spans="1:17" ht="33.75" customHeight="1" x14ac:dyDescent="0.25">
      <c r="A345" s="17" t="s">
        <v>725</v>
      </c>
      <c r="B345" s="144" t="s">
        <v>726</v>
      </c>
      <c r="C345" s="144" t="s">
        <v>727</v>
      </c>
      <c r="D345" s="2">
        <v>44470</v>
      </c>
      <c r="E345" s="2">
        <v>45931</v>
      </c>
      <c r="F345" s="3" t="s">
        <v>358</v>
      </c>
      <c r="G345" s="2">
        <v>45931</v>
      </c>
      <c r="H345" s="5" t="s">
        <v>20</v>
      </c>
      <c r="I345" s="25" t="s">
        <v>728</v>
      </c>
      <c r="J345" s="3"/>
      <c r="K345" s="17" t="s">
        <v>729</v>
      </c>
      <c r="L345" s="3" t="s">
        <v>210</v>
      </c>
      <c r="M345" s="3" t="s">
        <v>45</v>
      </c>
      <c r="N345" s="16">
        <v>7500000</v>
      </c>
      <c r="O345" s="16">
        <v>30000000</v>
      </c>
      <c r="P345" s="16">
        <v>0</v>
      </c>
      <c r="Q345" s="111" t="s">
        <v>27</v>
      </c>
    </row>
    <row r="346" spans="1:17" ht="33.75" customHeight="1" x14ac:dyDescent="0.25">
      <c r="A346" s="12" t="s">
        <v>117</v>
      </c>
      <c r="B346" s="144" t="s">
        <v>118</v>
      </c>
      <c r="C346" s="144" t="s">
        <v>119</v>
      </c>
      <c r="D346" s="8">
        <v>44593</v>
      </c>
      <c r="E346" s="8">
        <v>45688</v>
      </c>
      <c r="F346" s="5" t="s">
        <v>19</v>
      </c>
      <c r="G346" s="4">
        <v>46418</v>
      </c>
      <c r="H346" s="5" t="s">
        <v>46</v>
      </c>
      <c r="I346" s="5" t="s">
        <v>77</v>
      </c>
      <c r="J346" s="3" t="s">
        <v>67</v>
      </c>
      <c r="K346" s="12" t="s">
        <v>78</v>
      </c>
      <c r="L346" s="5" t="s">
        <v>83</v>
      </c>
      <c r="M346" s="3" t="s">
        <v>83</v>
      </c>
      <c r="N346" s="7">
        <v>4000000</v>
      </c>
      <c r="O346" s="7">
        <v>20000000</v>
      </c>
      <c r="P346" s="7">
        <v>0</v>
      </c>
      <c r="Q346" s="69" t="s">
        <v>27</v>
      </c>
    </row>
    <row r="347" spans="1:17" ht="33.75" customHeight="1" x14ac:dyDescent="0.25">
      <c r="A347" s="12" t="s">
        <v>120</v>
      </c>
      <c r="B347" s="144" t="s">
        <v>121</v>
      </c>
      <c r="C347" s="144" t="s">
        <v>122</v>
      </c>
      <c r="D347" s="8">
        <v>44593</v>
      </c>
      <c r="E347" s="8">
        <v>45688</v>
      </c>
      <c r="F347" s="5" t="s">
        <v>19</v>
      </c>
      <c r="G347" s="4">
        <v>46418</v>
      </c>
      <c r="H347" s="5" t="s">
        <v>46</v>
      </c>
      <c r="I347" s="5" t="s">
        <v>123</v>
      </c>
      <c r="J347" s="3" t="s">
        <v>23</v>
      </c>
      <c r="K347" s="12">
        <v>1243967</v>
      </c>
      <c r="L347" s="5" t="s">
        <v>83</v>
      </c>
      <c r="M347" s="3" t="s">
        <v>83</v>
      </c>
      <c r="N347" s="7">
        <v>600000</v>
      </c>
      <c r="O347" s="7">
        <v>3000000</v>
      </c>
      <c r="P347" s="7">
        <v>0</v>
      </c>
      <c r="Q347" s="69" t="s">
        <v>27</v>
      </c>
    </row>
    <row r="348" spans="1:17" ht="33.75" customHeight="1" x14ac:dyDescent="0.25">
      <c r="A348" s="12" t="s">
        <v>124</v>
      </c>
      <c r="B348" s="144" t="s">
        <v>125</v>
      </c>
      <c r="C348" s="144" t="s">
        <v>126</v>
      </c>
      <c r="D348" s="8">
        <v>44593</v>
      </c>
      <c r="E348" s="8">
        <v>45688</v>
      </c>
      <c r="F348" s="5" t="s">
        <v>19</v>
      </c>
      <c r="G348" s="4">
        <v>46418</v>
      </c>
      <c r="H348" s="5" t="s">
        <v>46</v>
      </c>
      <c r="I348" s="5" t="s">
        <v>127</v>
      </c>
      <c r="J348" s="3" t="s">
        <v>23</v>
      </c>
      <c r="K348" s="12">
        <v>2165592</v>
      </c>
      <c r="L348" s="5" t="s">
        <v>83</v>
      </c>
      <c r="M348" s="3" t="s">
        <v>83</v>
      </c>
      <c r="N348" s="7">
        <v>400000</v>
      </c>
      <c r="O348" s="7">
        <v>3000000</v>
      </c>
      <c r="P348" s="7">
        <v>0</v>
      </c>
      <c r="Q348" s="69" t="s">
        <v>27</v>
      </c>
    </row>
    <row r="349" spans="1:17" ht="33.75" customHeight="1" x14ac:dyDescent="0.25">
      <c r="A349" s="17" t="s">
        <v>103</v>
      </c>
      <c r="B349" s="144" t="s">
        <v>104</v>
      </c>
      <c r="C349" s="144" t="s">
        <v>105</v>
      </c>
      <c r="D349" s="2">
        <v>44593</v>
      </c>
      <c r="E349" s="2">
        <v>45683</v>
      </c>
      <c r="F349" s="3" t="s">
        <v>23</v>
      </c>
      <c r="G349" s="2">
        <v>46048</v>
      </c>
      <c r="H349" s="3" t="s">
        <v>46</v>
      </c>
      <c r="I349" s="5" t="s">
        <v>77</v>
      </c>
      <c r="J349" s="3" t="s">
        <v>67</v>
      </c>
      <c r="K349" s="12" t="s">
        <v>78</v>
      </c>
      <c r="L349" s="3" t="s">
        <v>106</v>
      </c>
      <c r="M349" s="3" t="s">
        <v>34</v>
      </c>
      <c r="N349" s="16">
        <v>5000000</v>
      </c>
      <c r="O349" s="16">
        <v>20000000</v>
      </c>
      <c r="P349" s="7">
        <v>0</v>
      </c>
      <c r="Q349" s="100" t="s">
        <v>27</v>
      </c>
    </row>
    <row r="350" spans="1:17" ht="33.75" customHeight="1" x14ac:dyDescent="0.25">
      <c r="A350" s="12" t="s">
        <v>730</v>
      </c>
      <c r="B350" s="156" t="s">
        <v>150</v>
      </c>
      <c r="C350" s="144" t="s">
        <v>731</v>
      </c>
      <c r="D350" s="8">
        <v>44836</v>
      </c>
      <c r="E350" s="8">
        <v>45934</v>
      </c>
      <c r="F350" s="5"/>
      <c r="G350" s="4"/>
      <c r="H350" s="5"/>
      <c r="I350" s="5" t="s">
        <v>156</v>
      </c>
      <c r="J350" s="3"/>
      <c r="K350" s="12">
        <v>9431407</v>
      </c>
      <c r="L350" s="5" t="s">
        <v>153</v>
      </c>
      <c r="M350" s="3" t="s">
        <v>74</v>
      </c>
      <c r="N350" s="7">
        <v>201896</v>
      </c>
      <c r="O350" s="7"/>
      <c r="P350" s="7">
        <v>0</v>
      </c>
      <c r="Q350" s="69" t="s">
        <v>27</v>
      </c>
    </row>
    <row r="351" spans="1:17" ht="33.75" customHeight="1" x14ac:dyDescent="0.25">
      <c r="A351" s="12" t="s">
        <v>732</v>
      </c>
      <c r="B351" s="156" t="s">
        <v>150</v>
      </c>
      <c r="C351" s="144" t="s">
        <v>731</v>
      </c>
      <c r="D351" s="8">
        <v>44836</v>
      </c>
      <c r="E351" s="8">
        <v>45934</v>
      </c>
      <c r="F351" s="5"/>
      <c r="G351" s="4"/>
      <c r="H351" s="5"/>
      <c r="I351" s="5" t="s">
        <v>156</v>
      </c>
      <c r="J351" s="3"/>
      <c r="K351" s="12">
        <v>9431407</v>
      </c>
      <c r="L351" s="5" t="s">
        <v>153</v>
      </c>
      <c r="M351" s="3" t="s">
        <v>74</v>
      </c>
      <c r="N351" s="7">
        <v>41953</v>
      </c>
      <c r="O351" s="7"/>
      <c r="P351" s="7">
        <v>0</v>
      </c>
      <c r="Q351" s="69" t="s">
        <v>27</v>
      </c>
    </row>
    <row r="352" spans="1:17" ht="33.75" customHeight="1" x14ac:dyDescent="0.25">
      <c r="A352" s="12" t="s">
        <v>733</v>
      </c>
      <c r="B352" s="156" t="s">
        <v>150</v>
      </c>
      <c r="C352" s="144" t="s">
        <v>734</v>
      </c>
      <c r="D352" s="8">
        <v>44836</v>
      </c>
      <c r="E352" s="8">
        <v>45934</v>
      </c>
      <c r="F352" s="5"/>
      <c r="G352" s="4"/>
      <c r="H352" s="5"/>
      <c r="I352" s="5" t="s">
        <v>615</v>
      </c>
      <c r="J352" s="3"/>
      <c r="K352" s="12">
        <v>12850883</v>
      </c>
      <c r="L352" s="5" t="s">
        <v>153</v>
      </c>
      <c r="M352" s="3" t="s">
        <v>74</v>
      </c>
      <c r="N352" s="7">
        <v>95137</v>
      </c>
      <c r="O352" s="7"/>
      <c r="P352" s="7">
        <v>0</v>
      </c>
      <c r="Q352" s="69" t="s">
        <v>27</v>
      </c>
    </row>
    <row r="353" spans="1:17" ht="33.75" customHeight="1" x14ac:dyDescent="0.25">
      <c r="A353" s="12" t="s">
        <v>735</v>
      </c>
      <c r="B353" s="156" t="s">
        <v>150</v>
      </c>
      <c r="C353" s="144" t="s">
        <v>734</v>
      </c>
      <c r="D353" s="8">
        <v>44836</v>
      </c>
      <c r="E353" s="8">
        <v>45934</v>
      </c>
      <c r="F353" s="5"/>
      <c r="G353" s="4"/>
      <c r="H353" s="5"/>
      <c r="I353" s="5" t="s">
        <v>615</v>
      </c>
      <c r="J353" s="3"/>
      <c r="K353" s="12">
        <v>12850883</v>
      </c>
      <c r="L353" s="5" t="s">
        <v>153</v>
      </c>
      <c r="M353" s="3" t="s">
        <v>74</v>
      </c>
      <c r="N353" s="7">
        <v>39974</v>
      </c>
      <c r="O353" s="7"/>
      <c r="P353" s="7">
        <v>0</v>
      </c>
      <c r="Q353" s="69" t="s">
        <v>27</v>
      </c>
    </row>
    <row r="354" spans="1:17" ht="33.75" customHeight="1" x14ac:dyDescent="0.25">
      <c r="A354" s="12" t="s">
        <v>736</v>
      </c>
      <c r="B354" s="156" t="s">
        <v>150</v>
      </c>
      <c r="C354" s="144" t="s">
        <v>737</v>
      </c>
      <c r="D354" s="8">
        <v>44824</v>
      </c>
      <c r="E354" s="8">
        <v>45934</v>
      </c>
      <c r="F354" s="5"/>
      <c r="G354" s="4"/>
      <c r="H354" s="5"/>
      <c r="I354" s="5" t="s">
        <v>638</v>
      </c>
      <c r="J354" s="3"/>
      <c r="K354" s="12">
        <v>11768296</v>
      </c>
      <c r="L354" s="5" t="s">
        <v>153</v>
      </c>
      <c r="M354" s="3" t="s">
        <v>74</v>
      </c>
      <c r="N354" s="7">
        <v>114575</v>
      </c>
      <c r="O354" s="7"/>
      <c r="P354" s="7">
        <v>0</v>
      </c>
      <c r="Q354" s="69" t="s">
        <v>27</v>
      </c>
    </row>
    <row r="355" spans="1:17" ht="33.75" customHeight="1" x14ac:dyDescent="0.25">
      <c r="A355" s="12" t="s">
        <v>738</v>
      </c>
      <c r="B355" s="156" t="s">
        <v>150</v>
      </c>
      <c r="C355" s="144" t="s">
        <v>739</v>
      </c>
      <c r="D355" s="8">
        <v>44836</v>
      </c>
      <c r="E355" s="8">
        <v>45934</v>
      </c>
      <c r="F355" s="5"/>
      <c r="G355" s="4"/>
      <c r="H355" s="5"/>
      <c r="I355" s="5" t="s">
        <v>152</v>
      </c>
      <c r="J355" s="3"/>
      <c r="K355" s="12"/>
      <c r="L355" s="5" t="s">
        <v>153</v>
      </c>
      <c r="M355" s="3" t="s">
        <v>74</v>
      </c>
      <c r="N355" s="7">
        <v>70859</v>
      </c>
      <c r="O355" s="7"/>
      <c r="P355" s="7">
        <v>0</v>
      </c>
      <c r="Q355" s="69" t="s">
        <v>27</v>
      </c>
    </row>
    <row r="356" spans="1:17" ht="33.75" customHeight="1" x14ac:dyDescent="0.25">
      <c r="A356" s="12" t="s">
        <v>740</v>
      </c>
      <c r="B356" s="156" t="s">
        <v>150</v>
      </c>
      <c r="C356" s="144" t="s">
        <v>739</v>
      </c>
      <c r="D356" s="8">
        <v>44836</v>
      </c>
      <c r="E356" s="8">
        <v>45934</v>
      </c>
      <c r="F356" s="5"/>
      <c r="G356" s="4"/>
      <c r="H356" s="5"/>
      <c r="I356" s="5" t="s">
        <v>152</v>
      </c>
      <c r="J356" s="3"/>
      <c r="K356" s="12"/>
      <c r="L356" s="5" t="s">
        <v>153</v>
      </c>
      <c r="M356" s="3" t="s">
        <v>74</v>
      </c>
      <c r="N356" s="7">
        <v>20419</v>
      </c>
      <c r="O356" s="7"/>
      <c r="P356" s="7">
        <v>0</v>
      </c>
      <c r="Q356" s="69" t="s">
        <v>27</v>
      </c>
    </row>
    <row r="357" spans="1:17" ht="33.75" customHeight="1" x14ac:dyDescent="0.25">
      <c r="A357" s="12" t="s">
        <v>741</v>
      </c>
      <c r="B357" s="156" t="s">
        <v>150</v>
      </c>
      <c r="C357" s="144" t="s">
        <v>739</v>
      </c>
      <c r="D357" s="8">
        <v>44836</v>
      </c>
      <c r="E357" s="8">
        <v>45934</v>
      </c>
      <c r="F357" s="5"/>
      <c r="G357" s="4"/>
      <c r="H357" s="5"/>
      <c r="I357" s="5" t="s">
        <v>152</v>
      </c>
      <c r="J357" s="3"/>
      <c r="K357" s="12"/>
      <c r="L357" s="5" t="s">
        <v>153</v>
      </c>
      <c r="M357" s="3" t="s">
        <v>74</v>
      </c>
      <c r="N357" s="7">
        <v>25225</v>
      </c>
      <c r="O357" s="7"/>
      <c r="P357" s="7">
        <v>0</v>
      </c>
      <c r="Q357" s="69" t="s">
        <v>27</v>
      </c>
    </row>
    <row r="358" spans="1:17" ht="33.75" customHeight="1" x14ac:dyDescent="0.25">
      <c r="A358" s="12" t="s">
        <v>742</v>
      </c>
      <c r="B358" s="156" t="s">
        <v>150</v>
      </c>
      <c r="C358" s="144" t="s">
        <v>743</v>
      </c>
      <c r="D358" s="8">
        <v>44836</v>
      </c>
      <c r="E358" s="8">
        <v>45934</v>
      </c>
      <c r="F358" s="5"/>
      <c r="G358" s="4"/>
      <c r="H358" s="5"/>
      <c r="I358" s="5" t="s">
        <v>152</v>
      </c>
      <c r="J358" s="3"/>
      <c r="K358" s="12"/>
      <c r="L358" s="5" t="s">
        <v>153</v>
      </c>
      <c r="M358" s="3" t="s">
        <v>74</v>
      </c>
      <c r="N358" s="7">
        <v>105925</v>
      </c>
      <c r="O358" s="7"/>
      <c r="P358" s="7">
        <v>0</v>
      </c>
      <c r="Q358" s="69" t="s">
        <v>27</v>
      </c>
    </row>
    <row r="359" spans="1:17" ht="33.75" customHeight="1" x14ac:dyDescent="0.25">
      <c r="A359" s="12" t="s">
        <v>744</v>
      </c>
      <c r="B359" s="156" t="s">
        <v>150</v>
      </c>
      <c r="C359" s="144" t="s">
        <v>743</v>
      </c>
      <c r="D359" s="8">
        <v>44836</v>
      </c>
      <c r="E359" s="8">
        <v>45934</v>
      </c>
      <c r="F359" s="5"/>
      <c r="G359" s="4"/>
      <c r="H359" s="5"/>
      <c r="I359" s="5" t="s">
        <v>152</v>
      </c>
      <c r="J359" s="3"/>
      <c r="K359" s="12"/>
      <c r="L359" s="5" t="s">
        <v>153</v>
      </c>
      <c r="M359" s="3" t="s">
        <v>74</v>
      </c>
      <c r="N359" s="7">
        <v>129088</v>
      </c>
      <c r="O359" s="7"/>
      <c r="P359" s="7">
        <v>0</v>
      </c>
      <c r="Q359" s="69" t="s">
        <v>27</v>
      </c>
    </row>
    <row r="360" spans="1:17" ht="33.75" customHeight="1" x14ac:dyDescent="0.25">
      <c r="A360" s="12" t="s">
        <v>745</v>
      </c>
      <c r="B360" s="156" t="s">
        <v>150</v>
      </c>
      <c r="C360" s="144" t="s">
        <v>746</v>
      </c>
      <c r="D360" s="8">
        <v>44836</v>
      </c>
      <c r="E360" s="8">
        <v>45934</v>
      </c>
      <c r="F360" s="5"/>
      <c r="G360" s="4"/>
      <c r="H360" s="5"/>
      <c r="I360" s="5" t="s">
        <v>556</v>
      </c>
      <c r="J360" s="3"/>
      <c r="K360" s="12">
        <v>4367719</v>
      </c>
      <c r="L360" s="5" t="s">
        <v>153</v>
      </c>
      <c r="M360" s="3" t="s">
        <v>74</v>
      </c>
      <c r="N360" s="7">
        <v>181843</v>
      </c>
      <c r="O360" s="7"/>
      <c r="P360" s="7">
        <v>0</v>
      </c>
      <c r="Q360" s="69" t="s">
        <v>27</v>
      </c>
    </row>
    <row r="361" spans="1:17" ht="33.75" customHeight="1" x14ac:dyDescent="0.25">
      <c r="A361" s="12" t="s">
        <v>747</v>
      </c>
      <c r="B361" s="156" t="s">
        <v>150</v>
      </c>
      <c r="C361" s="144" t="s">
        <v>746</v>
      </c>
      <c r="D361" s="8">
        <v>44836</v>
      </c>
      <c r="E361" s="8">
        <v>45934</v>
      </c>
      <c r="F361" s="5"/>
      <c r="G361" s="4"/>
      <c r="H361" s="5"/>
      <c r="I361" s="5" t="s">
        <v>556</v>
      </c>
      <c r="J361" s="3"/>
      <c r="K361" s="12">
        <v>4367719</v>
      </c>
      <c r="L361" s="5" t="s">
        <v>153</v>
      </c>
      <c r="M361" s="3" t="s">
        <v>74</v>
      </c>
      <c r="N361" s="7">
        <v>93157</v>
      </c>
      <c r="O361" s="7"/>
      <c r="P361" s="7">
        <v>0</v>
      </c>
      <c r="Q361" s="69" t="s">
        <v>27</v>
      </c>
    </row>
    <row r="362" spans="1:17" ht="33.75" customHeight="1" x14ac:dyDescent="0.25">
      <c r="A362" s="12" t="s">
        <v>748</v>
      </c>
      <c r="B362" s="156" t="s">
        <v>150</v>
      </c>
      <c r="C362" s="144" t="s">
        <v>749</v>
      </c>
      <c r="D362" s="8">
        <v>44836</v>
      </c>
      <c r="E362" s="8">
        <v>45934</v>
      </c>
      <c r="F362" s="5"/>
      <c r="G362" s="4"/>
      <c r="H362" s="5"/>
      <c r="I362" s="5" t="s">
        <v>497</v>
      </c>
      <c r="J362" s="3"/>
      <c r="K362" s="12">
        <v>9454154</v>
      </c>
      <c r="L362" s="5" t="s">
        <v>153</v>
      </c>
      <c r="M362" s="3" t="s">
        <v>74</v>
      </c>
      <c r="N362" s="7">
        <v>7551</v>
      </c>
      <c r="O362" s="7"/>
      <c r="P362" s="7">
        <v>0</v>
      </c>
      <c r="Q362" s="69" t="s">
        <v>27</v>
      </c>
    </row>
    <row r="363" spans="1:17" ht="33.75" customHeight="1" x14ac:dyDescent="0.25">
      <c r="A363" s="12" t="s">
        <v>750</v>
      </c>
      <c r="B363" s="156" t="s">
        <v>150</v>
      </c>
      <c r="C363" s="144" t="s">
        <v>751</v>
      </c>
      <c r="D363" s="8">
        <v>44836</v>
      </c>
      <c r="E363" s="8">
        <v>45934</v>
      </c>
      <c r="F363" s="5"/>
      <c r="G363" s="4"/>
      <c r="H363" s="5"/>
      <c r="I363" s="5" t="s">
        <v>497</v>
      </c>
      <c r="J363" s="3"/>
      <c r="K363" s="12">
        <v>9454154</v>
      </c>
      <c r="L363" s="5" t="s">
        <v>153</v>
      </c>
      <c r="M363" s="3" t="s">
        <v>74</v>
      </c>
      <c r="N363" s="7">
        <v>72891</v>
      </c>
      <c r="O363" s="7"/>
      <c r="P363" s="7">
        <v>0</v>
      </c>
      <c r="Q363" s="69" t="s">
        <v>27</v>
      </c>
    </row>
    <row r="364" spans="1:17" ht="33.75" customHeight="1" x14ac:dyDescent="0.25">
      <c r="A364" s="12" t="s">
        <v>752</v>
      </c>
      <c r="B364" s="156" t="s">
        <v>150</v>
      </c>
      <c r="C364" s="144" t="s">
        <v>751</v>
      </c>
      <c r="D364" s="8">
        <v>44836</v>
      </c>
      <c r="E364" s="8">
        <v>45934</v>
      </c>
      <c r="F364" s="5"/>
      <c r="G364" s="4"/>
      <c r="H364" s="5"/>
      <c r="I364" s="5" t="s">
        <v>497</v>
      </c>
      <c r="J364" s="3"/>
      <c r="K364" s="12">
        <v>9454154</v>
      </c>
      <c r="L364" s="5" t="s">
        <v>153</v>
      </c>
      <c r="M364" s="3" t="s">
        <v>74</v>
      </c>
      <c r="N364" s="7">
        <v>11497</v>
      </c>
      <c r="O364" s="7"/>
      <c r="P364" s="7">
        <v>0</v>
      </c>
      <c r="Q364" s="69" t="s">
        <v>27</v>
      </c>
    </row>
    <row r="365" spans="1:17" ht="33.75" customHeight="1" x14ac:dyDescent="0.25">
      <c r="A365" s="12" t="s">
        <v>753</v>
      </c>
      <c r="B365" s="156" t="s">
        <v>150</v>
      </c>
      <c r="C365" s="144" t="s">
        <v>749</v>
      </c>
      <c r="D365" s="8">
        <v>44836</v>
      </c>
      <c r="E365" s="8">
        <v>45934</v>
      </c>
      <c r="F365" s="5"/>
      <c r="G365" s="4"/>
      <c r="H365" s="5"/>
      <c r="I365" s="5" t="s">
        <v>497</v>
      </c>
      <c r="J365" s="3"/>
      <c r="K365" s="12">
        <v>9454154</v>
      </c>
      <c r="L365" s="5" t="s">
        <v>153</v>
      </c>
      <c r="M365" s="3" t="s">
        <v>74</v>
      </c>
      <c r="N365" s="7">
        <v>42519</v>
      </c>
      <c r="O365" s="7"/>
      <c r="P365" s="7">
        <v>0</v>
      </c>
      <c r="Q365" s="69" t="s">
        <v>27</v>
      </c>
    </row>
    <row r="366" spans="1:17" ht="33.75" customHeight="1" x14ac:dyDescent="0.25">
      <c r="A366" s="12" t="s">
        <v>754</v>
      </c>
      <c r="B366" s="156" t="s">
        <v>150</v>
      </c>
      <c r="C366" s="144" t="s">
        <v>755</v>
      </c>
      <c r="D366" s="8">
        <v>44836</v>
      </c>
      <c r="E366" s="8">
        <v>45934</v>
      </c>
      <c r="F366" s="5"/>
      <c r="G366" s="4"/>
      <c r="H366" s="5"/>
      <c r="I366" s="5" t="s">
        <v>497</v>
      </c>
      <c r="J366" s="3"/>
      <c r="K366" s="12">
        <v>9454154</v>
      </c>
      <c r="L366" s="5" t="s">
        <v>153</v>
      </c>
      <c r="M366" s="3" t="s">
        <v>74</v>
      </c>
      <c r="N366" s="7">
        <v>38261</v>
      </c>
      <c r="O366" s="7"/>
      <c r="P366" s="7">
        <v>0</v>
      </c>
      <c r="Q366" s="69" t="s">
        <v>27</v>
      </c>
    </row>
    <row r="367" spans="1:17" ht="33.75" customHeight="1" x14ac:dyDescent="0.25">
      <c r="A367" s="17" t="s">
        <v>107</v>
      </c>
      <c r="B367" s="144" t="s">
        <v>108</v>
      </c>
      <c r="C367" s="144" t="s">
        <v>105</v>
      </c>
      <c r="D367" s="2">
        <v>44593</v>
      </c>
      <c r="E367" s="2">
        <v>45683</v>
      </c>
      <c r="F367" s="3" t="s">
        <v>23</v>
      </c>
      <c r="G367" s="2">
        <v>46048</v>
      </c>
      <c r="H367" s="3" t="s">
        <v>46</v>
      </c>
      <c r="I367" s="3" t="s">
        <v>109</v>
      </c>
      <c r="J367" s="3" t="s">
        <v>23</v>
      </c>
      <c r="K367" s="17" t="s">
        <v>110</v>
      </c>
      <c r="L367" s="3" t="s">
        <v>106</v>
      </c>
      <c r="M367" s="3" t="s">
        <v>34</v>
      </c>
      <c r="N367" s="16">
        <v>5000000</v>
      </c>
      <c r="O367" s="16">
        <v>20000000</v>
      </c>
      <c r="P367" s="7">
        <v>0</v>
      </c>
      <c r="Q367" s="100" t="s">
        <v>27</v>
      </c>
    </row>
    <row r="368" spans="1:17" ht="33.75" customHeight="1" x14ac:dyDescent="0.25">
      <c r="A368" s="12" t="s">
        <v>762</v>
      </c>
      <c r="B368" s="156" t="s">
        <v>150</v>
      </c>
      <c r="C368" s="144" t="s">
        <v>763</v>
      </c>
      <c r="D368" s="8">
        <v>44808</v>
      </c>
      <c r="E368" s="8">
        <v>45955</v>
      </c>
      <c r="F368" s="5"/>
      <c r="G368" s="4"/>
      <c r="H368" s="5"/>
      <c r="I368" s="5" t="s">
        <v>626</v>
      </c>
      <c r="J368" s="3"/>
      <c r="K368" s="12">
        <v>2197747</v>
      </c>
      <c r="L368" s="5" t="s">
        <v>153</v>
      </c>
      <c r="M368" s="3" t="s">
        <v>74</v>
      </c>
      <c r="N368" s="7">
        <v>101606</v>
      </c>
      <c r="O368" s="7"/>
      <c r="P368" s="7">
        <v>0</v>
      </c>
      <c r="Q368" s="69" t="s">
        <v>27</v>
      </c>
    </row>
    <row r="369" spans="1:17" ht="33.75" customHeight="1" x14ac:dyDescent="0.25">
      <c r="A369" s="17" t="s">
        <v>111</v>
      </c>
      <c r="B369" s="144" t="s">
        <v>108</v>
      </c>
      <c r="C369" s="144" t="s">
        <v>105</v>
      </c>
      <c r="D369" s="2">
        <v>44593</v>
      </c>
      <c r="E369" s="2">
        <v>45683</v>
      </c>
      <c r="F369" s="3" t="s">
        <v>23</v>
      </c>
      <c r="G369" s="2">
        <v>46048</v>
      </c>
      <c r="H369" s="3" t="s">
        <v>46</v>
      </c>
      <c r="I369" s="5" t="s">
        <v>77</v>
      </c>
      <c r="J369" s="3" t="s">
        <v>67</v>
      </c>
      <c r="K369" s="12" t="s">
        <v>78</v>
      </c>
      <c r="L369" s="3" t="s">
        <v>106</v>
      </c>
      <c r="M369" s="3" t="s">
        <v>34</v>
      </c>
      <c r="N369" s="16">
        <v>5000000</v>
      </c>
      <c r="O369" s="16">
        <v>20000000</v>
      </c>
      <c r="P369" s="7">
        <v>0</v>
      </c>
      <c r="Q369" s="100" t="s">
        <v>27</v>
      </c>
    </row>
    <row r="370" spans="1:17" ht="33.75" customHeight="1" x14ac:dyDescent="0.25">
      <c r="A370" s="17" t="s">
        <v>112</v>
      </c>
      <c r="B370" s="144" t="s">
        <v>104</v>
      </c>
      <c r="C370" s="144" t="s">
        <v>105</v>
      </c>
      <c r="D370" s="2">
        <v>44593</v>
      </c>
      <c r="E370" s="2">
        <v>45683</v>
      </c>
      <c r="F370" s="3" t="s">
        <v>23</v>
      </c>
      <c r="G370" s="2">
        <v>46048</v>
      </c>
      <c r="H370" s="3" t="s">
        <v>46</v>
      </c>
      <c r="I370" s="5" t="s">
        <v>50</v>
      </c>
      <c r="J370" s="3" t="s">
        <v>23</v>
      </c>
      <c r="K370" s="12" t="s">
        <v>51</v>
      </c>
      <c r="L370" s="3" t="s">
        <v>106</v>
      </c>
      <c r="M370" s="3" t="s">
        <v>34</v>
      </c>
      <c r="N370" s="16">
        <v>5000000</v>
      </c>
      <c r="O370" s="16">
        <v>20000000</v>
      </c>
      <c r="P370" s="7">
        <v>0</v>
      </c>
      <c r="Q370" s="100" t="s">
        <v>27</v>
      </c>
    </row>
    <row r="371" spans="1:17" ht="33.75" customHeight="1" x14ac:dyDescent="0.25">
      <c r="A371" s="17" t="s">
        <v>113</v>
      </c>
      <c r="B371" s="144" t="s">
        <v>104</v>
      </c>
      <c r="C371" s="144" t="s">
        <v>105</v>
      </c>
      <c r="D371" s="2">
        <v>44593</v>
      </c>
      <c r="E371" s="2">
        <v>45683</v>
      </c>
      <c r="F371" s="3" t="s">
        <v>23</v>
      </c>
      <c r="G371" s="2">
        <v>46048</v>
      </c>
      <c r="H371" s="3" t="s">
        <v>46</v>
      </c>
      <c r="I371" s="3" t="s">
        <v>109</v>
      </c>
      <c r="J371" s="3" t="s">
        <v>23</v>
      </c>
      <c r="K371" s="17" t="s">
        <v>110</v>
      </c>
      <c r="L371" s="3" t="s">
        <v>106</v>
      </c>
      <c r="M371" s="3" t="s">
        <v>34</v>
      </c>
      <c r="N371" s="16">
        <v>5000000</v>
      </c>
      <c r="O371" s="16">
        <v>20000000</v>
      </c>
      <c r="P371" s="7">
        <v>0</v>
      </c>
      <c r="Q371" s="100" t="s">
        <v>27</v>
      </c>
    </row>
    <row r="372" spans="1:17" ht="33.75" customHeight="1" x14ac:dyDescent="0.25">
      <c r="A372" s="17" t="s">
        <v>204</v>
      </c>
      <c r="B372" s="144" t="s">
        <v>205</v>
      </c>
      <c r="C372" s="144" t="s">
        <v>206</v>
      </c>
      <c r="D372" s="8">
        <v>44700</v>
      </c>
      <c r="E372" s="4">
        <v>45747</v>
      </c>
      <c r="F372" s="5" t="s">
        <v>20</v>
      </c>
      <c r="G372" s="4">
        <v>45747</v>
      </c>
      <c r="H372" s="5" t="s">
        <v>46</v>
      </c>
      <c r="I372" s="5" t="s">
        <v>77</v>
      </c>
      <c r="J372" s="3" t="s">
        <v>67</v>
      </c>
      <c r="K372" s="12" t="s">
        <v>78</v>
      </c>
      <c r="L372" s="3" t="s">
        <v>106</v>
      </c>
      <c r="M372" s="3" t="s">
        <v>34</v>
      </c>
      <c r="N372" s="7">
        <v>372126.5</v>
      </c>
      <c r="O372" s="7">
        <v>372126.5</v>
      </c>
      <c r="P372" s="7">
        <v>0</v>
      </c>
      <c r="Q372" s="69" t="s">
        <v>27</v>
      </c>
    </row>
    <row r="373" spans="1:17" ht="33.75" customHeight="1" x14ac:dyDescent="0.25">
      <c r="A373" s="19" t="s">
        <v>363</v>
      </c>
      <c r="B373" s="144" t="s">
        <v>364</v>
      </c>
      <c r="C373" s="144" t="s">
        <v>364</v>
      </c>
      <c r="D373" s="8">
        <v>45471</v>
      </c>
      <c r="E373" s="8">
        <v>45835</v>
      </c>
      <c r="F373" s="3" t="s">
        <v>23</v>
      </c>
      <c r="G373" s="8">
        <v>45835</v>
      </c>
      <c r="H373" s="5" t="s">
        <v>20</v>
      </c>
      <c r="I373" s="5" t="s">
        <v>365</v>
      </c>
      <c r="J373" s="3"/>
      <c r="K373" s="12">
        <v>7719080</v>
      </c>
      <c r="L373" s="5" t="s">
        <v>366</v>
      </c>
      <c r="M373" s="3" t="s">
        <v>40</v>
      </c>
      <c r="N373" s="7">
        <v>11024.88</v>
      </c>
      <c r="O373" s="7">
        <v>11024.88</v>
      </c>
      <c r="P373" s="7">
        <v>0</v>
      </c>
      <c r="Q373" s="116" t="s">
        <v>284</v>
      </c>
    </row>
    <row r="374" spans="1:17" ht="33.75" customHeight="1" x14ac:dyDescent="0.25">
      <c r="A374" s="12" t="s">
        <v>500</v>
      </c>
      <c r="B374" s="156" t="s">
        <v>501</v>
      </c>
      <c r="C374" s="156"/>
      <c r="D374" s="8">
        <v>44805</v>
      </c>
      <c r="E374" s="8">
        <v>45900</v>
      </c>
      <c r="F374" s="4" t="s">
        <v>21</v>
      </c>
      <c r="G374" s="4">
        <v>45900</v>
      </c>
      <c r="H374" s="5" t="s">
        <v>20</v>
      </c>
      <c r="I374" s="5" t="s">
        <v>502</v>
      </c>
      <c r="J374" s="3" t="s">
        <v>67</v>
      </c>
      <c r="K374" s="12" t="s">
        <v>503</v>
      </c>
      <c r="L374" s="5" t="s">
        <v>131</v>
      </c>
      <c r="M374" s="3" t="s">
        <v>132</v>
      </c>
      <c r="N374" s="7">
        <v>127651</v>
      </c>
      <c r="O374" s="7">
        <v>127651</v>
      </c>
      <c r="P374" s="7">
        <v>0</v>
      </c>
      <c r="Q374" s="69" t="s">
        <v>27</v>
      </c>
    </row>
    <row r="375" spans="1:17" ht="33.75" customHeight="1" x14ac:dyDescent="0.25">
      <c r="A375" s="12" t="s">
        <v>939</v>
      </c>
      <c r="B375" s="156" t="s">
        <v>940</v>
      </c>
      <c r="C375" s="144" t="s">
        <v>941</v>
      </c>
      <c r="D375" s="8">
        <v>45413</v>
      </c>
      <c r="E375" s="8">
        <v>46142</v>
      </c>
      <c r="F375" s="5" t="s">
        <v>942</v>
      </c>
      <c r="G375" s="4">
        <v>47238</v>
      </c>
      <c r="H375" s="5" t="s">
        <v>20</v>
      </c>
      <c r="I375" s="5" t="s">
        <v>943</v>
      </c>
      <c r="J375" s="3" t="s">
        <v>24</v>
      </c>
      <c r="K375" s="12" t="s">
        <v>944</v>
      </c>
      <c r="L375" s="5" t="s">
        <v>73</v>
      </c>
      <c r="M375" s="3" t="s">
        <v>74</v>
      </c>
      <c r="N375" s="16">
        <v>2081748.04</v>
      </c>
      <c r="O375" s="16">
        <v>10408740.199999999</v>
      </c>
      <c r="P375" s="7">
        <v>0</v>
      </c>
      <c r="Q375" s="69" t="s">
        <v>27</v>
      </c>
    </row>
    <row r="376" spans="1:17" ht="33.75" customHeight="1" x14ac:dyDescent="0.25">
      <c r="A376" s="12" t="s">
        <v>819</v>
      </c>
      <c r="B376" s="156" t="s">
        <v>820</v>
      </c>
      <c r="C376" s="156" t="s">
        <v>820</v>
      </c>
      <c r="D376" s="8">
        <v>44935</v>
      </c>
      <c r="E376" s="8">
        <v>46030</v>
      </c>
      <c r="F376" s="5" t="s">
        <v>19</v>
      </c>
      <c r="G376" s="4">
        <v>46395</v>
      </c>
      <c r="H376" s="5" t="s">
        <v>20</v>
      </c>
      <c r="I376" s="5" t="s">
        <v>821</v>
      </c>
      <c r="J376" s="3" t="s">
        <v>346</v>
      </c>
      <c r="K376" s="12" t="s">
        <v>347</v>
      </c>
      <c r="L376" s="5" t="s">
        <v>348</v>
      </c>
      <c r="M376" s="3" t="s">
        <v>132</v>
      </c>
      <c r="N376" s="7">
        <v>500000</v>
      </c>
      <c r="O376" s="7">
        <v>2000000</v>
      </c>
      <c r="P376" s="7">
        <v>0</v>
      </c>
      <c r="Q376" s="69" t="s">
        <v>27</v>
      </c>
    </row>
    <row r="377" spans="1:17" ht="33.75" customHeight="1" x14ac:dyDescent="0.25">
      <c r="A377" s="12" t="s">
        <v>822</v>
      </c>
      <c r="B377" s="156" t="s">
        <v>820</v>
      </c>
      <c r="C377" s="156" t="s">
        <v>820</v>
      </c>
      <c r="D377" s="8">
        <v>44935</v>
      </c>
      <c r="E377" s="8">
        <v>46030</v>
      </c>
      <c r="F377" s="5" t="s">
        <v>19</v>
      </c>
      <c r="G377" s="4">
        <v>46395</v>
      </c>
      <c r="H377" s="5" t="s">
        <v>20</v>
      </c>
      <c r="I377" s="5" t="s">
        <v>823</v>
      </c>
      <c r="J377" s="3" t="s">
        <v>24</v>
      </c>
      <c r="K377" s="12" t="s">
        <v>824</v>
      </c>
      <c r="L377" s="5" t="s">
        <v>348</v>
      </c>
      <c r="M377" s="3" t="s">
        <v>132</v>
      </c>
      <c r="N377" s="7">
        <v>500000</v>
      </c>
      <c r="O377" s="7">
        <v>2000000</v>
      </c>
      <c r="P377" s="7">
        <v>0</v>
      </c>
      <c r="Q377" s="69" t="s">
        <v>27</v>
      </c>
    </row>
    <row r="378" spans="1:17" ht="33.75" customHeight="1" x14ac:dyDescent="0.25">
      <c r="A378" s="12" t="s">
        <v>825</v>
      </c>
      <c r="B378" s="156" t="s">
        <v>820</v>
      </c>
      <c r="C378" s="156" t="s">
        <v>820</v>
      </c>
      <c r="D378" s="8">
        <v>44935</v>
      </c>
      <c r="E378" s="8">
        <v>46030</v>
      </c>
      <c r="F378" s="5" t="s">
        <v>19</v>
      </c>
      <c r="G378" s="4">
        <v>46395</v>
      </c>
      <c r="H378" s="5" t="s">
        <v>20</v>
      </c>
      <c r="I378" s="5" t="s">
        <v>203</v>
      </c>
      <c r="J378" s="3" t="s">
        <v>24</v>
      </c>
      <c r="K378" s="12">
        <v>10971918</v>
      </c>
      <c r="L378" s="5" t="s">
        <v>348</v>
      </c>
      <c r="M378" s="3" t="s">
        <v>132</v>
      </c>
      <c r="N378" s="7">
        <v>500000</v>
      </c>
      <c r="O378" s="7">
        <v>2000000</v>
      </c>
      <c r="P378" s="7">
        <v>0</v>
      </c>
      <c r="Q378" s="69" t="s">
        <v>27</v>
      </c>
    </row>
    <row r="379" spans="1:17" ht="33.75" customHeight="1" x14ac:dyDescent="0.25">
      <c r="A379" s="12" t="s">
        <v>826</v>
      </c>
      <c r="B379" s="156" t="s">
        <v>820</v>
      </c>
      <c r="C379" s="156" t="s">
        <v>820</v>
      </c>
      <c r="D379" s="8">
        <v>44935</v>
      </c>
      <c r="E379" s="8">
        <v>46030</v>
      </c>
      <c r="F379" s="5" t="s">
        <v>19</v>
      </c>
      <c r="G379" s="4">
        <v>46395</v>
      </c>
      <c r="H379" s="5" t="s">
        <v>20</v>
      </c>
      <c r="I379" s="5" t="s">
        <v>374</v>
      </c>
      <c r="J379" s="3" t="s">
        <v>24</v>
      </c>
      <c r="K379" s="12" t="s">
        <v>375</v>
      </c>
      <c r="L379" s="5" t="s">
        <v>348</v>
      </c>
      <c r="M379" s="3" t="s">
        <v>132</v>
      </c>
      <c r="N379" s="7">
        <v>500000</v>
      </c>
      <c r="O379" s="7">
        <v>2000000</v>
      </c>
      <c r="P379" s="7">
        <v>0</v>
      </c>
      <c r="Q379" s="69" t="s">
        <v>27</v>
      </c>
    </row>
    <row r="380" spans="1:17" ht="33.75" customHeight="1" x14ac:dyDescent="0.25">
      <c r="A380" s="17" t="s">
        <v>860</v>
      </c>
      <c r="B380" s="144" t="s">
        <v>861</v>
      </c>
      <c r="C380" s="144" t="s">
        <v>862</v>
      </c>
      <c r="D380" s="9">
        <v>44958</v>
      </c>
      <c r="E380" s="8">
        <v>46053</v>
      </c>
      <c r="F380" s="3" t="s">
        <v>19</v>
      </c>
      <c r="G380" s="2">
        <v>46418</v>
      </c>
      <c r="H380" s="5" t="s">
        <v>20</v>
      </c>
      <c r="I380" s="22" t="s">
        <v>863</v>
      </c>
      <c r="J380" s="3" t="s">
        <v>67</v>
      </c>
      <c r="K380" s="17" t="s">
        <v>180</v>
      </c>
      <c r="L380" s="3" t="s">
        <v>366</v>
      </c>
      <c r="M380" s="112" t="s">
        <v>40</v>
      </c>
      <c r="N380" s="16">
        <v>750000</v>
      </c>
      <c r="O380" s="16">
        <v>3000000</v>
      </c>
      <c r="P380" s="7">
        <v>0</v>
      </c>
      <c r="Q380" s="111" t="s">
        <v>27</v>
      </c>
    </row>
    <row r="381" spans="1:17" ht="33.75" customHeight="1" x14ac:dyDescent="0.25">
      <c r="A381" s="12" t="s">
        <v>1132</v>
      </c>
      <c r="B381" s="156" t="s">
        <v>1133</v>
      </c>
      <c r="C381" s="144" t="s">
        <v>1134</v>
      </c>
      <c r="D381" s="8">
        <v>44936</v>
      </c>
      <c r="E381" s="8">
        <v>47299</v>
      </c>
      <c r="F381" s="5" t="s">
        <v>46</v>
      </c>
      <c r="G381" s="4">
        <v>47299</v>
      </c>
      <c r="H381" s="5" t="s">
        <v>46</v>
      </c>
      <c r="I381" s="5" t="s">
        <v>693</v>
      </c>
      <c r="J381" s="3" t="s">
        <v>24</v>
      </c>
      <c r="K381" s="12" t="s">
        <v>21</v>
      </c>
      <c r="L381" s="5" t="s">
        <v>153</v>
      </c>
      <c r="M381" s="3" t="s">
        <v>74</v>
      </c>
      <c r="N381" s="7">
        <v>4060000</v>
      </c>
      <c r="O381" s="7">
        <v>0</v>
      </c>
      <c r="P381" s="7">
        <v>0</v>
      </c>
      <c r="Q381" s="69" t="s">
        <v>27</v>
      </c>
    </row>
    <row r="382" spans="1:17" ht="33.75" customHeight="1" x14ac:dyDescent="0.25">
      <c r="A382" s="12" t="s">
        <v>972</v>
      </c>
      <c r="B382" s="156" t="s">
        <v>973</v>
      </c>
      <c r="C382" s="144" t="s">
        <v>974</v>
      </c>
      <c r="D382" s="8">
        <v>45111</v>
      </c>
      <c r="E382" s="8">
        <v>46206</v>
      </c>
      <c r="F382" s="4" t="s">
        <v>21</v>
      </c>
      <c r="G382" s="8">
        <v>46206</v>
      </c>
      <c r="H382" s="5" t="s">
        <v>46</v>
      </c>
      <c r="I382" s="5" t="s">
        <v>975</v>
      </c>
      <c r="J382" s="3" t="s">
        <v>24</v>
      </c>
      <c r="K382" s="12">
        <v>11830707</v>
      </c>
      <c r="L382" s="5" t="s">
        <v>192</v>
      </c>
      <c r="M382" s="3" t="s">
        <v>45</v>
      </c>
      <c r="N382" s="7">
        <v>22500</v>
      </c>
      <c r="O382" s="7">
        <v>67500</v>
      </c>
      <c r="P382" s="7">
        <v>0</v>
      </c>
      <c r="Q382" s="69" t="s">
        <v>27</v>
      </c>
    </row>
    <row r="383" spans="1:17" ht="33.75" customHeight="1" x14ac:dyDescent="0.25">
      <c r="A383" s="12" t="s">
        <v>976</v>
      </c>
      <c r="B383" s="156" t="s">
        <v>973</v>
      </c>
      <c r="C383" s="144" t="s">
        <v>974</v>
      </c>
      <c r="D383" s="8">
        <v>45111</v>
      </c>
      <c r="E383" s="8">
        <v>46206</v>
      </c>
      <c r="F383" s="4" t="s">
        <v>21</v>
      </c>
      <c r="G383" s="8">
        <v>46206</v>
      </c>
      <c r="H383" s="5" t="s">
        <v>46</v>
      </c>
      <c r="I383" s="5" t="s">
        <v>977</v>
      </c>
      <c r="J383" s="3" t="s">
        <v>97</v>
      </c>
      <c r="K383" s="12" t="s">
        <v>21</v>
      </c>
      <c r="L383" s="5" t="s">
        <v>192</v>
      </c>
      <c r="M383" s="3" t="s">
        <v>45</v>
      </c>
      <c r="N383" s="7">
        <v>22500</v>
      </c>
      <c r="O383" s="7">
        <v>67500</v>
      </c>
      <c r="P383" s="7">
        <v>0</v>
      </c>
      <c r="Q383" s="69" t="s">
        <v>27</v>
      </c>
    </row>
    <row r="384" spans="1:17" ht="33.75" customHeight="1" x14ac:dyDescent="0.25">
      <c r="A384" s="12" t="s">
        <v>978</v>
      </c>
      <c r="B384" s="156" t="s">
        <v>973</v>
      </c>
      <c r="C384" s="144" t="s">
        <v>974</v>
      </c>
      <c r="D384" s="8">
        <v>45111</v>
      </c>
      <c r="E384" s="8">
        <v>46206</v>
      </c>
      <c r="F384" s="5" t="s">
        <v>23</v>
      </c>
      <c r="G384" s="8">
        <v>46206</v>
      </c>
      <c r="H384" s="5" t="s">
        <v>46</v>
      </c>
      <c r="I384" s="5" t="s">
        <v>979</v>
      </c>
      <c r="J384" s="3" t="s">
        <v>24</v>
      </c>
      <c r="K384" s="12">
        <v>5057066</v>
      </c>
      <c r="L384" s="5" t="s">
        <v>192</v>
      </c>
      <c r="M384" s="3" t="s">
        <v>45</v>
      </c>
      <c r="N384" s="7">
        <v>22500</v>
      </c>
      <c r="O384" s="7">
        <v>67500</v>
      </c>
      <c r="P384" s="7">
        <v>0</v>
      </c>
      <c r="Q384" s="69" t="s">
        <v>27</v>
      </c>
    </row>
    <row r="385" spans="1:17" ht="33.75" customHeight="1" x14ac:dyDescent="0.25">
      <c r="A385" s="12" t="s">
        <v>980</v>
      </c>
      <c r="B385" s="156" t="s">
        <v>973</v>
      </c>
      <c r="C385" s="144" t="s">
        <v>974</v>
      </c>
      <c r="D385" s="8">
        <v>45111</v>
      </c>
      <c r="E385" s="8">
        <v>46206</v>
      </c>
      <c r="F385" s="4" t="s">
        <v>21</v>
      </c>
      <c r="G385" s="8">
        <v>46206</v>
      </c>
      <c r="H385" s="5" t="s">
        <v>46</v>
      </c>
      <c r="I385" s="3" t="s">
        <v>981</v>
      </c>
      <c r="J385" s="3" t="s">
        <v>24</v>
      </c>
      <c r="K385" s="12">
        <v>8575779</v>
      </c>
      <c r="L385" s="5" t="s">
        <v>192</v>
      </c>
      <c r="M385" s="3" t="s">
        <v>45</v>
      </c>
      <c r="N385" s="7">
        <v>22500</v>
      </c>
      <c r="O385" s="7">
        <v>67500</v>
      </c>
      <c r="P385" s="7">
        <v>0</v>
      </c>
      <c r="Q385" s="69" t="s">
        <v>27</v>
      </c>
    </row>
    <row r="386" spans="1:17" ht="33.75" customHeight="1" x14ac:dyDescent="0.25">
      <c r="A386" s="12" t="s">
        <v>982</v>
      </c>
      <c r="B386" s="156" t="s">
        <v>973</v>
      </c>
      <c r="C386" s="144" t="s">
        <v>974</v>
      </c>
      <c r="D386" s="8">
        <v>45111</v>
      </c>
      <c r="E386" s="8">
        <v>46206</v>
      </c>
      <c r="F386" s="4" t="s">
        <v>21</v>
      </c>
      <c r="G386" s="8">
        <v>46206</v>
      </c>
      <c r="H386" s="5" t="s">
        <v>46</v>
      </c>
      <c r="I386" s="5" t="s">
        <v>983</v>
      </c>
      <c r="J386" s="3" t="s">
        <v>24</v>
      </c>
      <c r="K386" s="12">
        <v>3596465</v>
      </c>
      <c r="L386" s="5" t="s">
        <v>192</v>
      </c>
      <c r="M386" s="3" t="s">
        <v>45</v>
      </c>
      <c r="N386" s="7">
        <v>22500</v>
      </c>
      <c r="O386" s="7">
        <v>67500</v>
      </c>
      <c r="P386" s="7">
        <v>0</v>
      </c>
      <c r="Q386" s="69" t="s">
        <v>27</v>
      </c>
    </row>
    <row r="387" spans="1:17" ht="33.75" customHeight="1" x14ac:dyDescent="0.25">
      <c r="A387" s="12" t="s">
        <v>807</v>
      </c>
      <c r="B387" s="156" t="s">
        <v>808</v>
      </c>
      <c r="C387" s="156" t="s">
        <v>809</v>
      </c>
      <c r="D387" s="8">
        <v>45138</v>
      </c>
      <c r="E387" s="8">
        <v>46022</v>
      </c>
      <c r="F387" s="5" t="s">
        <v>19</v>
      </c>
      <c r="G387" s="4">
        <v>46022</v>
      </c>
      <c r="H387" s="5" t="s">
        <v>46</v>
      </c>
      <c r="I387" s="5" t="s">
        <v>810</v>
      </c>
      <c r="J387" s="3" t="s">
        <v>24</v>
      </c>
      <c r="K387" s="12" t="s">
        <v>772</v>
      </c>
      <c r="L387" s="5" t="s">
        <v>210</v>
      </c>
      <c r="M387" s="3" t="s">
        <v>45</v>
      </c>
      <c r="N387" s="7">
        <v>249699.75</v>
      </c>
      <c r="O387" s="7">
        <v>374549.25</v>
      </c>
      <c r="P387" s="7">
        <v>0</v>
      </c>
      <c r="Q387" s="69" t="s">
        <v>27</v>
      </c>
    </row>
    <row r="388" spans="1:17" ht="33.75" customHeight="1" x14ac:dyDescent="0.25">
      <c r="A388" s="12" t="s">
        <v>832</v>
      </c>
      <c r="B388" s="156" t="s">
        <v>150</v>
      </c>
      <c r="C388" s="144" t="s">
        <v>833</v>
      </c>
      <c r="D388" s="8">
        <v>44955</v>
      </c>
      <c r="E388" s="8">
        <v>46046</v>
      </c>
      <c r="F388" s="5"/>
      <c r="G388" s="4"/>
      <c r="H388" s="5"/>
      <c r="I388" s="5" t="s">
        <v>152</v>
      </c>
      <c r="J388" s="3"/>
      <c r="K388" s="12"/>
      <c r="L388" s="5" t="s">
        <v>153</v>
      </c>
      <c r="M388" s="3" t="s">
        <v>74</v>
      </c>
      <c r="N388" s="7">
        <v>116233</v>
      </c>
      <c r="O388" s="7"/>
      <c r="P388" s="7">
        <v>0</v>
      </c>
      <c r="Q388" s="69" t="s">
        <v>27</v>
      </c>
    </row>
    <row r="389" spans="1:17" ht="33.75" customHeight="1" x14ac:dyDescent="0.25">
      <c r="A389" s="12" t="s">
        <v>834</v>
      </c>
      <c r="B389" s="156" t="s">
        <v>150</v>
      </c>
      <c r="C389" s="144" t="s">
        <v>833</v>
      </c>
      <c r="D389" s="8">
        <v>44955</v>
      </c>
      <c r="E389" s="8">
        <v>46046</v>
      </c>
      <c r="F389" s="5"/>
      <c r="G389" s="4"/>
      <c r="H389" s="5"/>
      <c r="I389" s="5" t="s">
        <v>152</v>
      </c>
      <c r="J389" s="3"/>
      <c r="K389" s="12"/>
      <c r="L389" s="5" t="s">
        <v>153</v>
      </c>
      <c r="M389" s="3" t="s">
        <v>74</v>
      </c>
      <c r="N389" s="7">
        <v>56331</v>
      </c>
      <c r="O389" s="7"/>
      <c r="P389" s="7">
        <v>0</v>
      </c>
      <c r="Q389" s="69" t="s">
        <v>27</v>
      </c>
    </row>
    <row r="390" spans="1:17" ht="33.75" customHeight="1" x14ac:dyDescent="0.25">
      <c r="A390" s="12" t="s">
        <v>835</v>
      </c>
      <c r="B390" s="156" t="s">
        <v>150</v>
      </c>
      <c r="C390" s="144" t="s">
        <v>836</v>
      </c>
      <c r="D390" s="8">
        <v>44955</v>
      </c>
      <c r="E390" s="8">
        <v>46046</v>
      </c>
      <c r="F390" s="5"/>
      <c r="G390" s="4"/>
      <c r="H390" s="5"/>
      <c r="I390" s="5" t="s">
        <v>152</v>
      </c>
      <c r="J390" s="3"/>
      <c r="K390" s="12"/>
      <c r="L390" s="5" t="s">
        <v>153</v>
      </c>
      <c r="M390" s="3" t="s">
        <v>74</v>
      </c>
      <c r="N390" s="7">
        <v>77286</v>
      </c>
      <c r="O390" s="7"/>
      <c r="P390" s="7">
        <v>0</v>
      </c>
      <c r="Q390" s="69" t="s">
        <v>27</v>
      </c>
    </row>
    <row r="391" spans="1:17" ht="33.75" customHeight="1" x14ac:dyDescent="0.25">
      <c r="A391" s="12" t="s">
        <v>837</v>
      </c>
      <c r="B391" s="156" t="s">
        <v>150</v>
      </c>
      <c r="C391" s="144" t="s">
        <v>838</v>
      </c>
      <c r="D391" s="8">
        <v>44955</v>
      </c>
      <c r="E391" s="8">
        <v>46046</v>
      </c>
      <c r="F391" s="5"/>
      <c r="G391" s="4"/>
      <c r="H391" s="5"/>
      <c r="I391" s="5" t="s">
        <v>152</v>
      </c>
      <c r="J391" s="3"/>
      <c r="K391" s="12"/>
      <c r="L391" s="5" t="s">
        <v>153</v>
      </c>
      <c r="M391" s="3" t="s">
        <v>74</v>
      </c>
      <c r="N391" s="7">
        <v>99743</v>
      </c>
      <c r="O391" s="7"/>
      <c r="P391" s="7">
        <v>0</v>
      </c>
      <c r="Q391" s="69" t="s">
        <v>27</v>
      </c>
    </row>
    <row r="392" spans="1:17" ht="33.75" customHeight="1" x14ac:dyDescent="0.25">
      <c r="A392" s="12" t="s">
        <v>839</v>
      </c>
      <c r="B392" s="156" t="s">
        <v>150</v>
      </c>
      <c r="C392" s="144" t="s">
        <v>838</v>
      </c>
      <c r="D392" s="8">
        <v>44955</v>
      </c>
      <c r="E392" s="8">
        <v>46046</v>
      </c>
      <c r="F392" s="5"/>
      <c r="G392" s="4"/>
      <c r="H392" s="5"/>
      <c r="I392" s="5" t="s">
        <v>152</v>
      </c>
      <c r="J392" s="3"/>
      <c r="K392" s="12"/>
      <c r="L392" s="5" t="s">
        <v>153</v>
      </c>
      <c r="M392" s="3" t="s">
        <v>74</v>
      </c>
      <c r="N392" s="7">
        <v>3120</v>
      </c>
      <c r="O392" s="7"/>
      <c r="P392" s="7">
        <v>0</v>
      </c>
      <c r="Q392" s="69" t="s">
        <v>27</v>
      </c>
    </row>
    <row r="393" spans="1:17" ht="33.75" customHeight="1" x14ac:dyDescent="0.25">
      <c r="A393" s="12" t="s">
        <v>840</v>
      </c>
      <c r="B393" s="156" t="s">
        <v>150</v>
      </c>
      <c r="C393" s="144" t="s">
        <v>838</v>
      </c>
      <c r="D393" s="8">
        <v>44955</v>
      </c>
      <c r="E393" s="8">
        <v>46046</v>
      </c>
      <c r="F393" s="5"/>
      <c r="G393" s="4"/>
      <c r="H393" s="5"/>
      <c r="I393" s="5" t="s">
        <v>152</v>
      </c>
      <c r="J393" s="3"/>
      <c r="K393" s="12"/>
      <c r="L393" s="5" t="s">
        <v>153</v>
      </c>
      <c r="M393" s="3" t="s">
        <v>74</v>
      </c>
      <c r="N393" s="7">
        <v>12877</v>
      </c>
      <c r="O393" s="7"/>
      <c r="P393" s="7">
        <v>0</v>
      </c>
      <c r="Q393" s="69" t="s">
        <v>27</v>
      </c>
    </row>
    <row r="394" spans="1:17" ht="33.75" customHeight="1" x14ac:dyDescent="0.25">
      <c r="A394" s="12" t="s">
        <v>841</v>
      </c>
      <c r="B394" s="156" t="s">
        <v>150</v>
      </c>
      <c r="C394" s="144" t="s">
        <v>838</v>
      </c>
      <c r="D394" s="8">
        <v>44955</v>
      </c>
      <c r="E394" s="8">
        <v>46046</v>
      </c>
      <c r="F394" s="5"/>
      <c r="G394" s="4"/>
      <c r="H394" s="5"/>
      <c r="I394" s="5" t="s">
        <v>152</v>
      </c>
      <c r="J394" s="3"/>
      <c r="K394" s="12"/>
      <c r="L394" s="5" t="s">
        <v>153</v>
      </c>
      <c r="M394" s="3" t="s">
        <v>74</v>
      </c>
      <c r="N394" s="7">
        <v>2276</v>
      </c>
      <c r="O394" s="7"/>
      <c r="P394" s="7">
        <v>0</v>
      </c>
      <c r="Q394" s="69" t="s">
        <v>27</v>
      </c>
    </row>
    <row r="395" spans="1:17" ht="33.75" customHeight="1" x14ac:dyDescent="0.25">
      <c r="A395" s="12" t="s">
        <v>842</v>
      </c>
      <c r="B395" s="156" t="s">
        <v>150</v>
      </c>
      <c r="C395" s="144" t="s">
        <v>843</v>
      </c>
      <c r="D395" s="8">
        <v>44955</v>
      </c>
      <c r="E395" s="8">
        <v>46046</v>
      </c>
      <c r="F395" s="5"/>
      <c r="G395" s="4"/>
      <c r="H395" s="5"/>
      <c r="I395" s="5" t="s">
        <v>152</v>
      </c>
      <c r="J395" s="3"/>
      <c r="K395" s="12"/>
      <c r="L395" s="5" t="s">
        <v>153</v>
      </c>
      <c r="M395" s="3" t="s">
        <v>74</v>
      </c>
      <c r="N395" s="7">
        <v>23039</v>
      </c>
      <c r="O395" s="7"/>
      <c r="P395" s="7">
        <v>0</v>
      </c>
      <c r="Q395" s="69" t="s">
        <v>27</v>
      </c>
    </row>
    <row r="396" spans="1:17" ht="33.75" customHeight="1" x14ac:dyDescent="0.25">
      <c r="A396" s="12" t="s">
        <v>844</v>
      </c>
      <c r="B396" s="156" t="s">
        <v>150</v>
      </c>
      <c r="C396" s="144" t="s">
        <v>843</v>
      </c>
      <c r="D396" s="8">
        <v>44955</v>
      </c>
      <c r="E396" s="8">
        <v>46046</v>
      </c>
      <c r="F396" s="5"/>
      <c r="G396" s="4"/>
      <c r="H396" s="5"/>
      <c r="I396" s="5" t="s">
        <v>152</v>
      </c>
      <c r="J396" s="3"/>
      <c r="K396" s="12"/>
      <c r="L396" s="5" t="s">
        <v>153</v>
      </c>
      <c r="M396" s="3" t="s">
        <v>74</v>
      </c>
      <c r="N396" s="7">
        <v>8985</v>
      </c>
      <c r="O396" s="7"/>
      <c r="P396" s="7">
        <v>0</v>
      </c>
      <c r="Q396" s="69" t="s">
        <v>27</v>
      </c>
    </row>
    <row r="397" spans="1:17" ht="33.75" customHeight="1" x14ac:dyDescent="0.25">
      <c r="A397" s="12" t="s">
        <v>845</v>
      </c>
      <c r="B397" s="156" t="s">
        <v>150</v>
      </c>
      <c r="C397" s="144" t="s">
        <v>846</v>
      </c>
      <c r="D397" s="8">
        <v>44955</v>
      </c>
      <c r="E397" s="8">
        <v>46046</v>
      </c>
      <c r="F397" s="5"/>
      <c r="G397" s="4"/>
      <c r="H397" s="5"/>
      <c r="I397" s="5" t="s">
        <v>152</v>
      </c>
      <c r="J397" s="3"/>
      <c r="K397" s="12"/>
      <c r="L397" s="5" t="s">
        <v>153</v>
      </c>
      <c r="M397" s="3" t="s">
        <v>74</v>
      </c>
      <c r="N397" s="7">
        <v>32435</v>
      </c>
      <c r="O397" s="7"/>
      <c r="P397" s="7">
        <v>0</v>
      </c>
      <c r="Q397" s="69" t="s">
        <v>27</v>
      </c>
    </row>
    <row r="398" spans="1:17" ht="33.75" customHeight="1" x14ac:dyDescent="0.25">
      <c r="A398" s="12" t="s">
        <v>847</v>
      </c>
      <c r="B398" s="156" t="s">
        <v>150</v>
      </c>
      <c r="C398" s="144" t="s">
        <v>846</v>
      </c>
      <c r="D398" s="8">
        <v>44955</v>
      </c>
      <c r="E398" s="8">
        <v>46046</v>
      </c>
      <c r="F398" s="5"/>
      <c r="G398" s="4"/>
      <c r="H398" s="5"/>
      <c r="I398" s="5" t="s">
        <v>152</v>
      </c>
      <c r="J398" s="3"/>
      <c r="K398" s="12"/>
      <c r="L398" s="5" t="s">
        <v>153</v>
      </c>
      <c r="M398" s="3" t="s">
        <v>74</v>
      </c>
      <c r="N398" s="7">
        <v>5569</v>
      </c>
      <c r="O398" s="7"/>
      <c r="P398" s="7">
        <v>0</v>
      </c>
      <c r="Q398" s="69" t="s">
        <v>27</v>
      </c>
    </row>
    <row r="399" spans="1:17" ht="33.75" customHeight="1" x14ac:dyDescent="0.25">
      <c r="A399" s="12" t="s">
        <v>848</v>
      </c>
      <c r="B399" s="156" t="s">
        <v>150</v>
      </c>
      <c r="C399" s="144" t="s">
        <v>846</v>
      </c>
      <c r="D399" s="8">
        <v>44955</v>
      </c>
      <c r="E399" s="8">
        <v>46046</v>
      </c>
      <c r="F399" s="5"/>
      <c r="G399" s="4"/>
      <c r="H399" s="5"/>
      <c r="I399" s="5" t="s">
        <v>152</v>
      </c>
      <c r="J399" s="3"/>
      <c r="K399" s="12"/>
      <c r="L399" s="5" t="s">
        <v>153</v>
      </c>
      <c r="M399" s="3" t="s">
        <v>74</v>
      </c>
      <c r="N399" s="7">
        <v>6021</v>
      </c>
      <c r="O399" s="7"/>
      <c r="P399" s="7">
        <v>0</v>
      </c>
      <c r="Q399" s="69" t="s">
        <v>27</v>
      </c>
    </row>
    <row r="400" spans="1:17" ht="33.75" customHeight="1" x14ac:dyDescent="0.25">
      <c r="A400" s="12" t="s">
        <v>849</v>
      </c>
      <c r="B400" s="156" t="s">
        <v>150</v>
      </c>
      <c r="C400" s="144" t="s">
        <v>846</v>
      </c>
      <c r="D400" s="8">
        <v>44955</v>
      </c>
      <c r="E400" s="8">
        <v>46046</v>
      </c>
      <c r="F400" s="5"/>
      <c r="G400" s="4"/>
      <c r="H400" s="5"/>
      <c r="I400" s="5" t="s">
        <v>152</v>
      </c>
      <c r="J400" s="3"/>
      <c r="K400" s="12"/>
      <c r="L400" s="5" t="s">
        <v>153</v>
      </c>
      <c r="M400" s="3" t="s">
        <v>74</v>
      </c>
      <c r="N400" s="7">
        <v>1866</v>
      </c>
      <c r="O400" s="7"/>
      <c r="P400" s="7">
        <v>0</v>
      </c>
      <c r="Q400" s="69" t="s">
        <v>27</v>
      </c>
    </row>
    <row r="401" spans="1:17" ht="33.75" customHeight="1" x14ac:dyDescent="0.25">
      <c r="A401" s="12" t="s">
        <v>850</v>
      </c>
      <c r="B401" s="156" t="s">
        <v>150</v>
      </c>
      <c r="C401" s="144" t="s">
        <v>851</v>
      </c>
      <c r="D401" s="8">
        <v>44955</v>
      </c>
      <c r="E401" s="8">
        <v>46046</v>
      </c>
      <c r="F401" s="5"/>
      <c r="G401" s="4"/>
      <c r="H401" s="5"/>
      <c r="I401" s="5" t="s">
        <v>152</v>
      </c>
      <c r="J401" s="3"/>
      <c r="K401" s="12"/>
      <c r="L401" s="5" t="s">
        <v>153</v>
      </c>
      <c r="M401" s="3" t="s">
        <v>74</v>
      </c>
      <c r="N401" s="7">
        <v>125540</v>
      </c>
      <c r="O401" s="7"/>
      <c r="P401" s="7">
        <v>0</v>
      </c>
      <c r="Q401" s="69" t="s">
        <v>27</v>
      </c>
    </row>
    <row r="402" spans="1:17" ht="33.75" customHeight="1" x14ac:dyDescent="0.25">
      <c r="A402" s="12" t="s">
        <v>852</v>
      </c>
      <c r="B402" s="156" t="s">
        <v>150</v>
      </c>
      <c r="C402" s="144" t="s">
        <v>853</v>
      </c>
      <c r="D402" s="8">
        <v>44955</v>
      </c>
      <c r="E402" s="8">
        <v>46046</v>
      </c>
      <c r="F402" s="5"/>
      <c r="G402" s="4"/>
      <c r="H402" s="5"/>
      <c r="I402" s="5" t="s">
        <v>152</v>
      </c>
      <c r="J402" s="3"/>
      <c r="K402" s="12"/>
      <c r="L402" s="5" t="s">
        <v>153</v>
      </c>
      <c r="M402" s="3" t="s">
        <v>74</v>
      </c>
      <c r="N402" s="7">
        <v>2713</v>
      </c>
      <c r="O402" s="7"/>
      <c r="P402" s="7">
        <v>0</v>
      </c>
      <c r="Q402" s="69" t="s">
        <v>27</v>
      </c>
    </row>
    <row r="403" spans="1:17" ht="33.75" customHeight="1" x14ac:dyDescent="0.25">
      <c r="A403" s="12" t="s">
        <v>811</v>
      </c>
      <c r="B403" s="156" t="s">
        <v>812</v>
      </c>
      <c r="C403" s="156" t="s">
        <v>809</v>
      </c>
      <c r="D403" s="8">
        <v>45138</v>
      </c>
      <c r="E403" s="8">
        <v>46022</v>
      </c>
      <c r="F403" s="5" t="s">
        <v>19</v>
      </c>
      <c r="G403" s="4">
        <v>46022</v>
      </c>
      <c r="H403" s="5" t="s">
        <v>46</v>
      </c>
      <c r="I403" s="5" t="s">
        <v>810</v>
      </c>
      <c r="J403" s="3" t="s">
        <v>24</v>
      </c>
      <c r="K403" s="12" t="s">
        <v>772</v>
      </c>
      <c r="L403" s="5" t="s">
        <v>210</v>
      </c>
      <c r="M403" s="3" t="s">
        <v>45</v>
      </c>
      <c r="N403" s="7">
        <v>249699.75</v>
      </c>
      <c r="O403" s="7">
        <v>374549.25</v>
      </c>
      <c r="P403" s="7">
        <v>0</v>
      </c>
      <c r="Q403" s="69" t="s">
        <v>27</v>
      </c>
    </row>
    <row r="404" spans="1:17" ht="33.75" customHeight="1" x14ac:dyDescent="0.25">
      <c r="A404" s="12" t="s">
        <v>63</v>
      </c>
      <c r="B404" s="156" t="s">
        <v>64</v>
      </c>
      <c r="C404" s="156" t="s">
        <v>65</v>
      </c>
      <c r="D404" s="8">
        <v>45250</v>
      </c>
      <c r="E404" s="8">
        <v>45583</v>
      </c>
      <c r="F404" s="5" t="s">
        <v>20</v>
      </c>
      <c r="G404" s="4">
        <v>45948</v>
      </c>
      <c r="H404" s="5" t="s">
        <v>46</v>
      </c>
      <c r="I404" s="5" t="s">
        <v>66</v>
      </c>
      <c r="J404" s="3" t="s">
        <v>67</v>
      </c>
      <c r="K404" s="12" t="s">
        <v>68</v>
      </c>
      <c r="L404" s="5" t="s">
        <v>69</v>
      </c>
      <c r="M404" s="3" t="s">
        <v>34</v>
      </c>
      <c r="N404" s="7">
        <v>981781</v>
      </c>
      <c r="O404" s="7">
        <v>981781</v>
      </c>
      <c r="P404" s="7">
        <v>0</v>
      </c>
      <c r="Q404" s="69" t="s">
        <v>27</v>
      </c>
    </row>
    <row r="405" spans="1:17" ht="33.75" customHeight="1" x14ac:dyDescent="0.25">
      <c r="A405" s="12" t="s">
        <v>792</v>
      </c>
      <c r="B405" s="144" t="s">
        <v>793</v>
      </c>
      <c r="C405" s="144" t="s">
        <v>794</v>
      </c>
      <c r="D405" s="8">
        <v>45261</v>
      </c>
      <c r="E405" s="8">
        <v>45991</v>
      </c>
      <c r="F405" s="5" t="s">
        <v>795</v>
      </c>
      <c r="G405" s="8">
        <v>46721</v>
      </c>
      <c r="H405" s="5" t="s">
        <v>20</v>
      </c>
      <c r="I405" s="5" t="s">
        <v>123</v>
      </c>
      <c r="J405" s="3" t="s">
        <v>23</v>
      </c>
      <c r="K405" s="12">
        <v>1243967</v>
      </c>
      <c r="L405" s="10" t="s">
        <v>796</v>
      </c>
      <c r="M405" s="3" t="s">
        <v>132</v>
      </c>
      <c r="N405" s="7">
        <v>800000</v>
      </c>
      <c r="O405" s="7">
        <v>800000</v>
      </c>
      <c r="P405" s="7">
        <v>0</v>
      </c>
      <c r="Q405" s="69" t="s">
        <v>27</v>
      </c>
    </row>
    <row r="406" spans="1:17" ht="33.75" customHeight="1" x14ac:dyDescent="0.25">
      <c r="A406" s="12" t="s">
        <v>888</v>
      </c>
      <c r="B406" s="156" t="s">
        <v>889</v>
      </c>
      <c r="C406" s="144" t="s">
        <v>890</v>
      </c>
      <c r="D406" s="8">
        <v>45488</v>
      </c>
      <c r="E406" s="8">
        <v>46112</v>
      </c>
      <c r="F406" s="5" t="s">
        <v>23</v>
      </c>
      <c r="G406" s="4">
        <v>46112</v>
      </c>
      <c r="H406" s="5" t="s">
        <v>46</v>
      </c>
      <c r="I406" s="5" t="s">
        <v>891</v>
      </c>
      <c r="J406" s="3" t="s">
        <v>67</v>
      </c>
      <c r="K406" s="12">
        <v>6472420</v>
      </c>
      <c r="L406" s="5" t="s">
        <v>200</v>
      </c>
      <c r="M406" s="3" t="s">
        <v>45</v>
      </c>
      <c r="N406" s="7">
        <v>346780</v>
      </c>
      <c r="O406" s="7">
        <v>346780</v>
      </c>
      <c r="P406" s="7">
        <v>0</v>
      </c>
      <c r="Q406" s="69" t="s">
        <v>27</v>
      </c>
    </row>
    <row r="407" spans="1:17" ht="33.75" customHeight="1" x14ac:dyDescent="0.25">
      <c r="A407" s="12" t="s">
        <v>892</v>
      </c>
      <c r="B407" s="156" t="s">
        <v>893</v>
      </c>
      <c r="C407" s="144" t="s">
        <v>894</v>
      </c>
      <c r="D407" s="8">
        <v>45488</v>
      </c>
      <c r="E407" s="8">
        <v>46112</v>
      </c>
      <c r="F407" s="5" t="s">
        <v>23</v>
      </c>
      <c r="G407" s="4">
        <v>46112</v>
      </c>
      <c r="H407" s="5" t="s">
        <v>46</v>
      </c>
      <c r="I407" s="5" t="s">
        <v>895</v>
      </c>
      <c r="J407" s="3" t="s">
        <v>97</v>
      </c>
      <c r="K407" s="12">
        <v>7706036</v>
      </c>
      <c r="L407" s="5" t="s">
        <v>200</v>
      </c>
      <c r="M407" s="3" t="s">
        <v>45</v>
      </c>
      <c r="N407" s="7">
        <v>1150000</v>
      </c>
      <c r="O407" s="7">
        <v>1150000</v>
      </c>
      <c r="P407" s="7">
        <v>0</v>
      </c>
      <c r="Q407" s="69" t="s">
        <v>27</v>
      </c>
    </row>
    <row r="408" spans="1:17" ht="33.75" customHeight="1" x14ac:dyDescent="0.25">
      <c r="A408" s="12" t="s">
        <v>1007</v>
      </c>
      <c r="B408" s="144" t="s">
        <v>1008</v>
      </c>
      <c r="C408" s="144" t="s">
        <v>1009</v>
      </c>
      <c r="D408" s="8">
        <v>45201</v>
      </c>
      <c r="E408" s="8">
        <v>46297</v>
      </c>
      <c r="F408" s="5" t="s">
        <v>46</v>
      </c>
      <c r="G408" s="8">
        <v>46297</v>
      </c>
      <c r="H408" s="5" t="s">
        <v>46</v>
      </c>
      <c r="I408" s="5" t="s">
        <v>1010</v>
      </c>
      <c r="J408" s="3" t="s">
        <v>67</v>
      </c>
      <c r="K408" s="12">
        <v>7805748</v>
      </c>
      <c r="L408" s="5" t="s">
        <v>1011</v>
      </c>
      <c r="M408" s="3" t="s">
        <v>53</v>
      </c>
      <c r="N408" s="7">
        <v>333333</v>
      </c>
      <c r="O408" s="7">
        <v>1000000</v>
      </c>
      <c r="P408" s="7">
        <v>0</v>
      </c>
      <c r="Q408" s="69" t="s">
        <v>27</v>
      </c>
    </row>
    <row r="409" spans="1:17" ht="33.75" customHeight="1" x14ac:dyDescent="0.25">
      <c r="A409" s="12" t="s">
        <v>207</v>
      </c>
      <c r="B409" s="144" t="s">
        <v>208</v>
      </c>
      <c r="C409" s="144" t="s">
        <v>209</v>
      </c>
      <c r="D409" s="8">
        <v>45219</v>
      </c>
      <c r="E409" s="2">
        <v>45747</v>
      </c>
      <c r="F409" s="5" t="s">
        <v>21</v>
      </c>
      <c r="G409" s="4">
        <v>45747</v>
      </c>
      <c r="H409" s="5" t="s">
        <v>46</v>
      </c>
      <c r="I409" s="5" t="s">
        <v>190</v>
      </c>
      <c r="J409" s="3" t="s">
        <v>67</v>
      </c>
      <c r="K409" s="17" t="s">
        <v>191</v>
      </c>
      <c r="L409" s="5" t="s">
        <v>210</v>
      </c>
      <c r="M409" s="3" t="s">
        <v>45</v>
      </c>
      <c r="N409" s="7">
        <v>119000</v>
      </c>
      <c r="O409" s="7">
        <v>119000</v>
      </c>
      <c r="P409" s="7">
        <v>0</v>
      </c>
      <c r="Q409" s="69" t="s">
        <v>27</v>
      </c>
    </row>
    <row r="410" spans="1:17" ht="33.75" customHeight="1" x14ac:dyDescent="0.25">
      <c r="A410" s="17" t="s">
        <v>1024</v>
      </c>
      <c r="B410" s="144" t="s">
        <v>1025</v>
      </c>
      <c r="C410" s="144" t="s">
        <v>1026</v>
      </c>
      <c r="D410" s="15">
        <v>45313</v>
      </c>
      <c r="E410" s="15">
        <v>46408</v>
      </c>
      <c r="F410" s="3" t="s">
        <v>20</v>
      </c>
      <c r="G410" s="2">
        <v>47139</v>
      </c>
      <c r="H410" s="3" t="s">
        <v>20</v>
      </c>
      <c r="I410" s="3" t="s">
        <v>1027</v>
      </c>
      <c r="J410" s="3" t="s">
        <v>24</v>
      </c>
      <c r="K410" s="12" t="s">
        <v>1028</v>
      </c>
      <c r="L410" s="3"/>
      <c r="M410" s="3"/>
      <c r="N410" s="16">
        <v>85000</v>
      </c>
      <c r="O410" s="16">
        <v>598600</v>
      </c>
      <c r="P410" s="7">
        <v>0</v>
      </c>
      <c r="Q410" s="69" t="s">
        <v>27</v>
      </c>
    </row>
    <row r="411" spans="1:17" ht="33.75" customHeight="1" x14ac:dyDescent="0.25">
      <c r="A411" s="12" t="s">
        <v>367</v>
      </c>
      <c r="B411" s="144" t="s">
        <v>368</v>
      </c>
      <c r="C411" s="144" t="s">
        <v>369</v>
      </c>
      <c r="D411" s="8">
        <v>45334</v>
      </c>
      <c r="E411" s="8">
        <v>45838</v>
      </c>
      <c r="F411" s="5" t="s">
        <v>19</v>
      </c>
      <c r="G411" s="4">
        <v>45838</v>
      </c>
      <c r="H411" s="5" t="s">
        <v>46</v>
      </c>
      <c r="I411" s="5" t="s">
        <v>370</v>
      </c>
      <c r="J411" s="3" t="s">
        <v>24</v>
      </c>
      <c r="K411" s="12">
        <v>6078852</v>
      </c>
      <c r="L411" s="5" t="s">
        <v>153</v>
      </c>
      <c r="M411" s="3" t="s">
        <v>74</v>
      </c>
      <c r="N411" s="7">
        <v>163316.25</v>
      </c>
      <c r="O411" s="7">
        <v>217755</v>
      </c>
      <c r="P411" s="7">
        <v>0</v>
      </c>
      <c r="Q411" s="69" t="s">
        <v>27</v>
      </c>
    </row>
    <row r="412" spans="1:17" ht="33.75" customHeight="1" x14ac:dyDescent="0.25">
      <c r="A412" s="12" t="s">
        <v>756</v>
      </c>
      <c r="B412" s="156" t="s">
        <v>757</v>
      </c>
      <c r="C412" s="144" t="s">
        <v>758</v>
      </c>
      <c r="D412" s="8">
        <v>45408</v>
      </c>
      <c r="E412" s="8">
        <v>45955</v>
      </c>
      <c r="F412" s="5" t="s">
        <v>759</v>
      </c>
      <c r="G412" s="4">
        <v>46137</v>
      </c>
      <c r="H412" s="5" t="s">
        <v>20</v>
      </c>
      <c r="I412" s="5" t="s">
        <v>760</v>
      </c>
      <c r="J412" s="3" t="s">
        <v>23</v>
      </c>
      <c r="K412" s="12" t="s">
        <v>761</v>
      </c>
      <c r="L412" s="5" t="s">
        <v>52</v>
      </c>
      <c r="M412" s="3" t="s">
        <v>53</v>
      </c>
      <c r="N412" s="7">
        <v>234000</v>
      </c>
      <c r="O412" s="7">
        <v>350000</v>
      </c>
      <c r="P412" s="7">
        <v>0</v>
      </c>
      <c r="Q412" s="69" t="s">
        <v>27</v>
      </c>
    </row>
    <row r="413" spans="1:17" ht="33.75" customHeight="1" x14ac:dyDescent="0.25">
      <c r="A413" s="12" t="s">
        <v>1034</v>
      </c>
      <c r="B413" s="156" t="s">
        <v>1035</v>
      </c>
      <c r="C413" s="156" t="s">
        <v>1036</v>
      </c>
      <c r="D413" s="8">
        <v>45364</v>
      </c>
      <c r="E413" s="8">
        <v>46459</v>
      </c>
      <c r="F413" s="5" t="s">
        <v>23</v>
      </c>
      <c r="G413" s="4">
        <v>46459</v>
      </c>
      <c r="H413" s="5" t="s">
        <v>46</v>
      </c>
      <c r="I413" s="3" t="s">
        <v>109</v>
      </c>
      <c r="J413" s="3" t="s">
        <v>67</v>
      </c>
      <c r="K413" s="17" t="s">
        <v>110</v>
      </c>
      <c r="L413" s="5" t="s">
        <v>52</v>
      </c>
      <c r="M413" s="3" t="s">
        <v>53</v>
      </c>
      <c r="N413" s="7">
        <v>540000</v>
      </c>
      <c r="O413" s="7">
        <v>1620000</v>
      </c>
      <c r="P413" s="7">
        <v>0</v>
      </c>
      <c r="Q413" s="69" t="s">
        <v>27</v>
      </c>
    </row>
    <row r="414" spans="1:17" ht="33.75" customHeight="1" x14ac:dyDescent="0.25">
      <c r="A414" s="12" t="s">
        <v>768</v>
      </c>
      <c r="B414" s="156" t="s">
        <v>769</v>
      </c>
      <c r="C414" s="144" t="s">
        <v>770</v>
      </c>
      <c r="D414" s="8">
        <v>45231</v>
      </c>
      <c r="E414" s="4">
        <v>45961</v>
      </c>
      <c r="F414" s="5" t="s">
        <v>46</v>
      </c>
      <c r="G414" s="4">
        <v>45961</v>
      </c>
      <c r="H414" s="5" t="s">
        <v>46</v>
      </c>
      <c r="I414" s="5" t="s">
        <v>771</v>
      </c>
      <c r="J414" s="3" t="s">
        <v>24</v>
      </c>
      <c r="K414" s="12">
        <v>11585221</v>
      </c>
      <c r="L414" s="5" t="s">
        <v>44</v>
      </c>
      <c r="M414" s="3" t="s">
        <v>45</v>
      </c>
      <c r="N414" s="7">
        <v>612500</v>
      </c>
      <c r="O414" s="7">
        <v>612500</v>
      </c>
      <c r="P414" s="7">
        <v>0</v>
      </c>
      <c r="Q414" s="69" t="s">
        <v>27</v>
      </c>
    </row>
    <row r="415" spans="1:17" ht="33.75" customHeight="1" x14ac:dyDescent="0.25">
      <c r="A415" s="12" t="s">
        <v>248</v>
      </c>
      <c r="B415" s="144" t="s">
        <v>249</v>
      </c>
      <c r="C415" s="144" t="s">
        <v>250</v>
      </c>
      <c r="D415" s="8">
        <v>45320</v>
      </c>
      <c r="E415" s="8">
        <v>45747</v>
      </c>
      <c r="F415" s="5" t="s">
        <v>20</v>
      </c>
      <c r="G415" s="4">
        <v>46477</v>
      </c>
      <c r="H415" s="5" t="s">
        <v>46</v>
      </c>
      <c r="I415" s="5" t="s">
        <v>251</v>
      </c>
      <c r="J415" s="3" t="s">
        <v>20</v>
      </c>
      <c r="K415" s="12">
        <v>7117314</v>
      </c>
      <c r="L415" s="5" t="s">
        <v>252</v>
      </c>
      <c r="M415" s="3" t="s">
        <v>53</v>
      </c>
      <c r="N415" s="7">
        <v>70623.5</v>
      </c>
      <c r="O415" s="7">
        <v>88279.38</v>
      </c>
      <c r="P415" s="7">
        <v>0</v>
      </c>
      <c r="Q415" s="69" t="s">
        <v>27</v>
      </c>
    </row>
    <row r="416" spans="1:17" ht="33.75" customHeight="1" x14ac:dyDescent="0.25">
      <c r="A416" s="12" t="s">
        <v>253</v>
      </c>
      <c r="B416" s="144" t="s">
        <v>254</v>
      </c>
      <c r="C416" s="144" t="s">
        <v>250</v>
      </c>
      <c r="D416" s="8">
        <v>45320</v>
      </c>
      <c r="E416" s="8">
        <v>45747</v>
      </c>
      <c r="F416" s="5" t="s">
        <v>20</v>
      </c>
      <c r="G416" s="4">
        <v>46477</v>
      </c>
      <c r="H416" s="5" t="s">
        <v>46</v>
      </c>
      <c r="I416" s="5" t="s">
        <v>255</v>
      </c>
      <c r="J416" s="3" t="s">
        <v>20</v>
      </c>
      <c r="K416" s="12">
        <v>3620136</v>
      </c>
      <c r="L416" s="5" t="s">
        <v>252</v>
      </c>
      <c r="M416" s="3" t="s">
        <v>53</v>
      </c>
      <c r="N416" s="7">
        <v>78360</v>
      </c>
      <c r="O416" s="7">
        <v>97950</v>
      </c>
      <c r="P416" s="7">
        <v>0</v>
      </c>
      <c r="Q416" s="69" t="s">
        <v>27</v>
      </c>
    </row>
    <row r="417" spans="1:17" ht="33.75" customHeight="1" x14ac:dyDescent="0.25">
      <c r="A417" s="27" t="s">
        <v>256</v>
      </c>
      <c r="B417" s="157" t="s">
        <v>257</v>
      </c>
      <c r="C417" s="157" t="s">
        <v>250</v>
      </c>
      <c r="D417" s="29">
        <v>45314</v>
      </c>
      <c r="E417" s="29">
        <v>45747</v>
      </c>
      <c r="F417" s="18" t="s">
        <v>20</v>
      </c>
      <c r="G417" s="26">
        <v>46477</v>
      </c>
      <c r="H417" s="18" t="s">
        <v>46</v>
      </c>
      <c r="I417" s="18" t="s">
        <v>258</v>
      </c>
      <c r="J417" s="13" t="s">
        <v>20</v>
      </c>
      <c r="K417" s="27">
        <v>7333911</v>
      </c>
      <c r="L417" s="18" t="s">
        <v>252</v>
      </c>
      <c r="M417" s="3" t="s">
        <v>53</v>
      </c>
      <c r="N417" s="28">
        <v>79000</v>
      </c>
      <c r="O417" s="28">
        <v>98750</v>
      </c>
      <c r="P417" s="28">
        <v>0</v>
      </c>
      <c r="Q417" s="117" t="s">
        <v>27</v>
      </c>
    </row>
    <row r="418" spans="1:17" ht="33.75" customHeight="1" x14ac:dyDescent="0.25">
      <c r="A418" s="12" t="s">
        <v>211</v>
      </c>
      <c r="B418" s="156" t="s">
        <v>212</v>
      </c>
      <c r="C418" s="144" t="s">
        <v>213</v>
      </c>
      <c r="D418" s="8">
        <v>45432</v>
      </c>
      <c r="E418" s="8">
        <v>45747</v>
      </c>
      <c r="F418" s="5" t="s">
        <v>23</v>
      </c>
      <c r="G418" s="4">
        <v>45747</v>
      </c>
      <c r="H418" s="5" t="s">
        <v>46</v>
      </c>
      <c r="I418" s="5" t="s">
        <v>214</v>
      </c>
      <c r="J418" s="3" t="s">
        <v>24</v>
      </c>
      <c r="K418" s="12" t="s">
        <v>215</v>
      </c>
      <c r="L418" s="5" t="s">
        <v>140</v>
      </c>
      <c r="M418" s="3" t="s">
        <v>53</v>
      </c>
      <c r="N418" s="7">
        <v>57800.4</v>
      </c>
      <c r="O418" s="7">
        <v>57800.4</v>
      </c>
      <c r="P418" s="7">
        <v>0</v>
      </c>
      <c r="Q418" s="69" t="s">
        <v>27</v>
      </c>
    </row>
    <row r="419" spans="1:17" ht="33.75" customHeight="1" x14ac:dyDescent="0.25">
      <c r="A419" s="17" t="s">
        <v>873</v>
      </c>
      <c r="B419" s="144" t="s">
        <v>874</v>
      </c>
      <c r="C419" s="144" t="s">
        <v>875</v>
      </c>
      <c r="D419" s="15">
        <v>45334</v>
      </c>
      <c r="E419" s="2">
        <v>46065</v>
      </c>
      <c r="F419" s="3" t="s">
        <v>19</v>
      </c>
      <c r="G419" s="2">
        <v>47161</v>
      </c>
      <c r="H419" s="5" t="s">
        <v>20</v>
      </c>
      <c r="I419" s="3" t="s">
        <v>876</v>
      </c>
      <c r="J419" s="3" t="s">
        <v>23</v>
      </c>
      <c r="K419" s="17" t="s">
        <v>877</v>
      </c>
      <c r="L419" s="3" t="s">
        <v>73</v>
      </c>
      <c r="M419" s="3" t="s">
        <v>74</v>
      </c>
      <c r="N419" s="6">
        <v>16205.8</v>
      </c>
      <c r="O419" s="6">
        <v>81029</v>
      </c>
      <c r="P419" s="7">
        <v>0</v>
      </c>
      <c r="Q419" s="100" t="s">
        <v>27</v>
      </c>
    </row>
    <row r="420" spans="1:17" ht="33.75" customHeight="1" x14ac:dyDescent="0.25">
      <c r="A420" s="27" t="s">
        <v>1146</v>
      </c>
      <c r="B420" s="158" t="s">
        <v>1147</v>
      </c>
      <c r="C420" s="158" t="s">
        <v>1148</v>
      </c>
      <c r="D420" s="29">
        <v>45323</v>
      </c>
      <c r="E420" s="29">
        <v>48975</v>
      </c>
      <c r="F420" s="18" t="s">
        <v>23</v>
      </c>
      <c r="G420" s="26">
        <v>48975</v>
      </c>
      <c r="H420" s="18" t="s">
        <v>46</v>
      </c>
      <c r="I420" s="18" t="s">
        <v>77</v>
      </c>
      <c r="J420" s="13" t="s">
        <v>67</v>
      </c>
      <c r="K420" s="27" t="s">
        <v>78</v>
      </c>
      <c r="L420" s="18" t="s">
        <v>83</v>
      </c>
      <c r="M420" s="5" t="s">
        <v>83</v>
      </c>
      <c r="N420" s="28">
        <v>3000000</v>
      </c>
      <c r="O420" s="28">
        <v>30000000</v>
      </c>
      <c r="P420" s="28">
        <v>0</v>
      </c>
      <c r="Q420" s="117" t="s">
        <v>27</v>
      </c>
    </row>
    <row r="421" spans="1:17" ht="33.75" customHeight="1" x14ac:dyDescent="0.25">
      <c r="A421" s="27" t="s">
        <v>1029</v>
      </c>
      <c r="B421" s="158" t="s">
        <v>1030</v>
      </c>
      <c r="C421" s="157" t="s">
        <v>1031</v>
      </c>
      <c r="D421" s="29">
        <v>45352</v>
      </c>
      <c r="E421" s="29">
        <v>46446</v>
      </c>
      <c r="F421" s="18" t="s">
        <v>19</v>
      </c>
      <c r="G421" s="26">
        <v>46811</v>
      </c>
      <c r="H421" s="18" t="s">
        <v>20</v>
      </c>
      <c r="I421" s="18" t="s">
        <v>1032</v>
      </c>
      <c r="J421" s="3" t="s">
        <v>67</v>
      </c>
      <c r="K421" s="27" t="s">
        <v>1033</v>
      </c>
      <c r="L421" s="79" t="s">
        <v>89</v>
      </c>
      <c r="M421" s="10" t="s">
        <v>40</v>
      </c>
      <c r="N421" s="28">
        <v>31602</v>
      </c>
      <c r="O421" s="28">
        <v>94805</v>
      </c>
      <c r="P421" s="28">
        <v>0</v>
      </c>
      <c r="Q421" s="117" t="s">
        <v>27</v>
      </c>
    </row>
    <row r="422" spans="1:17" ht="33.75" customHeight="1" x14ac:dyDescent="0.25">
      <c r="A422" s="27" t="s">
        <v>987</v>
      </c>
      <c r="B422" s="158" t="s">
        <v>988</v>
      </c>
      <c r="C422" s="157" t="s">
        <v>989</v>
      </c>
      <c r="D422" s="26">
        <v>45586</v>
      </c>
      <c r="E422" s="26">
        <v>46265</v>
      </c>
      <c r="F422" s="18" t="s">
        <v>102</v>
      </c>
      <c r="G422" s="26">
        <v>46265</v>
      </c>
      <c r="H422" s="18" t="s">
        <v>46</v>
      </c>
      <c r="I422" s="18" t="s">
        <v>990</v>
      </c>
      <c r="J422" s="31" t="s">
        <v>24</v>
      </c>
      <c r="K422" s="27">
        <v>8653774</v>
      </c>
      <c r="L422" s="18" t="s">
        <v>44</v>
      </c>
      <c r="M422" s="10" t="s">
        <v>45</v>
      </c>
      <c r="N422" s="28">
        <v>194948.97</v>
      </c>
      <c r="O422" s="32">
        <v>389897.95</v>
      </c>
      <c r="P422" s="28">
        <v>0</v>
      </c>
      <c r="Q422" s="117" t="s">
        <v>27</v>
      </c>
    </row>
    <row r="423" spans="1:17" ht="33.75" customHeight="1" x14ac:dyDescent="0.25">
      <c r="A423" s="27" t="s">
        <v>216</v>
      </c>
      <c r="B423" s="158" t="s">
        <v>217</v>
      </c>
      <c r="C423" s="157" t="s">
        <v>218</v>
      </c>
      <c r="D423" s="29">
        <v>45362</v>
      </c>
      <c r="E423" s="29">
        <v>45747</v>
      </c>
      <c r="F423" s="26" t="s">
        <v>21</v>
      </c>
      <c r="G423" s="29">
        <v>45747</v>
      </c>
      <c r="H423" s="18" t="s">
        <v>46</v>
      </c>
      <c r="I423" s="18" t="s">
        <v>219</v>
      </c>
      <c r="J423" s="13" t="s">
        <v>24</v>
      </c>
      <c r="K423" s="27" t="s">
        <v>220</v>
      </c>
      <c r="L423" s="18" t="s">
        <v>200</v>
      </c>
      <c r="M423" s="3" t="s">
        <v>45</v>
      </c>
      <c r="N423" s="28">
        <v>130000</v>
      </c>
      <c r="O423" s="28">
        <v>130000</v>
      </c>
      <c r="P423" s="28">
        <v>0</v>
      </c>
      <c r="Q423" s="117" t="s">
        <v>27</v>
      </c>
    </row>
    <row r="424" spans="1:17" ht="33.75" customHeight="1" x14ac:dyDescent="0.25">
      <c r="A424" s="27" t="s">
        <v>274</v>
      </c>
      <c r="B424" s="158" t="s">
        <v>275</v>
      </c>
      <c r="C424" s="157" t="s">
        <v>276</v>
      </c>
      <c r="D424" s="29">
        <v>45404</v>
      </c>
      <c r="E424" s="29">
        <v>45775</v>
      </c>
      <c r="F424" s="18" t="s">
        <v>21</v>
      </c>
      <c r="G424" s="26">
        <v>45775</v>
      </c>
      <c r="H424" s="18" t="s">
        <v>46</v>
      </c>
      <c r="I424" s="18" t="s">
        <v>77</v>
      </c>
      <c r="J424" s="13" t="s">
        <v>67</v>
      </c>
      <c r="K424" s="27" t="s">
        <v>78</v>
      </c>
      <c r="L424" s="18" t="s">
        <v>33</v>
      </c>
      <c r="M424" s="3" t="s">
        <v>34</v>
      </c>
      <c r="N424" s="28">
        <v>52949</v>
      </c>
      <c r="O424" s="28">
        <v>52949</v>
      </c>
      <c r="P424" s="28">
        <v>0</v>
      </c>
      <c r="Q424" s="117" t="s">
        <v>27</v>
      </c>
    </row>
    <row r="425" spans="1:17" ht="33.75" customHeight="1" x14ac:dyDescent="0.25">
      <c r="A425" s="27" t="s">
        <v>1068</v>
      </c>
      <c r="B425" s="158" t="s">
        <v>1069</v>
      </c>
      <c r="C425" s="158" t="s">
        <v>1070</v>
      </c>
      <c r="D425" s="29">
        <v>45444</v>
      </c>
      <c r="E425" s="29">
        <v>46538</v>
      </c>
      <c r="F425" s="18" t="s">
        <v>23</v>
      </c>
      <c r="G425" s="26">
        <v>46538</v>
      </c>
      <c r="H425" s="18" t="s">
        <v>46</v>
      </c>
      <c r="I425" s="5" t="s">
        <v>1071</v>
      </c>
      <c r="J425" s="13" t="s">
        <v>23</v>
      </c>
      <c r="K425" s="27" t="s">
        <v>1072</v>
      </c>
      <c r="L425" s="5" t="s">
        <v>52</v>
      </c>
      <c r="M425" s="3" t="s">
        <v>53</v>
      </c>
      <c r="N425" s="28">
        <v>166666.66</v>
      </c>
      <c r="O425" s="28">
        <v>500000</v>
      </c>
      <c r="P425" s="7">
        <v>0</v>
      </c>
      <c r="Q425" s="117" t="s">
        <v>27</v>
      </c>
    </row>
    <row r="426" spans="1:17" ht="33.75" customHeight="1" x14ac:dyDescent="0.25">
      <c r="A426" s="27" t="s">
        <v>268</v>
      </c>
      <c r="B426" s="158" t="s">
        <v>269</v>
      </c>
      <c r="C426" s="157" t="s">
        <v>270</v>
      </c>
      <c r="D426" s="29">
        <v>45369</v>
      </c>
      <c r="E426" s="29">
        <v>45765</v>
      </c>
      <c r="F426" s="18" t="s">
        <v>21</v>
      </c>
      <c r="G426" s="26">
        <v>45765</v>
      </c>
      <c r="H426" s="18" t="s">
        <v>46</v>
      </c>
      <c r="I426" s="18" t="s">
        <v>271</v>
      </c>
      <c r="J426" s="13" t="s">
        <v>67</v>
      </c>
      <c r="K426" s="27" t="s">
        <v>272</v>
      </c>
      <c r="L426" s="18" t="s">
        <v>69</v>
      </c>
      <c r="M426" s="3" t="s">
        <v>34</v>
      </c>
      <c r="N426" s="28">
        <v>138837.72</v>
      </c>
      <c r="O426" s="28">
        <v>138837.72</v>
      </c>
      <c r="P426" s="28">
        <v>0</v>
      </c>
      <c r="Q426" s="117" t="s">
        <v>27</v>
      </c>
    </row>
    <row r="427" spans="1:17" ht="33.75" customHeight="1" x14ac:dyDescent="0.25">
      <c r="A427" s="27" t="s">
        <v>221</v>
      </c>
      <c r="B427" s="158" t="s">
        <v>222</v>
      </c>
      <c r="C427" s="157" t="s">
        <v>223</v>
      </c>
      <c r="D427" s="29">
        <v>45436</v>
      </c>
      <c r="E427" s="29">
        <v>45747</v>
      </c>
      <c r="F427" s="18" t="s">
        <v>23</v>
      </c>
      <c r="G427" s="26">
        <v>45747</v>
      </c>
      <c r="H427" s="18" t="s">
        <v>46</v>
      </c>
      <c r="I427" s="13" t="s">
        <v>224</v>
      </c>
      <c r="J427" s="13" t="s">
        <v>225</v>
      </c>
      <c r="K427" s="104" t="s">
        <v>226</v>
      </c>
      <c r="L427" s="18" t="s">
        <v>44</v>
      </c>
      <c r="M427" s="3" t="s">
        <v>45</v>
      </c>
      <c r="N427" s="28">
        <v>932225.28</v>
      </c>
      <c r="O427" s="28">
        <v>932225.28</v>
      </c>
      <c r="P427" s="28">
        <v>0</v>
      </c>
      <c r="Q427" s="117" t="s">
        <v>27</v>
      </c>
    </row>
    <row r="428" spans="1:17" ht="33.75" customHeight="1" x14ac:dyDescent="0.25">
      <c r="A428" s="27" t="s">
        <v>945</v>
      </c>
      <c r="B428" s="158" t="s">
        <v>946</v>
      </c>
      <c r="C428" s="157" t="s">
        <v>947</v>
      </c>
      <c r="D428" s="29">
        <v>45413</v>
      </c>
      <c r="E428" s="29">
        <v>46142</v>
      </c>
      <c r="F428" s="18" t="s">
        <v>30</v>
      </c>
      <c r="G428" s="26">
        <v>49795</v>
      </c>
      <c r="H428" s="18" t="s">
        <v>46</v>
      </c>
      <c r="I428" s="18" t="s">
        <v>948</v>
      </c>
      <c r="J428" s="13" t="s">
        <v>24</v>
      </c>
      <c r="K428" s="27" t="s">
        <v>949</v>
      </c>
      <c r="L428" s="18" t="s">
        <v>52</v>
      </c>
      <c r="M428" s="3" t="s">
        <v>53</v>
      </c>
      <c r="N428" s="28">
        <v>281450</v>
      </c>
      <c r="O428" s="28">
        <v>281450</v>
      </c>
      <c r="P428" s="28">
        <v>0</v>
      </c>
      <c r="Q428" s="117" t="s">
        <v>27</v>
      </c>
    </row>
    <row r="429" spans="1:17" ht="33.75" customHeight="1" x14ac:dyDescent="0.25">
      <c r="A429" s="27" t="s">
        <v>487</v>
      </c>
      <c r="B429" s="158" t="s">
        <v>488</v>
      </c>
      <c r="C429" s="157"/>
      <c r="D429" s="29">
        <v>45413</v>
      </c>
      <c r="E429" s="29">
        <v>45869</v>
      </c>
      <c r="F429" s="18" t="s">
        <v>21</v>
      </c>
      <c r="G429" s="29">
        <v>45869</v>
      </c>
      <c r="H429" s="18" t="s">
        <v>46</v>
      </c>
      <c r="I429" s="18" t="s">
        <v>233</v>
      </c>
      <c r="J429" s="13" t="s">
        <v>67</v>
      </c>
      <c r="K429" s="104" t="s">
        <v>489</v>
      </c>
      <c r="L429" s="18" t="s">
        <v>44</v>
      </c>
      <c r="M429" s="3" t="s">
        <v>45</v>
      </c>
      <c r="N429" s="28">
        <v>300000</v>
      </c>
      <c r="O429" s="28">
        <v>300000</v>
      </c>
      <c r="P429" s="28">
        <v>0</v>
      </c>
      <c r="Q429" s="117" t="s">
        <v>27</v>
      </c>
    </row>
    <row r="430" spans="1:17" ht="33.75" customHeight="1" x14ac:dyDescent="0.25">
      <c r="A430" s="27" t="s">
        <v>896</v>
      </c>
      <c r="B430" s="158" t="s">
        <v>897</v>
      </c>
      <c r="C430" s="157" t="s">
        <v>898</v>
      </c>
      <c r="D430" s="29">
        <v>45462</v>
      </c>
      <c r="E430" s="29">
        <v>46112</v>
      </c>
      <c r="F430" s="18" t="s">
        <v>21</v>
      </c>
      <c r="G430" s="29">
        <v>46112</v>
      </c>
      <c r="H430" s="18" t="s">
        <v>46</v>
      </c>
      <c r="I430" s="18" t="s">
        <v>899</v>
      </c>
      <c r="J430" s="13" t="s">
        <v>24</v>
      </c>
      <c r="K430" s="27">
        <v>5687891</v>
      </c>
      <c r="L430" s="18" t="s">
        <v>44</v>
      </c>
      <c r="M430" s="3" t="s">
        <v>45</v>
      </c>
      <c r="N430" s="28">
        <v>113448</v>
      </c>
      <c r="O430" s="30">
        <v>198534</v>
      </c>
      <c r="P430" s="28">
        <v>0</v>
      </c>
      <c r="Q430" s="117" t="s">
        <v>27</v>
      </c>
    </row>
    <row r="431" spans="1:17" ht="33.75" customHeight="1" x14ac:dyDescent="0.25">
      <c r="A431" s="27" t="s">
        <v>935</v>
      </c>
      <c r="B431" s="158" t="s">
        <v>150</v>
      </c>
      <c r="C431" s="157" t="s">
        <v>936</v>
      </c>
      <c r="D431" s="29">
        <v>45018</v>
      </c>
      <c r="E431" s="29">
        <v>46116</v>
      </c>
      <c r="F431" s="5"/>
      <c r="G431" s="26"/>
      <c r="H431" s="18"/>
      <c r="I431" s="18" t="s">
        <v>615</v>
      </c>
      <c r="J431" s="13"/>
      <c r="K431" s="27">
        <v>12850883</v>
      </c>
      <c r="L431" s="18" t="s">
        <v>153</v>
      </c>
      <c r="M431" s="3" t="s">
        <v>74</v>
      </c>
      <c r="N431" s="28">
        <v>45209</v>
      </c>
      <c r="O431" s="28"/>
      <c r="P431" s="7">
        <v>0</v>
      </c>
      <c r="Q431" s="117" t="s">
        <v>27</v>
      </c>
    </row>
    <row r="432" spans="1:17" ht="33.75" customHeight="1" x14ac:dyDescent="0.25">
      <c r="A432" s="27" t="s">
        <v>937</v>
      </c>
      <c r="B432" s="158" t="s">
        <v>150</v>
      </c>
      <c r="C432" s="157" t="s">
        <v>938</v>
      </c>
      <c r="D432" s="29">
        <v>45018</v>
      </c>
      <c r="E432" s="29">
        <v>46116</v>
      </c>
      <c r="F432" s="18"/>
      <c r="G432" s="26"/>
      <c r="H432" s="18"/>
      <c r="I432" s="18" t="s">
        <v>626</v>
      </c>
      <c r="J432" s="3"/>
      <c r="K432" s="27">
        <v>2197747</v>
      </c>
      <c r="L432" s="5" t="s">
        <v>153</v>
      </c>
      <c r="M432" s="3" t="s">
        <v>74</v>
      </c>
      <c r="N432" s="7">
        <v>107186</v>
      </c>
      <c r="O432" s="7"/>
      <c r="P432" s="7">
        <v>0</v>
      </c>
      <c r="Q432" s="69" t="s">
        <v>27</v>
      </c>
    </row>
    <row r="433" spans="1:17" ht="33.75" customHeight="1" x14ac:dyDescent="0.25">
      <c r="A433" s="27" t="s">
        <v>371</v>
      </c>
      <c r="B433" s="158" t="s">
        <v>372</v>
      </c>
      <c r="C433" s="158" t="s">
        <v>373</v>
      </c>
      <c r="D433" s="29">
        <v>45327</v>
      </c>
      <c r="E433" s="29">
        <v>45838</v>
      </c>
      <c r="F433" s="18" t="s">
        <v>23</v>
      </c>
      <c r="G433" s="29">
        <v>45838</v>
      </c>
      <c r="H433" s="18" t="s">
        <v>46</v>
      </c>
      <c r="I433" s="18" t="s">
        <v>374</v>
      </c>
      <c r="J433" s="13" t="s">
        <v>24</v>
      </c>
      <c r="K433" s="27" t="s">
        <v>375</v>
      </c>
      <c r="L433" s="18" t="s">
        <v>348</v>
      </c>
      <c r="M433" s="3" t="s">
        <v>132</v>
      </c>
      <c r="N433" s="28">
        <v>155450</v>
      </c>
      <c r="O433" s="28">
        <v>155450</v>
      </c>
      <c r="P433" s="28">
        <v>0</v>
      </c>
      <c r="Q433" s="117" t="s">
        <v>27</v>
      </c>
    </row>
    <row r="434" spans="1:17" ht="33.75" customHeight="1" x14ac:dyDescent="0.25">
      <c r="A434" s="27" t="s">
        <v>1099</v>
      </c>
      <c r="B434" s="158" t="s">
        <v>695</v>
      </c>
      <c r="C434" s="157" t="s">
        <v>1100</v>
      </c>
      <c r="D434" s="29">
        <v>45537</v>
      </c>
      <c r="E434" s="29">
        <v>46631</v>
      </c>
      <c r="F434" s="18" t="s">
        <v>20</v>
      </c>
      <c r="G434" s="26">
        <v>47362</v>
      </c>
      <c r="H434" s="18" t="s">
        <v>273</v>
      </c>
      <c r="I434" s="18" t="s">
        <v>298</v>
      </c>
      <c r="J434" s="13" t="s">
        <v>67</v>
      </c>
      <c r="K434" s="27">
        <v>14277898</v>
      </c>
      <c r="L434" s="18" t="s">
        <v>153</v>
      </c>
      <c r="M434" s="3" t="s">
        <v>74</v>
      </c>
      <c r="N434" s="28">
        <v>836605</v>
      </c>
      <c r="O434" s="28">
        <v>2509815</v>
      </c>
      <c r="P434" s="28">
        <v>0</v>
      </c>
      <c r="Q434" s="117" t="s">
        <v>27</v>
      </c>
    </row>
    <row r="435" spans="1:17" ht="33.75" customHeight="1" x14ac:dyDescent="0.25">
      <c r="A435" s="27" t="s">
        <v>1101</v>
      </c>
      <c r="B435" s="158" t="s">
        <v>508</v>
      </c>
      <c r="C435" s="144" t="s">
        <v>1102</v>
      </c>
      <c r="D435" s="8">
        <v>45537</v>
      </c>
      <c r="E435" s="8">
        <v>46631</v>
      </c>
      <c r="F435" s="5" t="s">
        <v>19</v>
      </c>
      <c r="G435" s="8">
        <v>47362</v>
      </c>
      <c r="H435" s="5" t="s">
        <v>20</v>
      </c>
      <c r="I435" s="18" t="s">
        <v>298</v>
      </c>
      <c r="J435" s="3" t="s">
        <v>23</v>
      </c>
      <c r="K435" s="12">
        <v>2605399</v>
      </c>
      <c r="L435" s="5" t="s">
        <v>153</v>
      </c>
      <c r="M435" s="3" t="s">
        <v>74</v>
      </c>
      <c r="N435" s="7">
        <v>836606.74</v>
      </c>
      <c r="O435" s="7">
        <v>2509820.2199999997</v>
      </c>
      <c r="P435" s="7">
        <v>0</v>
      </c>
      <c r="Q435" s="69" t="s">
        <v>27</v>
      </c>
    </row>
    <row r="436" spans="1:17" ht="33.75" customHeight="1" x14ac:dyDescent="0.25">
      <c r="A436" s="27" t="s">
        <v>1103</v>
      </c>
      <c r="B436" s="158" t="s">
        <v>508</v>
      </c>
      <c r="C436" s="144" t="s">
        <v>1102</v>
      </c>
      <c r="D436" s="8">
        <v>45537</v>
      </c>
      <c r="E436" s="8">
        <v>46631</v>
      </c>
      <c r="F436" s="5" t="s">
        <v>19</v>
      </c>
      <c r="G436" s="8">
        <v>47362</v>
      </c>
      <c r="H436" s="5" t="s">
        <v>20</v>
      </c>
      <c r="I436" s="18" t="s">
        <v>581</v>
      </c>
      <c r="J436" s="3" t="s">
        <v>24</v>
      </c>
      <c r="K436" s="12">
        <v>14277899</v>
      </c>
      <c r="L436" s="5" t="s">
        <v>153</v>
      </c>
      <c r="M436" s="3" t="s">
        <v>74</v>
      </c>
      <c r="N436" s="7">
        <v>63000</v>
      </c>
      <c r="O436" s="7">
        <v>189000</v>
      </c>
      <c r="P436" s="7">
        <v>0</v>
      </c>
      <c r="Q436" s="69" t="s">
        <v>27</v>
      </c>
    </row>
    <row r="437" spans="1:17" ht="33.75" customHeight="1" x14ac:dyDescent="0.25">
      <c r="A437" s="27" t="s">
        <v>1104</v>
      </c>
      <c r="B437" s="158" t="s">
        <v>695</v>
      </c>
      <c r="C437" s="157" t="s">
        <v>1100</v>
      </c>
      <c r="D437" s="29">
        <v>45537</v>
      </c>
      <c r="E437" s="29">
        <v>46631</v>
      </c>
      <c r="F437" s="18" t="s">
        <v>20</v>
      </c>
      <c r="G437" s="26">
        <v>47362</v>
      </c>
      <c r="H437" s="18" t="s">
        <v>273</v>
      </c>
      <c r="I437" s="18" t="s">
        <v>1105</v>
      </c>
      <c r="J437" s="3" t="s">
        <v>24</v>
      </c>
      <c r="K437" s="12">
        <v>2605399</v>
      </c>
      <c r="L437" s="18" t="s">
        <v>153</v>
      </c>
      <c r="M437" s="3" t="s">
        <v>74</v>
      </c>
      <c r="N437" s="28">
        <v>63000</v>
      </c>
      <c r="O437" s="28">
        <v>189000</v>
      </c>
      <c r="P437" s="7">
        <v>0</v>
      </c>
      <c r="Q437" s="117" t="s">
        <v>27</v>
      </c>
    </row>
    <row r="438" spans="1:17" ht="33.75" customHeight="1" x14ac:dyDescent="0.25">
      <c r="A438" s="27" t="s">
        <v>967</v>
      </c>
      <c r="B438" s="158" t="s">
        <v>968</v>
      </c>
      <c r="C438" s="157" t="s">
        <v>969</v>
      </c>
      <c r="D438" s="29">
        <v>45460</v>
      </c>
      <c r="E438" s="29">
        <v>46189</v>
      </c>
      <c r="F438" s="13" t="s">
        <v>19</v>
      </c>
      <c r="G438" s="29">
        <v>46554</v>
      </c>
      <c r="H438" s="18" t="s">
        <v>20</v>
      </c>
      <c r="I438" s="18" t="s">
        <v>970</v>
      </c>
      <c r="J438" s="13" t="s">
        <v>67</v>
      </c>
      <c r="K438" s="27" t="s">
        <v>971</v>
      </c>
      <c r="L438" s="18" t="s">
        <v>295</v>
      </c>
      <c r="M438" s="13" t="s">
        <v>74</v>
      </c>
      <c r="N438" s="28">
        <v>0</v>
      </c>
      <c r="O438" s="28">
        <v>0</v>
      </c>
      <c r="P438" s="28">
        <v>0</v>
      </c>
      <c r="Q438" s="117" t="s">
        <v>27</v>
      </c>
    </row>
    <row r="439" spans="1:17" ht="33.75" customHeight="1" x14ac:dyDescent="0.25">
      <c r="A439" s="12" t="s">
        <v>1088</v>
      </c>
      <c r="B439" s="156" t="s">
        <v>1089</v>
      </c>
      <c r="C439" s="144" t="s">
        <v>1090</v>
      </c>
      <c r="D439" s="8">
        <v>45476</v>
      </c>
      <c r="E439" s="8">
        <v>46570</v>
      </c>
      <c r="F439" s="5" t="s">
        <v>20</v>
      </c>
      <c r="G439" s="4">
        <v>48031</v>
      </c>
      <c r="H439" s="5" t="s">
        <v>20</v>
      </c>
      <c r="I439" s="5" t="s">
        <v>359</v>
      </c>
      <c r="J439" s="3" t="s">
        <v>360</v>
      </c>
      <c r="K439" s="12" t="s">
        <v>1091</v>
      </c>
      <c r="L439" s="5" t="s">
        <v>362</v>
      </c>
      <c r="M439" s="3" t="s">
        <v>53</v>
      </c>
      <c r="N439" s="7">
        <v>297764</v>
      </c>
      <c r="O439" s="7">
        <v>2084348</v>
      </c>
      <c r="P439" s="7">
        <v>0</v>
      </c>
      <c r="Q439" s="69" t="s">
        <v>27</v>
      </c>
    </row>
    <row r="440" spans="1:17" ht="33.75" customHeight="1" x14ac:dyDescent="0.25">
      <c r="A440" s="12" t="s">
        <v>1128</v>
      </c>
      <c r="B440" s="156" t="s">
        <v>1129</v>
      </c>
      <c r="C440" s="144" t="s">
        <v>1129</v>
      </c>
      <c r="D440" s="8">
        <v>45412</v>
      </c>
      <c r="E440" s="8">
        <v>46753</v>
      </c>
      <c r="F440" s="5" t="s">
        <v>21</v>
      </c>
      <c r="G440" s="4">
        <v>46753</v>
      </c>
      <c r="H440" s="5" t="s">
        <v>46</v>
      </c>
      <c r="I440" s="5" t="s">
        <v>1130</v>
      </c>
      <c r="J440" s="3" t="s">
        <v>67</v>
      </c>
      <c r="K440" s="12" t="s">
        <v>1131</v>
      </c>
      <c r="L440" s="5" t="s">
        <v>83</v>
      </c>
      <c r="M440" s="3" t="s">
        <v>83</v>
      </c>
      <c r="N440" s="7">
        <v>428000</v>
      </c>
      <c r="O440" s="7">
        <v>1500000</v>
      </c>
      <c r="P440" s="7">
        <v>0</v>
      </c>
      <c r="Q440" s="69" t="s">
        <v>27</v>
      </c>
    </row>
    <row r="441" spans="1:17" ht="33.75" customHeight="1" x14ac:dyDescent="0.25">
      <c r="A441" s="5" t="s">
        <v>1114</v>
      </c>
      <c r="B441" s="156" t="s">
        <v>1115</v>
      </c>
      <c r="C441" s="144" t="s">
        <v>1116</v>
      </c>
      <c r="D441" s="4">
        <v>45593</v>
      </c>
      <c r="E441" s="4">
        <v>46687</v>
      </c>
      <c r="F441" s="5" t="s">
        <v>19</v>
      </c>
      <c r="G441" s="4">
        <v>47418</v>
      </c>
      <c r="H441" s="5"/>
      <c r="I441" s="5" t="s">
        <v>251</v>
      </c>
      <c r="J441" s="10" t="s">
        <v>67</v>
      </c>
      <c r="K441" s="12" t="s">
        <v>1117</v>
      </c>
      <c r="L441" s="5" t="s">
        <v>131</v>
      </c>
      <c r="M441" s="10" t="s">
        <v>40</v>
      </c>
      <c r="N441" s="7">
        <v>0</v>
      </c>
      <c r="O441" s="7">
        <v>0</v>
      </c>
      <c r="P441" s="7">
        <v>0</v>
      </c>
      <c r="Q441" s="69" t="s">
        <v>27</v>
      </c>
    </row>
    <row r="442" spans="1:17" ht="33.75" customHeight="1" x14ac:dyDescent="0.25">
      <c r="A442" s="5" t="s">
        <v>1118</v>
      </c>
      <c r="B442" s="156" t="s">
        <v>1115</v>
      </c>
      <c r="C442" s="144" t="s">
        <v>1116</v>
      </c>
      <c r="D442" s="4">
        <v>45593</v>
      </c>
      <c r="E442" s="4">
        <v>46687</v>
      </c>
      <c r="F442" s="5" t="s">
        <v>19</v>
      </c>
      <c r="G442" s="4">
        <v>47418</v>
      </c>
      <c r="H442" s="5"/>
      <c r="I442" s="5" t="s">
        <v>1119</v>
      </c>
      <c r="J442" s="10" t="s">
        <v>67</v>
      </c>
      <c r="K442" s="12" t="s">
        <v>78</v>
      </c>
      <c r="L442" s="5" t="s">
        <v>131</v>
      </c>
      <c r="M442" s="10" t="s">
        <v>40</v>
      </c>
      <c r="N442" s="7">
        <v>0</v>
      </c>
      <c r="O442" s="7">
        <v>0</v>
      </c>
      <c r="P442" s="7">
        <v>0</v>
      </c>
      <c r="Q442" s="69" t="s">
        <v>27</v>
      </c>
    </row>
    <row r="443" spans="1:17" ht="33.75" customHeight="1" x14ac:dyDescent="0.25">
      <c r="A443" s="5" t="s">
        <v>1120</v>
      </c>
      <c r="B443" s="156" t="s">
        <v>1115</v>
      </c>
      <c r="C443" s="144" t="s">
        <v>1116</v>
      </c>
      <c r="D443" s="4">
        <v>45593</v>
      </c>
      <c r="E443" s="4">
        <v>46687</v>
      </c>
      <c r="F443" s="5" t="s">
        <v>19</v>
      </c>
      <c r="G443" s="4">
        <v>47418</v>
      </c>
      <c r="H443" s="5"/>
      <c r="I443" s="5" t="s">
        <v>1046</v>
      </c>
      <c r="J443" s="10" t="s">
        <v>67</v>
      </c>
      <c r="K443" s="12" t="s">
        <v>1121</v>
      </c>
      <c r="L443" s="5" t="s">
        <v>131</v>
      </c>
      <c r="M443" s="10" t="s">
        <v>40</v>
      </c>
      <c r="N443" s="7">
        <v>0</v>
      </c>
      <c r="O443" s="7">
        <v>0</v>
      </c>
      <c r="P443" s="7">
        <v>0</v>
      </c>
      <c r="Q443" s="69" t="s">
        <v>27</v>
      </c>
    </row>
    <row r="444" spans="1:17" ht="33.75" customHeight="1" x14ac:dyDescent="0.25">
      <c r="A444" s="18" t="s">
        <v>1122</v>
      </c>
      <c r="B444" s="158" t="s">
        <v>1115</v>
      </c>
      <c r="C444" s="157" t="s">
        <v>1116</v>
      </c>
      <c r="D444" s="26">
        <v>45593</v>
      </c>
      <c r="E444" s="26">
        <v>46687</v>
      </c>
      <c r="F444" s="18" t="s">
        <v>19</v>
      </c>
      <c r="G444" s="26">
        <v>47418</v>
      </c>
      <c r="H444" s="18"/>
      <c r="I444" s="18" t="s">
        <v>871</v>
      </c>
      <c r="J444" s="10" t="s">
        <v>67</v>
      </c>
      <c r="K444" s="27" t="s">
        <v>872</v>
      </c>
      <c r="L444" s="18" t="s">
        <v>131</v>
      </c>
      <c r="M444" s="31" t="s">
        <v>40</v>
      </c>
      <c r="N444" s="28">
        <v>0</v>
      </c>
      <c r="O444" s="28">
        <v>0</v>
      </c>
      <c r="P444" s="28">
        <v>0</v>
      </c>
      <c r="Q444" s="117" t="s">
        <v>27</v>
      </c>
    </row>
    <row r="445" spans="1:17" ht="33.75" customHeight="1" x14ac:dyDescent="0.25">
      <c r="A445" s="18" t="s">
        <v>868</v>
      </c>
      <c r="B445" s="156" t="s">
        <v>869</v>
      </c>
      <c r="C445" s="157" t="s">
        <v>870</v>
      </c>
      <c r="D445" s="26">
        <v>45609</v>
      </c>
      <c r="E445" s="26">
        <v>46054</v>
      </c>
      <c r="F445" s="18" t="s">
        <v>102</v>
      </c>
      <c r="G445" s="26">
        <v>46054</v>
      </c>
      <c r="H445" s="18" t="s">
        <v>46</v>
      </c>
      <c r="I445" s="18" t="s">
        <v>871</v>
      </c>
      <c r="J445" s="31" t="s">
        <v>67</v>
      </c>
      <c r="K445" s="27" t="s">
        <v>872</v>
      </c>
      <c r="L445" s="18" t="s">
        <v>131</v>
      </c>
      <c r="M445" s="31" t="s">
        <v>40</v>
      </c>
      <c r="N445" s="28">
        <v>9953</v>
      </c>
      <c r="O445" s="28">
        <v>19906</v>
      </c>
      <c r="P445" s="7">
        <v>0</v>
      </c>
      <c r="Q445" s="117" t="s">
        <v>98</v>
      </c>
    </row>
    <row r="446" spans="1:17" ht="33.75" customHeight="1" x14ac:dyDescent="0.25">
      <c r="A446" s="18" t="s">
        <v>1123</v>
      </c>
      <c r="B446" s="156" t="s">
        <v>1115</v>
      </c>
      <c r="C446" s="157" t="s">
        <v>1116</v>
      </c>
      <c r="D446" s="26">
        <v>45593</v>
      </c>
      <c r="E446" s="26">
        <v>46687</v>
      </c>
      <c r="F446" s="18" t="s">
        <v>19</v>
      </c>
      <c r="G446" s="26">
        <v>47418</v>
      </c>
      <c r="H446" s="18"/>
      <c r="I446" s="18" t="s">
        <v>50</v>
      </c>
      <c r="J446" s="31" t="s">
        <v>67</v>
      </c>
      <c r="K446" s="27" t="s">
        <v>51</v>
      </c>
      <c r="L446" s="5" t="s">
        <v>131</v>
      </c>
      <c r="M446" s="10" t="s">
        <v>40</v>
      </c>
      <c r="N446" s="28">
        <v>0</v>
      </c>
      <c r="O446" s="28">
        <v>0</v>
      </c>
      <c r="P446" s="28">
        <v>0</v>
      </c>
      <c r="Q446" s="117" t="s">
        <v>27</v>
      </c>
    </row>
    <row r="447" spans="1:17" ht="33.75" customHeight="1" x14ac:dyDescent="0.25">
      <c r="A447" s="27" t="s">
        <v>991</v>
      </c>
      <c r="B447" s="158" t="s">
        <v>150</v>
      </c>
      <c r="C447" s="157" t="s">
        <v>992</v>
      </c>
      <c r="D447" s="29">
        <v>45172</v>
      </c>
      <c r="E447" s="29">
        <v>46270</v>
      </c>
      <c r="F447" s="18"/>
      <c r="G447" s="26"/>
      <c r="H447" s="18"/>
      <c r="I447" s="18" t="s">
        <v>152</v>
      </c>
      <c r="J447" s="13"/>
      <c r="K447" s="27"/>
      <c r="L447" s="18" t="s">
        <v>153</v>
      </c>
      <c r="M447" s="13" t="s">
        <v>74</v>
      </c>
      <c r="N447" s="28">
        <v>104100</v>
      </c>
      <c r="O447" s="28"/>
      <c r="P447" s="28">
        <v>0</v>
      </c>
      <c r="Q447" s="117" t="s">
        <v>27</v>
      </c>
    </row>
    <row r="448" spans="1:17" ht="33.75" customHeight="1" x14ac:dyDescent="0.25">
      <c r="A448" s="12" t="s">
        <v>993</v>
      </c>
      <c r="B448" s="158" t="s">
        <v>150</v>
      </c>
      <c r="C448" s="144" t="s">
        <v>992</v>
      </c>
      <c r="D448" s="29">
        <v>45172</v>
      </c>
      <c r="E448" s="29">
        <v>46270</v>
      </c>
      <c r="F448" s="18"/>
      <c r="G448" s="26"/>
      <c r="H448" s="18"/>
      <c r="I448" s="5" t="s">
        <v>152</v>
      </c>
      <c r="J448" s="3"/>
      <c r="K448" s="12"/>
      <c r="L448" s="5" t="s">
        <v>153</v>
      </c>
      <c r="M448" s="3" t="s">
        <v>74</v>
      </c>
      <c r="N448" s="7">
        <v>28410</v>
      </c>
      <c r="O448" s="7"/>
      <c r="P448" s="7">
        <v>0</v>
      </c>
      <c r="Q448" s="117" t="s">
        <v>27</v>
      </c>
    </row>
    <row r="449" spans="1:17" ht="33.75" customHeight="1" x14ac:dyDescent="0.25">
      <c r="A449" s="27" t="s">
        <v>994</v>
      </c>
      <c r="B449" s="158" t="s">
        <v>150</v>
      </c>
      <c r="C449" s="157" t="s">
        <v>992</v>
      </c>
      <c r="D449" s="29">
        <v>45172</v>
      </c>
      <c r="E449" s="29">
        <v>46270</v>
      </c>
      <c r="F449" s="18"/>
      <c r="G449" s="26"/>
      <c r="H449" s="18"/>
      <c r="I449" s="18" t="s">
        <v>152</v>
      </c>
      <c r="J449" s="13"/>
      <c r="K449" s="27"/>
      <c r="L449" s="18" t="s">
        <v>153</v>
      </c>
      <c r="M449" s="13" t="s">
        <v>74</v>
      </c>
      <c r="N449" s="28">
        <v>12010</v>
      </c>
      <c r="O449" s="28"/>
      <c r="P449" s="28">
        <v>0</v>
      </c>
      <c r="Q449" s="117" t="s">
        <v>27</v>
      </c>
    </row>
    <row r="450" spans="1:17" ht="33.75" customHeight="1" x14ac:dyDescent="0.25">
      <c r="A450" s="27" t="s">
        <v>995</v>
      </c>
      <c r="B450" s="158" t="s">
        <v>150</v>
      </c>
      <c r="C450" s="157" t="s">
        <v>992</v>
      </c>
      <c r="D450" s="29">
        <v>45172</v>
      </c>
      <c r="E450" s="29">
        <v>46270</v>
      </c>
      <c r="F450" s="18"/>
      <c r="G450" s="26"/>
      <c r="H450" s="18"/>
      <c r="I450" s="18" t="s">
        <v>152</v>
      </c>
      <c r="J450" s="13"/>
      <c r="K450" s="27"/>
      <c r="L450" s="18" t="s">
        <v>153</v>
      </c>
      <c r="M450" s="13" t="s">
        <v>74</v>
      </c>
      <c r="N450" s="28">
        <v>5520</v>
      </c>
      <c r="O450" s="28"/>
      <c r="P450" s="28">
        <v>0</v>
      </c>
      <c r="Q450" s="117" t="s">
        <v>27</v>
      </c>
    </row>
    <row r="451" spans="1:17" ht="33.75" customHeight="1" x14ac:dyDescent="0.25">
      <c r="A451" s="27" t="s">
        <v>996</v>
      </c>
      <c r="B451" s="158" t="s">
        <v>150</v>
      </c>
      <c r="C451" s="157" t="s">
        <v>992</v>
      </c>
      <c r="D451" s="29">
        <v>45172</v>
      </c>
      <c r="E451" s="29">
        <v>46270</v>
      </c>
      <c r="F451" s="18"/>
      <c r="G451" s="26"/>
      <c r="H451" s="18"/>
      <c r="I451" s="18" t="s">
        <v>152</v>
      </c>
      <c r="J451" s="13"/>
      <c r="K451" s="27"/>
      <c r="L451" s="18" t="s">
        <v>153</v>
      </c>
      <c r="M451" s="13" t="s">
        <v>74</v>
      </c>
      <c r="N451" s="28">
        <v>10437</v>
      </c>
      <c r="O451" s="28"/>
      <c r="P451" s="28">
        <v>0</v>
      </c>
      <c r="Q451" s="117" t="s">
        <v>27</v>
      </c>
    </row>
    <row r="452" spans="1:17" ht="33.75" customHeight="1" x14ac:dyDescent="0.25">
      <c r="A452" s="12" t="s">
        <v>997</v>
      </c>
      <c r="B452" s="156" t="s">
        <v>150</v>
      </c>
      <c r="C452" s="144" t="s">
        <v>992</v>
      </c>
      <c r="D452" s="8">
        <v>45172</v>
      </c>
      <c r="E452" s="8">
        <v>46270</v>
      </c>
      <c r="F452" s="5"/>
      <c r="G452" s="4"/>
      <c r="H452" s="5"/>
      <c r="I452" s="5" t="s">
        <v>152</v>
      </c>
      <c r="J452" s="3"/>
      <c r="K452" s="12"/>
      <c r="L452" s="5" t="s">
        <v>153</v>
      </c>
      <c r="M452" s="3" t="s">
        <v>74</v>
      </c>
      <c r="N452" s="7">
        <v>6574</v>
      </c>
      <c r="O452" s="7"/>
      <c r="P452" s="7">
        <v>0</v>
      </c>
      <c r="Q452" s="69" t="s">
        <v>27</v>
      </c>
    </row>
    <row r="453" spans="1:17" ht="33.75" customHeight="1" x14ac:dyDescent="0.25">
      <c r="A453" s="12" t="s">
        <v>296</v>
      </c>
      <c r="B453" s="156" t="s">
        <v>150</v>
      </c>
      <c r="C453" s="144" t="s">
        <v>998</v>
      </c>
      <c r="D453" s="8">
        <v>45172</v>
      </c>
      <c r="E453" s="8">
        <v>46270</v>
      </c>
      <c r="F453" s="5"/>
      <c r="G453" s="4"/>
      <c r="H453" s="5"/>
      <c r="I453" s="5" t="s">
        <v>298</v>
      </c>
      <c r="J453" s="3"/>
      <c r="K453" s="12">
        <v>2605399</v>
      </c>
      <c r="L453" s="5" t="s">
        <v>153</v>
      </c>
      <c r="M453" s="3" t="s">
        <v>74</v>
      </c>
      <c r="N453" s="7">
        <v>451871</v>
      </c>
      <c r="O453" s="7"/>
      <c r="P453" s="7">
        <v>0</v>
      </c>
      <c r="Q453" s="69" t="s">
        <v>27</v>
      </c>
    </row>
    <row r="454" spans="1:17" ht="33.75" customHeight="1" x14ac:dyDescent="0.25">
      <c r="A454" s="12" t="s">
        <v>313</v>
      </c>
      <c r="B454" s="156" t="s">
        <v>150</v>
      </c>
      <c r="C454" s="144" t="s">
        <v>999</v>
      </c>
      <c r="D454" s="8">
        <v>45172</v>
      </c>
      <c r="E454" s="8">
        <v>46270</v>
      </c>
      <c r="F454" s="5"/>
      <c r="G454" s="4"/>
      <c r="H454" s="5"/>
      <c r="I454" s="5" t="s">
        <v>298</v>
      </c>
      <c r="J454" s="3"/>
      <c r="K454" s="12">
        <v>2605399</v>
      </c>
      <c r="L454" s="5" t="s">
        <v>153</v>
      </c>
      <c r="M454" s="3" t="s">
        <v>74</v>
      </c>
      <c r="N454" s="7">
        <v>486739</v>
      </c>
      <c r="O454" s="7"/>
      <c r="P454" s="7">
        <v>0</v>
      </c>
      <c r="Q454" s="69" t="s">
        <v>27</v>
      </c>
    </row>
    <row r="455" spans="1:17" ht="33.75" customHeight="1" x14ac:dyDescent="0.25">
      <c r="A455" s="12" t="s">
        <v>490</v>
      </c>
      <c r="B455" s="156" t="s">
        <v>491</v>
      </c>
      <c r="C455" s="144" t="s">
        <v>492</v>
      </c>
      <c r="D455" s="8">
        <v>45427</v>
      </c>
      <c r="E455" s="8">
        <v>45869</v>
      </c>
      <c r="F455" s="5" t="s">
        <v>23</v>
      </c>
      <c r="G455" s="8">
        <v>45869</v>
      </c>
      <c r="H455" s="5" t="s">
        <v>46</v>
      </c>
      <c r="I455" s="5" t="s">
        <v>493</v>
      </c>
      <c r="J455" s="3" t="s">
        <v>24</v>
      </c>
      <c r="K455" s="12" t="s">
        <v>494</v>
      </c>
      <c r="L455" s="5" t="s">
        <v>200</v>
      </c>
      <c r="M455" s="3" t="s">
        <v>45</v>
      </c>
      <c r="N455" s="7">
        <v>114752.64</v>
      </c>
      <c r="O455" s="7">
        <v>114752.64</v>
      </c>
      <c r="P455" s="7">
        <v>0</v>
      </c>
      <c r="Q455" s="69" t="s">
        <v>27</v>
      </c>
    </row>
    <row r="456" spans="1:17" ht="33.75" customHeight="1" x14ac:dyDescent="0.25">
      <c r="A456" s="12" t="s">
        <v>349</v>
      </c>
      <c r="B456" s="144" t="s">
        <v>350</v>
      </c>
      <c r="C456" s="155" t="s">
        <v>351</v>
      </c>
      <c r="D456" s="8">
        <v>45453</v>
      </c>
      <c r="E456" s="8">
        <v>45819</v>
      </c>
      <c r="F456" s="5" t="s">
        <v>23</v>
      </c>
      <c r="G456" s="4">
        <v>45819</v>
      </c>
      <c r="H456" s="5" t="s">
        <v>46</v>
      </c>
      <c r="I456" s="5" t="s">
        <v>352</v>
      </c>
      <c r="J456" s="3" t="s">
        <v>23</v>
      </c>
      <c r="K456" s="12" t="s">
        <v>353</v>
      </c>
      <c r="L456" s="5" t="s">
        <v>140</v>
      </c>
      <c r="M456" s="10" t="s">
        <v>53</v>
      </c>
      <c r="N456" s="16" t="s">
        <v>354</v>
      </c>
      <c r="O456" s="16" t="s">
        <v>354</v>
      </c>
      <c r="P456" s="7">
        <v>0</v>
      </c>
      <c r="Q456" s="69" t="s">
        <v>27</v>
      </c>
    </row>
    <row r="457" spans="1:17" ht="33.75" customHeight="1" x14ac:dyDescent="0.25">
      <c r="A457" s="12" t="s">
        <v>775</v>
      </c>
      <c r="B457" s="156" t="s">
        <v>776</v>
      </c>
      <c r="C457" s="144" t="s">
        <v>777</v>
      </c>
      <c r="D457" s="8">
        <v>45476</v>
      </c>
      <c r="E457" s="8">
        <v>45961</v>
      </c>
      <c r="F457" s="5" t="s">
        <v>21</v>
      </c>
      <c r="G457" s="8">
        <v>45961</v>
      </c>
      <c r="H457" s="5" t="s">
        <v>46</v>
      </c>
      <c r="I457" s="5" t="s">
        <v>778</v>
      </c>
      <c r="J457" s="3" t="s">
        <v>67</v>
      </c>
      <c r="K457" s="12">
        <v>13501449</v>
      </c>
      <c r="L457" s="5" t="s">
        <v>44</v>
      </c>
      <c r="M457" s="3" t="s">
        <v>45</v>
      </c>
      <c r="N457" s="7">
        <v>127058.82</v>
      </c>
      <c r="O457" s="7">
        <v>180000</v>
      </c>
      <c r="P457" s="7">
        <v>0</v>
      </c>
      <c r="Q457" s="69" t="s">
        <v>27</v>
      </c>
    </row>
    <row r="458" spans="1:17" ht="33.75" customHeight="1" x14ac:dyDescent="0.25">
      <c r="A458" s="118" t="s">
        <v>775</v>
      </c>
      <c r="B458" s="171" t="s">
        <v>776</v>
      </c>
      <c r="C458" s="159" t="s">
        <v>779</v>
      </c>
      <c r="D458" s="34">
        <v>45476</v>
      </c>
      <c r="E458" s="34">
        <v>45961</v>
      </c>
      <c r="F458" s="35" t="s">
        <v>21</v>
      </c>
      <c r="G458" s="34">
        <v>45961</v>
      </c>
      <c r="H458" s="35" t="s">
        <v>46</v>
      </c>
      <c r="I458" s="36" t="s">
        <v>778</v>
      </c>
      <c r="J458" s="37" t="s">
        <v>67</v>
      </c>
      <c r="K458" s="33">
        <v>13501449</v>
      </c>
      <c r="L458" s="35" t="s">
        <v>44</v>
      </c>
      <c r="M458" s="37" t="s">
        <v>45</v>
      </c>
      <c r="N458" s="108">
        <v>47647</v>
      </c>
      <c r="O458" s="108">
        <v>67500</v>
      </c>
      <c r="P458" s="38">
        <v>0</v>
      </c>
      <c r="Q458" s="119" t="s">
        <v>27</v>
      </c>
    </row>
    <row r="459" spans="1:17" ht="33.75" customHeight="1" x14ac:dyDescent="0.25">
      <c r="A459" s="120" t="s">
        <v>962</v>
      </c>
      <c r="B459" s="172" t="s">
        <v>963</v>
      </c>
      <c r="C459" s="160" t="s">
        <v>138</v>
      </c>
      <c r="D459" s="45">
        <v>45449</v>
      </c>
      <c r="E459" s="45">
        <v>46178</v>
      </c>
      <c r="F459" s="39" t="s">
        <v>964</v>
      </c>
      <c r="G459" s="40">
        <v>46909</v>
      </c>
      <c r="H459" s="39" t="s">
        <v>46</v>
      </c>
      <c r="I459" s="18" t="s">
        <v>965</v>
      </c>
      <c r="J459" s="41" t="s">
        <v>24</v>
      </c>
      <c r="K459" s="42" t="s">
        <v>966</v>
      </c>
      <c r="L459" s="18" t="s">
        <v>33</v>
      </c>
      <c r="M459" s="13" t="s">
        <v>34</v>
      </c>
      <c r="N459" s="43">
        <v>250000</v>
      </c>
      <c r="O459" s="43">
        <v>500000</v>
      </c>
      <c r="P459" s="44">
        <v>0</v>
      </c>
      <c r="Q459" s="48" t="s">
        <v>27</v>
      </c>
    </row>
    <row r="460" spans="1:17" ht="33.75" customHeight="1" x14ac:dyDescent="0.25">
      <c r="A460" s="120" t="s">
        <v>1135</v>
      </c>
      <c r="B460" s="172" t="s">
        <v>1136</v>
      </c>
      <c r="C460" s="160" t="s">
        <v>1136</v>
      </c>
      <c r="D460" s="45">
        <v>45461</v>
      </c>
      <c r="E460" s="45">
        <v>48016</v>
      </c>
      <c r="F460" s="39" t="s">
        <v>831</v>
      </c>
      <c r="G460" s="40">
        <v>49112</v>
      </c>
      <c r="H460" s="39" t="s">
        <v>20</v>
      </c>
      <c r="I460" s="18" t="s">
        <v>127</v>
      </c>
      <c r="J460" s="46" t="s">
        <v>67</v>
      </c>
      <c r="K460" s="47" t="s">
        <v>1137</v>
      </c>
      <c r="L460" s="48" t="s">
        <v>83</v>
      </c>
      <c r="M460" s="46" t="s">
        <v>83</v>
      </c>
      <c r="N460" s="49">
        <v>3000000</v>
      </c>
      <c r="O460" s="43">
        <v>30000000</v>
      </c>
      <c r="P460" s="43">
        <v>0</v>
      </c>
      <c r="Q460" s="48" t="s">
        <v>27</v>
      </c>
    </row>
    <row r="461" spans="1:17" ht="33.75" customHeight="1" x14ac:dyDescent="0.25">
      <c r="A461" s="120" t="s">
        <v>177</v>
      </c>
      <c r="B461" s="172" t="s">
        <v>178</v>
      </c>
      <c r="C461" s="160" t="s">
        <v>179</v>
      </c>
      <c r="D461" s="45">
        <v>45476</v>
      </c>
      <c r="E461" s="40">
        <v>45716</v>
      </c>
      <c r="F461" s="39" t="s">
        <v>102</v>
      </c>
      <c r="G461" s="40">
        <v>45716</v>
      </c>
      <c r="H461" s="39" t="s">
        <v>46</v>
      </c>
      <c r="I461" s="18" t="s">
        <v>77</v>
      </c>
      <c r="J461" s="46" t="s">
        <v>67</v>
      </c>
      <c r="K461" s="47" t="s">
        <v>78</v>
      </c>
      <c r="L461" s="48" t="s">
        <v>131</v>
      </c>
      <c r="M461" s="13" t="s">
        <v>132</v>
      </c>
      <c r="N461" s="49">
        <v>144243</v>
      </c>
      <c r="O461" s="43">
        <v>144243</v>
      </c>
      <c r="P461" s="43">
        <v>0</v>
      </c>
      <c r="Q461" s="48" t="s">
        <v>27</v>
      </c>
    </row>
    <row r="462" spans="1:17" ht="33.75" customHeight="1" x14ac:dyDescent="0.25">
      <c r="A462" s="120" t="s">
        <v>1063</v>
      </c>
      <c r="B462" s="172" t="s">
        <v>1064</v>
      </c>
      <c r="C462" s="160" t="s">
        <v>1065</v>
      </c>
      <c r="D462" s="45">
        <v>45413</v>
      </c>
      <c r="E462" s="45">
        <v>46507</v>
      </c>
      <c r="F462" s="39" t="s">
        <v>46</v>
      </c>
      <c r="G462" s="40">
        <v>46507</v>
      </c>
      <c r="H462" s="39" t="s">
        <v>20</v>
      </c>
      <c r="I462" s="18" t="s">
        <v>1066</v>
      </c>
      <c r="J462" s="46" t="s">
        <v>67</v>
      </c>
      <c r="K462" s="47" t="s">
        <v>1067</v>
      </c>
      <c r="L462" s="51" t="s">
        <v>131</v>
      </c>
      <c r="M462" s="13" t="s">
        <v>132</v>
      </c>
      <c r="N462" s="49">
        <v>81266.67</v>
      </c>
      <c r="O462" s="43">
        <v>219936.59</v>
      </c>
      <c r="P462" s="43">
        <v>0</v>
      </c>
      <c r="Q462" s="48" t="s">
        <v>27</v>
      </c>
    </row>
    <row r="463" spans="1:17" ht="33.75" customHeight="1" x14ac:dyDescent="0.25">
      <c r="A463" s="120" t="s">
        <v>227</v>
      </c>
      <c r="B463" s="160" t="s">
        <v>228</v>
      </c>
      <c r="C463" s="160" t="s">
        <v>229</v>
      </c>
      <c r="D463" s="45">
        <v>45510</v>
      </c>
      <c r="E463" s="45">
        <v>45747</v>
      </c>
      <c r="F463" s="39" t="s">
        <v>23</v>
      </c>
      <c r="G463" s="40">
        <v>45747</v>
      </c>
      <c r="H463" s="39" t="s">
        <v>46</v>
      </c>
      <c r="I463" s="13" t="s">
        <v>109</v>
      </c>
      <c r="J463" s="46" t="s">
        <v>67</v>
      </c>
      <c r="K463" s="47">
        <v>1383511</v>
      </c>
      <c r="L463" s="48" t="s">
        <v>106</v>
      </c>
      <c r="M463" s="13" t="s">
        <v>34</v>
      </c>
      <c r="N463" s="49">
        <v>59783.21</v>
      </c>
      <c r="O463" s="43">
        <v>59783.21</v>
      </c>
      <c r="P463" s="43">
        <v>0</v>
      </c>
      <c r="Q463" s="59" t="s">
        <v>27</v>
      </c>
    </row>
    <row r="464" spans="1:17" ht="33.75" customHeight="1" x14ac:dyDescent="0.25">
      <c r="A464" s="120" t="s">
        <v>376</v>
      </c>
      <c r="B464" s="172" t="s">
        <v>377</v>
      </c>
      <c r="C464" s="160" t="s">
        <v>377</v>
      </c>
      <c r="D464" s="45">
        <v>45474</v>
      </c>
      <c r="E464" s="45">
        <v>45838</v>
      </c>
      <c r="F464" s="39" t="s">
        <v>23</v>
      </c>
      <c r="G464" s="40">
        <v>45838</v>
      </c>
      <c r="H464" s="39" t="s">
        <v>20</v>
      </c>
      <c r="I464" s="18" t="s">
        <v>203</v>
      </c>
      <c r="J464" s="46" t="s">
        <v>24</v>
      </c>
      <c r="K464" s="47">
        <v>10971918</v>
      </c>
      <c r="L464" s="48" t="s">
        <v>348</v>
      </c>
      <c r="M464" s="13" t="s">
        <v>132</v>
      </c>
      <c r="N464" s="49">
        <v>300000</v>
      </c>
      <c r="O464" s="43">
        <v>300000</v>
      </c>
      <c r="P464" s="43">
        <v>0</v>
      </c>
      <c r="Q464" s="48" t="s">
        <v>27</v>
      </c>
    </row>
    <row r="465" spans="1:17" ht="33.75" customHeight="1" x14ac:dyDescent="0.25">
      <c r="A465" s="121" t="s">
        <v>238</v>
      </c>
      <c r="B465" s="173" t="s">
        <v>239</v>
      </c>
      <c r="C465" s="161" t="s">
        <v>239</v>
      </c>
      <c r="D465" s="60">
        <v>45383</v>
      </c>
      <c r="E465" s="60">
        <v>45747</v>
      </c>
      <c r="F465" s="55" t="s">
        <v>19</v>
      </c>
      <c r="G465" s="76">
        <v>46173</v>
      </c>
      <c r="H465" s="55"/>
      <c r="I465" s="18" t="s">
        <v>240</v>
      </c>
      <c r="J465" s="41" t="s">
        <v>23</v>
      </c>
      <c r="K465" s="53" t="s">
        <v>241</v>
      </c>
      <c r="L465" s="54" t="s">
        <v>33</v>
      </c>
      <c r="M465" s="13" t="s">
        <v>34</v>
      </c>
      <c r="N465" s="64">
        <v>480000</v>
      </c>
      <c r="O465" s="44">
        <v>995000</v>
      </c>
      <c r="P465" s="44">
        <v>0</v>
      </c>
      <c r="Q465" s="54" t="s">
        <v>27</v>
      </c>
    </row>
    <row r="466" spans="1:17" ht="33.75" customHeight="1" x14ac:dyDescent="0.25">
      <c r="A466" s="120" t="s">
        <v>854</v>
      </c>
      <c r="B466" s="160" t="s">
        <v>855</v>
      </c>
      <c r="C466" s="160" t="s">
        <v>856</v>
      </c>
      <c r="D466" s="45">
        <v>45505</v>
      </c>
      <c r="E466" s="45">
        <v>46053</v>
      </c>
      <c r="F466" s="55" t="s">
        <v>23</v>
      </c>
      <c r="G466" s="45">
        <v>46053</v>
      </c>
      <c r="H466" s="39" t="s">
        <v>46</v>
      </c>
      <c r="I466" s="39" t="s">
        <v>857</v>
      </c>
      <c r="J466" s="41" t="s">
        <v>24</v>
      </c>
      <c r="K466" s="87">
        <v>4106751</v>
      </c>
      <c r="L466" s="55" t="s">
        <v>200</v>
      </c>
      <c r="M466" s="41" t="s">
        <v>45</v>
      </c>
      <c r="N466" s="107">
        <v>333333</v>
      </c>
      <c r="O466" s="109">
        <v>500000</v>
      </c>
      <c r="P466" s="44">
        <v>0</v>
      </c>
      <c r="Q466" s="54" t="s">
        <v>27</v>
      </c>
    </row>
    <row r="467" spans="1:17" ht="33.75" customHeight="1" x14ac:dyDescent="0.25">
      <c r="A467" s="120" t="s">
        <v>813</v>
      </c>
      <c r="B467" s="172" t="s">
        <v>814</v>
      </c>
      <c r="C467" s="160" t="s">
        <v>814</v>
      </c>
      <c r="D467" s="45">
        <v>45481</v>
      </c>
      <c r="E467" s="95">
        <v>46022</v>
      </c>
      <c r="F467" s="45" t="s">
        <v>23</v>
      </c>
      <c r="G467" s="99">
        <v>46022</v>
      </c>
      <c r="H467" s="39" t="s">
        <v>46</v>
      </c>
      <c r="I467" s="39" t="s">
        <v>50</v>
      </c>
      <c r="J467" s="46" t="s">
        <v>67</v>
      </c>
      <c r="K467" s="56" t="s">
        <v>51</v>
      </c>
      <c r="L467" s="48" t="s">
        <v>83</v>
      </c>
      <c r="M467" s="46" t="s">
        <v>83</v>
      </c>
      <c r="N467" s="57">
        <v>80000</v>
      </c>
      <c r="O467" s="43">
        <v>80000</v>
      </c>
      <c r="P467" s="49">
        <v>0</v>
      </c>
      <c r="Q467" s="68" t="s">
        <v>27</v>
      </c>
    </row>
    <row r="468" spans="1:17" ht="33.75" customHeight="1" x14ac:dyDescent="0.25">
      <c r="A468" s="120" t="s">
        <v>1078</v>
      </c>
      <c r="B468" s="173" t="s">
        <v>1079</v>
      </c>
      <c r="C468" s="160" t="s">
        <v>1080</v>
      </c>
      <c r="D468" s="40">
        <v>45474</v>
      </c>
      <c r="E468" s="59">
        <v>46568</v>
      </c>
      <c r="F468" s="39" t="s">
        <v>23</v>
      </c>
      <c r="G468" s="59">
        <v>46568</v>
      </c>
      <c r="H468" s="39" t="s">
        <v>20</v>
      </c>
      <c r="I468" s="39" t="s">
        <v>1081</v>
      </c>
      <c r="J468" s="46" t="s">
        <v>24</v>
      </c>
      <c r="K468" s="56" t="s">
        <v>1082</v>
      </c>
      <c r="L468" s="48" t="s">
        <v>1083</v>
      </c>
      <c r="M468" s="13"/>
      <c r="N468" s="57">
        <v>16000</v>
      </c>
      <c r="O468" s="43">
        <v>48000</v>
      </c>
      <c r="P468" s="49">
        <v>0</v>
      </c>
      <c r="Q468" s="68" t="s">
        <v>27</v>
      </c>
    </row>
    <row r="469" spans="1:17" ht="33.75" customHeight="1" x14ac:dyDescent="0.25">
      <c r="A469" s="122" t="s">
        <v>864</v>
      </c>
      <c r="B469" s="162" t="s">
        <v>865</v>
      </c>
      <c r="C469" s="162" t="s">
        <v>232</v>
      </c>
      <c r="D469" s="76">
        <v>45643</v>
      </c>
      <c r="E469" s="61">
        <v>46053</v>
      </c>
      <c r="F469" s="55" t="s">
        <v>19</v>
      </c>
      <c r="G469" s="61">
        <v>46783</v>
      </c>
      <c r="H469" s="55" t="s">
        <v>46</v>
      </c>
      <c r="I469" s="55" t="s">
        <v>866</v>
      </c>
      <c r="J469" s="55" t="s">
        <v>19</v>
      </c>
      <c r="K469" s="62" t="s">
        <v>867</v>
      </c>
      <c r="L469" s="75" t="s">
        <v>44</v>
      </c>
      <c r="M469" s="31" t="s">
        <v>45</v>
      </c>
      <c r="N469" s="63">
        <v>442432.31</v>
      </c>
      <c r="O469" s="44">
        <v>480385</v>
      </c>
      <c r="P469" s="64">
        <v>0</v>
      </c>
      <c r="Q469" s="74" t="s">
        <v>27</v>
      </c>
    </row>
    <row r="470" spans="1:17" ht="33.75" customHeight="1" x14ac:dyDescent="0.25">
      <c r="A470" s="5" t="s">
        <v>230</v>
      </c>
      <c r="B470" s="144" t="s">
        <v>231</v>
      </c>
      <c r="C470" s="144" t="s">
        <v>232</v>
      </c>
      <c r="D470" s="4">
        <v>45643</v>
      </c>
      <c r="E470" s="4">
        <v>45747</v>
      </c>
      <c r="F470" s="5" t="s">
        <v>102</v>
      </c>
      <c r="G470" s="4">
        <v>45747</v>
      </c>
      <c r="H470" s="5" t="s">
        <v>46</v>
      </c>
      <c r="I470" s="5" t="s">
        <v>233</v>
      </c>
      <c r="J470" s="5" t="s">
        <v>23</v>
      </c>
      <c r="K470" s="12" t="s">
        <v>234</v>
      </c>
      <c r="L470" s="3" t="s">
        <v>44</v>
      </c>
      <c r="M470" s="10" t="s">
        <v>45</v>
      </c>
      <c r="N470" s="7">
        <v>150000</v>
      </c>
      <c r="O470" s="7">
        <v>150000</v>
      </c>
      <c r="P470" s="7">
        <v>0</v>
      </c>
      <c r="Q470" s="69" t="s">
        <v>27</v>
      </c>
    </row>
    <row r="471" spans="1:17" ht="33.75" customHeight="1" x14ac:dyDescent="0.25">
      <c r="A471" s="12" t="s">
        <v>1055</v>
      </c>
      <c r="B471" s="156" t="s">
        <v>1056</v>
      </c>
      <c r="C471" s="144" t="s">
        <v>1057</v>
      </c>
      <c r="D471" s="8">
        <v>45383</v>
      </c>
      <c r="E471" s="8">
        <v>46477</v>
      </c>
      <c r="F471" s="5" t="s">
        <v>20</v>
      </c>
      <c r="G471" s="4">
        <v>46843</v>
      </c>
      <c r="H471" s="5" t="s">
        <v>20</v>
      </c>
      <c r="I471" s="5" t="s">
        <v>1058</v>
      </c>
      <c r="J471" s="3" t="s">
        <v>67</v>
      </c>
      <c r="K471" s="12" t="s">
        <v>1059</v>
      </c>
      <c r="L471" s="5" t="s">
        <v>295</v>
      </c>
      <c r="M471" s="3" t="s">
        <v>74</v>
      </c>
      <c r="N471" s="7">
        <v>11350</v>
      </c>
      <c r="O471" s="44">
        <v>34050</v>
      </c>
      <c r="P471" s="7">
        <v>0</v>
      </c>
      <c r="Q471" s="69" t="s">
        <v>27</v>
      </c>
    </row>
    <row r="472" spans="1:17" ht="33.75" customHeight="1" x14ac:dyDescent="0.25">
      <c r="A472" s="12" t="s">
        <v>953</v>
      </c>
      <c r="B472" s="144" t="s">
        <v>954</v>
      </c>
      <c r="C472" s="144"/>
      <c r="D472" s="8">
        <v>45444</v>
      </c>
      <c r="E472" s="8">
        <v>46172</v>
      </c>
      <c r="F472" s="5" t="s">
        <v>20</v>
      </c>
      <c r="G472" s="4">
        <v>46537</v>
      </c>
      <c r="H472" s="5" t="s">
        <v>20</v>
      </c>
      <c r="I472" s="5" t="s">
        <v>955</v>
      </c>
      <c r="J472" s="3" t="s">
        <v>67</v>
      </c>
      <c r="K472" s="27" t="s">
        <v>956</v>
      </c>
      <c r="L472" s="20" t="s">
        <v>131</v>
      </c>
      <c r="M472" s="3" t="s">
        <v>132</v>
      </c>
      <c r="N472" s="7">
        <v>18000</v>
      </c>
      <c r="O472" s="7">
        <v>36000</v>
      </c>
      <c r="P472" s="7">
        <v>0</v>
      </c>
      <c r="Q472" s="69" t="s">
        <v>27</v>
      </c>
    </row>
    <row r="473" spans="1:17" ht="33.75" customHeight="1" x14ac:dyDescent="0.25">
      <c r="A473" s="12" t="s">
        <v>1073</v>
      </c>
      <c r="B473" s="156" t="s">
        <v>1074</v>
      </c>
      <c r="C473" s="144" t="s">
        <v>1075</v>
      </c>
      <c r="D473" s="8">
        <v>45444</v>
      </c>
      <c r="E473" s="8">
        <v>46538</v>
      </c>
      <c r="F473" s="5" t="s">
        <v>21</v>
      </c>
      <c r="G473" s="4">
        <v>46538</v>
      </c>
      <c r="H473" s="5" t="s">
        <v>20</v>
      </c>
      <c r="I473" s="5" t="s">
        <v>1076</v>
      </c>
      <c r="J473" s="3" t="s">
        <v>67</v>
      </c>
      <c r="K473" s="12" t="s">
        <v>1077</v>
      </c>
      <c r="L473" s="5" t="s">
        <v>89</v>
      </c>
      <c r="M473" s="3" t="s">
        <v>40</v>
      </c>
      <c r="N473" s="7">
        <v>18000</v>
      </c>
      <c r="O473" s="7">
        <v>54000</v>
      </c>
      <c r="P473" s="7">
        <v>0</v>
      </c>
      <c r="Q473" s="69" t="s">
        <v>27</v>
      </c>
    </row>
    <row r="474" spans="1:17" ht="33.75" customHeight="1" x14ac:dyDescent="0.25">
      <c r="A474" s="12" t="s">
        <v>1047</v>
      </c>
      <c r="B474" s="156" t="s">
        <v>1048</v>
      </c>
      <c r="C474" s="144" t="s">
        <v>1049</v>
      </c>
      <c r="D474" s="8">
        <v>45607</v>
      </c>
      <c r="E474" s="8">
        <v>46477</v>
      </c>
      <c r="F474" s="5" t="s">
        <v>102</v>
      </c>
      <c r="G474" s="8">
        <v>46477</v>
      </c>
      <c r="H474" s="5" t="s">
        <v>46</v>
      </c>
      <c r="I474" s="3" t="s">
        <v>1050</v>
      </c>
      <c r="J474" s="3" t="s">
        <v>67</v>
      </c>
      <c r="K474" s="12" t="s">
        <v>1051</v>
      </c>
      <c r="L474" s="5" t="s">
        <v>153</v>
      </c>
      <c r="M474" s="3" t="s">
        <v>74</v>
      </c>
      <c r="N474" s="7">
        <v>20000</v>
      </c>
      <c r="O474" s="7">
        <v>50000</v>
      </c>
      <c r="P474" s="7">
        <v>0</v>
      </c>
      <c r="Q474" s="69" t="s">
        <v>27</v>
      </c>
    </row>
    <row r="475" spans="1:17" ht="33.75" customHeight="1" x14ac:dyDescent="0.25">
      <c r="A475" s="12" t="s">
        <v>1106</v>
      </c>
      <c r="B475" s="156" t="s">
        <v>695</v>
      </c>
      <c r="C475" s="144" t="s">
        <v>1107</v>
      </c>
      <c r="D475" s="8">
        <v>45537</v>
      </c>
      <c r="E475" s="8">
        <v>46631</v>
      </c>
      <c r="F475" s="5" t="s">
        <v>20</v>
      </c>
      <c r="G475" s="4">
        <v>47362</v>
      </c>
      <c r="H475" s="5" t="s">
        <v>273</v>
      </c>
      <c r="I475" s="5" t="s">
        <v>1108</v>
      </c>
      <c r="J475" s="3" t="s">
        <v>24</v>
      </c>
      <c r="K475" s="12">
        <v>6373116</v>
      </c>
      <c r="L475" s="5" t="s">
        <v>153</v>
      </c>
      <c r="M475" s="3" t="s">
        <v>74</v>
      </c>
      <c r="N475" s="7">
        <v>257846</v>
      </c>
      <c r="O475" s="7">
        <v>599846</v>
      </c>
      <c r="P475" s="7">
        <v>0</v>
      </c>
      <c r="Q475" s="69" t="s">
        <v>27</v>
      </c>
    </row>
    <row r="476" spans="1:17" ht="33.75" customHeight="1" x14ac:dyDescent="0.25">
      <c r="A476" s="12" t="s">
        <v>694</v>
      </c>
      <c r="B476" s="156" t="s">
        <v>695</v>
      </c>
      <c r="C476" s="144" t="s">
        <v>696</v>
      </c>
      <c r="D476" s="8">
        <v>45537</v>
      </c>
      <c r="E476" s="8">
        <v>45901</v>
      </c>
      <c r="F476" s="5" t="s">
        <v>20</v>
      </c>
      <c r="G476" s="4">
        <v>46631</v>
      </c>
      <c r="H476" s="5" t="s">
        <v>273</v>
      </c>
      <c r="I476" s="5" t="s">
        <v>697</v>
      </c>
      <c r="J476" s="3" t="s">
        <v>24</v>
      </c>
      <c r="K476" s="12">
        <v>5770016</v>
      </c>
      <c r="L476" s="5" t="s">
        <v>153</v>
      </c>
      <c r="M476" s="3" t="s">
        <v>74</v>
      </c>
      <c r="N476" s="7">
        <v>75488</v>
      </c>
      <c r="O476" s="7">
        <v>75488</v>
      </c>
      <c r="P476" s="7">
        <v>0</v>
      </c>
      <c r="Q476" s="69" t="s">
        <v>27</v>
      </c>
    </row>
    <row r="477" spans="1:17" ht="33.75" customHeight="1" x14ac:dyDescent="0.25">
      <c r="A477" s="12" t="s">
        <v>1109</v>
      </c>
      <c r="B477" s="156" t="s">
        <v>695</v>
      </c>
      <c r="C477" s="144" t="s">
        <v>1100</v>
      </c>
      <c r="D477" s="8">
        <v>45537</v>
      </c>
      <c r="E477" s="8">
        <v>46631</v>
      </c>
      <c r="F477" s="5" t="s">
        <v>20</v>
      </c>
      <c r="G477" s="4">
        <v>47362</v>
      </c>
      <c r="H477" s="5" t="s">
        <v>273</v>
      </c>
      <c r="I477" s="3" t="s">
        <v>536</v>
      </c>
      <c r="J477" s="3" t="s">
        <v>67</v>
      </c>
      <c r="K477" s="12">
        <v>1990370</v>
      </c>
      <c r="L477" s="5" t="s">
        <v>153</v>
      </c>
      <c r="M477" s="3" t="s">
        <v>74</v>
      </c>
      <c r="N477" s="7">
        <v>2113116</v>
      </c>
      <c r="O477" s="7">
        <v>6339348</v>
      </c>
      <c r="P477" s="7">
        <v>0</v>
      </c>
      <c r="Q477" s="69" t="s">
        <v>27</v>
      </c>
    </row>
    <row r="478" spans="1:17" ht="33.75" customHeight="1" x14ac:dyDescent="0.25">
      <c r="A478" s="12" t="s">
        <v>698</v>
      </c>
      <c r="B478" s="156" t="s">
        <v>695</v>
      </c>
      <c r="C478" s="144" t="s">
        <v>696</v>
      </c>
      <c r="D478" s="8">
        <v>45537</v>
      </c>
      <c r="E478" s="8">
        <v>45901</v>
      </c>
      <c r="F478" s="5" t="s">
        <v>20</v>
      </c>
      <c r="G478" s="4">
        <v>46631</v>
      </c>
      <c r="H478" s="5" t="s">
        <v>273</v>
      </c>
      <c r="I478" s="5" t="s">
        <v>699</v>
      </c>
      <c r="J478" s="3" t="s">
        <v>24</v>
      </c>
      <c r="K478" s="12">
        <v>5021863</v>
      </c>
      <c r="L478" s="5" t="s">
        <v>153</v>
      </c>
      <c r="M478" s="3" t="s">
        <v>74</v>
      </c>
      <c r="N478" s="7">
        <v>118000</v>
      </c>
      <c r="O478" s="7">
        <v>118000</v>
      </c>
      <c r="P478" s="7">
        <v>0</v>
      </c>
      <c r="Q478" s="69" t="s">
        <v>27</v>
      </c>
    </row>
    <row r="479" spans="1:17" ht="33.75" customHeight="1" x14ac:dyDescent="0.25">
      <c r="A479" s="27" t="s">
        <v>900</v>
      </c>
      <c r="B479" s="158" t="s">
        <v>901</v>
      </c>
      <c r="C479" s="157" t="s">
        <v>902</v>
      </c>
      <c r="D479" s="29">
        <v>45531</v>
      </c>
      <c r="E479" s="29">
        <v>46112</v>
      </c>
      <c r="F479" s="18" t="s">
        <v>46</v>
      </c>
      <c r="G479" s="26">
        <v>46112</v>
      </c>
      <c r="H479" s="18" t="s">
        <v>46</v>
      </c>
      <c r="I479" s="18" t="s">
        <v>903</v>
      </c>
      <c r="J479" s="13" t="s">
        <v>67</v>
      </c>
      <c r="K479" s="27">
        <v>7596410</v>
      </c>
      <c r="L479" s="18" t="s">
        <v>200</v>
      </c>
      <c r="M479" s="13" t="s">
        <v>45</v>
      </c>
      <c r="N479" s="28">
        <v>88395.3</v>
      </c>
      <c r="O479" s="28">
        <v>139959.22</v>
      </c>
      <c r="P479" s="28">
        <v>0</v>
      </c>
      <c r="Q479" s="117" t="s">
        <v>27</v>
      </c>
    </row>
    <row r="480" spans="1:17" ht="33.75" customHeight="1" x14ac:dyDescent="0.25">
      <c r="A480" s="12" t="s">
        <v>114</v>
      </c>
      <c r="B480" s="156" t="s">
        <v>115</v>
      </c>
      <c r="C480" s="144" t="s">
        <v>116</v>
      </c>
      <c r="D480" s="8">
        <v>45474</v>
      </c>
      <c r="E480" s="8">
        <v>45688</v>
      </c>
      <c r="F480" s="5" t="s">
        <v>46</v>
      </c>
      <c r="G480" s="4">
        <v>45688</v>
      </c>
      <c r="H480" s="5" t="s">
        <v>46</v>
      </c>
      <c r="I480" s="5" t="s">
        <v>77</v>
      </c>
      <c r="J480" s="3" t="s">
        <v>67</v>
      </c>
      <c r="K480" s="12" t="s">
        <v>78</v>
      </c>
      <c r="L480" s="5" t="s">
        <v>106</v>
      </c>
      <c r="M480" s="3" t="s">
        <v>34</v>
      </c>
      <c r="N480" s="7">
        <v>292006</v>
      </c>
      <c r="O480" s="7">
        <v>292006</v>
      </c>
      <c r="P480" s="7">
        <v>0</v>
      </c>
      <c r="Q480" s="69" t="s">
        <v>27</v>
      </c>
    </row>
    <row r="481" spans="1:17" ht="33.75" customHeight="1" x14ac:dyDescent="0.25">
      <c r="A481" s="27" t="s">
        <v>690</v>
      </c>
      <c r="B481" s="158" t="s">
        <v>691</v>
      </c>
      <c r="C481" s="157" t="s">
        <v>692</v>
      </c>
      <c r="D481" s="29">
        <v>45537</v>
      </c>
      <c r="E481" s="29">
        <v>45901</v>
      </c>
      <c r="F481" s="18" t="s">
        <v>46</v>
      </c>
      <c r="G481" s="29">
        <v>45901</v>
      </c>
      <c r="H481" s="18" t="s">
        <v>46</v>
      </c>
      <c r="I481" s="18" t="s">
        <v>693</v>
      </c>
      <c r="J481" s="13" t="s">
        <v>24</v>
      </c>
      <c r="K481" s="27" t="s">
        <v>21</v>
      </c>
      <c r="L481" s="18" t="s">
        <v>153</v>
      </c>
      <c r="M481" s="13" t="s">
        <v>74</v>
      </c>
      <c r="N481" s="28">
        <v>4060000</v>
      </c>
      <c r="O481" s="28">
        <v>4060000</v>
      </c>
      <c r="P481" s="28">
        <v>0</v>
      </c>
      <c r="Q481" s="117" t="s">
        <v>27</v>
      </c>
    </row>
    <row r="482" spans="1:17" ht="33.75" customHeight="1" x14ac:dyDescent="0.25">
      <c r="A482" s="123" t="s">
        <v>797</v>
      </c>
      <c r="B482" s="157" t="s">
        <v>798</v>
      </c>
      <c r="C482" s="157" t="s">
        <v>799</v>
      </c>
      <c r="D482" s="26">
        <v>45627</v>
      </c>
      <c r="E482" s="26">
        <v>45992</v>
      </c>
      <c r="F482" s="18" t="s">
        <v>102</v>
      </c>
      <c r="G482" s="26">
        <v>45992</v>
      </c>
      <c r="H482" s="18" t="s">
        <v>46</v>
      </c>
      <c r="I482" s="5" t="s">
        <v>800</v>
      </c>
      <c r="J482" s="5" t="s">
        <v>715</v>
      </c>
      <c r="K482" s="12" t="s">
        <v>801</v>
      </c>
      <c r="L482" s="13" t="s">
        <v>44</v>
      </c>
      <c r="M482" s="31" t="s">
        <v>45</v>
      </c>
      <c r="N482" s="28">
        <v>82500</v>
      </c>
      <c r="O482" s="28">
        <v>82500</v>
      </c>
      <c r="P482" s="28">
        <v>0</v>
      </c>
      <c r="Q482" s="117" t="s">
        <v>27</v>
      </c>
    </row>
    <row r="483" spans="1:17" ht="33.75" customHeight="1" x14ac:dyDescent="0.25">
      <c r="A483" s="123" t="s">
        <v>802</v>
      </c>
      <c r="B483" s="157" t="s">
        <v>803</v>
      </c>
      <c r="C483" s="160" t="s">
        <v>804</v>
      </c>
      <c r="D483" s="67">
        <v>45627</v>
      </c>
      <c r="E483" s="26">
        <v>45992</v>
      </c>
      <c r="F483" s="18" t="s">
        <v>102</v>
      </c>
      <c r="G483" s="26">
        <v>45992</v>
      </c>
      <c r="H483" s="18" t="s">
        <v>46</v>
      </c>
      <c r="I483" s="5" t="s">
        <v>805</v>
      </c>
      <c r="J483" s="5" t="s">
        <v>715</v>
      </c>
      <c r="K483" s="12" t="s">
        <v>806</v>
      </c>
      <c r="L483" s="13" t="s">
        <v>44</v>
      </c>
      <c r="M483" s="31" t="s">
        <v>45</v>
      </c>
      <c r="N483" s="28">
        <v>82356.149999999994</v>
      </c>
      <c r="O483" s="28">
        <v>82356.149999999994</v>
      </c>
      <c r="P483" s="28">
        <v>0</v>
      </c>
      <c r="Q483" s="117" t="s">
        <v>27</v>
      </c>
    </row>
    <row r="484" spans="1:17" ht="33.75" customHeight="1" x14ac:dyDescent="0.25">
      <c r="A484" s="120" t="s">
        <v>79</v>
      </c>
      <c r="B484" s="157" t="s">
        <v>80</v>
      </c>
      <c r="C484" s="160" t="s">
        <v>81</v>
      </c>
      <c r="D484" s="91">
        <v>45574</v>
      </c>
      <c r="E484" s="96">
        <v>45626</v>
      </c>
      <c r="F484" s="18" t="s">
        <v>19</v>
      </c>
      <c r="G484" s="96">
        <v>45716</v>
      </c>
      <c r="H484" s="18" t="s">
        <v>46</v>
      </c>
      <c r="I484" s="5" t="s">
        <v>50</v>
      </c>
      <c r="J484" s="10" t="s">
        <v>67</v>
      </c>
      <c r="K484" s="17" t="s">
        <v>82</v>
      </c>
      <c r="L484" s="18" t="s">
        <v>83</v>
      </c>
      <c r="M484" s="13" t="s">
        <v>83</v>
      </c>
      <c r="N484" s="28">
        <v>79778</v>
      </c>
      <c r="O484" s="28">
        <v>79778</v>
      </c>
      <c r="P484" s="28">
        <v>0</v>
      </c>
      <c r="Q484" s="117" t="s">
        <v>27</v>
      </c>
    </row>
    <row r="485" spans="1:17" ht="33.75" customHeight="1" x14ac:dyDescent="0.25">
      <c r="A485" s="120" t="s">
        <v>93</v>
      </c>
      <c r="B485" s="158" t="s">
        <v>94</v>
      </c>
      <c r="C485" s="160" t="s">
        <v>95</v>
      </c>
      <c r="D485" s="66">
        <v>45292</v>
      </c>
      <c r="E485" s="29">
        <v>45658</v>
      </c>
      <c r="F485" s="18" t="s">
        <v>23</v>
      </c>
      <c r="G485" s="26">
        <v>45658</v>
      </c>
      <c r="H485" s="18" t="s">
        <v>20</v>
      </c>
      <c r="I485" s="5" t="s">
        <v>96</v>
      </c>
      <c r="J485" s="3" t="s">
        <v>97</v>
      </c>
      <c r="K485" s="12"/>
      <c r="L485" s="18" t="s">
        <v>39</v>
      </c>
      <c r="M485" s="13" t="s">
        <v>40</v>
      </c>
      <c r="N485" s="28">
        <v>9050</v>
      </c>
      <c r="O485" s="28">
        <v>9050</v>
      </c>
      <c r="P485" s="28">
        <v>0</v>
      </c>
      <c r="Q485" s="117" t="s">
        <v>98</v>
      </c>
    </row>
    <row r="486" spans="1:17" ht="33.75" customHeight="1" x14ac:dyDescent="0.25">
      <c r="A486" s="120" t="s">
        <v>84</v>
      </c>
      <c r="B486" s="158" t="s">
        <v>85</v>
      </c>
      <c r="C486" s="160" t="s">
        <v>85</v>
      </c>
      <c r="D486" s="66">
        <v>45511</v>
      </c>
      <c r="E486" s="29">
        <v>45627</v>
      </c>
      <c r="F486" s="18" t="s">
        <v>46</v>
      </c>
      <c r="G486" s="26">
        <v>45627</v>
      </c>
      <c r="H486" s="18" t="s">
        <v>46</v>
      </c>
      <c r="I486" s="5" t="s">
        <v>86</v>
      </c>
      <c r="J486" s="3" t="s">
        <v>87</v>
      </c>
      <c r="K486" s="12" t="s">
        <v>88</v>
      </c>
      <c r="L486" s="18" t="s">
        <v>89</v>
      </c>
      <c r="M486" s="13" t="s">
        <v>40</v>
      </c>
      <c r="N486" s="28">
        <v>25000</v>
      </c>
      <c r="O486" s="28">
        <v>25000</v>
      </c>
      <c r="P486" s="28">
        <v>0</v>
      </c>
      <c r="Q486" s="117" t="s">
        <v>27</v>
      </c>
    </row>
    <row r="487" spans="1:17" ht="33.75" customHeight="1" x14ac:dyDescent="0.25">
      <c r="A487" s="124" t="s">
        <v>787</v>
      </c>
      <c r="B487" s="160" t="s">
        <v>788</v>
      </c>
      <c r="C487" s="163" t="s">
        <v>789</v>
      </c>
      <c r="D487" s="92">
        <v>45581</v>
      </c>
      <c r="E487" s="97">
        <v>45986</v>
      </c>
      <c r="F487" s="68" t="s">
        <v>102</v>
      </c>
      <c r="G487" s="97">
        <v>45986</v>
      </c>
      <c r="H487" s="58" t="s">
        <v>46</v>
      </c>
      <c r="I487" s="69" t="s">
        <v>790</v>
      </c>
      <c r="J487" s="103" t="s">
        <v>87</v>
      </c>
      <c r="K487" s="12" t="s">
        <v>791</v>
      </c>
      <c r="L487" s="54" t="s">
        <v>366</v>
      </c>
      <c r="M487" s="70" t="s">
        <v>40</v>
      </c>
      <c r="N487" s="43">
        <v>46000</v>
      </c>
      <c r="O487" s="43">
        <v>46000</v>
      </c>
      <c r="P487" s="49">
        <v>0</v>
      </c>
      <c r="Q487" s="68" t="s">
        <v>27</v>
      </c>
    </row>
    <row r="488" spans="1:17" ht="33.75" customHeight="1" x14ac:dyDescent="0.25">
      <c r="A488" s="124" t="s">
        <v>815</v>
      </c>
      <c r="B488" s="160" t="s">
        <v>816</v>
      </c>
      <c r="C488" s="164" t="s">
        <v>816</v>
      </c>
      <c r="D488" s="98">
        <v>36161</v>
      </c>
      <c r="E488" s="45">
        <v>46023</v>
      </c>
      <c r="F488" s="98" t="s">
        <v>817</v>
      </c>
      <c r="G488" s="50">
        <v>46023</v>
      </c>
      <c r="H488" s="125" t="s">
        <v>20</v>
      </c>
      <c r="I488" s="100" t="s">
        <v>818</v>
      </c>
      <c r="J488" s="102" t="s">
        <v>23</v>
      </c>
      <c r="K488" s="12"/>
      <c r="L488" s="13" t="s">
        <v>283</v>
      </c>
      <c r="M488" s="126" t="s">
        <v>40</v>
      </c>
      <c r="N488" s="106">
        <v>8280</v>
      </c>
      <c r="O488" s="78">
        <v>8280</v>
      </c>
      <c r="P488" s="49">
        <v>0</v>
      </c>
      <c r="Q488" s="127" t="s">
        <v>98</v>
      </c>
    </row>
    <row r="489" spans="1:17" ht="33.75" customHeight="1" x14ac:dyDescent="0.25">
      <c r="A489" s="12" t="s">
        <v>279</v>
      </c>
      <c r="B489" s="156" t="s">
        <v>280</v>
      </c>
      <c r="C489" s="144" t="s">
        <v>281</v>
      </c>
      <c r="D489" s="8">
        <v>44621</v>
      </c>
      <c r="E489" s="29">
        <v>45777</v>
      </c>
      <c r="F489" s="18" t="s">
        <v>23</v>
      </c>
      <c r="G489" s="29">
        <v>45777</v>
      </c>
      <c r="H489" s="18" t="s">
        <v>46</v>
      </c>
      <c r="I489" s="18" t="s">
        <v>282</v>
      </c>
      <c r="J489" s="13" t="s">
        <v>24</v>
      </c>
      <c r="K489" s="12">
        <v>14513703</v>
      </c>
      <c r="L489" s="13" t="s">
        <v>283</v>
      </c>
      <c r="M489" s="126" t="s">
        <v>40</v>
      </c>
      <c r="N489" s="28">
        <v>9293.89</v>
      </c>
      <c r="O489" s="28">
        <v>9293.89</v>
      </c>
      <c r="P489" s="28">
        <v>0</v>
      </c>
      <c r="Q489" s="117" t="s">
        <v>284</v>
      </c>
    </row>
    <row r="490" spans="1:17" ht="33.75" customHeight="1" x14ac:dyDescent="0.25">
      <c r="A490" s="12" t="s">
        <v>780</v>
      </c>
      <c r="B490" s="144" t="s">
        <v>781</v>
      </c>
      <c r="C490" s="144" t="s">
        <v>782</v>
      </c>
      <c r="D490" s="93">
        <v>44805</v>
      </c>
      <c r="E490" s="2">
        <v>45962</v>
      </c>
      <c r="F490" s="3" t="s">
        <v>23</v>
      </c>
      <c r="G490" s="71">
        <v>46604</v>
      </c>
      <c r="H490" s="3" t="s">
        <v>46</v>
      </c>
      <c r="I490" s="5" t="s">
        <v>783</v>
      </c>
      <c r="J490" s="3" t="s">
        <v>23</v>
      </c>
      <c r="K490" s="72"/>
      <c r="L490" s="5" t="s">
        <v>366</v>
      </c>
      <c r="M490" s="112" t="s">
        <v>40</v>
      </c>
      <c r="N490" s="7">
        <v>65000</v>
      </c>
      <c r="O490" s="7">
        <v>65000</v>
      </c>
      <c r="P490" s="7">
        <v>0</v>
      </c>
      <c r="Q490" s="69" t="s">
        <v>284</v>
      </c>
    </row>
    <row r="491" spans="1:17" ht="33.75" customHeight="1" x14ac:dyDescent="0.25">
      <c r="A491" s="12" t="s">
        <v>1138</v>
      </c>
      <c r="B491" s="174" t="s">
        <v>1139</v>
      </c>
      <c r="C491" s="165" t="s">
        <v>1140</v>
      </c>
      <c r="D491" s="89">
        <v>44652</v>
      </c>
      <c r="E491" s="8">
        <v>48305</v>
      </c>
      <c r="F491" s="5" t="s">
        <v>23</v>
      </c>
      <c r="G491" s="89">
        <v>48305</v>
      </c>
      <c r="H491" s="5" t="s">
        <v>46</v>
      </c>
      <c r="I491" s="20" t="s">
        <v>1141</v>
      </c>
      <c r="J491" s="3" t="s">
        <v>97</v>
      </c>
      <c r="K491" s="72"/>
      <c r="L491" s="5" t="s">
        <v>73</v>
      </c>
      <c r="M491" s="3" t="s">
        <v>74</v>
      </c>
      <c r="N491" s="7">
        <v>213294</v>
      </c>
      <c r="O491" s="6">
        <f>N491*10</f>
        <v>2132940</v>
      </c>
      <c r="P491" s="7">
        <v>0</v>
      </c>
      <c r="Q491" s="69" t="s">
        <v>284</v>
      </c>
    </row>
    <row r="492" spans="1:17" ht="33.75" customHeight="1" x14ac:dyDescent="0.25">
      <c r="A492" s="12" t="s">
        <v>1052</v>
      </c>
      <c r="B492" s="144" t="s">
        <v>1053</v>
      </c>
      <c r="C492" s="144" t="s">
        <v>1054</v>
      </c>
      <c r="D492" s="8">
        <v>45017</v>
      </c>
      <c r="E492" s="8">
        <v>46477</v>
      </c>
      <c r="F492" s="8" t="s">
        <v>23</v>
      </c>
      <c r="G492" s="4">
        <v>46477</v>
      </c>
      <c r="H492" s="5" t="s">
        <v>46</v>
      </c>
      <c r="I492" s="5" t="s">
        <v>1053</v>
      </c>
      <c r="J492" s="3" t="s">
        <v>67</v>
      </c>
      <c r="K492" s="17">
        <v>3532684</v>
      </c>
      <c r="L492" s="5" t="s">
        <v>1041</v>
      </c>
      <c r="M492" s="3" t="s">
        <v>74</v>
      </c>
      <c r="N492" s="7">
        <v>14847</v>
      </c>
      <c r="O492" s="7">
        <v>14847</v>
      </c>
      <c r="P492" s="7">
        <v>0</v>
      </c>
      <c r="Q492" s="69" t="s">
        <v>284</v>
      </c>
    </row>
    <row r="493" spans="1:17" ht="33.75" customHeight="1" x14ac:dyDescent="0.25">
      <c r="A493" s="128" t="s">
        <v>1037</v>
      </c>
      <c r="B493" s="161" t="s">
        <v>1038</v>
      </c>
      <c r="C493" s="166" t="s">
        <v>1039</v>
      </c>
      <c r="D493" s="73">
        <v>45013</v>
      </c>
      <c r="E493" s="60">
        <v>46473</v>
      </c>
      <c r="F493" s="74" t="s">
        <v>23</v>
      </c>
      <c r="G493" s="60">
        <v>46473</v>
      </c>
      <c r="H493" s="65" t="s">
        <v>46</v>
      </c>
      <c r="I493" s="55" t="s">
        <v>1040</v>
      </c>
      <c r="J493" s="75" t="s">
        <v>67</v>
      </c>
      <c r="K493" s="52">
        <v>3532684</v>
      </c>
      <c r="L493" s="54" t="s">
        <v>1041</v>
      </c>
      <c r="M493" s="41" t="s">
        <v>74</v>
      </c>
      <c r="N493" s="7">
        <v>16467</v>
      </c>
      <c r="O493" s="44">
        <v>65868</v>
      </c>
      <c r="P493" s="64">
        <v>0</v>
      </c>
      <c r="Q493" s="74" t="s">
        <v>284</v>
      </c>
    </row>
    <row r="494" spans="1:17" ht="33.75" customHeight="1" x14ac:dyDescent="0.25">
      <c r="A494" s="128" t="s">
        <v>904</v>
      </c>
      <c r="B494" s="161" t="s">
        <v>905</v>
      </c>
      <c r="C494" s="166" t="s">
        <v>906</v>
      </c>
      <c r="D494" s="94">
        <v>45017</v>
      </c>
      <c r="E494" s="60">
        <v>46112</v>
      </c>
      <c r="F494" s="74" t="s">
        <v>23</v>
      </c>
      <c r="G494" s="76">
        <v>46112</v>
      </c>
      <c r="H494" s="65" t="s">
        <v>46</v>
      </c>
      <c r="I494" s="55" t="s">
        <v>907</v>
      </c>
      <c r="J494" s="75" t="s">
        <v>67</v>
      </c>
      <c r="K494" s="105">
        <v>11406613</v>
      </c>
      <c r="L494" s="54" t="s">
        <v>908</v>
      </c>
      <c r="M494" s="41" t="s">
        <v>909</v>
      </c>
      <c r="N494" s="7">
        <v>10000</v>
      </c>
      <c r="O494" s="44">
        <v>30000</v>
      </c>
      <c r="P494" s="64">
        <v>0</v>
      </c>
      <c r="Q494" s="74" t="s">
        <v>910</v>
      </c>
    </row>
    <row r="495" spans="1:17" ht="33.75" customHeight="1" x14ac:dyDescent="0.25">
      <c r="A495" s="129" t="s">
        <v>711</v>
      </c>
      <c r="B495" s="167" t="s">
        <v>712</v>
      </c>
      <c r="C495" s="167" t="s">
        <v>713</v>
      </c>
      <c r="D495" s="90">
        <v>43191</v>
      </c>
      <c r="E495" s="90">
        <v>45930</v>
      </c>
      <c r="F495" s="77" t="s">
        <v>19</v>
      </c>
      <c r="G495" s="90">
        <v>46112</v>
      </c>
      <c r="H495" s="77" t="s">
        <v>20</v>
      </c>
      <c r="I495" s="101" t="s">
        <v>714</v>
      </c>
      <c r="J495" s="101" t="s">
        <v>715</v>
      </c>
      <c r="K495" s="150" t="s">
        <v>716</v>
      </c>
      <c r="L495" s="39" t="s">
        <v>362</v>
      </c>
      <c r="M495" s="46" t="s">
        <v>53</v>
      </c>
      <c r="N495" s="21">
        <v>1325755</v>
      </c>
      <c r="O495" s="110">
        <v>8878609</v>
      </c>
      <c r="P495" s="43">
        <v>0</v>
      </c>
      <c r="Q495" s="130" t="s">
        <v>27</v>
      </c>
    </row>
    <row r="496" spans="1:17" ht="33.75" customHeight="1" x14ac:dyDescent="0.25">
      <c r="A496" s="131" t="s">
        <v>717</v>
      </c>
      <c r="B496" s="168" t="s">
        <v>718</v>
      </c>
      <c r="C496" s="168" t="s">
        <v>719</v>
      </c>
      <c r="D496" s="88">
        <v>43191</v>
      </c>
      <c r="E496" s="88">
        <v>45930</v>
      </c>
      <c r="F496" s="79" t="s">
        <v>19</v>
      </c>
      <c r="G496" s="88">
        <v>46112</v>
      </c>
      <c r="H496" s="79" t="s">
        <v>20</v>
      </c>
      <c r="I496" s="31" t="s">
        <v>714</v>
      </c>
      <c r="J496" s="31" t="s">
        <v>715</v>
      </c>
      <c r="K496" s="151" t="s">
        <v>720</v>
      </c>
      <c r="L496" s="18" t="s">
        <v>362</v>
      </c>
      <c r="M496" s="13" t="s">
        <v>53</v>
      </c>
      <c r="N496" s="30">
        <v>455308</v>
      </c>
      <c r="O496" s="152">
        <v>2884990</v>
      </c>
      <c r="P496" s="28">
        <v>0</v>
      </c>
      <c r="Q496" s="132" t="s">
        <v>27</v>
      </c>
    </row>
    <row r="497" spans="1:17" ht="33.75" customHeight="1" x14ac:dyDescent="0.25">
      <c r="A497" s="133" t="s">
        <v>355</v>
      </c>
      <c r="B497" s="175" t="s">
        <v>356</v>
      </c>
      <c r="C497" s="169" t="s">
        <v>357</v>
      </c>
      <c r="D497" s="134">
        <v>43998</v>
      </c>
      <c r="E497" s="134">
        <v>45823</v>
      </c>
      <c r="F497" s="135" t="s">
        <v>358</v>
      </c>
      <c r="G497" s="134">
        <v>45823</v>
      </c>
      <c r="H497" s="135" t="s">
        <v>20</v>
      </c>
      <c r="I497" s="136" t="s">
        <v>359</v>
      </c>
      <c r="J497" s="137" t="s">
        <v>360</v>
      </c>
      <c r="K497" s="153" t="s">
        <v>361</v>
      </c>
      <c r="L497" s="138" t="s">
        <v>362</v>
      </c>
      <c r="M497" s="139" t="s">
        <v>53</v>
      </c>
      <c r="N497" s="140">
        <v>196750</v>
      </c>
      <c r="O497" s="141">
        <v>983750</v>
      </c>
      <c r="P497" s="142">
        <v>0</v>
      </c>
      <c r="Q497" s="143" t="s">
        <v>27</v>
      </c>
    </row>
    <row r="498" spans="1:17" ht="33.75" customHeight="1" x14ac:dyDescent="0.25">
      <c r="A498" s="80" t="s">
        <v>1149</v>
      </c>
      <c r="B498" s="176" t="s">
        <v>1150</v>
      </c>
      <c r="C498" s="170"/>
      <c r="D498" s="81"/>
      <c r="E498" s="81"/>
      <c r="F498" s="82"/>
      <c r="G498" s="83"/>
      <c r="H498" s="82" t="s">
        <v>46</v>
      </c>
      <c r="I498" s="82" t="s">
        <v>1151</v>
      </c>
      <c r="J498" s="13" t="s">
        <v>97</v>
      </c>
      <c r="K498" s="84">
        <v>9467477</v>
      </c>
      <c r="L498" s="82" t="s">
        <v>44</v>
      </c>
      <c r="M498" s="85" t="s">
        <v>45</v>
      </c>
      <c r="N498" s="86"/>
      <c r="O498" s="86"/>
      <c r="P498" s="7"/>
      <c r="Q498" s="69" t="s">
        <v>27</v>
      </c>
    </row>
    <row r="499" spans="1:17" ht="33.75" customHeight="1" x14ac:dyDescent="0.25">
      <c r="A499" s="14" t="s">
        <v>1152</v>
      </c>
      <c r="B499" s="156" t="s">
        <v>1153</v>
      </c>
      <c r="C499" s="144"/>
      <c r="D499" s="8"/>
      <c r="E499" s="8"/>
      <c r="F499" s="5"/>
      <c r="G499" s="4"/>
      <c r="H499" s="5" t="s">
        <v>46</v>
      </c>
      <c r="I499" s="5" t="s">
        <v>1151</v>
      </c>
      <c r="J499" s="3" t="s">
        <v>97</v>
      </c>
      <c r="K499" s="12">
        <v>9467477</v>
      </c>
      <c r="L499" s="5" t="s">
        <v>44</v>
      </c>
      <c r="M499" s="3" t="s">
        <v>45</v>
      </c>
      <c r="N499" s="7"/>
      <c r="O499" s="7"/>
      <c r="P499" s="7"/>
      <c r="Q499" s="69" t="s">
        <v>27</v>
      </c>
    </row>
    <row r="500" spans="1:17" ht="33.75" customHeight="1" x14ac:dyDescent="0.25">
      <c r="A500" s="14" t="s">
        <v>1154</v>
      </c>
      <c r="B500" s="156" t="s">
        <v>1155</v>
      </c>
      <c r="C500" s="144"/>
      <c r="D500" s="8"/>
      <c r="E500" s="8"/>
      <c r="F500" s="5"/>
      <c r="G500" s="4"/>
      <c r="H500" s="5" t="s">
        <v>46</v>
      </c>
      <c r="I500" s="5" t="s">
        <v>1151</v>
      </c>
      <c r="J500" s="3"/>
      <c r="K500" s="12">
        <v>9467477</v>
      </c>
      <c r="L500" s="5" t="s">
        <v>44</v>
      </c>
      <c r="M500" s="3" t="s">
        <v>45</v>
      </c>
      <c r="N500" s="7"/>
      <c r="O500" s="7"/>
      <c r="P500" s="7"/>
      <c r="Q500" s="69" t="s">
        <v>27</v>
      </c>
    </row>
    <row r="501" spans="1:17" ht="33.75" customHeight="1" x14ac:dyDescent="0.25">
      <c r="A501" s="14" t="s">
        <v>1156</v>
      </c>
      <c r="B501" s="156" t="s">
        <v>1157</v>
      </c>
      <c r="C501" s="156" t="s">
        <v>1157</v>
      </c>
      <c r="D501" s="8"/>
      <c r="E501" s="8"/>
      <c r="F501" s="5"/>
      <c r="G501" s="5"/>
      <c r="H501" s="5"/>
      <c r="I501" s="5"/>
      <c r="J501" s="3"/>
      <c r="K501" s="12"/>
      <c r="L501" s="5"/>
      <c r="M501" s="3"/>
      <c r="N501" s="7"/>
      <c r="O501" s="7"/>
      <c r="P501" s="7">
        <v>0</v>
      </c>
      <c r="Q501" s="69"/>
    </row>
  </sheetData>
  <dataValidations count="4">
    <dataValidation type="textLength" operator="lessThanOrEqual" allowBlank="1" showInputMessage="1" showErrorMessage="1" errorTitle="Input Error!" error="Title must not exceed 60 characters (including spaces). Enter a suitable title and detail this further in the description column" sqref="C432:C433 B451:B452 B466 B457 B1:C1 B2:B433" xr:uid="{487628C9-8A8C-49F8-98B8-B4E84D5B5FA9}">
      <formula1>60</formula1>
    </dataValidation>
    <dataValidation operator="lessThanOrEqual" allowBlank="1" showInputMessage="1" showErrorMessage="1" errorTitle="Input Error!" error="Title must not exceed 60 characters (including spaces). Enter a suitable title and detail this further in the description column" sqref="C451:C452 C466 B458:C458 C457 C2:C431" xr:uid="{46D9FF64-885C-4D71-92EE-C7105EFE39A6}"/>
    <dataValidation type="textLength" allowBlank="1" showInputMessage="1" showErrorMessage="1" errorTitle="Too Many Characters" error="Please rename with 60 characters or less" sqref="B446 B455:C455 B496" xr:uid="{9FF98620-8D01-4773-8EBE-C1DED6666684}">
      <formula1>0</formula1>
      <formula2>60</formula2>
    </dataValidation>
    <dataValidation type="textLength" allowBlank="1" showInputMessage="1" showErrorMessage="1" error="Title should be no more than 60 characters" sqref="B456 B496 B499" xr:uid="{06EA7521-BE41-4933-939F-29B727F7963B}">
      <formula1>0</formula1>
      <formula2>60</formula2>
    </dataValidation>
  </dataValidations>
  <pageMargins left="0.7" right="0.7" top="0.75" bottom="0.75" header="0.3" footer="0.3"/>
  <legacyDrawing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Combined Authority Document" ma:contentTypeID="0x010100CD2C4A6BD139E040B17750FF27DCB58800C8C4793362ADF24483271EB4A5EF2042" ma:contentTypeVersion="23" ma:contentTypeDescription="" ma:contentTypeScope="" ma:versionID="f6b20d6edcd277a5c81d639bd076bd4a">
  <xsd:schema xmlns:xsd="http://www.w3.org/2001/XMLSchema" xmlns:xs="http://www.w3.org/2001/XMLSchema" xmlns:p="http://schemas.microsoft.com/office/2006/metadata/properties" xmlns:ns2="609d8ea2-166c-4bc4-b8e6-471679cf7152" xmlns:ns3="749fcac0-1a83-44ad-a246-cef45f65c140" xmlns:ns4="47b8abde-4f00-40c8-b7cd-5e812d4243d7" targetNamespace="http://schemas.microsoft.com/office/2006/metadata/properties" ma:root="true" ma:fieldsID="ca19a00b164c006cd28dc0699d6bbdfa" ns2:_="" ns3:_="" ns4:_="">
    <xsd:import namespace="609d8ea2-166c-4bc4-b8e6-471679cf7152"/>
    <xsd:import namespace="749fcac0-1a83-44ad-a246-cef45f65c140"/>
    <xsd:import namespace="47b8abde-4f00-40c8-b7cd-5e812d4243d7"/>
    <xsd:element name="properties">
      <xsd:complexType>
        <xsd:sequence>
          <xsd:element name="documentManagement">
            <xsd:complexType>
              <xsd:all>
                <xsd:element ref="ns2:TaxCatchAll" minOccurs="0"/>
                <xsd:element ref="ns2:TaxCatchAllLabel" minOccurs="0"/>
                <xsd:element ref="ns2:e7f6fcfa129d4532be115c39d4a79470"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4:SharedWithUsers" minOccurs="0"/>
                <xsd:element ref="ns4:SharedWithDetails" minOccurs="0"/>
                <xsd:element ref="ns3:MediaLengthInSeconds" minOccurs="0"/>
                <xsd:element ref="ns3:SupplierName" minOccurs="0"/>
                <xsd:element ref="ns3:MediaServiceLocation" minOccurs="0"/>
                <xsd:element ref="ns3:lcf76f155ced4ddcb4097134ff3c332f" minOccurs="0"/>
                <xsd:element ref="ns3:MediaServiceObjectDetectorVersions" minOccurs="0"/>
                <xsd:element ref="ns3:MediaServiceSearchProperties" minOccurs="0"/>
                <xsd:element ref="ns3: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09d8ea2-166c-4bc4-b8e6-471679cf7152"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84235a34-111a-42ca-86c3-73c9854704ba}" ma:internalName="TaxCatchAll" ma:showField="CatchAllData" ma:web="47b8abde-4f00-40c8-b7cd-5e812d4243d7">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84235a34-111a-42ca-86c3-73c9854704ba}" ma:internalName="TaxCatchAllLabel" ma:readOnly="true" ma:showField="CatchAllDataLabel" ma:web="47b8abde-4f00-40c8-b7cd-5e812d4243d7">
      <xsd:complexType>
        <xsd:complexContent>
          <xsd:extension base="dms:MultiChoiceLookup">
            <xsd:sequence>
              <xsd:element name="Value" type="dms:Lookup" maxOccurs="unbounded" minOccurs="0" nillable="true"/>
            </xsd:sequence>
          </xsd:extension>
        </xsd:complexContent>
      </xsd:complexType>
    </xsd:element>
    <xsd:element name="e7f6fcfa129d4532be115c39d4a79470" ma:index="10" ma:taxonomy="true" ma:internalName="e7f6fcfa129d4532be115c39d4a79470" ma:taxonomyFieldName="Information_x0020_Asset_x0020_Owner" ma:displayName="Information Asset Owner" ma:readOnly="false" ma:default="" ma:fieldId="{e7f6fcfa-129d-4532-be11-5c39d4a79470}" ma:sspId="818be74b-408a-4821-a541-c1cb6a280853" ma:termSetId="c62ee58c-7e49-4451-bf4d-25f985ecbd6d"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49fcac0-1a83-44ad-a246-cef45f65c140"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SupplierName" ma:index="24" nillable="true" ma:displayName="Supplier Name" ma:format="Dropdown" ma:internalName="SupplierName">
      <xsd:simpleType>
        <xsd:restriction base="dms:Text">
          <xsd:maxLength value="255"/>
        </xsd:restriction>
      </xsd:simpleType>
    </xsd:element>
    <xsd:element name="MediaServiceLocation" ma:index="25" nillable="true" ma:displayName="Location" ma:internalName="MediaServiceLocation" ma:readOnly="true">
      <xsd:simpleType>
        <xsd:restriction base="dms:Text"/>
      </xsd:simpleType>
    </xsd:element>
    <xsd:element name="lcf76f155ced4ddcb4097134ff3c332f" ma:index="27" nillable="true" ma:taxonomy="true" ma:internalName="lcf76f155ced4ddcb4097134ff3c332f" ma:taxonomyFieldName="MediaServiceImageTags" ma:displayName="Image Tags" ma:readOnly="false" ma:fieldId="{5cf76f15-5ced-4ddc-b409-7134ff3c332f}" ma:taxonomyMulti="true" ma:sspId="818be74b-408a-4821-a541-c1cb6a28085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_Flow_SignoffStatus" ma:index="30"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7b8abde-4f00-40c8-b7cd-5e812d4243d7" elementFormDefault="qualified">
    <xsd:import namespace="http://schemas.microsoft.com/office/2006/documentManagement/types"/>
    <xsd:import namespace="http://schemas.microsoft.com/office/infopath/2007/PartnerControls"/>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818be74b-408a-4821-a541-c1cb6a280853" ContentTypeId="0x010100CD2C4A6BD139E040B17750FF27DCB588"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upplierName xmlns="749fcac0-1a83-44ad-a246-cef45f65c140" xsi:nil="true"/>
    <TaxCatchAll xmlns="609d8ea2-166c-4bc4-b8e6-471679cf7152">
      <Value>2</Value>
    </TaxCatchAll>
    <lcf76f155ced4ddcb4097134ff3c332f xmlns="749fcac0-1a83-44ad-a246-cef45f65c140">
      <Terms xmlns="http://schemas.microsoft.com/office/infopath/2007/PartnerControls"/>
    </lcf76f155ced4ddcb4097134ff3c332f>
    <e7f6fcfa129d4532be115c39d4a79470 xmlns="609d8ea2-166c-4bc4-b8e6-471679cf7152">
      <Terms xmlns="http://schemas.microsoft.com/office/infopath/2007/PartnerControls">
        <TermInfo xmlns="http://schemas.microsoft.com/office/infopath/2007/PartnerControls">
          <TermName xmlns="http://schemas.microsoft.com/office/infopath/2007/PartnerControls">Head of Procurement</TermName>
          <TermId xmlns="http://schemas.microsoft.com/office/infopath/2007/PartnerControls">fb32aba1-b4af-4d34-8c20-4f22030f9cc1</TermId>
        </TermInfo>
      </Terms>
    </e7f6fcfa129d4532be115c39d4a79470>
    <_Flow_SignoffStatus xmlns="749fcac0-1a83-44ad-a246-cef45f65c140" xsi:nil="true"/>
  </documentManagement>
</p:properties>
</file>

<file path=customXml/itemProps1.xml><?xml version="1.0" encoding="utf-8"?>
<ds:datastoreItem xmlns:ds="http://schemas.openxmlformats.org/officeDocument/2006/customXml" ds:itemID="{F06D22BB-565B-4470-924E-FCE9F4490EE8}"/>
</file>

<file path=customXml/itemProps2.xml><?xml version="1.0" encoding="utf-8"?>
<ds:datastoreItem xmlns:ds="http://schemas.openxmlformats.org/officeDocument/2006/customXml" ds:itemID="{FD27C78F-3AA5-4FD9-B17A-5EFAE32CFF39}"/>
</file>

<file path=customXml/itemProps3.xml><?xml version="1.0" encoding="utf-8"?>
<ds:datastoreItem xmlns:ds="http://schemas.openxmlformats.org/officeDocument/2006/customXml" ds:itemID="{EDB2B207-AD9B-4B07-B50D-232C2ED37B24}"/>
</file>

<file path=customXml/itemProps4.xml><?xml version="1.0" encoding="utf-8"?>
<ds:datastoreItem xmlns:ds="http://schemas.openxmlformats.org/officeDocument/2006/customXml" ds:itemID="{5F95A80E-3CA6-4C2E-BAFD-C88AFAEB110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Zayyan Steadman</dc:creator>
  <cp:lastModifiedBy>Zayyan Steadman</cp:lastModifiedBy>
  <dcterms:created xsi:type="dcterms:W3CDTF">2025-02-17T11:33:22Z</dcterms:created>
  <dcterms:modified xsi:type="dcterms:W3CDTF">2025-02-17T11:57:55Z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rmation Asset Owner">
    <vt:lpwstr>2;#Head of Procurement|fb32aba1-b4af-4d34-8c20-4f22030f9cc1</vt:lpwstr>
  </property>
  <property fmtid="{D5CDD505-2E9C-101B-9397-08002B2CF9AE}" pid="3" name="MediaServiceImageTags">
    <vt:lpwstr/>
  </property>
  <property fmtid="{D5CDD505-2E9C-101B-9397-08002B2CF9AE}" pid="4" name="ContentTypeId">
    <vt:lpwstr>0x010100CD2C4A6BD139E040B17750FF27DCB58800C8C4793362ADF24483271EB4A5EF2042</vt:lpwstr>
  </property>
  <property fmtid="{D5CDD505-2E9C-101B-9397-08002B2CF9AE}" pid="5" name="Information_x0020_Asset_x0020_Owner">
    <vt:lpwstr>2;#Head of Procurement|fb32aba1-b4af-4d34-8c20-4f22030f9cc1</vt:lpwstr>
  </property>
</Properties>
</file>